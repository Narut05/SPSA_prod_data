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5_ProyectosMejora/Proyecto GDH/"/>
    </mc:Choice>
  </mc:AlternateContent>
  <xr:revisionPtr revIDLastSave="1" documentId="11_15B26D22D32E1A1AB0AE8881A04B8ED8CD469555" xr6:coauthVersionLast="47" xr6:coauthVersionMax="47" xr10:uidLastSave="{F13BEFA3-FE4C-40C6-84D7-DF202677366C}"/>
  <bookViews>
    <workbookView xWindow="-108" yWindow="-108" windowWidth="30936" windowHeight="16776" xr2:uid="{00000000-000D-0000-FFFF-FFFF00000000}"/>
  </bookViews>
  <sheets>
    <sheet name="Rot 1m" sheetId="3" r:id="rId1"/>
    <sheet name="Rot 3m" sheetId="2" r:id="rId2"/>
    <sheet name="Sheet1" sheetId="1" r:id="rId3"/>
  </sheets>
  <definedNames>
    <definedName name="_xlnm._FilterDatabase" localSheetId="2" hidden="1">Sheet1!$A$1:$R$3647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2" l="1"/>
  <c r="L47" i="2" s="1"/>
  <c r="K42" i="2"/>
  <c r="K47" i="2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2" i="1"/>
</calcChain>
</file>

<file path=xl/sharedStrings.xml><?xml version="1.0" encoding="utf-8"?>
<sst xmlns="http://schemas.openxmlformats.org/spreadsheetml/2006/main" count="14900" uniqueCount="47">
  <si>
    <t>Modalidad</t>
  </si>
  <si>
    <t>Código</t>
  </si>
  <si>
    <t>Género</t>
  </si>
  <si>
    <t>Fecha de ingreso</t>
  </si>
  <si>
    <t>Fecha de Cese</t>
  </si>
  <si>
    <t>Ubicación_2</t>
  </si>
  <si>
    <t>Fecha de nacimiento</t>
  </si>
  <si>
    <t>Part Time</t>
  </si>
  <si>
    <t>Femenino</t>
  </si>
  <si>
    <t>Lima</t>
  </si>
  <si>
    <t>Masculino</t>
  </si>
  <si>
    <t>Full Time</t>
  </si>
  <si>
    <t>Provincia</t>
  </si>
  <si>
    <t>antigüedad</t>
  </si>
  <si>
    <t>antigüedadMeses</t>
  </si>
  <si>
    <t>target_m3</t>
  </si>
  <si>
    <t>target_m6</t>
  </si>
  <si>
    <t>edad</t>
  </si>
  <si>
    <t>rango edad</t>
  </si>
  <si>
    <t>Etiquetas de fila</t>
  </si>
  <si>
    <t>Total general</t>
  </si>
  <si>
    <t>año</t>
  </si>
  <si>
    <t>Etiquetas de columna</t>
  </si>
  <si>
    <t>Promedio de target_m3</t>
  </si>
  <si>
    <t>Cuenta de target_m3</t>
  </si>
  <si>
    <t>RotHC3m</t>
  </si>
  <si>
    <t>Total 2025</t>
  </si>
  <si>
    <t>Total 2026</t>
  </si>
  <si>
    <t>mes</t>
  </si>
  <si>
    <t>periodo</t>
  </si>
  <si>
    <t>(Varios elementos)</t>
  </si>
  <si>
    <t>cat rango edad</t>
  </si>
  <si>
    <t>18 a 21 años</t>
  </si>
  <si>
    <t>22 a 25 años</t>
  </si>
  <si>
    <t>26 a 30 años</t>
  </si>
  <si>
    <t>31 a más</t>
  </si>
  <si>
    <t>target_m1</t>
  </si>
  <si>
    <t>Promedio de target_m1</t>
  </si>
  <si>
    <t>MIRAFLORES</t>
  </si>
  <si>
    <t>LIBERTADORES</t>
  </si>
  <si>
    <t>CORPAC</t>
  </si>
  <si>
    <t>LOS HORARIOS DE FUM</t>
  </si>
  <si>
    <t>Guardia Civil</t>
  </si>
  <si>
    <t>Jockey Plaza</t>
  </si>
  <si>
    <t>Universitaria</t>
  </si>
  <si>
    <t>San Jorge</t>
  </si>
  <si>
    <t>Viv Monterrico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</si>
</sst>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39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numFmt numFmtId="13" formatCode="0%"/>
    </dxf>
    <dxf>
      <numFmt numFmtId="14" formatCode="0.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3" formatCode="0%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[revisar7.xlsx]Rot 1m!TablaDinámica3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'Rot 1m'!$C$4:$C$5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'Rot 1m'!$B$6:$B$18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'Rot 1m'!$C$6:$C$18</c:f>
              <c:numCache>
                <c:formatCode>0%</c:formatCode>
                <c:ptCount val="12"/>
                <c:pt idx="0">
                  <c:v>2.7027027027027029E-2</c:v>
                </c:pt>
                <c:pt idx="1">
                  <c:v>6.9930069930069935E-2</c:v>
                </c:pt>
                <c:pt idx="2">
                  <c:v>0.12209302325581395</c:v>
                </c:pt>
                <c:pt idx="3">
                  <c:v>2.8301886792452831E-2</c:v>
                </c:pt>
                <c:pt idx="4">
                  <c:v>0.1</c:v>
                </c:pt>
                <c:pt idx="5">
                  <c:v>0.11666666666666667</c:v>
                </c:pt>
                <c:pt idx="6">
                  <c:v>0.10144927536231885</c:v>
                </c:pt>
                <c:pt idx="7">
                  <c:v>0.11046511627906977</c:v>
                </c:pt>
                <c:pt idx="8">
                  <c:v>0.10380622837370242</c:v>
                </c:pt>
                <c:pt idx="9">
                  <c:v>0.13186813186813187</c:v>
                </c:pt>
                <c:pt idx="10">
                  <c:v>0.1027190332326284</c:v>
                </c:pt>
                <c:pt idx="11">
                  <c:v>7.6036866359447008E-2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7-4966-AF42-8122936042FB}"/>
            </c:ext>
          </c:extLst>
        </c:ser>
        <c:ser>
          <c:idx val="1"/>
          <c:order val="1"/>
          <c:tx>
            <c:strRef>
              <c:f>'Rot 1m'!$D$4:$D$5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'Rot 1m'!$B$6:$B$18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'Rot 1m'!$D$6:$D$18</c:f>
              <c:numCache>
                <c:formatCode>0%</c:formatCode>
                <c:ptCount val="12"/>
                <c:pt idx="0">
                  <c:v>0.11038961038961038</c:v>
                </c:pt>
                <c:pt idx="1">
                  <c:v>0.1256544502617801</c:v>
                </c:pt>
                <c:pt idx="2">
                  <c:v>0.11673151750972763</c:v>
                </c:pt>
                <c:pt idx="3">
                  <c:v>0.13636363636363635</c:v>
                </c:pt>
                <c:pt idx="4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7-4966-AF42-812293604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315312"/>
        <c:axId val="540090928"/>
      </c:lineChart>
      <c:catAx>
        <c:axId val="56831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0090928"/>
        <c:crosses val="autoZero"/>
        <c:auto val="1"/>
        <c:lblAlgn val="ctr"/>
        <c:lblOffset val="100"/>
        <c:noMultiLvlLbl val="0"/>
      </c:catAx>
      <c:valAx>
        <c:axId val="5400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83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[revisar7.xlsx]Rot 1m!TablaDinámica6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'Rot 1m'!$C$40:$C$41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'Rot 1m'!$B$42:$B$52</c:f>
              <c:multiLvlStrCache>
                <c:ptCount val="8"/>
                <c:lvl>
                  <c:pt idx="0">
                    <c:v>18 a 21 años</c:v>
                  </c:pt>
                  <c:pt idx="1">
                    <c:v>22 a 25 años</c:v>
                  </c:pt>
                  <c:pt idx="2">
                    <c:v>26 a 30 años</c:v>
                  </c:pt>
                  <c:pt idx="3">
                    <c:v>31 a más</c:v>
                  </c:pt>
                  <c:pt idx="4">
                    <c:v>18 a 21 años</c:v>
                  </c:pt>
                  <c:pt idx="5">
                    <c:v>22 a 25 años</c:v>
                  </c:pt>
                  <c:pt idx="6">
                    <c:v>26 a 30 años</c:v>
                  </c:pt>
                  <c:pt idx="7">
                    <c:v>31 a más</c:v>
                  </c:pt>
                </c:lvl>
                <c:lvl>
                  <c:pt idx="0">
                    <c:v>Full Time</c:v>
                  </c:pt>
                  <c:pt idx="4">
                    <c:v>Part Time</c:v>
                  </c:pt>
                </c:lvl>
              </c:multiLvlStrCache>
            </c:multiLvlStrRef>
          </c:cat>
          <c:val>
            <c:numRef>
              <c:f>'Rot 1m'!$C$42:$C$52</c:f>
              <c:numCache>
                <c:formatCode>0%</c:formatCode>
                <c:ptCount val="8"/>
                <c:pt idx="0">
                  <c:v>2.6315789473684209E-2</c:v>
                </c:pt>
                <c:pt idx="1">
                  <c:v>5.0847457627118647E-2</c:v>
                </c:pt>
                <c:pt idx="2">
                  <c:v>0</c:v>
                </c:pt>
                <c:pt idx="3">
                  <c:v>0</c:v>
                </c:pt>
                <c:pt idx="4">
                  <c:v>8.1229418221734365E-2</c:v>
                </c:pt>
                <c:pt idx="5">
                  <c:v>0.12</c:v>
                </c:pt>
                <c:pt idx="6">
                  <c:v>0.12254901960784313</c:v>
                </c:pt>
                <c:pt idx="7">
                  <c:v>0.11602209944751381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139-969D-D2C2553BA199}"/>
            </c:ext>
          </c:extLst>
        </c:ser>
        <c:ser>
          <c:idx val="1"/>
          <c:order val="1"/>
          <c:tx>
            <c:strRef>
              <c:f>'Rot 1m'!$D$40:$D$41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'Rot 1m'!$B$42:$B$52</c:f>
              <c:multiLvlStrCache>
                <c:ptCount val="8"/>
                <c:lvl>
                  <c:pt idx="0">
                    <c:v>18 a 21 años</c:v>
                  </c:pt>
                  <c:pt idx="1">
                    <c:v>22 a 25 años</c:v>
                  </c:pt>
                  <c:pt idx="2">
                    <c:v>26 a 30 años</c:v>
                  </c:pt>
                  <c:pt idx="3">
                    <c:v>31 a más</c:v>
                  </c:pt>
                  <c:pt idx="4">
                    <c:v>18 a 21 años</c:v>
                  </c:pt>
                  <c:pt idx="5">
                    <c:v>22 a 25 años</c:v>
                  </c:pt>
                  <c:pt idx="6">
                    <c:v>26 a 30 años</c:v>
                  </c:pt>
                  <c:pt idx="7">
                    <c:v>31 a más</c:v>
                  </c:pt>
                </c:lvl>
                <c:lvl>
                  <c:pt idx="0">
                    <c:v>Full Time</c:v>
                  </c:pt>
                  <c:pt idx="4">
                    <c:v>Part Time</c:v>
                  </c:pt>
                </c:lvl>
              </c:multiLvlStrCache>
            </c:multiLvlStrRef>
          </c:cat>
          <c:val>
            <c:numRef>
              <c:f>'Rot 1m'!$D$42:$D$52</c:f>
              <c:numCache>
                <c:formatCode>0%</c:formatCode>
                <c:ptCount val="8"/>
                <c:pt idx="0">
                  <c:v>0.1875</c:v>
                </c:pt>
                <c:pt idx="1">
                  <c:v>0.17241379310344829</c:v>
                </c:pt>
                <c:pt idx="2">
                  <c:v>0</c:v>
                </c:pt>
                <c:pt idx="3">
                  <c:v>0.17647058823529413</c:v>
                </c:pt>
                <c:pt idx="4">
                  <c:v>9.2457420924574207E-2</c:v>
                </c:pt>
                <c:pt idx="5">
                  <c:v>0.1407942238267148</c:v>
                </c:pt>
                <c:pt idx="6">
                  <c:v>0.23728813559322035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2-4139-969D-D2C2553BA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0671"/>
        <c:axId val="5187743"/>
      </c:barChart>
      <c:catAx>
        <c:axId val="51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87743"/>
        <c:crosses val="autoZero"/>
        <c:auto val="1"/>
        <c:lblAlgn val="ctr"/>
        <c:lblOffset val="100"/>
        <c:noMultiLvlLbl val="0"/>
      </c:catAx>
      <c:valAx>
        <c:axId val="51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[revisar7.xlsx]Rot 3m!TablaDinámica3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'Rot 3m'!$B$4:$B$5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'Rot 3m'!$A$6:$A$18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'Rot 3m'!$B$6:$B$18</c:f>
              <c:numCache>
                <c:formatCode>0%</c:formatCode>
                <c:ptCount val="12"/>
                <c:pt idx="0">
                  <c:v>0.3108108108108108</c:v>
                </c:pt>
                <c:pt idx="1">
                  <c:v>0.20979020979020979</c:v>
                </c:pt>
                <c:pt idx="2">
                  <c:v>0.27325581395348836</c:v>
                </c:pt>
                <c:pt idx="3">
                  <c:v>0.15094339622641509</c:v>
                </c:pt>
                <c:pt idx="4">
                  <c:v>0.20434782608695654</c:v>
                </c:pt>
                <c:pt idx="5">
                  <c:v>0.23333333333333334</c:v>
                </c:pt>
                <c:pt idx="6">
                  <c:v>0.24637681159420291</c:v>
                </c:pt>
                <c:pt idx="7">
                  <c:v>0.22093023255813954</c:v>
                </c:pt>
                <c:pt idx="8">
                  <c:v>0.22145328719723184</c:v>
                </c:pt>
                <c:pt idx="9">
                  <c:v>0.22344322344322345</c:v>
                </c:pt>
                <c:pt idx="10">
                  <c:v>0.33534743202416917</c:v>
                </c:pt>
                <c:pt idx="11">
                  <c:v>0.31105990783410137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B-4710-8E81-676851CAED2B}"/>
            </c:ext>
          </c:extLst>
        </c:ser>
        <c:ser>
          <c:idx val="1"/>
          <c:order val="1"/>
          <c:tx>
            <c:strRef>
              <c:f>'Rot 3m'!$C$4:$C$5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'Rot 3m'!$A$6:$A$18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'Rot 3m'!$C$6:$C$18</c:f>
              <c:numCache>
                <c:formatCode>0%</c:formatCode>
                <c:ptCount val="12"/>
                <c:pt idx="0">
                  <c:v>0.47402597402597402</c:v>
                </c:pt>
                <c:pt idx="1">
                  <c:v>0.34554973821989526</c:v>
                </c:pt>
                <c:pt idx="2">
                  <c:v>0.31128404669260701</c:v>
                </c:pt>
                <c:pt idx="3">
                  <c:v>0.20454545454545456</c:v>
                </c:pt>
                <c:pt idx="4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B-4710-8E81-676851CA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315312"/>
        <c:axId val="540090928"/>
      </c:lineChart>
      <c:catAx>
        <c:axId val="56831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0090928"/>
        <c:crosses val="autoZero"/>
        <c:auto val="1"/>
        <c:lblAlgn val="ctr"/>
        <c:lblOffset val="100"/>
        <c:noMultiLvlLbl val="0"/>
      </c:catAx>
      <c:valAx>
        <c:axId val="5400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83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[revisar7.xlsx]Rot 3m!TablaDinámica6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'Rot 3m'!$B$40:$B$41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'Rot 3m'!$A$42:$A$52</c:f>
              <c:multiLvlStrCache>
                <c:ptCount val="8"/>
                <c:lvl>
                  <c:pt idx="0">
                    <c:v>18 a 21 años</c:v>
                  </c:pt>
                  <c:pt idx="1">
                    <c:v>22 a 25 años</c:v>
                  </c:pt>
                  <c:pt idx="2">
                    <c:v>26 a 30 años</c:v>
                  </c:pt>
                  <c:pt idx="3">
                    <c:v>31 a más</c:v>
                  </c:pt>
                  <c:pt idx="4">
                    <c:v>18 a 21 años</c:v>
                  </c:pt>
                  <c:pt idx="5">
                    <c:v>22 a 25 años</c:v>
                  </c:pt>
                  <c:pt idx="6">
                    <c:v>26 a 30 años</c:v>
                  </c:pt>
                  <c:pt idx="7">
                    <c:v>31 a más</c:v>
                  </c:pt>
                </c:lvl>
                <c:lvl>
                  <c:pt idx="0">
                    <c:v>Full Time</c:v>
                  </c:pt>
                  <c:pt idx="4">
                    <c:v>Part Time</c:v>
                  </c:pt>
                </c:lvl>
              </c:multiLvlStrCache>
            </c:multiLvlStrRef>
          </c:cat>
          <c:val>
            <c:numRef>
              <c:f>'Rot 3m'!$B$42:$B$52</c:f>
              <c:numCache>
                <c:formatCode>0%</c:formatCode>
                <c:ptCount val="8"/>
                <c:pt idx="0">
                  <c:v>0.125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</c:v>
                </c:pt>
                <c:pt idx="4">
                  <c:v>0.32</c:v>
                </c:pt>
                <c:pt idx="5">
                  <c:v>0.27586206896551724</c:v>
                </c:pt>
                <c:pt idx="6">
                  <c:v>0.14705882352941177</c:v>
                </c:pt>
                <c:pt idx="7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8-46B1-A718-DE07D0C4C4A6}"/>
            </c:ext>
          </c:extLst>
        </c:ser>
        <c:ser>
          <c:idx val="1"/>
          <c:order val="1"/>
          <c:tx>
            <c:strRef>
              <c:f>'Rot 3m'!$C$40:$C$41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'Rot 3m'!$A$42:$A$52</c:f>
              <c:multiLvlStrCache>
                <c:ptCount val="8"/>
                <c:lvl>
                  <c:pt idx="0">
                    <c:v>18 a 21 años</c:v>
                  </c:pt>
                  <c:pt idx="1">
                    <c:v>22 a 25 años</c:v>
                  </c:pt>
                  <c:pt idx="2">
                    <c:v>26 a 30 años</c:v>
                  </c:pt>
                  <c:pt idx="3">
                    <c:v>31 a más</c:v>
                  </c:pt>
                  <c:pt idx="4">
                    <c:v>18 a 21 años</c:v>
                  </c:pt>
                  <c:pt idx="5">
                    <c:v>22 a 25 años</c:v>
                  </c:pt>
                  <c:pt idx="6">
                    <c:v>26 a 30 años</c:v>
                  </c:pt>
                  <c:pt idx="7">
                    <c:v>31 a más</c:v>
                  </c:pt>
                </c:lvl>
                <c:lvl>
                  <c:pt idx="0">
                    <c:v>Full Time</c:v>
                  </c:pt>
                  <c:pt idx="4">
                    <c:v>Part Time</c:v>
                  </c:pt>
                </c:lvl>
              </c:multiLvlStrCache>
            </c:multiLvlStrRef>
          </c:cat>
          <c:val>
            <c:numRef>
              <c:f>'Rot 3m'!$C$42:$C$52</c:f>
              <c:numCache>
                <c:formatCode>0%</c:formatCode>
                <c:ptCount val="8"/>
                <c:pt idx="0">
                  <c:v>0.33333333333333331</c:v>
                </c:pt>
                <c:pt idx="1">
                  <c:v>0.3125</c:v>
                </c:pt>
                <c:pt idx="2">
                  <c:v>0</c:v>
                </c:pt>
                <c:pt idx="3">
                  <c:v>0.30769230769230771</c:v>
                </c:pt>
                <c:pt idx="4">
                  <c:v>0.36824324324324326</c:v>
                </c:pt>
                <c:pt idx="5">
                  <c:v>0.38341968911917096</c:v>
                </c:pt>
                <c:pt idx="6">
                  <c:v>0.44736842105263158</c:v>
                </c:pt>
                <c:pt idx="7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58-46B1-A718-DE07D0C4C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0671"/>
        <c:axId val="5187743"/>
      </c:barChart>
      <c:catAx>
        <c:axId val="51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87743"/>
        <c:crosses val="autoZero"/>
        <c:auto val="1"/>
        <c:lblAlgn val="ctr"/>
        <c:lblOffset val="100"/>
        <c:noMultiLvlLbl val="0"/>
      </c:catAx>
      <c:valAx>
        <c:axId val="51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140970</xdr:colOff>
      <xdr:row>3</xdr:row>
      <xdr:rowOff>66040</xdr:rowOff>
    </xdr:from>
    <xdr:to>
      <xdr:col>11</xdr:col>
      <xdr:colOff>415290</xdr:colOff>
      <xdr:row>18</xdr:row>
      <xdr:rowOff>66040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20AE13-7D8C-5FA4-714A-FA673B0B7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274320</xdr:colOff>
      <xdr:row>0</xdr:row>
      <xdr:rowOff>0</xdr:rowOff>
    </xdr:from>
    <xdr:to>
      <xdr:col>23</xdr:col>
      <xdr:colOff>167905</xdr:colOff>
      <xdr:row>13</xdr:row>
      <xdr:rowOff>76413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C83AD7-CE78-2953-98A6-EA71E10D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1070" y="0"/>
          <a:ext cx="2941585" cy="2470363"/>
        </a:xfrm>
        <a:prstGeom prst="rect">
          <a:avLst/>
        </a:prstGeom>
      </xdr:spPr>
    </xdr:pic>
    <xdr:clientData/>
  </xdr:twoCellAnchor>
  <xdr:twoCellAnchor>
    <xdr:from>
      <xdr:col>1</xdr:col>
      <xdr:colOff>15874</xdr:colOff>
      <xdr:row>52</xdr:row>
      <xdr:rowOff>57150</xdr:rowOff>
    </xdr:from>
    <xdr:to>
      <xdr:col>6</xdr:col>
      <xdr:colOff>698499</xdr:colOff>
      <xdr:row>67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274320</xdr:colOff>
      <xdr:row>89</xdr:row>
      <xdr:rowOff>68580</xdr:rowOff>
    </xdr:from>
    <xdr:ext cx="2941585" cy="2470363"/>
    <xdr:pic>
      <xdr:nvPicPr>
        <xdr:cNvPr id="5" name="Imagen 4">
          <a:extLst>
            <a:ext uri="{FF2B5EF4-FFF2-40B4-BE49-F238E27FC236}">
              <a16:creationId xmlns:a16="http://schemas.microsoft.com/office/drawing/2014/main" id="{B0C83AD7-CE78-2953-98A6-EA71E10D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1070" y="16457930"/>
          <a:ext cx="2941585" cy="24703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</xdr:colOff>
      <xdr:row>3</xdr:row>
      <xdr:rowOff>66040</xdr:rowOff>
    </xdr:from>
    <xdr:to>
      <xdr:col>10</xdr:col>
      <xdr:colOff>415290</xdr:colOff>
      <xdr:row>18</xdr:row>
      <xdr:rowOff>66040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20AE13-7D8C-5FA4-714A-FA673B0B7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274320</xdr:colOff>
      <xdr:row>0</xdr:row>
      <xdr:rowOff>0</xdr:rowOff>
    </xdr:from>
    <xdr:to>
      <xdr:col>21</xdr:col>
      <xdr:colOff>448715</xdr:colOff>
      <xdr:row>13</xdr:row>
      <xdr:rowOff>76413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C83AD7-CE78-2953-98A6-EA71E10D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5560" y="3177540"/>
          <a:ext cx="3063505" cy="2453853"/>
        </a:xfrm>
        <a:prstGeom prst="rect">
          <a:avLst/>
        </a:prstGeom>
      </xdr:spPr>
    </xdr:pic>
    <xdr:clientData/>
  </xdr:twoCellAnchor>
  <xdr:twoCellAnchor>
    <xdr:from>
      <xdr:col>0</xdr:col>
      <xdr:colOff>15874</xdr:colOff>
      <xdr:row>52</xdr:row>
      <xdr:rowOff>57150</xdr:rowOff>
    </xdr:from>
    <xdr:to>
      <xdr:col>5</xdr:col>
      <xdr:colOff>698499</xdr:colOff>
      <xdr:row>67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242570</xdr:colOff>
      <xdr:row>113</xdr:row>
      <xdr:rowOff>62230</xdr:rowOff>
    </xdr:from>
    <xdr:ext cx="3336029" cy="2801620"/>
    <xdr:pic>
      <xdr:nvPicPr>
        <xdr:cNvPr id="5" name="Imagen 4">
          <a:extLst>
            <a:ext uri="{FF2B5EF4-FFF2-40B4-BE49-F238E27FC236}">
              <a16:creationId xmlns:a16="http://schemas.microsoft.com/office/drawing/2014/main" id="{B0C83AD7-CE78-2953-98A6-EA71E10D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65120" y="20871180"/>
          <a:ext cx="3336029" cy="280162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Paredes" refreshedDate="46204.383177546297" createdVersion="8" refreshedVersion="6" minRefreshableVersion="3" recordCount="3646" xr:uid="{00000000-000A-0000-FFFF-FFFF34000000}">
  <cacheSource type="worksheet">
    <worksheetSource ref="A1:R3647" sheet="Sheet1"/>
  </cacheSource>
  <cacheFields count="18">
    <cacheField name="Modalidad" numFmtId="0">
      <sharedItems count="2">
        <s v="Full Time"/>
        <s v="Part Time"/>
      </sharedItems>
    </cacheField>
    <cacheField name="Código" numFmtId="0">
      <sharedItems containsSemiMixedTypes="0" containsString="0" containsNumber="1" containsInteger="1" minValue="580" maxValue="19027504"/>
    </cacheField>
    <cacheField name="Género" numFmtId="0">
      <sharedItems count="2">
        <s v="Femenino"/>
        <s v="Masculino"/>
      </sharedItems>
    </cacheField>
    <cacheField name="Fecha de ingreso" numFmtId="14">
      <sharedItems containsSemiMixedTypes="0" containsNonDate="0" containsDate="1" containsString="0" minDate="2025-01-01T00:00:00" maxDate="2026-05-30T00:00:00"/>
    </cacheField>
    <cacheField name="año" numFmtId="1">
      <sharedItems containsSemiMixedTypes="0" containsString="0" containsNumber="1" containsInteger="1" minValue="2025" maxValue="2026" count="2">
        <n v="2025"/>
        <n v="2026"/>
      </sharedItems>
    </cacheField>
    <cacheField name="mes" numFmtId="1">
      <sharedItems containsSemiMixedTypes="0" containsString="0" containsNumber="1" containsInteger="1" minValue="1" maxValue="12" count="12">
        <n v="3"/>
        <n v="5"/>
        <n v="4"/>
        <n v="9"/>
        <n v="11"/>
        <n v="12"/>
        <n v="1"/>
        <n v="2"/>
        <n v="10"/>
        <n v="8"/>
        <n v="7"/>
        <n v="6"/>
      </sharedItems>
    </cacheField>
    <cacheField name="periodo" numFmtId="1">
      <sharedItems count="17">
        <s v="202503"/>
        <s v="202605"/>
        <s v="202505"/>
        <s v="202504"/>
        <s v="202509"/>
        <s v="202603"/>
        <s v="202511"/>
        <s v="202512"/>
        <s v="202601"/>
        <s v="202502"/>
        <s v="202510"/>
        <s v="202604"/>
        <s v="202508"/>
        <s v="202507"/>
        <s v="202501"/>
        <s v="202602"/>
        <s v="202506"/>
      </sharedItems>
    </cacheField>
    <cacheField name="Fecha de Cese" numFmtId="14">
      <sharedItems containsNonDate="0" containsDate="1" containsString="0" containsBlank="1" minDate="2025-02-03T00:00:00" maxDate="2026-06-08T00:00:00"/>
    </cacheField>
    <cacheField name="antigüedad" numFmtId="2">
      <sharedItems containsSemiMixedTypes="0" containsString="0" containsNumber="1" containsInteger="1" minValue="0" maxValue="9999"/>
    </cacheField>
    <cacheField name="antigüedadMeses" numFmtId="2">
      <sharedItems containsSemiMixedTypes="0" containsString="0" containsNumber="1" minValue="0" maxValue="333.3"/>
    </cacheField>
    <cacheField name="target_m1" numFmtId="2">
      <sharedItems containsSemiMixedTypes="0" containsString="0" containsNumber="1" containsInteger="1" minValue="0" maxValue="1"/>
    </cacheField>
    <cacheField name="target_m3" numFmtId="2">
      <sharedItems containsSemiMixedTypes="0" containsString="0" containsNumber="1" containsInteger="1" minValue="0" maxValue="1"/>
    </cacheField>
    <cacheField name="target_m6" numFmtId="2">
      <sharedItems containsSemiMixedTypes="0" containsString="0" containsNumber="1" containsInteger="1" minValue="0" maxValue="1"/>
    </cacheField>
    <cacheField name="Ubicación_2" numFmtId="0">
      <sharedItems count="2">
        <s v="Provincia"/>
        <s v="Lima"/>
      </sharedItems>
    </cacheField>
    <cacheField name="edad" numFmtId="165">
      <sharedItems containsSemiMixedTypes="0" containsString="0" containsNumber="1" minValue="18.024657534246575" maxValue="60.715068493150682"/>
    </cacheField>
    <cacheField name="rango edad" numFmtId="0">
      <sharedItems containsMixedTypes="1" containsNumber="1" containsInteger="1" minValue="1" maxValue="4" count="8">
        <s v="31 a más"/>
        <s v="26 a 30 años"/>
        <s v="22 a 25 años"/>
        <s v="18 a 21 años"/>
        <n v="2" u="1"/>
        <n v="1" u="1"/>
        <n v="3" u="1"/>
        <n v="4" u="1"/>
      </sharedItems>
    </cacheField>
    <cacheField name="cat rango edad" numFmtId="0">
      <sharedItems containsSemiMixedTypes="0" containsString="0" containsNumber="1" containsInteger="1" minValue="1" maxValue="4"/>
    </cacheField>
    <cacheField name="Fecha de nacimiento" numFmtId="164">
      <sharedItems containsSemiMixedTypes="0" containsNonDate="0" containsDate="1" containsString="0" minDate="1964-07-21T00:00:00" maxDate="2008-05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46">
  <r>
    <x v="0"/>
    <n v="580"/>
    <x v="0"/>
    <d v="2025-03-01T00:00:00"/>
    <x v="0"/>
    <x v="0"/>
    <x v="0"/>
    <m/>
    <n v="9999"/>
    <n v="333.3"/>
    <n v="0"/>
    <n v="0"/>
    <n v="0"/>
    <x v="0"/>
    <n v="44.539726027397258"/>
    <x v="0"/>
    <n v="4"/>
    <d v="1980-08-27T00:00:00"/>
  </r>
  <r>
    <x v="1"/>
    <n v="1235"/>
    <x v="1"/>
    <d v="2026-05-20T00:00:00"/>
    <x v="1"/>
    <x v="1"/>
    <x v="1"/>
    <m/>
    <n v="9999"/>
    <n v="333.3"/>
    <n v="0"/>
    <n v="0"/>
    <n v="0"/>
    <x v="0"/>
    <n v="34.197260273972603"/>
    <x v="0"/>
    <n v="4"/>
    <d v="1992-03-17T00:00:00"/>
  </r>
  <r>
    <x v="0"/>
    <n v="1331"/>
    <x v="0"/>
    <d v="2025-05-02T00:00:00"/>
    <x v="0"/>
    <x v="1"/>
    <x v="2"/>
    <m/>
    <n v="9999"/>
    <n v="333.3"/>
    <n v="0"/>
    <n v="0"/>
    <n v="0"/>
    <x v="1"/>
    <n v="37.542465753424658"/>
    <x v="0"/>
    <n v="4"/>
    <d v="1987-10-26T00:00:00"/>
  </r>
  <r>
    <x v="1"/>
    <n v="3166"/>
    <x v="0"/>
    <d v="2025-04-02T00:00:00"/>
    <x v="0"/>
    <x v="2"/>
    <x v="3"/>
    <m/>
    <n v="9999"/>
    <n v="333.3"/>
    <n v="0"/>
    <n v="0"/>
    <n v="0"/>
    <x v="0"/>
    <n v="30.682191780821917"/>
    <x v="1"/>
    <n v="3"/>
    <d v="1994-08-04T00:00:00"/>
  </r>
  <r>
    <x v="1"/>
    <n v="6606"/>
    <x v="0"/>
    <d v="2026-05-13T00:00:00"/>
    <x v="1"/>
    <x v="1"/>
    <x v="1"/>
    <d v="2026-05-31T00:00:00"/>
    <n v="18"/>
    <n v="0.6"/>
    <n v="1"/>
    <n v="1"/>
    <n v="1"/>
    <x v="0"/>
    <n v="37.104109589041094"/>
    <x v="0"/>
    <n v="4"/>
    <d v="1989-04-14T00:00:00"/>
  </r>
  <r>
    <x v="1"/>
    <n v="10640"/>
    <x v="0"/>
    <d v="2025-05-01T00:00:00"/>
    <x v="0"/>
    <x v="1"/>
    <x v="2"/>
    <m/>
    <n v="9999"/>
    <n v="333.3"/>
    <n v="0"/>
    <n v="0"/>
    <n v="0"/>
    <x v="0"/>
    <n v="48.706849315068496"/>
    <x v="0"/>
    <n v="4"/>
    <d v="1976-08-28T00:00:00"/>
  </r>
  <r>
    <x v="1"/>
    <n v="13305"/>
    <x v="0"/>
    <d v="2025-09-17T00:00:00"/>
    <x v="0"/>
    <x v="3"/>
    <x v="4"/>
    <m/>
    <n v="9999"/>
    <n v="333.3"/>
    <n v="0"/>
    <n v="0"/>
    <n v="0"/>
    <x v="0"/>
    <n v="34.194520547945203"/>
    <x v="0"/>
    <n v="4"/>
    <d v="1991-07-17T00:00:00"/>
  </r>
  <r>
    <x v="1"/>
    <n v="18454"/>
    <x v="0"/>
    <d v="2025-09-01T00:00:00"/>
    <x v="0"/>
    <x v="3"/>
    <x v="4"/>
    <m/>
    <n v="9999"/>
    <n v="333.3"/>
    <n v="0"/>
    <n v="0"/>
    <n v="0"/>
    <x v="0"/>
    <n v="37.624657534246573"/>
    <x v="0"/>
    <n v="4"/>
    <d v="1988-01-26T00:00:00"/>
  </r>
  <r>
    <x v="1"/>
    <n v="18994"/>
    <x v="0"/>
    <d v="2026-03-18T00:00:00"/>
    <x v="1"/>
    <x v="0"/>
    <x v="5"/>
    <m/>
    <n v="9999"/>
    <n v="333.3"/>
    <n v="0"/>
    <n v="0"/>
    <n v="0"/>
    <x v="1"/>
    <n v="41.449315068493149"/>
    <x v="0"/>
    <n v="4"/>
    <d v="1984-10-15T00:00:00"/>
  </r>
  <r>
    <x v="1"/>
    <n v="20548"/>
    <x v="0"/>
    <d v="2025-05-01T00:00:00"/>
    <x v="0"/>
    <x v="1"/>
    <x v="2"/>
    <m/>
    <n v="9999"/>
    <n v="333.3"/>
    <n v="0"/>
    <n v="0"/>
    <n v="0"/>
    <x v="1"/>
    <n v="40.665753424657531"/>
    <x v="0"/>
    <n v="4"/>
    <d v="1984-09-10T00:00:00"/>
  </r>
  <r>
    <x v="1"/>
    <n v="21250"/>
    <x v="0"/>
    <d v="2025-03-01T00:00:00"/>
    <x v="0"/>
    <x v="0"/>
    <x v="0"/>
    <d v="2026-06-01T00:00:00"/>
    <n v="457"/>
    <n v="15.233333333333333"/>
    <n v="0"/>
    <n v="0"/>
    <n v="0"/>
    <x v="0"/>
    <n v="37.805479452054797"/>
    <x v="0"/>
    <n v="4"/>
    <d v="1987-05-21T00:00:00"/>
  </r>
  <r>
    <x v="1"/>
    <n v="24176"/>
    <x v="0"/>
    <d v="2025-11-03T00:00:00"/>
    <x v="0"/>
    <x v="4"/>
    <x v="6"/>
    <d v="2026-02-03T00:00:00"/>
    <n v="92"/>
    <n v="3.0666666666666669"/>
    <n v="0"/>
    <n v="0"/>
    <n v="1"/>
    <x v="1"/>
    <n v="32.216438356164382"/>
    <x v="0"/>
    <n v="4"/>
    <d v="1993-08-24T00:00:00"/>
  </r>
  <r>
    <x v="0"/>
    <n v="28980"/>
    <x v="0"/>
    <d v="2025-12-01T00:00:00"/>
    <x v="0"/>
    <x v="5"/>
    <x v="7"/>
    <m/>
    <n v="9999"/>
    <n v="333.3"/>
    <n v="0"/>
    <n v="0"/>
    <n v="0"/>
    <x v="1"/>
    <n v="33.679452054794524"/>
    <x v="0"/>
    <n v="4"/>
    <d v="1992-04-05T00:00:00"/>
  </r>
  <r>
    <x v="1"/>
    <n v="38162"/>
    <x v="0"/>
    <d v="2025-09-01T00:00:00"/>
    <x v="0"/>
    <x v="3"/>
    <x v="4"/>
    <m/>
    <n v="9999"/>
    <n v="333.3"/>
    <n v="0"/>
    <n v="0"/>
    <n v="0"/>
    <x v="1"/>
    <n v="29.553424657534247"/>
    <x v="1"/>
    <n v="3"/>
    <d v="1996-02-19T00:00:00"/>
  </r>
  <r>
    <x v="1"/>
    <n v="39273"/>
    <x v="0"/>
    <d v="2025-11-18T00:00:00"/>
    <x v="0"/>
    <x v="4"/>
    <x v="6"/>
    <m/>
    <n v="9999"/>
    <n v="333.3"/>
    <n v="0"/>
    <n v="0"/>
    <n v="0"/>
    <x v="1"/>
    <n v="51.010958904109586"/>
    <x v="0"/>
    <n v="4"/>
    <d v="1974-11-27T00:00:00"/>
  </r>
  <r>
    <x v="0"/>
    <n v="42822"/>
    <x v="0"/>
    <d v="2025-12-01T00:00:00"/>
    <x v="0"/>
    <x v="5"/>
    <x v="7"/>
    <m/>
    <n v="9999"/>
    <n v="333.3"/>
    <n v="0"/>
    <n v="0"/>
    <n v="0"/>
    <x v="0"/>
    <n v="33.38356164383562"/>
    <x v="0"/>
    <n v="4"/>
    <d v="1992-07-22T00:00:00"/>
  </r>
  <r>
    <x v="1"/>
    <n v="50416"/>
    <x v="1"/>
    <d v="2026-01-01T00:00:00"/>
    <x v="1"/>
    <x v="6"/>
    <x v="8"/>
    <m/>
    <n v="9999"/>
    <n v="333.3"/>
    <n v="0"/>
    <n v="0"/>
    <n v="0"/>
    <x v="0"/>
    <n v="30.643835616438356"/>
    <x v="1"/>
    <n v="3"/>
    <d v="1995-05-19T00:00:00"/>
  </r>
  <r>
    <x v="1"/>
    <n v="50816"/>
    <x v="1"/>
    <d v="2025-02-01T00:00:00"/>
    <x v="0"/>
    <x v="7"/>
    <x v="9"/>
    <d v="2025-08-15T00:00:00"/>
    <n v="195"/>
    <n v="6.5"/>
    <n v="0"/>
    <n v="0"/>
    <n v="0"/>
    <x v="0"/>
    <n v="27.227397260273971"/>
    <x v="1"/>
    <n v="3"/>
    <d v="1997-11-17T00:00:00"/>
  </r>
  <r>
    <x v="1"/>
    <n v="53028"/>
    <x v="1"/>
    <d v="2025-10-22T00:00:00"/>
    <x v="0"/>
    <x v="8"/>
    <x v="10"/>
    <d v="2025-11-05T00:00:00"/>
    <n v="14"/>
    <n v="0.46666666666666667"/>
    <n v="1"/>
    <n v="1"/>
    <n v="1"/>
    <x v="1"/>
    <n v="30.082191780821919"/>
    <x v="1"/>
    <n v="3"/>
    <d v="1995-09-30T00:00:00"/>
  </r>
  <r>
    <x v="0"/>
    <n v="55042"/>
    <x v="0"/>
    <d v="2026-04-01T00:00:00"/>
    <x v="1"/>
    <x v="2"/>
    <x v="11"/>
    <m/>
    <n v="9999"/>
    <n v="333.3"/>
    <n v="0"/>
    <n v="0"/>
    <n v="0"/>
    <x v="1"/>
    <n v="40.238356164383561"/>
    <x v="0"/>
    <n v="4"/>
    <d v="1986-01-14T00:00:00"/>
  </r>
  <r>
    <x v="0"/>
    <n v="56192"/>
    <x v="0"/>
    <d v="2025-02-01T00:00:00"/>
    <x v="0"/>
    <x v="7"/>
    <x v="9"/>
    <d v="2025-09-14T00:00:00"/>
    <n v="225"/>
    <n v="7.5"/>
    <n v="0"/>
    <n v="0"/>
    <n v="0"/>
    <x v="1"/>
    <n v="34.682191780821917"/>
    <x v="0"/>
    <n v="4"/>
    <d v="1990-06-06T00:00:00"/>
  </r>
  <r>
    <x v="1"/>
    <n v="72934"/>
    <x v="0"/>
    <d v="2025-08-25T00:00:00"/>
    <x v="0"/>
    <x v="9"/>
    <x v="12"/>
    <d v="2025-09-03T00:00:00"/>
    <n v="9"/>
    <n v="0.3"/>
    <n v="1"/>
    <n v="1"/>
    <n v="1"/>
    <x v="1"/>
    <n v="33.69041095890411"/>
    <x v="0"/>
    <n v="4"/>
    <d v="1991-12-25T00:00:00"/>
  </r>
  <r>
    <x v="1"/>
    <n v="93669"/>
    <x v="0"/>
    <d v="2025-07-02T00:00:00"/>
    <x v="0"/>
    <x v="10"/>
    <x v="13"/>
    <d v="2025-10-02T00:00:00"/>
    <n v="92"/>
    <n v="3.0666666666666669"/>
    <n v="0"/>
    <n v="0"/>
    <n v="1"/>
    <x v="0"/>
    <n v="32.208219178082189"/>
    <x v="0"/>
    <n v="4"/>
    <d v="1993-04-25T00:00:00"/>
  </r>
  <r>
    <x v="1"/>
    <n v="98576"/>
    <x v="0"/>
    <d v="2025-08-13T00:00:00"/>
    <x v="0"/>
    <x v="9"/>
    <x v="12"/>
    <m/>
    <n v="9999"/>
    <n v="333.3"/>
    <n v="0"/>
    <n v="0"/>
    <n v="0"/>
    <x v="0"/>
    <n v="28.479452054794521"/>
    <x v="1"/>
    <n v="3"/>
    <d v="1997-02-26T00:00:00"/>
  </r>
  <r>
    <x v="1"/>
    <n v="98964"/>
    <x v="0"/>
    <d v="2025-03-01T00:00:00"/>
    <x v="0"/>
    <x v="0"/>
    <x v="0"/>
    <m/>
    <n v="9999"/>
    <n v="333.3"/>
    <n v="0"/>
    <n v="0"/>
    <n v="0"/>
    <x v="1"/>
    <n v="29.572602739726026"/>
    <x v="1"/>
    <n v="3"/>
    <d v="1995-08-12T00:00:00"/>
  </r>
  <r>
    <x v="1"/>
    <n v="99135"/>
    <x v="0"/>
    <d v="2025-08-11T00:00:00"/>
    <x v="0"/>
    <x v="9"/>
    <x v="12"/>
    <d v="2025-08-31T00:00:00"/>
    <n v="20"/>
    <n v="0.66666666666666663"/>
    <n v="1"/>
    <n v="1"/>
    <n v="1"/>
    <x v="1"/>
    <n v="26.646575342465752"/>
    <x v="1"/>
    <n v="3"/>
    <d v="1998-12-25T00:00:00"/>
  </r>
  <r>
    <x v="0"/>
    <n v="103603"/>
    <x v="1"/>
    <d v="2026-05-01T00:00:00"/>
    <x v="1"/>
    <x v="1"/>
    <x v="1"/>
    <m/>
    <n v="9999"/>
    <n v="333.3"/>
    <n v="0"/>
    <n v="0"/>
    <n v="0"/>
    <x v="1"/>
    <n v="39.923287671232877"/>
    <x v="0"/>
    <n v="4"/>
    <d v="1986-06-08T00:00:00"/>
  </r>
  <r>
    <x v="1"/>
    <n v="109590"/>
    <x v="0"/>
    <d v="2025-05-01T00:00:00"/>
    <x v="0"/>
    <x v="1"/>
    <x v="2"/>
    <m/>
    <n v="9999"/>
    <n v="333.3"/>
    <n v="0"/>
    <n v="0"/>
    <n v="0"/>
    <x v="1"/>
    <n v="38.676712328767124"/>
    <x v="0"/>
    <n v="4"/>
    <d v="1986-09-06T00:00:00"/>
  </r>
  <r>
    <x v="0"/>
    <n v="110571"/>
    <x v="0"/>
    <d v="2025-01-01T00:00:00"/>
    <x v="0"/>
    <x v="6"/>
    <x v="14"/>
    <m/>
    <n v="9999"/>
    <n v="333.3"/>
    <n v="0"/>
    <n v="0"/>
    <n v="0"/>
    <x v="0"/>
    <n v="34.6"/>
    <x v="0"/>
    <n v="4"/>
    <d v="1990-06-05T00:00:00"/>
  </r>
  <r>
    <x v="1"/>
    <n v="128966"/>
    <x v="0"/>
    <d v="2026-04-01T00:00:00"/>
    <x v="1"/>
    <x v="2"/>
    <x v="11"/>
    <m/>
    <n v="9999"/>
    <n v="333.3"/>
    <n v="0"/>
    <n v="0"/>
    <n v="0"/>
    <x v="1"/>
    <n v="38.838356164383562"/>
    <x v="0"/>
    <n v="4"/>
    <d v="1987-06-09T00:00:00"/>
  </r>
  <r>
    <x v="1"/>
    <n v="203417"/>
    <x v="0"/>
    <d v="2025-04-01T00:00:00"/>
    <x v="0"/>
    <x v="2"/>
    <x v="3"/>
    <d v="2025-11-30T00:00:00"/>
    <n v="243"/>
    <n v="8.1"/>
    <n v="0"/>
    <n v="0"/>
    <n v="0"/>
    <x v="1"/>
    <n v="44.742465753424661"/>
    <x v="0"/>
    <n v="4"/>
    <d v="1980-07-15T00:00:00"/>
  </r>
  <r>
    <x v="1"/>
    <n v="203659"/>
    <x v="1"/>
    <d v="2025-07-01T00:00:00"/>
    <x v="0"/>
    <x v="10"/>
    <x v="13"/>
    <d v="2026-01-01T00:00:00"/>
    <n v="184"/>
    <n v="6.1333333333333337"/>
    <n v="0"/>
    <n v="0"/>
    <n v="0"/>
    <x v="0"/>
    <n v="33.0027397260274"/>
    <x v="0"/>
    <n v="4"/>
    <d v="1992-07-08T00:00:00"/>
  </r>
  <r>
    <x v="0"/>
    <n v="216043"/>
    <x v="0"/>
    <d v="2025-03-01T00:00:00"/>
    <x v="0"/>
    <x v="0"/>
    <x v="0"/>
    <m/>
    <n v="9999"/>
    <n v="333.3"/>
    <n v="0"/>
    <n v="0"/>
    <n v="0"/>
    <x v="1"/>
    <n v="34.712328767123289"/>
    <x v="0"/>
    <n v="4"/>
    <d v="1990-06-23T00:00:00"/>
  </r>
  <r>
    <x v="1"/>
    <n v="216317"/>
    <x v="0"/>
    <d v="2026-02-01T00:00:00"/>
    <x v="1"/>
    <x v="7"/>
    <x v="15"/>
    <m/>
    <n v="9999"/>
    <n v="333.3"/>
    <n v="0"/>
    <n v="0"/>
    <n v="0"/>
    <x v="0"/>
    <n v="31.758904109589039"/>
    <x v="0"/>
    <n v="4"/>
    <d v="1994-05-08T00:00:00"/>
  </r>
  <r>
    <x v="0"/>
    <n v="216345"/>
    <x v="1"/>
    <d v="2026-02-01T00:00:00"/>
    <x v="1"/>
    <x v="7"/>
    <x v="15"/>
    <m/>
    <n v="9999"/>
    <n v="333.3"/>
    <n v="0"/>
    <n v="0"/>
    <n v="0"/>
    <x v="1"/>
    <n v="28.665753424657535"/>
    <x v="1"/>
    <n v="3"/>
    <d v="1997-06-10T00:00:00"/>
  </r>
  <r>
    <x v="1"/>
    <n v="216808"/>
    <x v="0"/>
    <d v="2026-02-01T00:00:00"/>
    <x v="1"/>
    <x v="7"/>
    <x v="15"/>
    <d v="2026-03-31T00:00:00"/>
    <n v="58"/>
    <n v="1.9333333333333333"/>
    <n v="0"/>
    <n v="1"/>
    <n v="1"/>
    <x v="1"/>
    <n v="43.635616438356166"/>
    <x v="0"/>
    <n v="4"/>
    <d v="1982-06-25T00:00:00"/>
  </r>
  <r>
    <x v="1"/>
    <n v="243555"/>
    <x v="0"/>
    <d v="2026-02-17T00:00:00"/>
    <x v="1"/>
    <x v="7"/>
    <x v="15"/>
    <m/>
    <n v="9999"/>
    <n v="333.3"/>
    <n v="0"/>
    <n v="0"/>
    <n v="0"/>
    <x v="1"/>
    <n v="30.602739726027398"/>
    <x v="1"/>
    <n v="3"/>
    <d v="1995-07-20T00:00:00"/>
  </r>
  <r>
    <x v="1"/>
    <n v="246088"/>
    <x v="0"/>
    <d v="2025-09-01T00:00:00"/>
    <x v="0"/>
    <x v="3"/>
    <x v="4"/>
    <m/>
    <n v="9999"/>
    <n v="333.3"/>
    <n v="0"/>
    <n v="0"/>
    <n v="0"/>
    <x v="0"/>
    <n v="29.975342465753425"/>
    <x v="1"/>
    <n v="3"/>
    <d v="1995-09-18T00:00:00"/>
  </r>
  <r>
    <x v="1"/>
    <n v="268134"/>
    <x v="0"/>
    <d v="2025-03-01T00:00:00"/>
    <x v="0"/>
    <x v="0"/>
    <x v="0"/>
    <d v="2025-08-01T00:00:00"/>
    <n v="153"/>
    <n v="5.0999999999999996"/>
    <n v="0"/>
    <n v="0"/>
    <n v="1"/>
    <x v="0"/>
    <n v="28.402739726027399"/>
    <x v="1"/>
    <n v="3"/>
    <d v="1996-10-12T00:00:00"/>
  </r>
  <r>
    <x v="0"/>
    <n v="268169"/>
    <x v="0"/>
    <d v="2025-12-01T00:00:00"/>
    <x v="0"/>
    <x v="5"/>
    <x v="7"/>
    <m/>
    <n v="9999"/>
    <n v="333.3"/>
    <n v="0"/>
    <n v="0"/>
    <n v="0"/>
    <x v="1"/>
    <n v="27.079452054794519"/>
    <x v="1"/>
    <n v="3"/>
    <d v="1998-11-09T00:00:00"/>
  </r>
  <r>
    <x v="1"/>
    <n v="269448"/>
    <x v="0"/>
    <d v="2025-10-24T00:00:00"/>
    <x v="0"/>
    <x v="8"/>
    <x v="10"/>
    <m/>
    <n v="9999"/>
    <n v="333.3"/>
    <n v="0"/>
    <n v="0"/>
    <n v="0"/>
    <x v="1"/>
    <n v="32.287671232876711"/>
    <x v="0"/>
    <n v="4"/>
    <d v="1993-07-19T00:00:00"/>
  </r>
  <r>
    <x v="1"/>
    <n v="272179"/>
    <x v="0"/>
    <d v="2026-05-05T00:00:00"/>
    <x v="1"/>
    <x v="1"/>
    <x v="1"/>
    <m/>
    <n v="9999"/>
    <n v="333.3"/>
    <n v="0"/>
    <n v="0"/>
    <n v="0"/>
    <x v="1"/>
    <n v="25.654794520547945"/>
    <x v="2"/>
    <n v="2"/>
    <d v="2000-09-14T00:00:00"/>
  </r>
  <r>
    <x v="1"/>
    <n v="274399"/>
    <x v="0"/>
    <d v="2025-11-01T00:00:00"/>
    <x v="0"/>
    <x v="4"/>
    <x v="6"/>
    <m/>
    <n v="9999"/>
    <n v="333.3"/>
    <n v="0"/>
    <n v="0"/>
    <n v="0"/>
    <x v="0"/>
    <n v="30.350684931506848"/>
    <x v="1"/>
    <n v="3"/>
    <d v="1995-07-04T00:00:00"/>
  </r>
  <r>
    <x v="1"/>
    <n v="275711"/>
    <x v="0"/>
    <d v="2025-03-01T00:00:00"/>
    <x v="0"/>
    <x v="0"/>
    <x v="0"/>
    <m/>
    <n v="9999"/>
    <n v="333.3"/>
    <n v="0"/>
    <n v="0"/>
    <n v="0"/>
    <x v="0"/>
    <n v="35.821917808219176"/>
    <x v="0"/>
    <n v="4"/>
    <d v="1989-05-14T00:00:00"/>
  </r>
  <r>
    <x v="1"/>
    <n v="283361"/>
    <x v="0"/>
    <d v="2025-09-02T00:00:00"/>
    <x v="0"/>
    <x v="3"/>
    <x v="4"/>
    <d v="2026-02-06T00:00:00"/>
    <n v="157"/>
    <n v="5.2333333333333334"/>
    <n v="0"/>
    <n v="0"/>
    <n v="1"/>
    <x v="1"/>
    <n v="26.736986301369864"/>
    <x v="1"/>
    <n v="3"/>
    <d v="1998-12-14T00:00:00"/>
  </r>
  <r>
    <x v="1"/>
    <n v="299006"/>
    <x v="0"/>
    <d v="2026-02-01T00:00:00"/>
    <x v="1"/>
    <x v="7"/>
    <x v="15"/>
    <m/>
    <n v="9999"/>
    <n v="333.3"/>
    <n v="0"/>
    <n v="0"/>
    <n v="0"/>
    <x v="1"/>
    <n v="24.528767123287672"/>
    <x v="2"/>
    <n v="2"/>
    <d v="2001-07-29T00:00:00"/>
  </r>
  <r>
    <x v="0"/>
    <n v="300598"/>
    <x v="1"/>
    <d v="2025-03-01T00:00:00"/>
    <x v="0"/>
    <x v="0"/>
    <x v="0"/>
    <m/>
    <n v="9999"/>
    <n v="333.3"/>
    <n v="0"/>
    <n v="0"/>
    <n v="0"/>
    <x v="0"/>
    <n v="26.230136986301371"/>
    <x v="1"/>
    <n v="3"/>
    <d v="1998-12-14T00:00:00"/>
  </r>
  <r>
    <x v="0"/>
    <n v="303883"/>
    <x v="0"/>
    <d v="2026-05-01T00:00:00"/>
    <x v="1"/>
    <x v="1"/>
    <x v="1"/>
    <m/>
    <n v="9999"/>
    <n v="333.3"/>
    <n v="0"/>
    <n v="0"/>
    <n v="0"/>
    <x v="0"/>
    <n v="26.306849315068494"/>
    <x v="1"/>
    <n v="3"/>
    <d v="2000-01-16T00:00:00"/>
  </r>
  <r>
    <x v="1"/>
    <n v="321790"/>
    <x v="0"/>
    <d v="2025-11-05T00:00:00"/>
    <x v="0"/>
    <x v="4"/>
    <x v="6"/>
    <d v="2026-02-15T00:00:00"/>
    <n v="102"/>
    <n v="3.4"/>
    <n v="0"/>
    <n v="0"/>
    <n v="1"/>
    <x v="0"/>
    <n v="24.739726027397261"/>
    <x v="2"/>
    <n v="2"/>
    <d v="2001-02-14T00:00:00"/>
  </r>
  <r>
    <x v="1"/>
    <n v="328922"/>
    <x v="0"/>
    <d v="2025-02-01T00:00:00"/>
    <x v="0"/>
    <x v="7"/>
    <x v="9"/>
    <m/>
    <n v="9999"/>
    <n v="333.3"/>
    <n v="0"/>
    <n v="0"/>
    <n v="0"/>
    <x v="1"/>
    <n v="24.545205479452054"/>
    <x v="2"/>
    <n v="2"/>
    <d v="2000-07-23T00:00:00"/>
  </r>
  <r>
    <x v="1"/>
    <n v="631735"/>
    <x v="0"/>
    <d v="2026-04-06T00:00:00"/>
    <x v="1"/>
    <x v="2"/>
    <x v="11"/>
    <m/>
    <n v="9999"/>
    <n v="333.3"/>
    <n v="0"/>
    <n v="0"/>
    <n v="0"/>
    <x v="0"/>
    <n v="28.923287671232877"/>
    <x v="1"/>
    <n v="3"/>
    <d v="1997-05-11T00:00:00"/>
  </r>
  <r>
    <x v="1"/>
    <n v="1247794"/>
    <x v="1"/>
    <d v="2025-04-01T00:00:00"/>
    <x v="0"/>
    <x v="2"/>
    <x v="3"/>
    <m/>
    <n v="9999"/>
    <n v="333.3"/>
    <n v="0"/>
    <n v="0"/>
    <n v="0"/>
    <x v="0"/>
    <n v="23.608219178082191"/>
    <x v="2"/>
    <n v="2"/>
    <d v="2001-08-28T00:00:00"/>
  </r>
  <r>
    <x v="1"/>
    <n v="4922139"/>
    <x v="0"/>
    <d v="2025-08-07T00:00:00"/>
    <x v="0"/>
    <x v="9"/>
    <x v="12"/>
    <m/>
    <n v="9999"/>
    <n v="333.3"/>
    <n v="0"/>
    <n v="0"/>
    <n v="0"/>
    <x v="0"/>
    <n v="37.712328767123289"/>
    <x v="0"/>
    <n v="4"/>
    <d v="1987-11-30T00:00:00"/>
  </r>
  <r>
    <x v="0"/>
    <n v="5395080"/>
    <x v="1"/>
    <d v="2025-04-01T00:00:00"/>
    <x v="0"/>
    <x v="2"/>
    <x v="3"/>
    <d v="2025-08-31T00:00:00"/>
    <n v="152"/>
    <n v="5.0666666666666664"/>
    <n v="0"/>
    <n v="0"/>
    <n v="1"/>
    <x v="1"/>
    <n v="44.934246575342463"/>
    <x v="0"/>
    <n v="4"/>
    <d v="1980-05-06T00:00:00"/>
  </r>
  <r>
    <x v="1"/>
    <n v="5395080"/>
    <x v="1"/>
    <d v="2025-09-01T00:00:00"/>
    <x v="0"/>
    <x v="3"/>
    <x v="4"/>
    <d v="2025-10-17T00:00:00"/>
    <n v="46"/>
    <n v="1.5333333333333334"/>
    <n v="0"/>
    <n v="1"/>
    <n v="1"/>
    <x v="1"/>
    <n v="45.353424657534248"/>
    <x v="0"/>
    <n v="4"/>
    <d v="1980-05-06T00:00:00"/>
  </r>
  <r>
    <x v="1"/>
    <n v="5611776"/>
    <x v="0"/>
    <d v="2025-12-05T00:00:00"/>
    <x v="0"/>
    <x v="5"/>
    <x v="7"/>
    <d v="2025-12-15T00:00:00"/>
    <n v="10"/>
    <n v="0.33333333333333331"/>
    <n v="1"/>
    <n v="1"/>
    <n v="1"/>
    <x v="0"/>
    <n v="27.594520547945205"/>
    <x v="1"/>
    <n v="3"/>
    <d v="1998-05-09T00:00:00"/>
  </r>
  <r>
    <x v="1"/>
    <n v="5733211"/>
    <x v="1"/>
    <d v="2026-01-19T00:00:00"/>
    <x v="1"/>
    <x v="6"/>
    <x v="8"/>
    <d v="2026-06-01T00:00:00"/>
    <n v="133"/>
    <n v="4.4333333333333336"/>
    <n v="0"/>
    <n v="0"/>
    <n v="1"/>
    <x v="0"/>
    <n v="27.202739726027396"/>
    <x v="1"/>
    <n v="3"/>
    <d v="1998-11-13T00:00:00"/>
  </r>
  <r>
    <x v="1"/>
    <n v="5853969"/>
    <x v="0"/>
    <d v="2025-06-06T00:00:00"/>
    <x v="0"/>
    <x v="11"/>
    <x v="16"/>
    <d v="2025-06-11T00:00:00"/>
    <n v="5"/>
    <n v="0.16666666666666666"/>
    <n v="1"/>
    <n v="1"/>
    <n v="1"/>
    <x v="0"/>
    <n v="29.956164383561642"/>
    <x v="1"/>
    <n v="3"/>
    <d v="1995-06-30T00:00:00"/>
  </r>
  <r>
    <x v="1"/>
    <n v="6201313"/>
    <x v="0"/>
    <d v="2025-06-01T00:00:00"/>
    <x v="0"/>
    <x v="11"/>
    <x v="16"/>
    <m/>
    <n v="9999"/>
    <n v="333.3"/>
    <n v="0"/>
    <n v="0"/>
    <n v="0"/>
    <x v="1"/>
    <n v="36.512328767123286"/>
    <x v="0"/>
    <n v="4"/>
    <d v="1988-12-05T00:00:00"/>
  </r>
  <r>
    <x v="0"/>
    <n v="6265241"/>
    <x v="1"/>
    <d v="2025-04-01T00:00:00"/>
    <x v="0"/>
    <x v="2"/>
    <x v="3"/>
    <d v="2026-03-13T00:00:00"/>
    <n v="346"/>
    <n v="11.533333333333333"/>
    <n v="0"/>
    <n v="0"/>
    <n v="0"/>
    <x v="1"/>
    <n v="23.104109589041094"/>
    <x v="2"/>
    <n v="2"/>
    <d v="2002-02-28T00:00:00"/>
  </r>
  <r>
    <x v="0"/>
    <n v="7006608"/>
    <x v="0"/>
    <d v="2025-08-01T00:00:00"/>
    <x v="0"/>
    <x v="9"/>
    <x v="12"/>
    <m/>
    <n v="9999"/>
    <n v="333.3"/>
    <n v="0"/>
    <n v="0"/>
    <n v="0"/>
    <x v="1"/>
    <n v="35.5013698630137"/>
    <x v="0"/>
    <n v="4"/>
    <d v="1990-02-08T00:00:00"/>
  </r>
  <r>
    <x v="0"/>
    <n v="7014819"/>
    <x v="1"/>
    <d v="2025-03-01T00:00:00"/>
    <x v="0"/>
    <x v="0"/>
    <x v="0"/>
    <d v="2025-09-16T00:00:00"/>
    <n v="199"/>
    <n v="6.6333333333333337"/>
    <n v="0"/>
    <n v="0"/>
    <n v="0"/>
    <x v="0"/>
    <n v="23.082191780821919"/>
    <x v="2"/>
    <n v="2"/>
    <d v="2002-02-05T00:00:00"/>
  </r>
  <r>
    <x v="1"/>
    <n v="8377804"/>
    <x v="0"/>
    <d v="2026-01-14T00:00:00"/>
    <x v="1"/>
    <x v="6"/>
    <x v="8"/>
    <m/>
    <n v="9999"/>
    <n v="333.3"/>
    <n v="0"/>
    <n v="0"/>
    <n v="0"/>
    <x v="0"/>
    <n v="33.769863013698632"/>
    <x v="0"/>
    <n v="4"/>
    <d v="1992-04-16T00:00:00"/>
  </r>
  <r>
    <x v="0"/>
    <n v="9169460"/>
    <x v="0"/>
    <d v="2026-02-01T00:00:00"/>
    <x v="1"/>
    <x v="7"/>
    <x v="15"/>
    <m/>
    <n v="9999"/>
    <n v="333.3"/>
    <n v="0"/>
    <n v="0"/>
    <n v="0"/>
    <x v="0"/>
    <n v="30.391780821917809"/>
    <x v="1"/>
    <n v="3"/>
    <d v="1995-09-19T00:00:00"/>
  </r>
  <r>
    <x v="1"/>
    <n v="9196445"/>
    <x v="0"/>
    <d v="2025-10-01T00:00:00"/>
    <x v="0"/>
    <x v="8"/>
    <x v="10"/>
    <m/>
    <n v="9999"/>
    <n v="333.3"/>
    <n v="0"/>
    <n v="0"/>
    <n v="0"/>
    <x v="0"/>
    <n v="31.432876712328767"/>
    <x v="0"/>
    <n v="4"/>
    <d v="1994-05-04T00:00:00"/>
  </r>
  <r>
    <x v="1"/>
    <n v="9242442"/>
    <x v="0"/>
    <d v="2025-03-01T00:00:00"/>
    <x v="0"/>
    <x v="0"/>
    <x v="0"/>
    <m/>
    <n v="9999"/>
    <n v="333.3"/>
    <n v="0"/>
    <n v="0"/>
    <n v="0"/>
    <x v="0"/>
    <n v="30.142465753424659"/>
    <x v="1"/>
    <n v="3"/>
    <d v="1995-01-16T00:00:00"/>
  </r>
  <r>
    <x v="1"/>
    <n v="9520506"/>
    <x v="1"/>
    <d v="2026-04-01T00:00:00"/>
    <x v="1"/>
    <x v="2"/>
    <x v="11"/>
    <m/>
    <n v="9999"/>
    <n v="333.3"/>
    <n v="0"/>
    <n v="0"/>
    <n v="0"/>
    <x v="0"/>
    <n v="23.452054794520549"/>
    <x v="2"/>
    <n v="2"/>
    <d v="2002-10-24T00:00:00"/>
  </r>
  <r>
    <x v="1"/>
    <n v="9524698"/>
    <x v="0"/>
    <d v="2025-09-29T00:00:00"/>
    <x v="0"/>
    <x v="3"/>
    <x v="4"/>
    <m/>
    <n v="9999"/>
    <n v="333.3"/>
    <n v="0"/>
    <n v="0"/>
    <n v="0"/>
    <x v="1"/>
    <n v="35.073972602739723"/>
    <x v="0"/>
    <n v="4"/>
    <d v="1990-09-11T00:00:00"/>
  </r>
  <r>
    <x v="1"/>
    <n v="9698903"/>
    <x v="0"/>
    <d v="2025-05-15T00:00:00"/>
    <x v="0"/>
    <x v="1"/>
    <x v="2"/>
    <d v="2025-05-31T00:00:00"/>
    <n v="16"/>
    <n v="0.53333333333333333"/>
    <n v="1"/>
    <n v="1"/>
    <n v="1"/>
    <x v="0"/>
    <n v="29.216438356164385"/>
    <x v="1"/>
    <n v="3"/>
    <d v="1996-03-04T00:00:00"/>
  </r>
  <r>
    <x v="1"/>
    <n v="9752929"/>
    <x v="0"/>
    <d v="2025-10-27T00:00:00"/>
    <x v="0"/>
    <x v="8"/>
    <x v="10"/>
    <m/>
    <n v="9999"/>
    <n v="333.3"/>
    <n v="0"/>
    <n v="0"/>
    <n v="0"/>
    <x v="1"/>
    <n v="28.884931506849316"/>
    <x v="1"/>
    <n v="3"/>
    <d v="1996-12-15T00:00:00"/>
  </r>
  <r>
    <x v="1"/>
    <n v="9789712"/>
    <x v="0"/>
    <d v="2025-11-11T00:00:00"/>
    <x v="0"/>
    <x v="4"/>
    <x v="6"/>
    <m/>
    <n v="9999"/>
    <n v="333.3"/>
    <n v="0"/>
    <n v="0"/>
    <n v="0"/>
    <x v="1"/>
    <n v="23.983561643835618"/>
    <x v="2"/>
    <n v="2"/>
    <d v="2001-11-23T00:00:00"/>
  </r>
  <r>
    <x v="1"/>
    <n v="9862098"/>
    <x v="0"/>
    <d v="2025-10-07T00:00:00"/>
    <x v="0"/>
    <x v="8"/>
    <x v="10"/>
    <d v="2026-02-08T00:00:00"/>
    <n v="124"/>
    <n v="4.1333333333333337"/>
    <n v="0"/>
    <n v="0"/>
    <n v="1"/>
    <x v="0"/>
    <n v="25.134246575342466"/>
    <x v="2"/>
    <n v="2"/>
    <d v="2000-08-25T00:00:00"/>
  </r>
  <r>
    <x v="1"/>
    <n v="10187344"/>
    <x v="1"/>
    <d v="2025-09-23T00:00:00"/>
    <x v="0"/>
    <x v="3"/>
    <x v="4"/>
    <d v="2025-10-03T00:00:00"/>
    <n v="10"/>
    <n v="0.33333333333333331"/>
    <n v="1"/>
    <n v="1"/>
    <n v="1"/>
    <x v="0"/>
    <n v="27.756164383561643"/>
    <x v="1"/>
    <n v="3"/>
    <d v="1997-12-28T00:00:00"/>
  </r>
  <r>
    <x v="1"/>
    <n v="10199305"/>
    <x v="0"/>
    <d v="2025-10-28T00:00:00"/>
    <x v="0"/>
    <x v="8"/>
    <x v="10"/>
    <d v="2026-05-31T00:00:00"/>
    <n v="215"/>
    <n v="7.166666666666667"/>
    <n v="0"/>
    <n v="0"/>
    <n v="0"/>
    <x v="0"/>
    <n v="29.950684931506849"/>
    <x v="1"/>
    <n v="3"/>
    <d v="1995-11-23T00:00:00"/>
  </r>
  <r>
    <x v="0"/>
    <n v="10290251"/>
    <x v="1"/>
    <d v="2025-04-01T00:00:00"/>
    <x v="0"/>
    <x v="2"/>
    <x v="3"/>
    <m/>
    <n v="9999"/>
    <n v="333.3"/>
    <n v="0"/>
    <n v="0"/>
    <n v="0"/>
    <x v="1"/>
    <n v="24.663013698630138"/>
    <x v="2"/>
    <n v="2"/>
    <d v="2000-08-08T00:00:00"/>
  </r>
  <r>
    <x v="1"/>
    <n v="10293444"/>
    <x v="0"/>
    <d v="2026-04-16T00:00:00"/>
    <x v="1"/>
    <x v="2"/>
    <x v="11"/>
    <m/>
    <n v="9999"/>
    <n v="333.3"/>
    <n v="0"/>
    <n v="0"/>
    <n v="0"/>
    <x v="0"/>
    <n v="31.838356164383562"/>
    <x v="0"/>
    <n v="4"/>
    <d v="1994-06-22T00:00:00"/>
  </r>
  <r>
    <x v="1"/>
    <n v="10309431"/>
    <x v="0"/>
    <d v="2026-03-17T00:00:00"/>
    <x v="1"/>
    <x v="0"/>
    <x v="5"/>
    <m/>
    <n v="9999"/>
    <n v="333.3"/>
    <n v="0"/>
    <n v="0"/>
    <n v="0"/>
    <x v="1"/>
    <n v="25.290410958904111"/>
    <x v="2"/>
    <n v="2"/>
    <d v="2000-12-07T00:00:00"/>
  </r>
  <r>
    <x v="1"/>
    <n v="10313723"/>
    <x v="0"/>
    <d v="2026-04-01T00:00:00"/>
    <x v="1"/>
    <x v="2"/>
    <x v="11"/>
    <m/>
    <n v="9999"/>
    <n v="333.3"/>
    <n v="0"/>
    <n v="0"/>
    <n v="0"/>
    <x v="0"/>
    <n v="32.528767123287672"/>
    <x v="0"/>
    <n v="4"/>
    <d v="1993-09-28T00:00:00"/>
  </r>
  <r>
    <x v="0"/>
    <n v="10332794"/>
    <x v="0"/>
    <d v="2025-04-01T00:00:00"/>
    <x v="0"/>
    <x v="2"/>
    <x v="3"/>
    <d v="2026-04-27T00:00:00"/>
    <n v="391"/>
    <n v="13.033333333333333"/>
    <n v="0"/>
    <n v="0"/>
    <n v="0"/>
    <x v="0"/>
    <n v="22.263013698630136"/>
    <x v="2"/>
    <n v="2"/>
    <d v="2003-01-01T00:00:00"/>
  </r>
  <r>
    <x v="0"/>
    <n v="10424607"/>
    <x v="0"/>
    <d v="2026-02-01T00:00:00"/>
    <x v="1"/>
    <x v="7"/>
    <x v="15"/>
    <m/>
    <n v="9999"/>
    <n v="333.3"/>
    <n v="0"/>
    <n v="0"/>
    <n v="0"/>
    <x v="1"/>
    <n v="24.471232876712328"/>
    <x v="2"/>
    <n v="2"/>
    <d v="2001-08-19T00:00:00"/>
  </r>
  <r>
    <x v="0"/>
    <n v="10558776"/>
    <x v="1"/>
    <d v="2025-06-01T00:00:00"/>
    <x v="0"/>
    <x v="11"/>
    <x v="16"/>
    <m/>
    <n v="9999"/>
    <n v="333.3"/>
    <n v="0"/>
    <n v="0"/>
    <n v="0"/>
    <x v="1"/>
    <n v="22.512328767123286"/>
    <x v="2"/>
    <n v="2"/>
    <d v="2002-12-02T00:00:00"/>
  </r>
  <r>
    <x v="1"/>
    <n v="10890098"/>
    <x v="0"/>
    <d v="2026-03-13T00:00:00"/>
    <x v="1"/>
    <x v="0"/>
    <x v="5"/>
    <m/>
    <n v="9999"/>
    <n v="333.3"/>
    <n v="0"/>
    <n v="0"/>
    <n v="0"/>
    <x v="0"/>
    <n v="30.997260273972604"/>
    <x v="1"/>
    <n v="3"/>
    <d v="1995-03-22T00:00:00"/>
  </r>
  <r>
    <x v="0"/>
    <n v="10969757"/>
    <x v="0"/>
    <d v="2026-05-01T00:00:00"/>
    <x v="1"/>
    <x v="1"/>
    <x v="1"/>
    <m/>
    <n v="9999"/>
    <n v="333.3"/>
    <n v="0"/>
    <n v="0"/>
    <n v="0"/>
    <x v="1"/>
    <n v="43.241095890410961"/>
    <x v="0"/>
    <n v="4"/>
    <d v="1983-02-13T00:00:00"/>
  </r>
  <r>
    <x v="0"/>
    <n v="11162076"/>
    <x v="0"/>
    <d v="2025-02-01T00:00:00"/>
    <x v="0"/>
    <x v="7"/>
    <x v="9"/>
    <m/>
    <n v="9999"/>
    <n v="333.3"/>
    <n v="0"/>
    <n v="0"/>
    <n v="0"/>
    <x v="1"/>
    <n v="38.178082191780824"/>
    <x v="0"/>
    <n v="4"/>
    <d v="1986-12-08T00:00:00"/>
  </r>
  <r>
    <x v="1"/>
    <n v="11312416"/>
    <x v="0"/>
    <d v="2025-07-04T00:00:00"/>
    <x v="0"/>
    <x v="10"/>
    <x v="13"/>
    <d v="2025-09-09T00:00:00"/>
    <n v="67"/>
    <n v="2.2333333333333334"/>
    <n v="0"/>
    <n v="1"/>
    <n v="1"/>
    <x v="0"/>
    <n v="32.947945205479449"/>
    <x v="0"/>
    <n v="4"/>
    <d v="1992-07-31T00:00:00"/>
  </r>
  <r>
    <x v="0"/>
    <n v="11342636"/>
    <x v="0"/>
    <d v="2025-04-22T00:00:00"/>
    <x v="0"/>
    <x v="2"/>
    <x v="3"/>
    <d v="2025-12-12T00:00:00"/>
    <n v="234"/>
    <n v="7.8"/>
    <n v="0"/>
    <n v="0"/>
    <n v="0"/>
    <x v="1"/>
    <n v="21.980821917808218"/>
    <x v="2"/>
    <n v="2"/>
    <d v="2003-05-05T00:00:00"/>
  </r>
  <r>
    <x v="1"/>
    <n v="11366165"/>
    <x v="0"/>
    <d v="2025-11-01T00:00:00"/>
    <x v="0"/>
    <x v="4"/>
    <x v="6"/>
    <d v="2026-01-31T00:00:00"/>
    <n v="91"/>
    <n v="3.0333333333333332"/>
    <n v="0"/>
    <n v="0"/>
    <n v="1"/>
    <x v="1"/>
    <n v="22.830136986301369"/>
    <x v="2"/>
    <n v="2"/>
    <d v="2003-01-08T00:00:00"/>
  </r>
  <r>
    <x v="0"/>
    <n v="11369697"/>
    <x v="1"/>
    <d v="2025-02-01T00:00:00"/>
    <x v="0"/>
    <x v="7"/>
    <x v="9"/>
    <d v="2026-02-01T00:00:00"/>
    <n v="365"/>
    <n v="12.166666666666666"/>
    <n v="0"/>
    <n v="0"/>
    <n v="0"/>
    <x v="1"/>
    <n v="23.80821917808219"/>
    <x v="2"/>
    <n v="2"/>
    <d v="2001-04-18T00:00:00"/>
  </r>
  <r>
    <x v="1"/>
    <n v="11371286"/>
    <x v="0"/>
    <d v="2025-05-28T00:00:00"/>
    <x v="0"/>
    <x v="1"/>
    <x v="2"/>
    <m/>
    <n v="9999"/>
    <n v="333.3"/>
    <n v="0"/>
    <n v="0"/>
    <n v="0"/>
    <x v="0"/>
    <n v="23.767123287671232"/>
    <x v="2"/>
    <n v="2"/>
    <d v="2001-08-27T00:00:00"/>
  </r>
  <r>
    <x v="0"/>
    <n v="11428705"/>
    <x v="0"/>
    <d v="2025-12-01T00:00:00"/>
    <x v="0"/>
    <x v="5"/>
    <x v="7"/>
    <m/>
    <n v="9999"/>
    <n v="333.3"/>
    <n v="0"/>
    <n v="0"/>
    <n v="0"/>
    <x v="0"/>
    <n v="31.572602739726026"/>
    <x v="0"/>
    <n v="4"/>
    <d v="1994-05-14T00:00:00"/>
  </r>
  <r>
    <x v="1"/>
    <n v="11431399"/>
    <x v="1"/>
    <d v="2025-11-29T00:00:00"/>
    <x v="0"/>
    <x v="4"/>
    <x v="6"/>
    <d v="2025-12-18T00:00:00"/>
    <n v="19"/>
    <n v="0.6333333333333333"/>
    <n v="1"/>
    <n v="1"/>
    <n v="1"/>
    <x v="0"/>
    <n v="25.643835616438356"/>
    <x v="2"/>
    <n v="2"/>
    <d v="2000-04-14T00:00:00"/>
  </r>
  <r>
    <x v="0"/>
    <n v="11438473"/>
    <x v="0"/>
    <d v="2025-02-01T00:00:00"/>
    <x v="0"/>
    <x v="7"/>
    <x v="9"/>
    <m/>
    <n v="9999"/>
    <n v="333.3"/>
    <n v="0"/>
    <n v="0"/>
    <n v="0"/>
    <x v="0"/>
    <n v="23.975342465753425"/>
    <x v="2"/>
    <n v="2"/>
    <d v="2001-02-16T00:00:00"/>
  </r>
  <r>
    <x v="0"/>
    <n v="11444000"/>
    <x v="1"/>
    <d v="2025-05-01T00:00:00"/>
    <x v="0"/>
    <x v="1"/>
    <x v="2"/>
    <d v="2025-10-31T00:00:00"/>
    <n v="183"/>
    <n v="6.1"/>
    <n v="0"/>
    <n v="0"/>
    <n v="0"/>
    <x v="1"/>
    <n v="21.350684931506848"/>
    <x v="2"/>
    <n v="2"/>
    <d v="2003-12-30T00:00:00"/>
  </r>
  <r>
    <x v="1"/>
    <n v="11447392"/>
    <x v="0"/>
    <d v="2026-05-25T00:00:00"/>
    <x v="1"/>
    <x v="1"/>
    <x v="1"/>
    <m/>
    <n v="9999"/>
    <n v="333.3"/>
    <n v="0"/>
    <n v="0"/>
    <n v="0"/>
    <x v="1"/>
    <n v="24.027397260273972"/>
    <x v="2"/>
    <n v="2"/>
    <d v="2002-05-21T00:00:00"/>
  </r>
  <r>
    <x v="1"/>
    <n v="11448417"/>
    <x v="0"/>
    <d v="2025-06-10T00:00:00"/>
    <x v="0"/>
    <x v="11"/>
    <x v="16"/>
    <d v="2025-12-18T00:00:00"/>
    <n v="191"/>
    <n v="6.3666666666666663"/>
    <n v="0"/>
    <n v="0"/>
    <n v="0"/>
    <x v="0"/>
    <n v="20.758904109589039"/>
    <x v="3"/>
    <n v="1"/>
    <d v="2004-09-11T00:00:00"/>
  </r>
  <r>
    <x v="1"/>
    <n v="11505021"/>
    <x v="0"/>
    <d v="2025-02-10T00:00:00"/>
    <x v="0"/>
    <x v="7"/>
    <x v="9"/>
    <m/>
    <n v="9999"/>
    <n v="333.3"/>
    <n v="0"/>
    <n v="0"/>
    <n v="0"/>
    <x v="0"/>
    <n v="40.88219178082192"/>
    <x v="0"/>
    <n v="4"/>
    <d v="1984-04-04T00:00:00"/>
  </r>
  <r>
    <x v="1"/>
    <n v="11510532"/>
    <x v="0"/>
    <d v="2025-03-01T00:00:00"/>
    <x v="0"/>
    <x v="0"/>
    <x v="0"/>
    <d v="2025-04-07T00:00:00"/>
    <n v="37"/>
    <n v="1.2333333333333334"/>
    <n v="0"/>
    <n v="1"/>
    <n v="1"/>
    <x v="0"/>
    <n v="33.463013698630135"/>
    <x v="0"/>
    <n v="4"/>
    <d v="1991-09-22T00:00:00"/>
  </r>
  <r>
    <x v="1"/>
    <n v="11572171"/>
    <x v="0"/>
    <d v="2025-08-01T00:00:00"/>
    <x v="0"/>
    <x v="9"/>
    <x v="12"/>
    <d v="2025-10-01T00:00:00"/>
    <n v="61"/>
    <n v="2.0333333333333332"/>
    <n v="0"/>
    <n v="1"/>
    <n v="1"/>
    <x v="0"/>
    <n v="28.624657534246577"/>
    <x v="1"/>
    <n v="3"/>
    <d v="1996-12-23T00:00:00"/>
  </r>
  <r>
    <x v="1"/>
    <n v="11573541"/>
    <x v="1"/>
    <d v="2025-02-01T00:00:00"/>
    <x v="0"/>
    <x v="7"/>
    <x v="9"/>
    <m/>
    <n v="9999"/>
    <n v="333.3"/>
    <n v="0"/>
    <n v="0"/>
    <n v="0"/>
    <x v="0"/>
    <n v="22.361643835616437"/>
    <x v="2"/>
    <n v="2"/>
    <d v="2002-09-28T00:00:00"/>
  </r>
  <r>
    <x v="1"/>
    <n v="11625309"/>
    <x v="1"/>
    <d v="2026-02-13T00:00:00"/>
    <x v="1"/>
    <x v="7"/>
    <x v="15"/>
    <m/>
    <n v="9999"/>
    <n v="333.3"/>
    <n v="0"/>
    <n v="0"/>
    <n v="0"/>
    <x v="0"/>
    <n v="22.304109589041097"/>
    <x v="2"/>
    <n v="2"/>
    <d v="2003-10-31T00:00:00"/>
  </r>
  <r>
    <x v="0"/>
    <n v="11639719"/>
    <x v="0"/>
    <d v="2025-02-01T00:00:00"/>
    <x v="0"/>
    <x v="7"/>
    <x v="9"/>
    <m/>
    <n v="9999"/>
    <n v="333.3"/>
    <n v="0"/>
    <n v="0"/>
    <n v="0"/>
    <x v="1"/>
    <n v="44.520547945205479"/>
    <x v="0"/>
    <n v="4"/>
    <d v="1980-08-06T00:00:00"/>
  </r>
  <r>
    <x v="1"/>
    <n v="11640415"/>
    <x v="1"/>
    <d v="2025-04-01T00:00:00"/>
    <x v="0"/>
    <x v="2"/>
    <x v="3"/>
    <d v="2026-03-31T00:00:00"/>
    <n v="364"/>
    <n v="12.133333333333333"/>
    <n v="0"/>
    <n v="0"/>
    <n v="0"/>
    <x v="1"/>
    <n v="21.142465753424659"/>
    <x v="2"/>
    <n v="2"/>
    <d v="2004-02-14T00:00:00"/>
  </r>
  <r>
    <x v="0"/>
    <n v="11651096"/>
    <x v="1"/>
    <d v="2025-02-01T00:00:00"/>
    <x v="0"/>
    <x v="7"/>
    <x v="9"/>
    <d v="2025-05-31T00:00:00"/>
    <n v="119"/>
    <n v="3.9666666666666668"/>
    <n v="0"/>
    <n v="0"/>
    <n v="1"/>
    <x v="1"/>
    <n v="24.55890410958904"/>
    <x v="2"/>
    <n v="2"/>
    <d v="2000-07-18T00:00:00"/>
  </r>
  <r>
    <x v="1"/>
    <n v="11695579"/>
    <x v="0"/>
    <d v="2026-05-14T00:00:00"/>
    <x v="1"/>
    <x v="1"/>
    <x v="1"/>
    <m/>
    <n v="9999"/>
    <n v="333.3"/>
    <n v="0"/>
    <n v="0"/>
    <n v="0"/>
    <x v="1"/>
    <n v="26.098630136986301"/>
    <x v="1"/>
    <n v="3"/>
    <d v="2000-04-14T00:00:00"/>
  </r>
  <r>
    <x v="1"/>
    <n v="11779966"/>
    <x v="0"/>
    <d v="2025-07-16T00:00:00"/>
    <x v="0"/>
    <x v="10"/>
    <x v="13"/>
    <m/>
    <n v="9999"/>
    <n v="333.3"/>
    <n v="0"/>
    <n v="0"/>
    <n v="0"/>
    <x v="1"/>
    <n v="21.813698630136987"/>
    <x v="2"/>
    <n v="2"/>
    <d v="2003-09-28T00:00:00"/>
  </r>
  <r>
    <x v="1"/>
    <n v="11815669"/>
    <x v="0"/>
    <d v="2025-07-01T00:00:00"/>
    <x v="0"/>
    <x v="10"/>
    <x v="13"/>
    <m/>
    <n v="9999"/>
    <n v="333.3"/>
    <n v="0"/>
    <n v="0"/>
    <n v="0"/>
    <x v="0"/>
    <n v="23.931506849315067"/>
    <x v="2"/>
    <n v="2"/>
    <d v="2001-08-01T00:00:00"/>
  </r>
  <r>
    <x v="1"/>
    <n v="11858604"/>
    <x v="0"/>
    <d v="2025-04-29T00:00:00"/>
    <x v="0"/>
    <x v="2"/>
    <x v="3"/>
    <d v="2026-04-30T00:00:00"/>
    <n v="366"/>
    <n v="12.2"/>
    <n v="0"/>
    <n v="0"/>
    <n v="0"/>
    <x v="0"/>
    <n v="26.610958904109587"/>
    <x v="1"/>
    <n v="3"/>
    <d v="1998-09-25T00:00:00"/>
  </r>
  <r>
    <x v="1"/>
    <n v="11873689"/>
    <x v="1"/>
    <d v="2025-03-18T00:00:00"/>
    <x v="0"/>
    <x v="0"/>
    <x v="0"/>
    <m/>
    <n v="9999"/>
    <n v="333.3"/>
    <n v="0"/>
    <n v="0"/>
    <n v="0"/>
    <x v="0"/>
    <n v="31.646575342465752"/>
    <x v="0"/>
    <n v="4"/>
    <d v="1993-08-02T00:00:00"/>
  </r>
  <r>
    <x v="0"/>
    <n v="11914285"/>
    <x v="0"/>
    <d v="2025-07-01T00:00:00"/>
    <x v="0"/>
    <x v="10"/>
    <x v="13"/>
    <m/>
    <n v="9999"/>
    <n v="333.3"/>
    <n v="0"/>
    <n v="0"/>
    <n v="0"/>
    <x v="1"/>
    <n v="34.408219178082192"/>
    <x v="0"/>
    <n v="4"/>
    <d v="1991-02-11T00:00:00"/>
  </r>
  <r>
    <x v="1"/>
    <n v="11930406"/>
    <x v="1"/>
    <d v="2025-11-05T00:00:00"/>
    <x v="0"/>
    <x v="4"/>
    <x v="6"/>
    <m/>
    <n v="9999"/>
    <n v="333.3"/>
    <n v="0"/>
    <n v="0"/>
    <n v="0"/>
    <x v="1"/>
    <n v="24.073972602739726"/>
    <x v="2"/>
    <n v="2"/>
    <d v="2001-10-15T00:00:00"/>
  </r>
  <r>
    <x v="1"/>
    <n v="11930741"/>
    <x v="0"/>
    <d v="2025-12-17T00:00:00"/>
    <x v="0"/>
    <x v="5"/>
    <x v="7"/>
    <m/>
    <n v="9999"/>
    <n v="333.3"/>
    <n v="0"/>
    <n v="0"/>
    <n v="0"/>
    <x v="0"/>
    <n v="24.136986301369863"/>
    <x v="2"/>
    <n v="2"/>
    <d v="2001-11-03T00:00:00"/>
  </r>
  <r>
    <x v="0"/>
    <n v="11966762"/>
    <x v="0"/>
    <d v="2026-02-01T00:00:00"/>
    <x v="1"/>
    <x v="7"/>
    <x v="15"/>
    <m/>
    <n v="9999"/>
    <n v="333.3"/>
    <n v="0"/>
    <n v="0"/>
    <n v="0"/>
    <x v="1"/>
    <n v="32.263013698630139"/>
    <x v="0"/>
    <n v="4"/>
    <d v="1993-11-05T00:00:00"/>
  </r>
  <r>
    <x v="0"/>
    <n v="11967723"/>
    <x v="0"/>
    <d v="2026-04-01T00:00:00"/>
    <x v="1"/>
    <x v="2"/>
    <x v="11"/>
    <m/>
    <n v="9999"/>
    <n v="333.3"/>
    <n v="0"/>
    <n v="0"/>
    <n v="0"/>
    <x v="0"/>
    <n v="24.827397260273973"/>
    <x v="2"/>
    <n v="2"/>
    <d v="2001-06-09T00:00:00"/>
  </r>
  <r>
    <x v="0"/>
    <n v="12032507"/>
    <x v="0"/>
    <d v="2025-05-01T00:00:00"/>
    <x v="0"/>
    <x v="1"/>
    <x v="2"/>
    <d v="2026-03-31T00:00:00"/>
    <n v="334"/>
    <n v="11.133333333333333"/>
    <n v="0"/>
    <n v="0"/>
    <n v="0"/>
    <x v="1"/>
    <n v="35.098630136986301"/>
    <x v="0"/>
    <n v="4"/>
    <d v="1990-04-04T00:00:00"/>
  </r>
  <r>
    <x v="1"/>
    <n v="12052143"/>
    <x v="0"/>
    <d v="2026-04-01T00:00:00"/>
    <x v="1"/>
    <x v="2"/>
    <x v="11"/>
    <m/>
    <n v="9999"/>
    <n v="333.3"/>
    <n v="0"/>
    <n v="0"/>
    <n v="0"/>
    <x v="1"/>
    <n v="23.528767123287672"/>
    <x v="2"/>
    <n v="2"/>
    <d v="2002-09-26T00:00:00"/>
  </r>
  <r>
    <x v="0"/>
    <n v="12055585"/>
    <x v="0"/>
    <d v="2025-05-01T00:00:00"/>
    <x v="0"/>
    <x v="1"/>
    <x v="2"/>
    <m/>
    <n v="9999"/>
    <n v="333.3"/>
    <n v="0"/>
    <n v="0"/>
    <n v="0"/>
    <x v="1"/>
    <n v="57.290410958904111"/>
    <x v="0"/>
    <n v="4"/>
    <d v="1968-01-30T00:00:00"/>
  </r>
  <r>
    <x v="1"/>
    <n v="12069551"/>
    <x v="1"/>
    <d v="2026-03-11T00:00:00"/>
    <x v="1"/>
    <x v="0"/>
    <x v="5"/>
    <m/>
    <n v="9999"/>
    <n v="333.3"/>
    <n v="0"/>
    <n v="0"/>
    <n v="0"/>
    <x v="1"/>
    <n v="22.624657534246577"/>
    <x v="2"/>
    <n v="2"/>
    <d v="2003-08-01T00:00:00"/>
  </r>
  <r>
    <x v="1"/>
    <n v="12129377"/>
    <x v="0"/>
    <d v="2025-11-11T00:00:00"/>
    <x v="0"/>
    <x v="4"/>
    <x v="6"/>
    <d v="2026-01-01T00:00:00"/>
    <n v="51"/>
    <n v="1.7"/>
    <n v="0"/>
    <n v="1"/>
    <n v="1"/>
    <x v="0"/>
    <n v="23.052054794520547"/>
    <x v="2"/>
    <n v="2"/>
    <d v="2002-10-29T00:00:00"/>
  </r>
  <r>
    <x v="0"/>
    <n v="12133973"/>
    <x v="0"/>
    <d v="2025-09-01T00:00:00"/>
    <x v="0"/>
    <x v="3"/>
    <x v="4"/>
    <m/>
    <n v="9999"/>
    <n v="333.3"/>
    <n v="0"/>
    <n v="0"/>
    <n v="0"/>
    <x v="1"/>
    <n v="20.93972602739726"/>
    <x v="3"/>
    <n v="1"/>
    <d v="2004-09-28T00:00:00"/>
  </r>
  <r>
    <x v="0"/>
    <n v="12175732"/>
    <x v="0"/>
    <d v="2025-01-01T00:00:00"/>
    <x v="0"/>
    <x v="6"/>
    <x v="14"/>
    <m/>
    <n v="9999"/>
    <n v="333.3"/>
    <n v="0"/>
    <n v="0"/>
    <n v="0"/>
    <x v="0"/>
    <n v="26.624657534246577"/>
    <x v="1"/>
    <n v="3"/>
    <d v="1998-05-25T00:00:00"/>
  </r>
  <r>
    <x v="0"/>
    <n v="12192019"/>
    <x v="0"/>
    <d v="2025-02-01T00:00:00"/>
    <x v="0"/>
    <x v="7"/>
    <x v="9"/>
    <m/>
    <n v="9999"/>
    <n v="333.3"/>
    <n v="0"/>
    <n v="0"/>
    <n v="0"/>
    <x v="0"/>
    <n v="22.553424657534247"/>
    <x v="2"/>
    <n v="2"/>
    <d v="2002-07-20T00:00:00"/>
  </r>
  <r>
    <x v="0"/>
    <n v="12205480"/>
    <x v="1"/>
    <d v="2026-05-26T00:00:00"/>
    <x v="1"/>
    <x v="1"/>
    <x v="1"/>
    <m/>
    <n v="9999"/>
    <n v="333.3"/>
    <n v="0"/>
    <n v="0"/>
    <n v="0"/>
    <x v="1"/>
    <n v="22.550684931506851"/>
    <x v="2"/>
    <n v="2"/>
    <d v="2003-11-12T00:00:00"/>
  </r>
  <r>
    <x v="0"/>
    <n v="12297739"/>
    <x v="0"/>
    <d v="2025-11-01T00:00:00"/>
    <x v="0"/>
    <x v="4"/>
    <x v="6"/>
    <m/>
    <n v="9999"/>
    <n v="333.3"/>
    <n v="0"/>
    <n v="0"/>
    <n v="0"/>
    <x v="0"/>
    <n v="23.490410958904111"/>
    <x v="2"/>
    <n v="2"/>
    <d v="2002-05-12T00:00:00"/>
  </r>
  <r>
    <x v="0"/>
    <n v="12309872"/>
    <x v="0"/>
    <d v="2026-04-01T00:00:00"/>
    <x v="1"/>
    <x v="2"/>
    <x v="11"/>
    <m/>
    <n v="9999"/>
    <n v="333.3"/>
    <n v="0"/>
    <n v="0"/>
    <n v="0"/>
    <x v="1"/>
    <n v="24.378082191780823"/>
    <x v="2"/>
    <n v="2"/>
    <d v="2001-11-20T00:00:00"/>
  </r>
  <r>
    <x v="0"/>
    <n v="12322530"/>
    <x v="0"/>
    <d v="2025-02-01T00:00:00"/>
    <x v="0"/>
    <x v="7"/>
    <x v="9"/>
    <m/>
    <n v="9999"/>
    <n v="333.3"/>
    <n v="0"/>
    <n v="0"/>
    <n v="0"/>
    <x v="1"/>
    <n v="32.534246575342465"/>
    <x v="0"/>
    <n v="4"/>
    <d v="1992-07-29T00:00:00"/>
  </r>
  <r>
    <x v="1"/>
    <n v="12398638"/>
    <x v="1"/>
    <d v="2025-01-27T00:00:00"/>
    <x v="0"/>
    <x v="6"/>
    <x v="14"/>
    <d v="2025-03-28T00:00:00"/>
    <n v="60"/>
    <n v="2"/>
    <n v="0"/>
    <n v="1"/>
    <n v="1"/>
    <x v="0"/>
    <n v="20.13150684931507"/>
    <x v="3"/>
    <n v="1"/>
    <d v="2004-12-15T00:00:00"/>
  </r>
  <r>
    <x v="0"/>
    <n v="12442735"/>
    <x v="0"/>
    <d v="2025-03-01T00:00:00"/>
    <x v="0"/>
    <x v="0"/>
    <x v="0"/>
    <d v="2025-07-02T00:00:00"/>
    <n v="123"/>
    <n v="4.0999999999999996"/>
    <n v="0"/>
    <n v="0"/>
    <n v="1"/>
    <x v="1"/>
    <n v="21.608219178082191"/>
    <x v="2"/>
    <n v="2"/>
    <d v="2003-07-28T00:00:00"/>
  </r>
  <r>
    <x v="1"/>
    <n v="12443033"/>
    <x v="1"/>
    <d v="2025-04-01T00:00:00"/>
    <x v="0"/>
    <x v="2"/>
    <x v="3"/>
    <m/>
    <n v="9999"/>
    <n v="333.3"/>
    <n v="0"/>
    <n v="0"/>
    <n v="0"/>
    <x v="1"/>
    <n v="23"/>
    <x v="2"/>
    <n v="2"/>
    <d v="2002-04-07T00:00:00"/>
  </r>
  <r>
    <x v="1"/>
    <n v="12486292"/>
    <x v="0"/>
    <d v="2025-05-01T00:00:00"/>
    <x v="0"/>
    <x v="1"/>
    <x v="2"/>
    <d v="2026-03-31T00:00:00"/>
    <n v="334"/>
    <n v="11.133333333333333"/>
    <n v="0"/>
    <n v="0"/>
    <n v="0"/>
    <x v="0"/>
    <n v="20.049315068493151"/>
    <x v="3"/>
    <n v="1"/>
    <d v="2005-04-18T00:00:00"/>
  </r>
  <r>
    <x v="1"/>
    <n v="12570851"/>
    <x v="0"/>
    <d v="2026-05-01T00:00:00"/>
    <x v="1"/>
    <x v="1"/>
    <x v="1"/>
    <m/>
    <n v="9999"/>
    <n v="333.3"/>
    <n v="0"/>
    <n v="0"/>
    <n v="0"/>
    <x v="0"/>
    <n v="28.838356164383562"/>
    <x v="1"/>
    <n v="3"/>
    <d v="1997-07-06T00:00:00"/>
  </r>
  <r>
    <x v="1"/>
    <n v="12595714"/>
    <x v="1"/>
    <d v="2025-04-01T00:00:00"/>
    <x v="0"/>
    <x v="2"/>
    <x v="3"/>
    <d v="2026-05-04T00:00:00"/>
    <n v="398"/>
    <n v="13.266666666666667"/>
    <n v="0"/>
    <n v="0"/>
    <n v="0"/>
    <x v="0"/>
    <n v="22.797260273972604"/>
    <x v="2"/>
    <n v="2"/>
    <d v="2002-06-20T00:00:00"/>
  </r>
  <r>
    <x v="0"/>
    <n v="12771524"/>
    <x v="1"/>
    <d v="2025-04-01T00:00:00"/>
    <x v="0"/>
    <x v="2"/>
    <x v="3"/>
    <d v="2026-03-04T00:00:00"/>
    <n v="337"/>
    <n v="11.233333333333333"/>
    <n v="0"/>
    <n v="0"/>
    <n v="0"/>
    <x v="1"/>
    <n v="23.767123287671232"/>
    <x v="2"/>
    <n v="2"/>
    <d v="2001-07-01T00:00:00"/>
  </r>
  <r>
    <x v="1"/>
    <n v="12851031"/>
    <x v="0"/>
    <d v="2025-05-09T00:00:00"/>
    <x v="0"/>
    <x v="1"/>
    <x v="2"/>
    <d v="2025-08-31T00:00:00"/>
    <n v="114"/>
    <n v="3.8"/>
    <n v="0"/>
    <n v="0"/>
    <n v="1"/>
    <x v="0"/>
    <n v="30.956164383561642"/>
    <x v="1"/>
    <n v="3"/>
    <d v="1994-06-02T00:00:00"/>
  </r>
  <r>
    <x v="1"/>
    <n v="12921546"/>
    <x v="1"/>
    <d v="2025-03-01T00:00:00"/>
    <x v="0"/>
    <x v="0"/>
    <x v="0"/>
    <d v="2025-04-15T00:00:00"/>
    <n v="45"/>
    <n v="1.5"/>
    <n v="0"/>
    <n v="1"/>
    <n v="1"/>
    <x v="1"/>
    <n v="20.378082191780823"/>
    <x v="3"/>
    <n v="1"/>
    <d v="2004-10-19T00:00:00"/>
  </r>
  <r>
    <x v="0"/>
    <n v="13041887"/>
    <x v="0"/>
    <d v="2025-10-01T00:00:00"/>
    <x v="0"/>
    <x v="8"/>
    <x v="10"/>
    <d v="2026-03-01T00:00:00"/>
    <n v="151"/>
    <n v="5.0333333333333332"/>
    <n v="0"/>
    <n v="0"/>
    <n v="1"/>
    <x v="1"/>
    <n v="25.504109589041096"/>
    <x v="2"/>
    <n v="2"/>
    <d v="2000-04-06T00:00:00"/>
  </r>
  <r>
    <x v="1"/>
    <n v="13045234"/>
    <x v="0"/>
    <d v="2025-06-01T00:00:00"/>
    <x v="0"/>
    <x v="11"/>
    <x v="16"/>
    <m/>
    <n v="9999"/>
    <n v="333.3"/>
    <n v="0"/>
    <n v="0"/>
    <n v="0"/>
    <x v="0"/>
    <n v="21.780821917808218"/>
    <x v="2"/>
    <n v="2"/>
    <d v="2003-08-26T00:00:00"/>
  </r>
  <r>
    <x v="0"/>
    <n v="13045236"/>
    <x v="0"/>
    <d v="2025-05-01T00:00:00"/>
    <x v="0"/>
    <x v="1"/>
    <x v="2"/>
    <m/>
    <n v="9999"/>
    <n v="333.3"/>
    <n v="0"/>
    <n v="0"/>
    <n v="0"/>
    <x v="0"/>
    <n v="20.167123287671235"/>
    <x v="3"/>
    <n v="1"/>
    <d v="2005-03-06T00:00:00"/>
  </r>
  <r>
    <x v="1"/>
    <n v="13172228"/>
    <x v="0"/>
    <d v="2026-05-01T00:00:00"/>
    <x v="1"/>
    <x v="1"/>
    <x v="1"/>
    <m/>
    <n v="9999"/>
    <n v="333.3"/>
    <n v="0"/>
    <n v="0"/>
    <n v="0"/>
    <x v="1"/>
    <n v="25.394520547945206"/>
    <x v="2"/>
    <n v="2"/>
    <d v="2000-12-14T00:00:00"/>
  </r>
  <r>
    <x v="0"/>
    <n v="13244825"/>
    <x v="1"/>
    <d v="2025-08-05T00:00:00"/>
    <x v="0"/>
    <x v="9"/>
    <x v="12"/>
    <d v="2026-02-28T00:00:00"/>
    <n v="207"/>
    <n v="6.9"/>
    <n v="0"/>
    <n v="0"/>
    <n v="0"/>
    <x v="1"/>
    <n v="21.564383561643837"/>
    <x v="2"/>
    <n v="2"/>
    <d v="2004-01-17T00:00:00"/>
  </r>
  <r>
    <x v="1"/>
    <n v="13252474"/>
    <x v="1"/>
    <d v="2025-07-01T00:00:00"/>
    <x v="0"/>
    <x v="10"/>
    <x v="13"/>
    <d v="2025-12-15T00:00:00"/>
    <n v="167"/>
    <n v="5.5666666666666664"/>
    <n v="0"/>
    <n v="0"/>
    <n v="1"/>
    <x v="1"/>
    <n v="21.375342465753423"/>
    <x v="2"/>
    <n v="2"/>
    <d v="2004-02-20T00:00:00"/>
  </r>
  <r>
    <x v="0"/>
    <n v="13289522"/>
    <x v="0"/>
    <d v="2025-06-01T00:00:00"/>
    <x v="0"/>
    <x v="11"/>
    <x v="16"/>
    <m/>
    <n v="9999"/>
    <n v="333.3"/>
    <n v="0"/>
    <n v="0"/>
    <n v="0"/>
    <x v="0"/>
    <n v="27.547945205479451"/>
    <x v="1"/>
    <n v="3"/>
    <d v="1997-11-20T00:00:00"/>
  </r>
  <r>
    <x v="1"/>
    <n v="13293542"/>
    <x v="0"/>
    <d v="2025-10-01T00:00:00"/>
    <x v="0"/>
    <x v="8"/>
    <x v="10"/>
    <m/>
    <n v="9999"/>
    <n v="333.3"/>
    <n v="0"/>
    <n v="0"/>
    <n v="0"/>
    <x v="1"/>
    <n v="20.704109589041096"/>
    <x v="3"/>
    <n v="1"/>
    <d v="2005-01-22T00:00:00"/>
  </r>
  <r>
    <x v="0"/>
    <n v="13293553"/>
    <x v="0"/>
    <d v="2025-08-01T00:00:00"/>
    <x v="0"/>
    <x v="9"/>
    <x v="12"/>
    <d v="2026-03-31T00:00:00"/>
    <n v="242"/>
    <n v="8.0666666666666664"/>
    <n v="0"/>
    <n v="0"/>
    <n v="0"/>
    <x v="1"/>
    <n v="21.931506849315067"/>
    <x v="2"/>
    <n v="2"/>
    <d v="2003-09-01T00:00:00"/>
  </r>
  <r>
    <x v="1"/>
    <n v="13307151"/>
    <x v="1"/>
    <d v="2025-04-01T00:00:00"/>
    <x v="0"/>
    <x v="2"/>
    <x v="3"/>
    <d v="2026-04-20T00:00:00"/>
    <n v="384"/>
    <n v="12.8"/>
    <n v="0"/>
    <n v="0"/>
    <n v="0"/>
    <x v="0"/>
    <n v="20.076712328767123"/>
    <x v="3"/>
    <n v="1"/>
    <d v="2005-03-09T00:00:00"/>
  </r>
  <r>
    <x v="1"/>
    <n v="13312197"/>
    <x v="0"/>
    <d v="2025-09-26T00:00:00"/>
    <x v="0"/>
    <x v="3"/>
    <x v="4"/>
    <d v="2025-12-01T00:00:00"/>
    <n v="66"/>
    <n v="2.2000000000000002"/>
    <n v="0"/>
    <n v="1"/>
    <n v="1"/>
    <x v="1"/>
    <n v="27.506849315068493"/>
    <x v="1"/>
    <n v="3"/>
    <d v="1998-04-01T00:00:00"/>
  </r>
  <r>
    <x v="1"/>
    <n v="13316388"/>
    <x v="1"/>
    <d v="2025-10-24T00:00:00"/>
    <x v="0"/>
    <x v="8"/>
    <x v="10"/>
    <d v="2026-02-01T00:00:00"/>
    <n v="100"/>
    <n v="3.3333333333333335"/>
    <n v="0"/>
    <n v="0"/>
    <n v="1"/>
    <x v="1"/>
    <n v="20.6"/>
    <x v="3"/>
    <n v="1"/>
    <d v="2005-03-24T00:00:00"/>
  </r>
  <r>
    <x v="0"/>
    <n v="13375368"/>
    <x v="1"/>
    <d v="2025-06-01T00:00:00"/>
    <x v="0"/>
    <x v="11"/>
    <x v="16"/>
    <d v="2026-04-01T00:00:00"/>
    <n v="304"/>
    <n v="10.133333333333333"/>
    <n v="0"/>
    <n v="0"/>
    <n v="0"/>
    <x v="1"/>
    <n v="23.276712328767122"/>
    <x v="2"/>
    <n v="2"/>
    <d v="2002-02-26T00:00:00"/>
  </r>
  <r>
    <x v="0"/>
    <n v="13375374"/>
    <x v="0"/>
    <d v="2025-04-01T00:00:00"/>
    <x v="0"/>
    <x v="2"/>
    <x v="3"/>
    <m/>
    <n v="9999"/>
    <n v="333.3"/>
    <n v="0"/>
    <n v="0"/>
    <n v="0"/>
    <x v="0"/>
    <n v="19.967123287671232"/>
    <x v="3"/>
    <n v="1"/>
    <d v="2005-04-18T00:00:00"/>
  </r>
  <r>
    <x v="1"/>
    <n v="13375698"/>
    <x v="1"/>
    <d v="2025-04-29T00:00:00"/>
    <x v="0"/>
    <x v="2"/>
    <x v="3"/>
    <m/>
    <n v="9999"/>
    <n v="333.3"/>
    <n v="0"/>
    <n v="0"/>
    <n v="0"/>
    <x v="0"/>
    <n v="23.61917808219178"/>
    <x v="2"/>
    <n v="2"/>
    <d v="2001-09-21T00:00:00"/>
  </r>
  <r>
    <x v="0"/>
    <n v="13375708"/>
    <x v="0"/>
    <d v="2025-11-01T00:00:00"/>
    <x v="0"/>
    <x v="4"/>
    <x v="6"/>
    <m/>
    <n v="9999"/>
    <n v="333.3"/>
    <n v="0"/>
    <n v="0"/>
    <n v="0"/>
    <x v="1"/>
    <n v="24.301369863013697"/>
    <x v="2"/>
    <n v="2"/>
    <d v="2001-07-20T00:00:00"/>
  </r>
  <r>
    <x v="0"/>
    <n v="13375845"/>
    <x v="0"/>
    <d v="2025-07-01T00:00:00"/>
    <x v="0"/>
    <x v="10"/>
    <x v="13"/>
    <m/>
    <n v="9999"/>
    <n v="333.3"/>
    <n v="0"/>
    <n v="0"/>
    <n v="0"/>
    <x v="0"/>
    <n v="27.12876712328767"/>
    <x v="1"/>
    <n v="3"/>
    <d v="1998-05-22T00:00:00"/>
  </r>
  <r>
    <x v="0"/>
    <n v="13377332"/>
    <x v="0"/>
    <d v="2025-11-01T00:00:00"/>
    <x v="0"/>
    <x v="4"/>
    <x v="6"/>
    <m/>
    <n v="9999"/>
    <n v="333.3"/>
    <n v="0"/>
    <n v="0"/>
    <n v="0"/>
    <x v="0"/>
    <n v="23.605479452054794"/>
    <x v="2"/>
    <n v="2"/>
    <d v="2002-03-31T00:00:00"/>
  </r>
  <r>
    <x v="0"/>
    <n v="13527684"/>
    <x v="1"/>
    <d v="2025-01-01T00:00:00"/>
    <x v="0"/>
    <x v="6"/>
    <x v="14"/>
    <d v="2025-05-11T00:00:00"/>
    <n v="130"/>
    <n v="4.333333333333333"/>
    <n v="0"/>
    <n v="0"/>
    <n v="1"/>
    <x v="1"/>
    <n v="22.857534246575341"/>
    <x v="2"/>
    <n v="2"/>
    <d v="2002-02-28T00:00:00"/>
  </r>
  <r>
    <x v="0"/>
    <n v="13533846"/>
    <x v="0"/>
    <d v="2025-06-01T00:00:00"/>
    <x v="0"/>
    <x v="11"/>
    <x v="16"/>
    <m/>
    <n v="9999"/>
    <n v="333.3"/>
    <n v="0"/>
    <n v="0"/>
    <n v="0"/>
    <x v="0"/>
    <n v="22.350684931506848"/>
    <x v="2"/>
    <n v="2"/>
    <d v="2003-01-30T00:00:00"/>
  </r>
  <r>
    <x v="0"/>
    <n v="13606257"/>
    <x v="0"/>
    <d v="2025-05-01T00:00:00"/>
    <x v="0"/>
    <x v="1"/>
    <x v="2"/>
    <m/>
    <n v="9999"/>
    <n v="333.3"/>
    <n v="0"/>
    <n v="0"/>
    <n v="0"/>
    <x v="0"/>
    <n v="32.536986301369865"/>
    <x v="0"/>
    <n v="4"/>
    <d v="1992-10-25T00:00:00"/>
  </r>
  <r>
    <x v="1"/>
    <n v="13639150"/>
    <x v="0"/>
    <d v="2026-04-20T00:00:00"/>
    <x v="1"/>
    <x v="2"/>
    <x v="11"/>
    <m/>
    <n v="9999"/>
    <n v="333.3"/>
    <n v="0"/>
    <n v="0"/>
    <n v="0"/>
    <x v="1"/>
    <n v="21.967123287671232"/>
    <x v="2"/>
    <n v="2"/>
    <d v="2004-05-07T00:00:00"/>
  </r>
  <r>
    <x v="1"/>
    <n v="13660238"/>
    <x v="0"/>
    <d v="2026-04-01T00:00:00"/>
    <x v="1"/>
    <x v="2"/>
    <x v="11"/>
    <d v="2026-04-30T00:00:00"/>
    <n v="29"/>
    <n v="0.96666666666666667"/>
    <n v="1"/>
    <n v="1"/>
    <n v="1"/>
    <x v="1"/>
    <n v="24.134246575342466"/>
    <x v="2"/>
    <n v="2"/>
    <d v="2002-02-17T00:00:00"/>
  </r>
  <r>
    <x v="0"/>
    <n v="13685489"/>
    <x v="0"/>
    <d v="2025-11-01T00:00:00"/>
    <x v="0"/>
    <x v="4"/>
    <x v="6"/>
    <m/>
    <n v="9999"/>
    <n v="333.3"/>
    <n v="0"/>
    <n v="0"/>
    <n v="0"/>
    <x v="0"/>
    <n v="22.567123287671233"/>
    <x v="2"/>
    <n v="2"/>
    <d v="2003-04-14T00:00:00"/>
  </r>
  <r>
    <x v="1"/>
    <n v="13701985"/>
    <x v="0"/>
    <d v="2025-10-27T00:00:00"/>
    <x v="0"/>
    <x v="8"/>
    <x v="10"/>
    <d v="2026-03-13T00:00:00"/>
    <n v="137"/>
    <n v="4.5666666666666664"/>
    <n v="0"/>
    <n v="0"/>
    <n v="1"/>
    <x v="1"/>
    <n v="21.767123287671232"/>
    <x v="2"/>
    <n v="2"/>
    <d v="2004-01-26T00:00:00"/>
  </r>
  <r>
    <x v="1"/>
    <n v="13782960"/>
    <x v="0"/>
    <d v="2025-03-27T00:00:00"/>
    <x v="0"/>
    <x v="0"/>
    <x v="0"/>
    <d v="2025-05-31T00:00:00"/>
    <n v="65"/>
    <n v="2.1666666666666665"/>
    <n v="0"/>
    <n v="1"/>
    <n v="1"/>
    <x v="0"/>
    <n v="20.542465753424658"/>
    <x v="3"/>
    <n v="1"/>
    <d v="2004-09-15T00:00:00"/>
  </r>
  <r>
    <x v="1"/>
    <n v="13796723"/>
    <x v="0"/>
    <d v="2025-10-03T00:00:00"/>
    <x v="0"/>
    <x v="8"/>
    <x v="10"/>
    <m/>
    <n v="9999"/>
    <n v="333.3"/>
    <n v="0"/>
    <n v="0"/>
    <n v="0"/>
    <x v="1"/>
    <n v="22.304109589041097"/>
    <x v="2"/>
    <n v="2"/>
    <d v="2003-06-20T00:00:00"/>
  </r>
  <r>
    <x v="1"/>
    <n v="13797341"/>
    <x v="0"/>
    <d v="2025-11-05T00:00:00"/>
    <x v="0"/>
    <x v="4"/>
    <x v="6"/>
    <d v="2025-11-30T00:00:00"/>
    <n v="25"/>
    <n v="0.83333333333333337"/>
    <n v="1"/>
    <n v="1"/>
    <n v="1"/>
    <x v="1"/>
    <n v="20.775342465753425"/>
    <x v="3"/>
    <n v="1"/>
    <d v="2005-01-31T00:00:00"/>
  </r>
  <r>
    <x v="0"/>
    <n v="13797628"/>
    <x v="1"/>
    <d v="2025-08-01T00:00:00"/>
    <x v="0"/>
    <x v="9"/>
    <x v="12"/>
    <m/>
    <n v="9999"/>
    <n v="333.3"/>
    <n v="0"/>
    <n v="0"/>
    <n v="0"/>
    <x v="1"/>
    <n v="21.104109589041094"/>
    <x v="2"/>
    <n v="2"/>
    <d v="2004-06-29T00:00:00"/>
  </r>
  <r>
    <x v="0"/>
    <n v="13808535"/>
    <x v="0"/>
    <d v="2026-02-01T00:00:00"/>
    <x v="1"/>
    <x v="7"/>
    <x v="15"/>
    <m/>
    <n v="9999"/>
    <n v="333.3"/>
    <n v="0"/>
    <n v="0"/>
    <n v="0"/>
    <x v="1"/>
    <n v="23.934246575342467"/>
    <x v="2"/>
    <n v="2"/>
    <d v="2002-03-03T00:00:00"/>
  </r>
  <r>
    <x v="1"/>
    <n v="13980433"/>
    <x v="0"/>
    <d v="2025-10-23T00:00:00"/>
    <x v="0"/>
    <x v="8"/>
    <x v="10"/>
    <d v="2026-02-10T00:00:00"/>
    <n v="110"/>
    <n v="3.6666666666666665"/>
    <n v="0"/>
    <n v="0"/>
    <n v="1"/>
    <x v="0"/>
    <n v="27.273972602739725"/>
    <x v="1"/>
    <n v="3"/>
    <d v="1998-07-22T00:00:00"/>
  </r>
  <r>
    <x v="1"/>
    <n v="13996024"/>
    <x v="0"/>
    <d v="2025-08-01T00:00:00"/>
    <x v="0"/>
    <x v="9"/>
    <x v="12"/>
    <d v="2025-09-11T00:00:00"/>
    <n v="41"/>
    <n v="1.3666666666666667"/>
    <n v="0"/>
    <n v="1"/>
    <n v="1"/>
    <x v="0"/>
    <n v="22.224657534246575"/>
    <x v="2"/>
    <n v="2"/>
    <d v="2003-05-17T00:00:00"/>
  </r>
  <r>
    <x v="1"/>
    <n v="14076722"/>
    <x v="0"/>
    <d v="2025-05-26T00:00:00"/>
    <x v="0"/>
    <x v="1"/>
    <x v="2"/>
    <m/>
    <n v="9999"/>
    <n v="333.3"/>
    <n v="0"/>
    <n v="0"/>
    <n v="0"/>
    <x v="0"/>
    <n v="21.610958904109587"/>
    <x v="2"/>
    <n v="2"/>
    <d v="2003-10-21T00:00:00"/>
  </r>
  <r>
    <x v="1"/>
    <n v="14224251"/>
    <x v="0"/>
    <d v="2025-04-25T00:00:00"/>
    <x v="0"/>
    <x v="2"/>
    <x v="3"/>
    <m/>
    <n v="9999"/>
    <n v="333.3"/>
    <n v="0"/>
    <n v="0"/>
    <n v="0"/>
    <x v="0"/>
    <n v="21.12876712328767"/>
    <x v="2"/>
    <n v="2"/>
    <d v="2004-03-14T00:00:00"/>
  </r>
  <r>
    <x v="1"/>
    <n v="14225908"/>
    <x v="0"/>
    <d v="2026-05-01T00:00:00"/>
    <x v="1"/>
    <x v="1"/>
    <x v="1"/>
    <m/>
    <n v="9999"/>
    <n v="333.3"/>
    <n v="0"/>
    <n v="0"/>
    <n v="0"/>
    <x v="0"/>
    <n v="34.92876712328767"/>
    <x v="0"/>
    <n v="4"/>
    <d v="1991-06-05T00:00:00"/>
  </r>
  <r>
    <x v="0"/>
    <n v="14226083"/>
    <x v="0"/>
    <d v="2025-10-01T00:00:00"/>
    <x v="0"/>
    <x v="8"/>
    <x v="10"/>
    <d v="2026-03-31T00:00:00"/>
    <n v="181"/>
    <n v="6.0333333333333332"/>
    <n v="0"/>
    <n v="0"/>
    <n v="0"/>
    <x v="0"/>
    <n v="21.783561643835615"/>
    <x v="2"/>
    <n v="2"/>
    <d v="2003-12-25T00:00:00"/>
  </r>
  <r>
    <x v="1"/>
    <n v="14226083"/>
    <x v="0"/>
    <d v="2025-02-17T00:00:00"/>
    <x v="0"/>
    <x v="7"/>
    <x v="9"/>
    <d v="2025-09-30T00:00:00"/>
    <n v="225"/>
    <n v="7.5"/>
    <n v="0"/>
    <n v="0"/>
    <n v="0"/>
    <x v="0"/>
    <n v="21.164383561643834"/>
    <x v="2"/>
    <n v="2"/>
    <d v="2003-12-25T00:00:00"/>
  </r>
  <r>
    <x v="1"/>
    <n v="14236341"/>
    <x v="1"/>
    <d v="2025-11-19T00:00:00"/>
    <x v="0"/>
    <x v="4"/>
    <x v="6"/>
    <d v="2026-02-14T00:00:00"/>
    <n v="87"/>
    <n v="2.9"/>
    <n v="0"/>
    <n v="1"/>
    <n v="1"/>
    <x v="1"/>
    <n v="20.068493150684933"/>
    <x v="3"/>
    <n v="1"/>
    <d v="2005-10-30T00:00:00"/>
  </r>
  <r>
    <x v="0"/>
    <n v="14289198"/>
    <x v="1"/>
    <d v="2025-09-01T00:00:00"/>
    <x v="0"/>
    <x v="3"/>
    <x v="4"/>
    <d v="2025-12-31T00:00:00"/>
    <n v="121"/>
    <n v="4.0333333333333332"/>
    <n v="0"/>
    <n v="0"/>
    <n v="1"/>
    <x v="1"/>
    <n v="19.605479452054794"/>
    <x v="3"/>
    <n v="1"/>
    <d v="2006-01-28T00:00:00"/>
  </r>
  <r>
    <x v="0"/>
    <n v="14290348"/>
    <x v="1"/>
    <d v="2025-07-01T00:00:00"/>
    <x v="0"/>
    <x v="10"/>
    <x v="13"/>
    <m/>
    <n v="9999"/>
    <n v="333.3"/>
    <n v="0"/>
    <n v="0"/>
    <n v="0"/>
    <x v="1"/>
    <n v="22.306849315068494"/>
    <x v="2"/>
    <n v="2"/>
    <d v="2003-03-17T00:00:00"/>
  </r>
  <r>
    <x v="0"/>
    <n v="14317161"/>
    <x v="0"/>
    <d v="2025-02-01T00:00:00"/>
    <x v="0"/>
    <x v="7"/>
    <x v="9"/>
    <d v="2025-08-04T00:00:00"/>
    <n v="184"/>
    <n v="6.1333333333333337"/>
    <n v="0"/>
    <n v="0"/>
    <n v="0"/>
    <x v="1"/>
    <n v="29.534246575342465"/>
    <x v="1"/>
    <n v="3"/>
    <d v="1995-07-29T00:00:00"/>
  </r>
  <r>
    <x v="1"/>
    <n v="14321938"/>
    <x v="0"/>
    <d v="2025-05-01T00:00:00"/>
    <x v="0"/>
    <x v="1"/>
    <x v="2"/>
    <d v="2025-05-05T00:00:00"/>
    <n v="4"/>
    <n v="0.13333333333333333"/>
    <n v="1"/>
    <n v="1"/>
    <n v="1"/>
    <x v="0"/>
    <n v="23.07123287671233"/>
    <x v="2"/>
    <n v="2"/>
    <d v="2002-04-11T00:00:00"/>
  </r>
  <r>
    <x v="1"/>
    <n v="14343886"/>
    <x v="0"/>
    <d v="2026-04-20T00:00:00"/>
    <x v="1"/>
    <x v="2"/>
    <x v="11"/>
    <m/>
    <n v="9999"/>
    <n v="333.3"/>
    <n v="0"/>
    <n v="0"/>
    <n v="0"/>
    <x v="1"/>
    <n v="22.495890410958904"/>
    <x v="2"/>
    <n v="2"/>
    <d v="2003-10-27T00:00:00"/>
  </r>
  <r>
    <x v="0"/>
    <n v="14347691"/>
    <x v="0"/>
    <d v="2025-11-01T00:00:00"/>
    <x v="0"/>
    <x v="4"/>
    <x v="6"/>
    <d v="2026-03-15T00:00:00"/>
    <n v="134"/>
    <n v="4.4666666666666668"/>
    <n v="0"/>
    <n v="0"/>
    <n v="1"/>
    <x v="0"/>
    <n v="30.789041095890411"/>
    <x v="1"/>
    <n v="3"/>
    <d v="1995-01-25T00:00:00"/>
  </r>
  <r>
    <x v="0"/>
    <n v="14486043"/>
    <x v="0"/>
    <d v="2026-02-01T00:00:00"/>
    <x v="1"/>
    <x v="7"/>
    <x v="15"/>
    <m/>
    <n v="9999"/>
    <n v="333.3"/>
    <n v="0"/>
    <n v="0"/>
    <n v="0"/>
    <x v="0"/>
    <n v="20.602739726027398"/>
    <x v="3"/>
    <n v="1"/>
    <d v="2005-07-01T00:00:00"/>
  </r>
  <r>
    <x v="0"/>
    <n v="14787999"/>
    <x v="1"/>
    <d v="2025-06-01T00:00:00"/>
    <x v="0"/>
    <x v="11"/>
    <x v="16"/>
    <m/>
    <n v="9999"/>
    <n v="333.3"/>
    <n v="0"/>
    <n v="0"/>
    <n v="0"/>
    <x v="1"/>
    <n v="19.950684931506849"/>
    <x v="3"/>
    <n v="1"/>
    <d v="2005-06-24T00:00:00"/>
  </r>
  <r>
    <x v="0"/>
    <n v="14789027"/>
    <x v="1"/>
    <d v="2025-07-01T00:00:00"/>
    <x v="0"/>
    <x v="10"/>
    <x v="13"/>
    <m/>
    <n v="9999"/>
    <n v="333.3"/>
    <n v="0"/>
    <n v="0"/>
    <n v="0"/>
    <x v="1"/>
    <n v="28.021917808219179"/>
    <x v="1"/>
    <n v="3"/>
    <d v="1997-06-30T00:00:00"/>
  </r>
  <r>
    <x v="0"/>
    <n v="14794617"/>
    <x v="0"/>
    <d v="2026-01-01T00:00:00"/>
    <x v="1"/>
    <x v="6"/>
    <x v="8"/>
    <m/>
    <n v="9999"/>
    <n v="333.3"/>
    <n v="0"/>
    <n v="0"/>
    <n v="0"/>
    <x v="1"/>
    <n v="21.30958904109589"/>
    <x v="2"/>
    <n v="2"/>
    <d v="2004-09-15T00:00:00"/>
  </r>
  <r>
    <x v="0"/>
    <n v="14921901"/>
    <x v="0"/>
    <d v="2025-12-17T00:00:00"/>
    <x v="0"/>
    <x v="5"/>
    <x v="7"/>
    <d v="2026-03-15T00:00:00"/>
    <n v="88"/>
    <n v="2.9333333333333331"/>
    <n v="0"/>
    <n v="1"/>
    <n v="1"/>
    <x v="1"/>
    <n v="21.950684931506849"/>
    <x v="2"/>
    <n v="2"/>
    <d v="2004-01-10T00:00:00"/>
  </r>
  <r>
    <x v="1"/>
    <n v="15026469"/>
    <x v="0"/>
    <d v="2025-11-06T00:00:00"/>
    <x v="0"/>
    <x v="4"/>
    <x v="6"/>
    <m/>
    <n v="9999"/>
    <n v="333.3"/>
    <n v="0"/>
    <n v="0"/>
    <n v="0"/>
    <x v="0"/>
    <n v="19.791780821917808"/>
    <x v="3"/>
    <n v="1"/>
    <d v="2006-01-26T00:00:00"/>
  </r>
  <r>
    <x v="0"/>
    <n v="15262407"/>
    <x v="0"/>
    <d v="2025-11-01T00:00:00"/>
    <x v="0"/>
    <x v="4"/>
    <x v="6"/>
    <d v="2026-02-01T00:00:00"/>
    <n v="92"/>
    <n v="3.0666666666666669"/>
    <n v="0"/>
    <n v="0"/>
    <n v="1"/>
    <x v="1"/>
    <n v="22.586301369863012"/>
    <x v="2"/>
    <n v="2"/>
    <d v="2003-04-07T00:00:00"/>
  </r>
  <r>
    <x v="1"/>
    <n v="15519312"/>
    <x v="0"/>
    <d v="2026-03-11T00:00:00"/>
    <x v="1"/>
    <x v="0"/>
    <x v="5"/>
    <m/>
    <n v="9999"/>
    <n v="333.3"/>
    <n v="0"/>
    <n v="0"/>
    <n v="0"/>
    <x v="1"/>
    <n v="33.484931506849314"/>
    <x v="0"/>
    <n v="4"/>
    <d v="1992-09-23T00:00:00"/>
  </r>
  <r>
    <x v="0"/>
    <n v="15553142"/>
    <x v="0"/>
    <d v="2025-03-01T00:00:00"/>
    <x v="0"/>
    <x v="0"/>
    <x v="0"/>
    <d v="2025-11-30T00:00:00"/>
    <n v="274"/>
    <n v="9.1333333333333329"/>
    <n v="0"/>
    <n v="0"/>
    <n v="0"/>
    <x v="0"/>
    <n v="20.331506849315069"/>
    <x v="3"/>
    <n v="1"/>
    <d v="2004-11-05T00:00:00"/>
  </r>
  <r>
    <x v="1"/>
    <n v="15620983"/>
    <x v="0"/>
    <d v="2025-06-01T00:00:00"/>
    <x v="0"/>
    <x v="11"/>
    <x v="16"/>
    <m/>
    <n v="9999"/>
    <n v="333.3"/>
    <n v="0"/>
    <n v="0"/>
    <n v="0"/>
    <x v="1"/>
    <n v="19.164383561643834"/>
    <x v="3"/>
    <n v="1"/>
    <d v="2006-04-07T00:00:00"/>
  </r>
  <r>
    <x v="0"/>
    <n v="15635398"/>
    <x v="0"/>
    <d v="2025-08-01T00:00:00"/>
    <x v="0"/>
    <x v="9"/>
    <x v="12"/>
    <m/>
    <n v="9999"/>
    <n v="333.3"/>
    <n v="0"/>
    <n v="0"/>
    <n v="0"/>
    <x v="1"/>
    <n v="20.63013698630137"/>
    <x v="3"/>
    <n v="1"/>
    <d v="2004-12-19T00:00:00"/>
  </r>
  <r>
    <x v="1"/>
    <n v="15663438"/>
    <x v="0"/>
    <d v="2026-05-26T00:00:00"/>
    <x v="1"/>
    <x v="1"/>
    <x v="1"/>
    <m/>
    <n v="9999"/>
    <n v="333.3"/>
    <n v="0"/>
    <n v="0"/>
    <n v="0"/>
    <x v="1"/>
    <n v="29.649315068493152"/>
    <x v="1"/>
    <n v="3"/>
    <d v="1996-10-08T00:00:00"/>
  </r>
  <r>
    <x v="0"/>
    <n v="15672235"/>
    <x v="0"/>
    <d v="2026-05-01T00:00:00"/>
    <x v="1"/>
    <x v="1"/>
    <x v="1"/>
    <m/>
    <n v="9999"/>
    <n v="333.3"/>
    <n v="0"/>
    <n v="0"/>
    <n v="0"/>
    <x v="1"/>
    <n v="39.969863013698628"/>
    <x v="0"/>
    <n v="4"/>
    <d v="1986-05-22T00:00:00"/>
  </r>
  <r>
    <x v="0"/>
    <n v="15682438"/>
    <x v="1"/>
    <d v="2025-02-01T00:00:00"/>
    <x v="0"/>
    <x v="7"/>
    <x v="9"/>
    <m/>
    <n v="9999"/>
    <n v="333.3"/>
    <n v="0"/>
    <n v="0"/>
    <n v="0"/>
    <x v="1"/>
    <n v="26.786301369863015"/>
    <x v="1"/>
    <n v="3"/>
    <d v="1998-04-27T00:00:00"/>
  </r>
  <r>
    <x v="0"/>
    <n v="15718562"/>
    <x v="0"/>
    <d v="2025-05-01T00:00:00"/>
    <x v="0"/>
    <x v="1"/>
    <x v="2"/>
    <m/>
    <n v="9999"/>
    <n v="333.3"/>
    <n v="0"/>
    <n v="0"/>
    <n v="0"/>
    <x v="1"/>
    <n v="41.010958904109586"/>
    <x v="0"/>
    <n v="4"/>
    <d v="1984-05-07T00:00:00"/>
  </r>
  <r>
    <x v="0"/>
    <n v="15834574"/>
    <x v="0"/>
    <d v="2025-05-01T00:00:00"/>
    <x v="0"/>
    <x v="1"/>
    <x v="2"/>
    <d v="2026-02-06T00:00:00"/>
    <n v="281"/>
    <n v="9.3666666666666671"/>
    <n v="0"/>
    <n v="0"/>
    <n v="0"/>
    <x v="1"/>
    <n v="28.632876712328766"/>
    <x v="1"/>
    <n v="3"/>
    <d v="1996-09-19T00:00:00"/>
  </r>
  <r>
    <x v="1"/>
    <n v="15836682"/>
    <x v="0"/>
    <d v="2026-05-19T00:00:00"/>
    <x v="1"/>
    <x v="1"/>
    <x v="1"/>
    <m/>
    <n v="9999"/>
    <n v="333.3"/>
    <n v="0"/>
    <n v="0"/>
    <n v="0"/>
    <x v="0"/>
    <n v="25.36986301369863"/>
    <x v="2"/>
    <n v="2"/>
    <d v="2001-01-10T00:00:00"/>
  </r>
  <r>
    <x v="0"/>
    <n v="15878667"/>
    <x v="1"/>
    <d v="2025-08-23T00:00:00"/>
    <x v="0"/>
    <x v="9"/>
    <x v="12"/>
    <d v="2025-09-15T00:00:00"/>
    <n v="23"/>
    <n v="0.76666666666666672"/>
    <n v="1"/>
    <n v="1"/>
    <n v="1"/>
    <x v="1"/>
    <n v="25.161643835616438"/>
    <x v="2"/>
    <n v="2"/>
    <d v="2000-07-01T00:00:00"/>
  </r>
  <r>
    <x v="0"/>
    <n v="15879242"/>
    <x v="0"/>
    <d v="2025-05-01T00:00:00"/>
    <x v="0"/>
    <x v="1"/>
    <x v="2"/>
    <m/>
    <n v="9999"/>
    <n v="333.3"/>
    <n v="0"/>
    <n v="0"/>
    <n v="0"/>
    <x v="0"/>
    <n v="24.18904109589041"/>
    <x v="2"/>
    <n v="2"/>
    <d v="2001-02-27T00:00:00"/>
  </r>
  <r>
    <x v="0"/>
    <n v="15958475"/>
    <x v="0"/>
    <d v="2026-05-01T00:00:00"/>
    <x v="1"/>
    <x v="1"/>
    <x v="1"/>
    <m/>
    <n v="9999"/>
    <n v="333.3"/>
    <n v="0"/>
    <n v="0"/>
    <n v="0"/>
    <x v="0"/>
    <n v="23.38082191780822"/>
    <x v="2"/>
    <n v="2"/>
    <d v="2002-12-19T00:00:00"/>
  </r>
  <r>
    <x v="0"/>
    <n v="15985268"/>
    <x v="0"/>
    <d v="2026-03-01T00:00:00"/>
    <x v="1"/>
    <x v="0"/>
    <x v="5"/>
    <m/>
    <n v="9999"/>
    <n v="333.3"/>
    <n v="0"/>
    <n v="0"/>
    <n v="0"/>
    <x v="1"/>
    <n v="54.419178082191777"/>
    <x v="0"/>
    <n v="4"/>
    <d v="1971-10-13T00:00:00"/>
  </r>
  <r>
    <x v="0"/>
    <n v="16013822"/>
    <x v="0"/>
    <d v="2025-04-01T00:00:00"/>
    <x v="0"/>
    <x v="2"/>
    <x v="3"/>
    <m/>
    <n v="9999"/>
    <n v="333.3"/>
    <n v="0"/>
    <n v="0"/>
    <n v="0"/>
    <x v="1"/>
    <n v="21.356164383561644"/>
    <x v="2"/>
    <n v="2"/>
    <d v="2003-11-28T00:00:00"/>
  </r>
  <r>
    <x v="1"/>
    <n v="16027153"/>
    <x v="1"/>
    <d v="2025-12-01T00:00:00"/>
    <x v="0"/>
    <x v="5"/>
    <x v="7"/>
    <m/>
    <n v="9999"/>
    <n v="333.3"/>
    <n v="0"/>
    <n v="0"/>
    <n v="0"/>
    <x v="0"/>
    <n v="19.756164383561643"/>
    <x v="3"/>
    <n v="1"/>
    <d v="2006-03-05T00:00:00"/>
  </r>
  <r>
    <x v="0"/>
    <n v="16032746"/>
    <x v="0"/>
    <d v="2025-02-01T00:00:00"/>
    <x v="0"/>
    <x v="7"/>
    <x v="9"/>
    <d v="2025-05-31T00:00:00"/>
    <n v="119"/>
    <n v="3.9666666666666668"/>
    <n v="0"/>
    <n v="0"/>
    <n v="1"/>
    <x v="0"/>
    <n v="19.468493150684932"/>
    <x v="3"/>
    <n v="1"/>
    <d v="2005-08-19T00:00:00"/>
  </r>
  <r>
    <x v="1"/>
    <n v="16053416"/>
    <x v="1"/>
    <d v="2025-09-26T00:00:00"/>
    <x v="0"/>
    <x v="3"/>
    <x v="4"/>
    <d v="2025-10-06T00:00:00"/>
    <n v="10"/>
    <n v="0.33333333333333331"/>
    <n v="1"/>
    <n v="1"/>
    <n v="1"/>
    <x v="0"/>
    <n v="22.69041095890411"/>
    <x v="2"/>
    <n v="2"/>
    <d v="2003-01-23T00:00:00"/>
  </r>
  <r>
    <x v="1"/>
    <n v="16053925"/>
    <x v="0"/>
    <d v="2026-05-19T00:00:00"/>
    <x v="1"/>
    <x v="1"/>
    <x v="1"/>
    <m/>
    <n v="9999"/>
    <n v="333.3"/>
    <n v="0"/>
    <n v="0"/>
    <n v="0"/>
    <x v="0"/>
    <n v="21.665753424657535"/>
    <x v="2"/>
    <n v="2"/>
    <d v="2004-09-23T00:00:00"/>
  </r>
  <r>
    <x v="1"/>
    <n v="16220284"/>
    <x v="0"/>
    <d v="2025-09-02T00:00:00"/>
    <x v="0"/>
    <x v="3"/>
    <x v="4"/>
    <d v="2026-02-28T00:00:00"/>
    <n v="179"/>
    <n v="5.9666666666666668"/>
    <n v="0"/>
    <n v="0"/>
    <n v="1"/>
    <x v="1"/>
    <n v="19.69041095890411"/>
    <x v="3"/>
    <n v="1"/>
    <d v="2005-12-29T00:00:00"/>
  </r>
  <r>
    <x v="0"/>
    <n v="16221113"/>
    <x v="0"/>
    <d v="2025-03-01T00:00:00"/>
    <x v="0"/>
    <x v="0"/>
    <x v="0"/>
    <m/>
    <n v="9999"/>
    <n v="333.3"/>
    <n v="0"/>
    <n v="0"/>
    <n v="0"/>
    <x v="0"/>
    <n v="27.610958904109587"/>
    <x v="1"/>
    <n v="3"/>
    <d v="1997-07-28T00:00:00"/>
  </r>
  <r>
    <x v="1"/>
    <n v="16239075"/>
    <x v="0"/>
    <d v="2025-03-01T00:00:00"/>
    <x v="0"/>
    <x v="0"/>
    <x v="0"/>
    <d v="2025-05-14T00:00:00"/>
    <n v="74"/>
    <n v="2.4666666666666668"/>
    <n v="0"/>
    <n v="1"/>
    <n v="1"/>
    <x v="0"/>
    <n v="20.290410958904111"/>
    <x v="3"/>
    <n v="1"/>
    <d v="2004-11-20T00:00:00"/>
  </r>
  <r>
    <x v="1"/>
    <n v="16267120"/>
    <x v="0"/>
    <d v="2026-05-11T00:00:00"/>
    <x v="1"/>
    <x v="1"/>
    <x v="1"/>
    <d v="2026-05-31T00:00:00"/>
    <n v="20"/>
    <n v="0.66666666666666663"/>
    <n v="1"/>
    <n v="1"/>
    <n v="1"/>
    <x v="1"/>
    <n v="20.238356164383561"/>
    <x v="3"/>
    <n v="1"/>
    <d v="2006-02-18T00:00:00"/>
  </r>
  <r>
    <x v="0"/>
    <n v="16382170"/>
    <x v="0"/>
    <d v="2025-05-01T00:00:00"/>
    <x v="0"/>
    <x v="1"/>
    <x v="2"/>
    <d v="2025-06-05T00:00:00"/>
    <n v="35"/>
    <n v="1.1666666666666667"/>
    <n v="0"/>
    <n v="1"/>
    <n v="1"/>
    <x v="0"/>
    <n v="24.328767123287673"/>
    <x v="2"/>
    <n v="2"/>
    <d v="2001-01-07T00:00:00"/>
  </r>
  <r>
    <x v="0"/>
    <n v="16481385"/>
    <x v="0"/>
    <d v="2025-07-01T00:00:00"/>
    <x v="0"/>
    <x v="10"/>
    <x v="13"/>
    <d v="2025-12-03T00:00:00"/>
    <n v="155"/>
    <n v="5.166666666666667"/>
    <n v="0"/>
    <n v="0"/>
    <n v="1"/>
    <x v="1"/>
    <n v="27.145205479452056"/>
    <x v="1"/>
    <n v="3"/>
    <d v="1998-05-16T00:00:00"/>
  </r>
  <r>
    <x v="0"/>
    <n v="16662518"/>
    <x v="0"/>
    <d v="2026-04-01T00:00:00"/>
    <x v="1"/>
    <x v="2"/>
    <x v="11"/>
    <m/>
    <n v="9999"/>
    <n v="333.3"/>
    <n v="0"/>
    <n v="0"/>
    <n v="0"/>
    <x v="0"/>
    <n v="28.495890410958904"/>
    <x v="1"/>
    <n v="3"/>
    <d v="1997-10-09T00:00:00"/>
  </r>
  <r>
    <x v="1"/>
    <n v="16674816"/>
    <x v="0"/>
    <d v="2025-05-16T00:00:00"/>
    <x v="0"/>
    <x v="1"/>
    <x v="2"/>
    <m/>
    <n v="9999"/>
    <n v="333.3"/>
    <n v="0"/>
    <n v="0"/>
    <n v="0"/>
    <x v="1"/>
    <n v="21.934246575342467"/>
    <x v="2"/>
    <n v="2"/>
    <d v="2003-06-15T00:00:00"/>
  </r>
  <r>
    <x v="1"/>
    <n v="16684091"/>
    <x v="1"/>
    <d v="2026-04-28T00:00:00"/>
    <x v="1"/>
    <x v="2"/>
    <x v="11"/>
    <m/>
    <n v="9999"/>
    <n v="333.3"/>
    <n v="0"/>
    <n v="0"/>
    <n v="0"/>
    <x v="0"/>
    <n v="23.117808219178084"/>
    <x v="2"/>
    <n v="2"/>
    <d v="2003-03-22T00:00:00"/>
  </r>
  <r>
    <x v="1"/>
    <n v="16710385"/>
    <x v="1"/>
    <d v="2025-11-21T00:00:00"/>
    <x v="0"/>
    <x v="4"/>
    <x v="6"/>
    <d v="2025-12-01T00:00:00"/>
    <n v="10"/>
    <n v="0.33333333333333331"/>
    <n v="1"/>
    <n v="1"/>
    <n v="1"/>
    <x v="1"/>
    <n v="19.92876712328767"/>
    <x v="3"/>
    <n v="1"/>
    <d v="2005-12-22T00:00:00"/>
  </r>
  <r>
    <x v="1"/>
    <n v="16803565"/>
    <x v="0"/>
    <d v="2025-02-19T00:00:00"/>
    <x v="0"/>
    <x v="7"/>
    <x v="9"/>
    <d v="2026-05-31T00:00:00"/>
    <n v="466"/>
    <n v="15.533333333333333"/>
    <n v="0"/>
    <n v="0"/>
    <n v="0"/>
    <x v="0"/>
    <n v="19.728767123287671"/>
    <x v="3"/>
    <n v="1"/>
    <d v="2005-06-03T00:00:00"/>
  </r>
  <r>
    <x v="0"/>
    <n v="16823350"/>
    <x v="1"/>
    <d v="2025-09-01T00:00:00"/>
    <x v="0"/>
    <x v="3"/>
    <x v="4"/>
    <d v="2026-01-15T00:00:00"/>
    <n v="136"/>
    <n v="4.5333333333333332"/>
    <n v="0"/>
    <n v="0"/>
    <n v="1"/>
    <x v="1"/>
    <n v="19.712328767123289"/>
    <x v="3"/>
    <n v="1"/>
    <d v="2005-12-20T00:00:00"/>
  </r>
  <r>
    <x v="0"/>
    <n v="16850490"/>
    <x v="1"/>
    <d v="2025-03-01T00:00:00"/>
    <x v="0"/>
    <x v="0"/>
    <x v="0"/>
    <m/>
    <n v="9999"/>
    <n v="333.3"/>
    <n v="0"/>
    <n v="0"/>
    <n v="0"/>
    <x v="1"/>
    <n v="21.290410958904111"/>
    <x v="2"/>
    <n v="2"/>
    <d v="2003-11-21T00:00:00"/>
  </r>
  <r>
    <x v="0"/>
    <n v="16860198"/>
    <x v="1"/>
    <d v="2025-10-01T00:00:00"/>
    <x v="0"/>
    <x v="8"/>
    <x v="10"/>
    <m/>
    <n v="9999"/>
    <n v="333.3"/>
    <n v="0"/>
    <n v="0"/>
    <n v="0"/>
    <x v="1"/>
    <n v="20.764383561643836"/>
    <x v="3"/>
    <n v="1"/>
    <d v="2004-12-31T00:00:00"/>
  </r>
  <r>
    <x v="1"/>
    <n v="16867042"/>
    <x v="0"/>
    <d v="2025-08-13T00:00:00"/>
    <x v="0"/>
    <x v="9"/>
    <x v="12"/>
    <m/>
    <n v="9999"/>
    <n v="333.3"/>
    <n v="0"/>
    <n v="0"/>
    <n v="0"/>
    <x v="1"/>
    <n v="19.169863013698631"/>
    <x v="3"/>
    <n v="1"/>
    <d v="2006-06-17T00:00:00"/>
  </r>
  <r>
    <x v="0"/>
    <n v="16867238"/>
    <x v="1"/>
    <d v="2026-03-01T00:00:00"/>
    <x v="1"/>
    <x v="0"/>
    <x v="5"/>
    <m/>
    <n v="9999"/>
    <n v="333.3"/>
    <n v="0"/>
    <n v="0"/>
    <n v="0"/>
    <x v="1"/>
    <n v="23.712328767123289"/>
    <x v="2"/>
    <n v="2"/>
    <d v="2002-06-20T00:00:00"/>
  </r>
  <r>
    <x v="0"/>
    <n v="16893843"/>
    <x v="0"/>
    <d v="2025-10-01T00:00:00"/>
    <x v="0"/>
    <x v="8"/>
    <x v="10"/>
    <m/>
    <n v="9999"/>
    <n v="333.3"/>
    <n v="0"/>
    <n v="0"/>
    <n v="0"/>
    <x v="1"/>
    <n v="22.375342465753423"/>
    <x v="2"/>
    <n v="2"/>
    <d v="2003-05-23T00:00:00"/>
  </r>
  <r>
    <x v="1"/>
    <n v="16905977"/>
    <x v="0"/>
    <d v="2025-05-01T00:00:00"/>
    <x v="0"/>
    <x v="1"/>
    <x v="2"/>
    <m/>
    <n v="9999"/>
    <n v="333.3"/>
    <n v="0"/>
    <n v="0"/>
    <n v="0"/>
    <x v="0"/>
    <n v="26.049315068493151"/>
    <x v="1"/>
    <n v="3"/>
    <d v="1999-04-20T00:00:00"/>
  </r>
  <r>
    <x v="0"/>
    <n v="16995644"/>
    <x v="0"/>
    <d v="2026-04-01T00:00:00"/>
    <x v="1"/>
    <x v="2"/>
    <x v="11"/>
    <m/>
    <n v="9999"/>
    <n v="333.3"/>
    <n v="0"/>
    <n v="0"/>
    <n v="0"/>
    <x v="0"/>
    <n v="24.035616438356165"/>
    <x v="2"/>
    <n v="2"/>
    <d v="2002-03-25T00:00:00"/>
  </r>
  <r>
    <x v="0"/>
    <n v="17016087"/>
    <x v="0"/>
    <d v="2026-02-01T00:00:00"/>
    <x v="1"/>
    <x v="7"/>
    <x v="15"/>
    <m/>
    <n v="9999"/>
    <n v="333.3"/>
    <n v="0"/>
    <n v="0"/>
    <n v="0"/>
    <x v="1"/>
    <n v="20.432876712328767"/>
    <x v="3"/>
    <n v="1"/>
    <d v="2005-09-01T00:00:00"/>
  </r>
  <r>
    <x v="0"/>
    <n v="17017961"/>
    <x v="0"/>
    <d v="2025-04-01T00:00:00"/>
    <x v="0"/>
    <x v="2"/>
    <x v="3"/>
    <d v="2026-02-16T00:00:00"/>
    <n v="321"/>
    <n v="10.7"/>
    <n v="0"/>
    <n v="0"/>
    <n v="0"/>
    <x v="1"/>
    <n v="39.80821917808219"/>
    <x v="0"/>
    <n v="4"/>
    <d v="1985-06-20T00:00:00"/>
  </r>
  <r>
    <x v="0"/>
    <n v="17088184"/>
    <x v="0"/>
    <d v="2025-07-01T00:00:00"/>
    <x v="0"/>
    <x v="10"/>
    <x v="13"/>
    <d v="2025-09-01T00:00:00"/>
    <n v="62"/>
    <n v="2.0666666666666669"/>
    <n v="0"/>
    <n v="1"/>
    <n v="1"/>
    <x v="1"/>
    <n v="21.854794520547944"/>
    <x v="2"/>
    <n v="2"/>
    <d v="2003-08-29T00:00:00"/>
  </r>
  <r>
    <x v="0"/>
    <n v="17140435"/>
    <x v="1"/>
    <d v="2026-02-01T00:00:00"/>
    <x v="1"/>
    <x v="7"/>
    <x v="15"/>
    <d v="2026-03-15T00:00:00"/>
    <n v="42"/>
    <n v="1.4"/>
    <n v="0"/>
    <n v="1"/>
    <n v="1"/>
    <x v="1"/>
    <n v="20.67945205479452"/>
    <x v="3"/>
    <n v="1"/>
    <d v="2005-06-03T00:00:00"/>
  </r>
  <r>
    <x v="1"/>
    <n v="17140866"/>
    <x v="0"/>
    <d v="2025-11-20T00:00:00"/>
    <x v="0"/>
    <x v="4"/>
    <x v="6"/>
    <m/>
    <n v="9999"/>
    <n v="333.3"/>
    <n v="0"/>
    <n v="0"/>
    <n v="0"/>
    <x v="1"/>
    <n v="22.583561643835615"/>
    <x v="2"/>
    <n v="2"/>
    <d v="2003-04-27T00:00:00"/>
  </r>
  <r>
    <x v="0"/>
    <n v="17161481"/>
    <x v="1"/>
    <d v="2025-09-01T00:00:00"/>
    <x v="0"/>
    <x v="3"/>
    <x v="4"/>
    <m/>
    <n v="9999"/>
    <n v="333.3"/>
    <n v="0"/>
    <n v="0"/>
    <n v="0"/>
    <x v="0"/>
    <n v="25.008219178082193"/>
    <x v="2"/>
    <n v="2"/>
    <d v="2000-09-04T00:00:00"/>
  </r>
  <r>
    <x v="0"/>
    <n v="17220299"/>
    <x v="0"/>
    <d v="2025-02-01T00:00:00"/>
    <x v="0"/>
    <x v="7"/>
    <x v="9"/>
    <d v="2026-03-17T00:00:00"/>
    <n v="409"/>
    <n v="13.633333333333333"/>
    <n v="0"/>
    <n v="0"/>
    <n v="0"/>
    <x v="0"/>
    <n v="25.394520547945206"/>
    <x v="2"/>
    <n v="2"/>
    <d v="1999-09-17T00:00:00"/>
  </r>
  <r>
    <x v="0"/>
    <n v="17220739"/>
    <x v="0"/>
    <d v="2025-07-01T00:00:00"/>
    <x v="0"/>
    <x v="10"/>
    <x v="13"/>
    <d v="2025-11-03T00:00:00"/>
    <n v="125"/>
    <n v="4.166666666666667"/>
    <n v="0"/>
    <n v="0"/>
    <n v="1"/>
    <x v="0"/>
    <n v="26.789041095890411"/>
    <x v="1"/>
    <n v="3"/>
    <d v="1998-09-23T00:00:00"/>
  </r>
  <r>
    <x v="0"/>
    <n v="17268493"/>
    <x v="0"/>
    <d v="2025-05-01T00:00:00"/>
    <x v="0"/>
    <x v="1"/>
    <x v="2"/>
    <m/>
    <n v="9999"/>
    <n v="333.3"/>
    <n v="0"/>
    <n v="0"/>
    <n v="0"/>
    <x v="1"/>
    <n v="23.81917808219178"/>
    <x v="2"/>
    <n v="2"/>
    <d v="2001-07-12T00:00:00"/>
  </r>
  <r>
    <x v="1"/>
    <n v="17304371"/>
    <x v="0"/>
    <d v="2026-02-01T00:00:00"/>
    <x v="1"/>
    <x v="7"/>
    <x v="15"/>
    <d v="2026-05-31T00:00:00"/>
    <n v="119"/>
    <n v="3.9666666666666668"/>
    <n v="0"/>
    <n v="0"/>
    <n v="1"/>
    <x v="1"/>
    <n v="19.895890410958906"/>
    <x v="3"/>
    <n v="1"/>
    <d v="2006-03-16T00:00:00"/>
  </r>
  <r>
    <x v="0"/>
    <n v="17304371"/>
    <x v="0"/>
    <d v="2025-05-01T00:00:00"/>
    <x v="0"/>
    <x v="1"/>
    <x v="2"/>
    <d v="2026-01-31T00:00:00"/>
    <n v="275"/>
    <n v="9.1666666666666661"/>
    <n v="0"/>
    <n v="0"/>
    <n v="0"/>
    <x v="1"/>
    <n v="19.139726027397259"/>
    <x v="3"/>
    <n v="1"/>
    <d v="2006-03-16T00:00:00"/>
  </r>
  <r>
    <x v="0"/>
    <n v="17304700"/>
    <x v="1"/>
    <d v="2025-06-01T00:00:00"/>
    <x v="0"/>
    <x v="11"/>
    <x v="16"/>
    <d v="2025-08-01T00:00:00"/>
    <n v="61"/>
    <n v="2.0333333333333332"/>
    <n v="0"/>
    <n v="1"/>
    <n v="1"/>
    <x v="1"/>
    <n v="19.224657534246575"/>
    <x v="3"/>
    <n v="1"/>
    <d v="2006-03-16T00:00:00"/>
  </r>
  <r>
    <x v="0"/>
    <n v="17342559"/>
    <x v="0"/>
    <d v="2025-10-01T00:00:00"/>
    <x v="0"/>
    <x v="8"/>
    <x v="10"/>
    <m/>
    <n v="9999"/>
    <n v="333.3"/>
    <n v="0"/>
    <n v="0"/>
    <n v="0"/>
    <x v="0"/>
    <n v="28.671232876712327"/>
    <x v="1"/>
    <n v="3"/>
    <d v="1997-02-05T00:00:00"/>
  </r>
  <r>
    <x v="0"/>
    <n v="17366967"/>
    <x v="1"/>
    <d v="2025-04-01T00:00:00"/>
    <x v="0"/>
    <x v="2"/>
    <x v="3"/>
    <d v="2025-09-15T00:00:00"/>
    <n v="167"/>
    <n v="5.5666666666666664"/>
    <n v="0"/>
    <n v="0"/>
    <n v="1"/>
    <x v="1"/>
    <n v="18.652054794520549"/>
    <x v="3"/>
    <n v="1"/>
    <d v="2006-08-11T00:00:00"/>
  </r>
  <r>
    <x v="0"/>
    <n v="17431587"/>
    <x v="0"/>
    <d v="2025-09-01T00:00:00"/>
    <x v="0"/>
    <x v="3"/>
    <x v="4"/>
    <m/>
    <n v="9999"/>
    <n v="333.3"/>
    <n v="0"/>
    <n v="0"/>
    <n v="0"/>
    <x v="1"/>
    <n v="55.079452054794523"/>
    <x v="0"/>
    <n v="4"/>
    <d v="1970-08-17T00:00:00"/>
  </r>
  <r>
    <x v="1"/>
    <n v="17438972"/>
    <x v="1"/>
    <d v="2025-09-01T00:00:00"/>
    <x v="0"/>
    <x v="3"/>
    <x v="4"/>
    <d v="2025-09-07T00:00:00"/>
    <n v="6"/>
    <n v="0.2"/>
    <n v="1"/>
    <n v="1"/>
    <n v="1"/>
    <x v="1"/>
    <n v="19"/>
    <x v="3"/>
    <n v="1"/>
    <d v="2006-09-06T00:00:00"/>
  </r>
  <r>
    <x v="0"/>
    <n v="17540108"/>
    <x v="0"/>
    <d v="2026-04-01T00:00:00"/>
    <x v="1"/>
    <x v="2"/>
    <x v="11"/>
    <m/>
    <n v="9999"/>
    <n v="333.3"/>
    <n v="0"/>
    <n v="0"/>
    <n v="0"/>
    <x v="1"/>
    <n v="21.24931506849315"/>
    <x v="2"/>
    <n v="2"/>
    <d v="2005-01-05T00:00:00"/>
  </r>
  <r>
    <x v="1"/>
    <n v="17564647"/>
    <x v="0"/>
    <d v="2025-05-27T00:00:00"/>
    <x v="0"/>
    <x v="1"/>
    <x v="2"/>
    <d v="2026-02-28T00:00:00"/>
    <n v="277"/>
    <n v="9.2333333333333325"/>
    <n v="0"/>
    <n v="0"/>
    <n v="0"/>
    <x v="0"/>
    <n v="19.567123287671233"/>
    <x v="3"/>
    <n v="1"/>
    <d v="2005-11-06T00:00:00"/>
  </r>
  <r>
    <x v="1"/>
    <n v="17565878"/>
    <x v="0"/>
    <d v="2025-01-31T00:00:00"/>
    <x v="0"/>
    <x v="6"/>
    <x v="14"/>
    <d v="2025-04-01T00:00:00"/>
    <n v="60"/>
    <n v="2"/>
    <n v="0"/>
    <n v="1"/>
    <n v="1"/>
    <x v="0"/>
    <n v="22.572602739726026"/>
    <x v="2"/>
    <n v="2"/>
    <d v="2002-07-12T00:00:00"/>
  </r>
  <r>
    <x v="1"/>
    <n v="17571218"/>
    <x v="0"/>
    <d v="2025-04-01T00:00:00"/>
    <x v="0"/>
    <x v="2"/>
    <x v="3"/>
    <m/>
    <n v="9999"/>
    <n v="333.3"/>
    <n v="0"/>
    <n v="0"/>
    <n v="0"/>
    <x v="0"/>
    <n v="20.545205479452054"/>
    <x v="3"/>
    <n v="1"/>
    <d v="2004-09-19T00:00:00"/>
  </r>
  <r>
    <x v="1"/>
    <n v="17571260"/>
    <x v="0"/>
    <d v="2025-04-08T00:00:00"/>
    <x v="0"/>
    <x v="2"/>
    <x v="3"/>
    <m/>
    <n v="9999"/>
    <n v="333.3"/>
    <n v="0"/>
    <n v="0"/>
    <n v="0"/>
    <x v="0"/>
    <n v="21.493150684931507"/>
    <x v="2"/>
    <n v="2"/>
    <d v="2003-10-16T00:00:00"/>
  </r>
  <r>
    <x v="1"/>
    <n v="17577238"/>
    <x v="0"/>
    <d v="2025-11-20T00:00:00"/>
    <x v="0"/>
    <x v="4"/>
    <x v="6"/>
    <d v="2026-01-01T00:00:00"/>
    <n v="42"/>
    <n v="1.4"/>
    <n v="0"/>
    <n v="1"/>
    <n v="1"/>
    <x v="1"/>
    <n v="25.539726027397261"/>
    <x v="2"/>
    <n v="2"/>
    <d v="2000-05-13T00:00:00"/>
  </r>
  <r>
    <x v="1"/>
    <n v="17577239"/>
    <x v="0"/>
    <d v="2026-04-28T00:00:00"/>
    <x v="1"/>
    <x v="2"/>
    <x v="11"/>
    <m/>
    <n v="9999"/>
    <n v="333.3"/>
    <n v="0"/>
    <n v="0"/>
    <n v="0"/>
    <x v="1"/>
    <n v="25.079452054794519"/>
    <x v="2"/>
    <n v="2"/>
    <d v="2001-04-05T00:00:00"/>
  </r>
  <r>
    <x v="0"/>
    <n v="17577247"/>
    <x v="1"/>
    <d v="2025-05-01T00:00:00"/>
    <x v="0"/>
    <x v="1"/>
    <x v="2"/>
    <d v="2025-10-20T00:00:00"/>
    <n v="172"/>
    <n v="5.7333333333333334"/>
    <n v="0"/>
    <n v="0"/>
    <n v="1"/>
    <x v="1"/>
    <n v="23.150684931506849"/>
    <x v="2"/>
    <n v="2"/>
    <d v="2002-03-13T00:00:00"/>
  </r>
  <r>
    <x v="1"/>
    <n v="17581363"/>
    <x v="1"/>
    <d v="2025-01-27T00:00:00"/>
    <x v="0"/>
    <x v="6"/>
    <x v="14"/>
    <d v="2025-04-01T00:00:00"/>
    <n v="64"/>
    <n v="2.1333333333333333"/>
    <n v="0"/>
    <n v="1"/>
    <n v="1"/>
    <x v="0"/>
    <n v="18.638356164383563"/>
    <x v="3"/>
    <n v="1"/>
    <d v="2006-06-13T00:00:00"/>
  </r>
  <r>
    <x v="1"/>
    <n v="17584524"/>
    <x v="1"/>
    <d v="2025-02-11T00:00:00"/>
    <x v="0"/>
    <x v="7"/>
    <x v="9"/>
    <d v="2025-07-31T00:00:00"/>
    <n v="170"/>
    <n v="5.666666666666667"/>
    <n v="0"/>
    <n v="0"/>
    <n v="1"/>
    <x v="1"/>
    <n v="22.243835616438357"/>
    <x v="2"/>
    <n v="2"/>
    <d v="2002-11-20T00:00:00"/>
  </r>
  <r>
    <x v="1"/>
    <n v="17587751"/>
    <x v="0"/>
    <d v="2025-02-07T00:00:00"/>
    <x v="0"/>
    <x v="7"/>
    <x v="9"/>
    <d v="2025-04-30T00:00:00"/>
    <n v="82"/>
    <n v="2.7333333333333334"/>
    <n v="0"/>
    <n v="1"/>
    <n v="1"/>
    <x v="1"/>
    <n v="19.304109589041097"/>
    <x v="3"/>
    <n v="1"/>
    <d v="2005-10-24T00:00:00"/>
  </r>
  <r>
    <x v="1"/>
    <n v="17600041"/>
    <x v="0"/>
    <d v="2025-01-31T00:00:00"/>
    <x v="0"/>
    <x v="6"/>
    <x v="14"/>
    <m/>
    <n v="9999"/>
    <n v="333.3"/>
    <n v="0"/>
    <n v="0"/>
    <n v="0"/>
    <x v="0"/>
    <n v="23.402739726027399"/>
    <x v="2"/>
    <n v="2"/>
    <d v="2001-09-12T00:00:00"/>
  </r>
  <r>
    <x v="1"/>
    <n v="17601341"/>
    <x v="0"/>
    <d v="2025-05-07T00:00:00"/>
    <x v="0"/>
    <x v="1"/>
    <x v="2"/>
    <m/>
    <n v="9999"/>
    <n v="333.3"/>
    <n v="0"/>
    <n v="0"/>
    <n v="0"/>
    <x v="0"/>
    <n v="36.38356164383562"/>
    <x v="0"/>
    <n v="4"/>
    <d v="1988-12-27T00:00:00"/>
  </r>
  <r>
    <x v="0"/>
    <n v="17602369"/>
    <x v="0"/>
    <d v="2025-04-01T00:00:00"/>
    <x v="0"/>
    <x v="2"/>
    <x v="3"/>
    <d v="2025-10-15T00:00:00"/>
    <n v="197"/>
    <n v="6.5666666666666664"/>
    <n v="0"/>
    <n v="0"/>
    <n v="0"/>
    <x v="1"/>
    <n v="24.517808219178082"/>
    <x v="2"/>
    <n v="2"/>
    <d v="2000-09-30T00:00:00"/>
  </r>
  <r>
    <x v="1"/>
    <n v="17603549"/>
    <x v="0"/>
    <d v="2025-08-29T00:00:00"/>
    <x v="0"/>
    <x v="9"/>
    <x v="12"/>
    <m/>
    <n v="9999"/>
    <n v="333.3"/>
    <n v="0"/>
    <n v="0"/>
    <n v="0"/>
    <x v="0"/>
    <n v="22.764383561643836"/>
    <x v="2"/>
    <n v="2"/>
    <d v="2002-11-29T00:00:00"/>
  </r>
  <r>
    <x v="1"/>
    <n v="17606295"/>
    <x v="1"/>
    <d v="2025-03-21T00:00:00"/>
    <x v="0"/>
    <x v="0"/>
    <x v="0"/>
    <m/>
    <n v="9999"/>
    <n v="333.3"/>
    <n v="0"/>
    <n v="0"/>
    <n v="0"/>
    <x v="0"/>
    <n v="21.32054794520548"/>
    <x v="2"/>
    <n v="2"/>
    <d v="2003-11-30T00:00:00"/>
  </r>
  <r>
    <x v="1"/>
    <n v="17609297"/>
    <x v="1"/>
    <d v="2025-09-09T00:00:00"/>
    <x v="0"/>
    <x v="3"/>
    <x v="4"/>
    <m/>
    <n v="9999"/>
    <n v="333.3"/>
    <n v="0"/>
    <n v="0"/>
    <n v="0"/>
    <x v="0"/>
    <n v="19.712328767123289"/>
    <x v="3"/>
    <n v="1"/>
    <d v="2005-12-28T00:00:00"/>
  </r>
  <r>
    <x v="1"/>
    <n v="17609949"/>
    <x v="0"/>
    <d v="2025-04-01T00:00:00"/>
    <x v="0"/>
    <x v="2"/>
    <x v="3"/>
    <d v="2025-12-31T00:00:00"/>
    <n v="274"/>
    <n v="9.1333333333333329"/>
    <n v="0"/>
    <n v="0"/>
    <n v="0"/>
    <x v="0"/>
    <n v="39.060273972602737"/>
    <x v="0"/>
    <n v="4"/>
    <d v="1986-03-20T00:00:00"/>
  </r>
  <r>
    <x v="1"/>
    <n v="17612794"/>
    <x v="1"/>
    <d v="2025-01-31T00:00:00"/>
    <x v="0"/>
    <x v="6"/>
    <x v="14"/>
    <d v="2026-04-01T00:00:00"/>
    <n v="425"/>
    <n v="14.166666666666666"/>
    <n v="0"/>
    <n v="0"/>
    <n v="0"/>
    <x v="0"/>
    <n v="19.024657534246575"/>
    <x v="3"/>
    <n v="1"/>
    <d v="2006-01-27T00:00:00"/>
  </r>
  <r>
    <x v="0"/>
    <n v="17613600"/>
    <x v="1"/>
    <d v="2025-06-01T00:00:00"/>
    <x v="0"/>
    <x v="11"/>
    <x v="16"/>
    <d v="2025-12-14T00:00:00"/>
    <n v="196"/>
    <n v="6.5333333333333332"/>
    <n v="0"/>
    <n v="0"/>
    <n v="0"/>
    <x v="1"/>
    <n v="20.243835616438357"/>
    <x v="3"/>
    <n v="1"/>
    <d v="2005-03-09T00:00:00"/>
  </r>
  <r>
    <x v="1"/>
    <n v="17620401"/>
    <x v="0"/>
    <d v="2025-02-17T00:00:00"/>
    <x v="0"/>
    <x v="7"/>
    <x v="9"/>
    <m/>
    <n v="9999"/>
    <n v="333.3"/>
    <n v="0"/>
    <n v="0"/>
    <n v="0"/>
    <x v="1"/>
    <n v="21.852054794520548"/>
    <x v="2"/>
    <n v="2"/>
    <d v="2003-04-18T00:00:00"/>
  </r>
  <r>
    <x v="1"/>
    <n v="17623608"/>
    <x v="1"/>
    <d v="2025-02-17T00:00:00"/>
    <x v="0"/>
    <x v="7"/>
    <x v="9"/>
    <d v="2025-12-21T00:00:00"/>
    <n v="307"/>
    <n v="10.233333333333333"/>
    <n v="0"/>
    <n v="0"/>
    <n v="0"/>
    <x v="0"/>
    <n v="29.397260273972602"/>
    <x v="1"/>
    <n v="3"/>
    <d v="1995-10-03T00:00:00"/>
  </r>
  <r>
    <x v="1"/>
    <n v="17624221"/>
    <x v="1"/>
    <d v="2025-02-19T00:00:00"/>
    <x v="0"/>
    <x v="7"/>
    <x v="9"/>
    <m/>
    <n v="9999"/>
    <n v="333.3"/>
    <n v="0"/>
    <n v="0"/>
    <n v="0"/>
    <x v="0"/>
    <n v="22.876712328767123"/>
    <x v="2"/>
    <n v="2"/>
    <d v="2002-04-11T00:00:00"/>
  </r>
  <r>
    <x v="1"/>
    <n v="17631828"/>
    <x v="1"/>
    <d v="2025-05-27T00:00:00"/>
    <x v="0"/>
    <x v="1"/>
    <x v="2"/>
    <m/>
    <n v="9999"/>
    <n v="333.3"/>
    <n v="0"/>
    <n v="0"/>
    <n v="0"/>
    <x v="0"/>
    <n v="20.715068493150685"/>
    <x v="3"/>
    <n v="1"/>
    <d v="2004-09-13T00:00:00"/>
  </r>
  <r>
    <x v="1"/>
    <n v="17640272"/>
    <x v="0"/>
    <d v="2025-02-17T00:00:00"/>
    <x v="0"/>
    <x v="7"/>
    <x v="9"/>
    <m/>
    <n v="9999"/>
    <n v="333.3"/>
    <n v="0"/>
    <n v="0"/>
    <n v="0"/>
    <x v="0"/>
    <n v="23.216438356164385"/>
    <x v="2"/>
    <n v="2"/>
    <d v="2001-12-06T00:00:00"/>
  </r>
  <r>
    <x v="1"/>
    <n v="17640287"/>
    <x v="1"/>
    <d v="2025-01-30T00:00:00"/>
    <x v="0"/>
    <x v="6"/>
    <x v="14"/>
    <m/>
    <n v="9999"/>
    <n v="333.3"/>
    <n v="0"/>
    <n v="0"/>
    <n v="0"/>
    <x v="0"/>
    <n v="18.32054794520548"/>
    <x v="3"/>
    <n v="1"/>
    <d v="2006-10-10T00:00:00"/>
  </r>
  <r>
    <x v="1"/>
    <n v="17640309"/>
    <x v="0"/>
    <d v="2025-03-21T00:00:00"/>
    <x v="0"/>
    <x v="0"/>
    <x v="0"/>
    <m/>
    <n v="9999"/>
    <n v="333.3"/>
    <n v="0"/>
    <n v="0"/>
    <n v="0"/>
    <x v="0"/>
    <n v="21.912328767123288"/>
    <x v="2"/>
    <n v="2"/>
    <d v="2003-04-28T00:00:00"/>
  </r>
  <r>
    <x v="1"/>
    <n v="17640313"/>
    <x v="0"/>
    <d v="2025-10-30T00:00:00"/>
    <x v="0"/>
    <x v="8"/>
    <x v="10"/>
    <d v="2026-05-31T00:00:00"/>
    <n v="213"/>
    <n v="7.1"/>
    <n v="0"/>
    <n v="0"/>
    <n v="0"/>
    <x v="1"/>
    <n v="19.334246575342465"/>
    <x v="3"/>
    <n v="1"/>
    <d v="2006-07-05T00:00:00"/>
  </r>
  <r>
    <x v="1"/>
    <n v="17640336"/>
    <x v="0"/>
    <d v="2025-10-13T00:00:00"/>
    <x v="0"/>
    <x v="8"/>
    <x v="10"/>
    <m/>
    <n v="9999"/>
    <n v="333.3"/>
    <n v="0"/>
    <n v="0"/>
    <n v="0"/>
    <x v="1"/>
    <n v="22.616438356164384"/>
    <x v="2"/>
    <n v="2"/>
    <d v="2003-03-08T00:00:00"/>
  </r>
  <r>
    <x v="1"/>
    <n v="17640359"/>
    <x v="0"/>
    <d v="2025-11-20T00:00:00"/>
    <x v="0"/>
    <x v="4"/>
    <x v="6"/>
    <m/>
    <n v="9999"/>
    <n v="333.3"/>
    <n v="0"/>
    <n v="0"/>
    <n v="0"/>
    <x v="0"/>
    <n v="31.449315068493149"/>
    <x v="0"/>
    <n v="4"/>
    <d v="1994-06-17T00:00:00"/>
  </r>
  <r>
    <x v="1"/>
    <n v="17640378"/>
    <x v="0"/>
    <d v="2026-03-31T00:00:00"/>
    <x v="1"/>
    <x v="0"/>
    <x v="5"/>
    <m/>
    <n v="9999"/>
    <n v="333.3"/>
    <n v="0"/>
    <n v="0"/>
    <n v="0"/>
    <x v="1"/>
    <n v="27.457534246575342"/>
    <x v="1"/>
    <n v="3"/>
    <d v="1998-10-22T00:00:00"/>
  </r>
  <r>
    <x v="1"/>
    <n v="17640420"/>
    <x v="0"/>
    <d v="2025-05-23T00:00:00"/>
    <x v="0"/>
    <x v="1"/>
    <x v="2"/>
    <m/>
    <n v="9999"/>
    <n v="333.3"/>
    <n v="0"/>
    <n v="0"/>
    <n v="0"/>
    <x v="1"/>
    <n v="22.397260273972602"/>
    <x v="2"/>
    <n v="2"/>
    <d v="2003-01-04T00:00:00"/>
  </r>
  <r>
    <x v="1"/>
    <n v="17640426"/>
    <x v="1"/>
    <d v="2025-02-17T00:00:00"/>
    <x v="0"/>
    <x v="7"/>
    <x v="9"/>
    <m/>
    <n v="9999"/>
    <n v="333.3"/>
    <n v="0"/>
    <n v="0"/>
    <n v="0"/>
    <x v="0"/>
    <n v="25.438356164383563"/>
    <x v="2"/>
    <n v="2"/>
    <d v="1999-09-17T00:00:00"/>
  </r>
  <r>
    <x v="1"/>
    <n v="17640428"/>
    <x v="0"/>
    <d v="2025-01-28T00:00:00"/>
    <x v="0"/>
    <x v="6"/>
    <x v="14"/>
    <d v="2025-04-11T00:00:00"/>
    <n v="73"/>
    <n v="2.4333333333333331"/>
    <n v="0"/>
    <n v="1"/>
    <n v="1"/>
    <x v="0"/>
    <n v="21.079452054794519"/>
    <x v="2"/>
    <n v="2"/>
    <d v="2004-01-05T00:00:00"/>
  </r>
  <r>
    <x v="1"/>
    <n v="17640440"/>
    <x v="1"/>
    <d v="2025-02-03T00:00:00"/>
    <x v="0"/>
    <x v="7"/>
    <x v="9"/>
    <d v="2025-09-03T00:00:00"/>
    <n v="212"/>
    <n v="7.0666666666666664"/>
    <n v="0"/>
    <n v="0"/>
    <n v="0"/>
    <x v="0"/>
    <n v="25.991780821917807"/>
    <x v="2"/>
    <n v="2"/>
    <d v="1999-02-13T00:00:00"/>
  </r>
  <r>
    <x v="1"/>
    <n v="17640456"/>
    <x v="0"/>
    <d v="2025-02-14T00:00:00"/>
    <x v="0"/>
    <x v="7"/>
    <x v="9"/>
    <d v="2025-07-01T00:00:00"/>
    <n v="137"/>
    <n v="4.5666666666666664"/>
    <n v="0"/>
    <n v="0"/>
    <n v="1"/>
    <x v="1"/>
    <n v="18.715068493150685"/>
    <x v="3"/>
    <n v="1"/>
    <d v="2006-06-03T00:00:00"/>
  </r>
  <r>
    <x v="1"/>
    <n v="17640461"/>
    <x v="0"/>
    <d v="2025-01-27T00:00:00"/>
    <x v="0"/>
    <x v="6"/>
    <x v="14"/>
    <m/>
    <n v="9999"/>
    <n v="333.3"/>
    <n v="0"/>
    <n v="0"/>
    <n v="0"/>
    <x v="0"/>
    <n v="20.649315068493152"/>
    <x v="3"/>
    <n v="1"/>
    <d v="2004-06-09T00:00:00"/>
  </r>
  <r>
    <x v="1"/>
    <n v="17640483"/>
    <x v="0"/>
    <d v="2025-02-17T00:00:00"/>
    <x v="0"/>
    <x v="7"/>
    <x v="9"/>
    <d v="2025-06-01T00:00:00"/>
    <n v="104"/>
    <n v="3.4666666666666668"/>
    <n v="0"/>
    <n v="0"/>
    <n v="1"/>
    <x v="0"/>
    <n v="29.432876712328767"/>
    <x v="1"/>
    <n v="3"/>
    <d v="1995-09-20T00:00:00"/>
  </r>
  <r>
    <x v="1"/>
    <n v="17640485"/>
    <x v="0"/>
    <d v="2025-10-28T00:00:00"/>
    <x v="0"/>
    <x v="8"/>
    <x v="10"/>
    <d v="2025-11-17T00:00:00"/>
    <n v="20"/>
    <n v="0.66666666666666663"/>
    <n v="1"/>
    <n v="1"/>
    <n v="1"/>
    <x v="1"/>
    <n v="22.043835616438358"/>
    <x v="2"/>
    <n v="2"/>
    <d v="2003-10-18T00:00:00"/>
  </r>
  <r>
    <x v="1"/>
    <n v="17640489"/>
    <x v="0"/>
    <d v="2025-02-17T00:00:00"/>
    <x v="0"/>
    <x v="7"/>
    <x v="9"/>
    <m/>
    <n v="9999"/>
    <n v="333.3"/>
    <n v="0"/>
    <n v="0"/>
    <n v="0"/>
    <x v="0"/>
    <n v="18.994520547945207"/>
    <x v="3"/>
    <n v="1"/>
    <d v="2006-02-24T00:00:00"/>
  </r>
  <r>
    <x v="1"/>
    <n v="17640499"/>
    <x v="0"/>
    <d v="2025-11-14T00:00:00"/>
    <x v="0"/>
    <x v="4"/>
    <x v="6"/>
    <m/>
    <n v="9999"/>
    <n v="333.3"/>
    <n v="0"/>
    <n v="0"/>
    <n v="0"/>
    <x v="0"/>
    <n v="24.186301369863013"/>
    <x v="2"/>
    <n v="2"/>
    <d v="2001-09-13T00:00:00"/>
  </r>
  <r>
    <x v="1"/>
    <n v="17640509"/>
    <x v="0"/>
    <d v="2025-01-30T00:00:00"/>
    <x v="0"/>
    <x v="6"/>
    <x v="14"/>
    <m/>
    <n v="9999"/>
    <n v="333.3"/>
    <n v="0"/>
    <n v="0"/>
    <n v="0"/>
    <x v="0"/>
    <n v="34.580821917808223"/>
    <x v="0"/>
    <n v="4"/>
    <d v="1990-07-11T00:00:00"/>
  </r>
  <r>
    <x v="1"/>
    <n v="17640513"/>
    <x v="1"/>
    <d v="2025-02-01T00:00:00"/>
    <x v="0"/>
    <x v="7"/>
    <x v="9"/>
    <d v="2025-08-17T00:00:00"/>
    <n v="197"/>
    <n v="6.5666666666666664"/>
    <n v="0"/>
    <n v="0"/>
    <n v="0"/>
    <x v="0"/>
    <n v="24.227397260273971"/>
    <x v="2"/>
    <n v="2"/>
    <d v="2000-11-16T00:00:00"/>
  </r>
  <r>
    <x v="1"/>
    <n v="17640520"/>
    <x v="0"/>
    <d v="2025-01-30T00:00:00"/>
    <x v="0"/>
    <x v="6"/>
    <x v="14"/>
    <d v="2025-04-30T00:00:00"/>
    <n v="90"/>
    <n v="3"/>
    <n v="0"/>
    <n v="1"/>
    <n v="1"/>
    <x v="0"/>
    <n v="21.030136986301368"/>
    <x v="2"/>
    <n v="2"/>
    <d v="2004-01-25T00:00:00"/>
  </r>
  <r>
    <x v="1"/>
    <n v="17640538"/>
    <x v="0"/>
    <d v="2025-01-27T00:00:00"/>
    <x v="0"/>
    <x v="6"/>
    <x v="14"/>
    <d v="2025-08-01T00:00:00"/>
    <n v="186"/>
    <n v="6.2"/>
    <n v="0"/>
    <n v="0"/>
    <n v="0"/>
    <x v="0"/>
    <n v="18.890410958904109"/>
    <x v="3"/>
    <n v="1"/>
    <d v="2006-03-13T00:00:00"/>
  </r>
  <r>
    <x v="1"/>
    <n v="17640539"/>
    <x v="1"/>
    <d v="2025-05-20T00:00:00"/>
    <x v="0"/>
    <x v="1"/>
    <x v="2"/>
    <m/>
    <n v="9999"/>
    <n v="333.3"/>
    <n v="0"/>
    <n v="0"/>
    <n v="0"/>
    <x v="0"/>
    <n v="20.780821917808218"/>
    <x v="3"/>
    <n v="1"/>
    <d v="2004-08-13T00:00:00"/>
  </r>
  <r>
    <x v="1"/>
    <n v="17640545"/>
    <x v="0"/>
    <d v="2025-04-04T00:00:00"/>
    <x v="0"/>
    <x v="2"/>
    <x v="3"/>
    <d v="2025-05-31T00:00:00"/>
    <n v="57"/>
    <n v="1.9"/>
    <n v="0"/>
    <n v="1"/>
    <n v="1"/>
    <x v="0"/>
    <n v="23.005479452054793"/>
    <x v="2"/>
    <n v="2"/>
    <d v="2002-04-08T00:00:00"/>
  </r>
  <r>
    <x v="1"/>
    <n v="17640547"/>
    <x v="1"/>
    <d v="2025-02-01T00:00:00"/>
    <x v="0"/>
    <x v="7"/>
    <x v="9"/>
    <d v="2025-03-31T00:00:00"/>
    <n v="58"/>
    <n v="1.9333333333333333"/>
    <n v="0"/>
    <n v="1"/>
    <n v="1"/>
    <x v="0"/>
    <n v="20.904109589041095"/>
    <x v="3"/>
    <n v="1"/>
    <d v="2004-03-13T00:00:00"/>
  </r>
  <r>
    <x v="1"/>
    <n v="17640551"/>
    <x v="0"/>
    <d v="2025-01-31T00:00:00"/>
    <x v="0"/>
    <x v="6"/>
    <x v="14"/>
    <d v="2025-11-30T00:00:00"/>
    <n v="303"/>
    <n v="10.1"/>
    <n v="0"/>
    <n v="0"/>
    <n v="0"/>
    <x v="0"/>
    <n v="23.876712328767123"/>
    <x v="2"/>
    <n v="2"/>
    <d v="2001-03-23T00:00:00"/>
  </r>
  <r>
    <x v="1"/>
    <n v="17640560"/>
    <x v="1"/>
    <d v="2026-04-23T00:00:00"/>
    <x v="1"/>
    <x v="2"/>
    <x v="11"/>
    <m/>
    <n v="9999"/>
    <n v="333.3"/>
    <n v="0"/>
    <n v="0"/>
    <n v="0"/>
    <x v="0"/>
    <n v="25.646575342465752"/>
    <x v="2"/>
    <n v="2"/>
    <d v="2000-09-05T00:00:00"/>
  </r>
  <r>
    <x v="1"/>
    <n v="17640570"/>
    <x v="0"/>
    <d v="2025-02-17T00:00:00"/>
    <x v="0"/>
    <x v="7"/>
    <x v="9"/>
    <m/>
    <n v="9999"/>
    <n v="333.3"/>
    <n v="0"/>
    <n v="0"/>
    <n v="0"/>
    <x v="0"/>
    <n v="19.449315068493149"/>
    <x v="3"/>
    <n v="1"/>
    <d v="2005-09-11T00:00:00"/>
  </r>
  <r>
    <x v="1"/>
    <n v="17640579"/>
    <x v="0"/>
    <d v="2025-02-10T00:00:00"/>
    <x v="0"/>
    <x v="7"/>
    <x v="9"/>
    <d v="2026-05-01T00:00:00"/>
    <n v="445"/>
    <n v="14.833333333333334"/>
    <n v="0"/>
    <n v="0"/>
    <n v="0"/>
    <x v="0"/>
    <n v="27.706849315068492"/>
    <x v="1"/>
    <n v="3"/>
    <d v="1997-06-04T00:00:00"/>
  </r>
  <r>
    <x v="0"/>
    <n v="17640586"/>
    <x v="1"/>
    <d v="2025-04-01T00:00:00"/>
    <x v="0"/>
    <x v="2"/>
    <x v="3"/>
    <m/>
    <n v="9999"/>
    <n v="333.3"/>
    <n v="0"/>
    <n v="0"/>
    <n v="0"/>
    <x v="0"/>
    <n v="33.367123287671234"/>
    <x v="0"/>
    <n v="4"/>
    <d v="1991-11-27T00:00:00"/>
  </r>
  <r>
    <x v="1"/>
    <n v="17663201"/>
    <x v="0"/>
    <d v="2025-02-17T00:00:00"/>
    <x v="0"/>
    <x v="7"/>
    <x v="9"/>
    <m/>
    <n v="9999"/>
    <n v="333.3"/>
    <n v="0"/>
    <n v="0"/>
    <n v="0"/>
    <x v="0"/>
    <n v="18.553424657534247"/>
    <x v="3"/>
    <n v="1"/>
    <d v="2006-08-04T00:00:00"/>
  </r>
  <r>
    <x v="1"/>
    <n v="17663203"/>
    <x v="1"/>
    <d v="2025-11-19T00:00:00"/>
    <x v="0"/>
    <x v="4"/>
    <x v="6"/>
    <m/>
    <n v="9999"/>
    <n v="333.3"/>
    <n v="0"/>
    <n v="0"/>
    <n v="0"/>
    <x v="0"/>
    <n v="26.758904109589039"/>
    <x v="1"/>
    <n v="3"/>
    <d v="1999-02-22T00:00:00"/>
  </r>
  <r>
    <x v="1"/>
    <n v="17665028"/>
    <x v="1"/>
    <d v="2025-02-17T00:00:00"/>
    <x v="0"/>
    <x v="7"/>
    <x v="9"/>
    <m/>
    <n v="9999"/>
    <n v="333.3"/>
    <n v="0"/>
    <n v="0"/>
    <n v="0"/>
    <x v="0"/>
    <n v="18.8"/>
    <x v="3"/>
    <n v="1"/>
    <d v="2006-05-06T00:00:00"/>
  </r>
  <r>
    <x v="0"/>
    <n v="17665746"/>
    <x v="0"/>
    <d v="2025-05-01T00:00:00"/>
    <x v="0"/>
    <x v="1"/>
    <x v="2"/>
    <m/>
    <n v="9999"/>
    <n v="333.3"/>
    <n v="0"/>
    <n v="0"/>
    <n v="0"/>
    <x v="0"/>
    <n v="25.005479452054793"/>
    <x v="2"/>
    <n v="2"/>
    <d v="2000-05-05T00:00:00"/>
  </r>
  <r>
    <x v="1"/>
    <n v="17667108"/>
    <x v="1"/>
    <d v="2025-02-17T00:00:00"/>
    <x v="0"/>
    <x v="7"/>
    <x v="9"/>
    <m/>
    <n v="9999"/>
    <n v="333.3"/>
    <n v="0"/>
    <n v="0"/>
    <n v="0"/>
    <x v="0"/>
    <n v="18.93972602739726"/>
    <x v="3"/>
    <n v="1"/>
    <d v="2006-03-16T00:00:00"/>
  </r>
  <r>
    <x v="1"/>
    <n v="17679751"/>
    <x v="0"/>
    <d v="2025-02-07T00:00:00"/>
    <x v="0"/>
    <x v="7"/>
    <x v="9"/>
    <m/>
    <n v="9999"/>
    <n v="333.3"/>
    <n v="0"/>
    <n v="0"/>
    <n v="0"/>
    <x v="1"/>
    <n v="30.032876712328768"/>
    <x v="1"/>
    <n v="3"/>
    <d v="1995-02-03T00:00:00"/>
  </r>
  <r>
    <x v="1"/>
    <n v="17680280"/>
    <x v="0"/>
    <d v="2025-05-29T00:00:00"/>
    <x v="0"/>
    <x v="1"/>
    <x v="2"/>
    <m/>
    <n v="9999"/>
    <n v="333.3"/>
    <n v="0"/>
    <n v="0"/>
    <n v="0"/>
    <x v="1"/>
    <n v="19.18904109589041"/>
    <x v="3"/>
    <n v="1"/>
    <d v="2006-03-26T00:00:00"/>
  </r>
  <r>
    <x v="1"/>
    <n v="17680464"/>
    <x v="0"/>
    <d v="2025-04-07T00:00:00"/>
    <x v="0"/>
    <x v="2"/>
    <x v="3"/>
    <d v="2026-01-31T00:00:00"/>
    <n v="299"/>
    <n v="9.9666666666666668"/>
    <n v="0"/>
    <n v="0"/>
    <n v="0"/>
    <x v="1"/>
    <n v="23.701369863013699"/>
    <x v="2"/>
    <n v="2"/>
    <d v="2001-07-31T00:00:00"/>
  </r>
  <r>
    <x v="0"/>
    <n v="17680464"/>
    <x v="0"/>
    <d v="2026-02-01T00:00:00"/>
    <x v="1"/>
    <x v="7"/>
    <x v="15"/>
    <d v="2026-03-15T00:00:00"/>
    <n v="42"/>
    <n v="1.4"/>
    <n v="0"/>
    <n v="1"/>
    <n v="1"/>
    <x v="1"/>
    <n v="24.523287671232875"/>
    <x v="2"/>
    <n v="2"/>
    <d v="2001-07-31T00:00:00"/>
  </r>
  <r>
    <x v="1"/>
    <n v="17680776"/>
    <x v="1"/>
    <d v="2026-03-20T00:00:00"/>
    <x v="1"/>
    <x v="0"/>
    <x v="5"/>
    <d v="2026-06-01T00:00:00"/>
    <n v="73"/>
    <n v="2.4333333333333331"/>
    <n v="0"/>
    <n v="1"/>
    <n v="1"/>
    <x v="1"/>
    <n v="21.967123287671232"/>
    <x v="2"/>
    <n v="2"/>
    <d v="2004-04-06T00:00:00"/>
  </r>
  <r>
    <x v="1"/>
    <n v="17680777"/>
    <x v="1"/>
    <d v="2025-02-11T00:00:00"/>
    <x v="0"/>
    <x v="7"/>
    <x v="9"/>
    <d v="2026-04-07T00:00:00"/>
    <n v="420"/>
    <n v="14"/>
    <n v="0"/>
    <n v="0"/>
    <n v="0"/>
    <x v="1"/>
    <n v="30.005479452054793"/>
    <x v="1"/>
    <n v="3"/>
    <d v="1995-02-17T00:00:00"/>
  </r>
  <r>
    <x v="1"/>
    <n v="17681578"/>
    <x v="0"/>
    <d v="2025-01-01T00:00:00"/>
    <x v="0"/>
    <x v="6"/>
    <x v="14"/>
    <d v="2026-01-01T00:00:00"/>
    <n v="365"/>
    <n v="12.166666666666666"/>
    <n v="0"/>
    <n v="0"/>
    <n v="0"/>
    <x v="1"/>
    <n v="19.695890410958903"/>
    <x v="3"/>
    <n v="1"/>
    <d v="2005-04-27T00:00:00"/>
  </r>
  <r>
    <x v="1"/>
    <n v="17682972"/>
    <x v="1"/>
    <d v="2025-02-17T00:00:00"/>
    <x v="0"/>
    <x v="7"/>
    <x v="9"/>
    <m/>
    <n v="9999"/>
    <n v="333.3"/>
    <n v="0"/>
    <n v="0"/>
    <n v="0"/>
    <x v="0"/>
    <n v="20.969863013698632"/>
    <x v="3"/>
    <n v="1"/>
    <d v="2004-03-05T00:00:00"/>
  </r>
  <r>
    <x v="0"/>
    <n v="17682975"/>
    <x v="1"/>
    <d v="2025-12-01T00:00:00"/>
    <x v="0"/>
    <x v="5"/>
    <x v="7"/>
    <d v="2026-04-01T00:00:00"/>
    <n v="121"/>
    <n v="4.0333333333333332"/>
    <n v="0"/>
    <n v="0"/>
    <n v="1"/>
    <x v="1"/>
    <n v="19.484931506849314"/>
    <x v="3"/>
    <n v="1"/>
    <d v="2006-06-12T00:00:00"/>
  </r>
  <r>
    <x v="0"/>
    <n v="17683015"/>
    <x v="0"/>
    <d v="2025-09-01T00:00:00"/>
    <x v="0"/>
    <x v="3"/>
    <x v="4"/>
    <m/>
    <n v="9999"/>
    <n v="333.3"/>
    <n v="0"/>
    <n v="0"/>
    <n v="0"/>
    <x v="1"/>
    <n v="20.098630136986301"/>
    <x v="3"/>
    <n v="1"/>
    <d v="2005-08-01T00:00:00"/>
  </r>
  <r>
    <x v="1"/>
    <n v="17683361"/>
    <x v="0"/>
    <d v="2025-05-09T00:00:00"/>
    <x v="0"/>
    <x v="1"/>
    <x v="2"/>
    <m/>
    <n v="9999"/>
    <n v="333.3"/>
    <n v="0"/>
    <n v="0"/>
    <n v="0"/>
    <x v="1"/>
    <n v="23.268493150684932"/>
    <x v="2"/>
    <n v="2"/>
    <d v="2002-02-06T00:00:00"/>
  </r>
  <r>
    <x v="1"/>
    <n v="17685120"/>
    <x v="0"/>
    <d v="2025-02-07T00:00:00"/>
    <x v="0"/>
    <x v="7"/>
    <x v="9"/>
    <m/>
    <n v="9999"/>
    <n v="333.3"/>
    <n v="0"/>
    <n v="0"/>
    <n v="0"/>
    <x v="1"/>
    <n v="19.463013698630139"/>
    <x v="3"/>
    <n v="1"/>
    <d v="2005-08-27T00:00:00"/>
  </r>
  <r>
    <x v="1"/>
    <n v="17685122"/>
    <x v="0"/>
    <d v="2025-01-30T00:00:00"/>
    <x v="0"/>
    <x v="6"/>
    <x v="14"/>
    <m/>
    <n v="9999"/>
    <n v="333.3"/>
    <n v="0"/>
    <n v="0"/>
    <n v="0"/>
    <x v="0"/>
    <n v="29.2"/>
    <x v="1"/>
    <n v="3"/>
    <d v="1995-11-26T00:00:00"/>
  </r>
  <r>
    <x v="0"/>
    <n v="17685128"/>
    <x v="0"/>
    <d v="2025-08-07T00:00:00"/>
    <x v="0"/>
    <x v="9"/>
    <x v="12"/>
    <d v="2025-12-31T00:00:00"/>
    <n v="146"/>
    <n v="4.8666666666666663"/>
    <n v="0"/>
    <n v="0"/>
    <n v="1"/>
    <x v="1"/>
    <n v="23.515068493150686"/>
    <x v="2"/>
    <n v="2"/>
    <d v="2002-02-06T00:00:00"/>
  </r>
  <r>
    <x v="1"/>
    <n v="17685159"/>
    <x v="0"/>
    <d v="2025-02-17T00:00:00"/>
    <x v="0"/>
    <x v="7"/>
    <x v="9"/>
    <m/>
    <n v="9999"/>
    <n v="333.3"/>
    <n v="0"/>
    <n v="0"/>
    <n v="0"/>
    <x v="0"/>
    <n v="23.663013698630138"/>
    <x v="2"/>
    <n v="2"/>
    <d v="2001-06-26T00:00:00"/>
  </r>
  <r>
    <x v="1"/>
    <n v="17685231"/>
    <x v="0"/>
    <d v="2026-03-30T00:00:00"/>
    <x v="1"/>
    <x v="0"/>
    <x v="5"/>
    <m/>
    <n v="9999"/>
    <n v="333.3"/>
    <n v="0"/>
    <n v="0"/>
    <n v="0"/>
    <x v="1"/>
    <n v="20.536986301369861"/>
    <x v="3"/>
    <n v="1"/>
    <d v="2005-09-20T00:00:00"/>
  </r>
  <r>
    <x v="0"/>
    <n v="17729459"/>
    <x v="0"/>
    <d v="2025-12-01T00:00:00"/>
    <x v="0"/>
    <x v="5"/>
    <x v="7"/>
    <m/>
    <n v="9999"/>
    <n v="333.3"/>
    <n v="0"/>
    <n v="0"/>
    <n v="0"/>
    <x v="1"/>
    <n v="22.12054794520548"/>
    <x v="2"/>
    <n v="2"/>
    <d v="2003-10-24T00:00:00"/>
  </r>
  <r>
    <x v="1"/>
    <n v="17729551"/>
    <x v="1"/>
    <d v="2025-04-01T00:00:00"/>
    <x v="0"/>
    <x v="2"/>
    <x v="3"/>
    <d v="2025-10-31T00:00:00"/>
    <n v="213"/>
    <n v="7.1"/>
    <n v="0"/>
    <n v="0"/>
    <n v="0"/>
    <x v="1"/>
    <n v="18.890410958904109"/>
    <x v="3"/>
    <n v="1"/>
    <d v="2006-05-16T00:00:00"/>
  </r>
  <r>
    <x v="1"/>
    <n v="17729640"/>
    <x v="1"/>
    <d v="2025-04-01T00:00:00"/>
    <x v="0"/>
    <x v="2"/>
    <x v="3"/>
    <d v="2026-03-12T00:00:00"/>
    <n v="345"/>
    <n v="11.5"/>
    <n v="0"/>
    <n v="0"/>
    <n v="0"/>
    <x v="1"/>
    <n v="19.882191780821916"/>
    <x v="3"/>
    <n v="1"/>
    <d v="2005-05-19T00:00:00"/>
  </r>
  <r>
    <x v="0"/>
    <n v="17730170"/>
    <x v="0"/>
    <d v="2025-12-01T00:00:00"/>
    <x v="0"/>
    <x v="5"/>
    <x v="7"/>
    <d v="2026-04-09T00:00:00"/>
    <n v="129"/>
    <n v="4.3"/>
    <n v="0"/>
    <n v="0"/>
    <n v="1"/>
    <x v="0"/>
    <n v="34.68767123287671"/>
    <x v="0"/>
    <n v="4"/>
    <d v="1991-04-03T00:00:00"/>
  </r>
  <r>
    <x v="1"/>
    <n v="17730170"/>
    <x v="0"/>
    <d v="2025-07-15T00:00:00"/>
    <x v="0"/>
    <x v="10"/>
    <x v="13"/>
    <d v="2025-11-30T00:00:00"/>
    <n v="138"/>
    <n v="4.5999999999999996"/>
    <n v="0"/>
    <n v="0"/>
    <n v="1"/>
    <x v="0"/>
    <n v="34.30684931506849"/>
    <x v="0"/>
    <n v="4"/>
    <d v="1991-04-03T00:00:00"/>
  </r>
  <r>
    <x v="1"/>
    <n v="17734147"/>
    <x v="0"/>
    <d v="2025-12-01T00:00:00"/>
    <x v="0"/>
    <x v="5"/>
    <x v="7"/>
    <d v="2026-02-28T00:00:00"/>
    <n v="89"/>
    <n v="2.9666666666666668"/>
    <n v="0"/>
    <n v="1"/>
    <n v="1"/>
    <x v="0"/>
    <n v="20.849315068493151"/>
    <x v="3"/>
    <n v="1"/>
    <d v="2005-01-30T00:00:00"/>
  </r>
  <r>
    <x v="1"/>
    <n v="17770571"/>
    <x v="1"/>
    <d v="2025-08-01T00:00:00"/>
    <x v="0"/>
    <x v="9"/>
    <x v="12"/>
    <m/>
    <n v="9999"/>
    <n v="333.3"/>
    <n v="0"/>
    <n v="0"/>
    <n v="0"/>
    <x v="0"/>
    <n v="19.197260273972603"/>
    <x v="3"/>
    <n v="1"/>
    <d v="2006-05-26T00:00:00"/>
  </r>
  <r>
    <x v="1"/>
    <n v="17770874"/>
    <x v="0"/>
    <d v="2025-02-17T00:00:00"/>
    <x v="0"/>
    <x v="7"/>
    <x v="9"/>
    <d v="2026-04-30T00:00:00"/>
    <n v="437"/>
    <n v="14.566666666666666"/>
    <n v="0"/>
    <n v="0"/>
    <n v="0"/>
    <x v="0"/>
    <n v="19.386301369863013"/>
    <x v="3"/>
    <n v="1"/>
    <d v="2005-10-04T00:00:00"/>
  </r>
  <r>
    <x v="0"/>
    <n v="17783053"/>
    <x v="1"/>
    <d v="2026-03-01T00:00:00"/>
    <x v="1"/>
    <x v="0"/>
    <x v="5"/>
    <m/>
    <n v="9999"/>
    <n v="333.3"/>
    <n v="0"/>
    <n v="0"/>
    <n v="0"/>
    <x v="1"/>
    <n v="22.136986301369863"/>
    <x v="2"/>
    <n v="2"/>
    <d v="2004-01-16T00:00:00"/>
  </r>
  <r>
    <x v="1"/>
    <n v="17803776"/>
    <x v="1"/>
    <d v="2026-05-08T00:00:00"/>
    <x v="1"/>
    <x v="1"/>
    <x v="1"/>
    <m/>
    <n v="9999"/>
    <n v="333.3"/>
    <n v="0"/>
    <n v="0"/>
    <n v="0"/>
    <x v="1"/>
    <n v="19.923287671232877"/>
    <x v="3"/>
    <n v="1"/>
    <d v="2006-06-10T00:00:00"/>
  </r>
  <r>
    <x v="1"/>
    <n v="17803908"/>
    <x v="0"/>
    <d v="2025-04-01T00:00:00"/>
    <x v="0"/>
    <x v="2"/>
    <x v="3"/>
    <m/>
    <n v="9999"/>
    <n v="333.3"/>
    <n v="0"/>
    <n v="0"/>
    <n v="0"/>
    <x v="0"/>
    <n v="26.334246575342465"/>
    <x v="1"/>
    <n v="3"/>
    <d v="1998-12-07T00:00:00"/>
  </r>
  <r>
    <x v="1"/>
    <n v="17814984"/>
    <x v="1"/>
    <d v="2025-02-03T00:00:00"/>
    <x v="0"/>
    <x v="7"/>
    <x v="9"/>
    <m/>
    <n v="9999"/>
    <n v="333.3"/>
    <n v="0"/>
    <n v="0"/>
    <n v="0"/>
    <x v="0"/>
    <n v="18.830136986301369"/>
    <x v="3"/>
    <n v="1"/>
    <d v="2006-04-11T00:00:00"/>
  </r>
  <r>
    <x v="1"/>
    <n v="17830638"/>
    <x v="1"/>
    <d v="2025-03-01T00:00:00"/>
    <x v="0"/>
    <x v="0"/>
    <x v="0"/>
    <d v="2025-08-01T00:00:00"/>
    <n v="153"/>
    <n v="5.0999999999999996"/>
    <n v="0"/>
    <n v="0"/>
    <n v="1"/>
    <x v="1"/>
    <n v="19.246575342465754"/>
    <x v="3"/>
    <n v="1"/>
    <d v="2005-12-06T00:00:00"/>
  </r>
  <r>
    <x v="1"/>
    <n v="17833529"/>
    <x v="0"/>
    <d v="2025-10-24T00:00:00"/>
    <x v="0"/>
    <x v="8"/>
    <x v="10"/>
    <m/>
    <n v="9999"/>
    <n v="333.3"/>
    <n v="0"/>
    <n v="0"/>
    <n v="0"/>
    <x v="1"/>
    <n v="20.56986301369863"/>
    <x v="3"/>
    <n v="1"/>
    <d v="2005-04-04T00:00:00"/>
  </r>
  <r>
    <x v="1"/>
    <n v="17834617"/>
    <x v="0"/>
    <d v="2026-02-25T00:00:00"/>
    <x v="1"/>
    <x v="7"/>
    <x v="15"/>
    <m/>
    <n v="9999"/>
    <n v="333.3"/>
    <n v="0"/>
    <n v="0"/>
    <n v="0"/>
    <x v="1"/>
    <n v="21.273972602739725"/>
    <x v="2"/>
    <n v="2"/>
    <d v="2004-11-22T00:00:00"/>
  </r>
  <r>
    <x v="1"/>
    <n v="17835624"/>
    <x v="1"/>
    <d v="2025-04-01T00:00:00"/>
    <x v="0"/>
    <x v="2"/>
    <x v="3"/>
    <d v="2025-07-31T00:00:00"/>
    <n v="121"/>
    <n v="4.0333333333333332"/>
    <n v="0"/>
    <n v="0"/>
    <n v="1"/>
    <x v="1"/>
    <n v="22.312328767123287"/>
    <x v="2"/>
    <n v="2"/>
    <d v="2002-12-14T00:00:00"/>
  </r>
  <r>
    <x v="1"/>
    <n v="17918548"/>
    <x v="0"/>
    <d v="2025-12-03T00:00:00"/>
    <x v="0"/>
    <x v="5"/>
    <x v="7"/>
    <m/>
    <n v="9999"/>
    <n v="333.3"/>
    <n v="0"/>
    <n v="0"/>
    <n v="0"/>
    <x v="0"/>
    <n v="19.010958904109589"/>
    <x v="3"/>
    <n v="1"/>
    <d v="2006-12-04T00:00:00"/>
  </r>
  <r>
    <x v="1"/>
    <n v="17918747"/>
    <x v="1"/>
    <d v="2025-12-05T00:00:00"/>
    <x v="0"/>
    <x v="5"/>
    <x v="7"/>
    <d v="2025-12-12T00:00:00"/>
    <n v="7"/>
    <n v="0.23333333333333334"/>
    <n v="1"/>
    <n v="1"/>
    <n v="1"/>
    <x v="0"/>
    <n v="19.252054794520546"/>
    <x v="3"/>
    <n v="1"/>
    <d v="2006-09-09T00:00:00"/>
  </r>
  <r>
    <x v="1"/>
    <n v="17946705"/>
    <x v="0"/>
    <d v="2026-05-19T00:00:00"/>
    <x v="1"/>
    <x v="1"/>
    <x v="1"/>
    <m/>
    <n v="9999"/>
    <n v="333.3"/>
    <n v="0"/>
    <n v="0"/>
    <n v="0"/>
    <x v="0"/>
    <n v="23.772602739726029"/>
    <x v="2"/>
    <n v="2"/>
    <d v="2002-08-16T00:00:00"/>
  </r>
  <r>
    <x v="0"/>
    <n v="17946728"/>
    <x v="0"/>
    <d v="2025-03-28T00:00:00"/>
    <x v="0"/>
    <x v="0"/>
    <x v="0"/>
    <m/>
    <n v="9999"/>
    <n v="333.3"/>
    <n v="0"/>
    <n v="0"/>
    <n v="0"/>
    <x v="1"/>
    <n v="24.265753424657536"/>
    <x v="2"/>
    <n v="2"/>
    <d v="2000-12-27T00:00:00"/>
  </r>
  <r>
    <x v="1"/>
    <n v="17952019"/>
    <x v="0"/>
    <d v="2025-01-22T00:00:00"/>
    <x v="0"/>
    <x v="6"/>
    <x v="14"/>
    <d v="2025-02-28T00:00:00"/>
    <n v="37"/>
    <n v="1.2333333333333334"/>
    <n v="0"/>
    <n v="1"/>
    <n v="1"/>
    <x v="1"/>
    <n v="19.843835616438355"/>
    <x v="3"/>
    <n v="1"/>
    <d v="2005-03-25T00:00:00"/>
  </r>
  <r>
    <x v="0"/>
    <n v="17952037"/>
    <x v="0"/>
    <d v="2025-01-22T00:00:00"/>
    <x v="0"/>
    <x v="6"/>
    <x v="14"/>
    <d v="2025-03-31T00:00:00"/>
    <n v="68"/>
    <n v="2.2666666666666666"/>
    <n v="0"/>
    <n v="1"/>
    <n v="1"/>
    <x v="1"/>
    <n v="19.890410958904109"/>
    <x v="3"/>
    <n v="1"/>
    <d v="2005-03-08T00:00:00"/>
  </r>
  <r>
    <x v="1"/>
    <n v="17952037"/>
    <x v="0"/>
    <d v="2025-04-01T00:00:00"/>
    <x v="0"/>
    <x v="2"/>
    <x v="3"/>
    <d v="2025-05-15T00:00:00"/>
    <n v="44"/>
    <n v="1.4666666666666666"/>
    <n v="0"/>
    <n v="1"/>
    <n v="1"/>
    <x v="1"/>
    <n v="20.079452054794519"/>
    <x v="3"/>
    <n v="1"/>
    <d v="2005-03-08T00:00:00"/>
  </r>
  <r>
    <x v="1"/>
    <n v="17955837"/>
    <x v="1"/>
    <d v="2025-01-23T00:00:00"/>
    <x v="0"/>
    <x v="6"/>
    <x v="14"/>
    <d v="2025-03-16T00:00:00"/>
    <n v="52"/>
    <n v="1.7333333333333334"/>
    <n v="0"/>
    <n v="1"/>
    <n v="1"/>
    <x v="1"/>
    <n v="20.797260273972604"/>
    <x v="3"/>
    <n v="1"/>
    <d v="2004-04-12T00:00:00"/>
  </r>
  <r>
    <x v="1"/>
    <n v="17956086"/>
    <x v="0"/>
    <d v="2025-01-23T00:00:00"/>
    <x v="0"/>
    <x v="6"/>
    <x v="14"/>
    <d v="2025-03-22T00:00:00"/>
    <n v="58"/>
    <n v="1.9333333333333333"/>
    <n v="0"/>
    <n v="1"/>
    <n v="1"/>
    <x v="1"/>
    <n v="20.460273972602739"/>
    <x v="3"/>
    <n v="1"/>
    <d v="2004-08-13T00:00:00"/>
  </r>
  <r>
    <x v="1"/>
    <n v="17956130"/>
    <x v="0"/>
    <d v="2025-01-23T00:00:00"/>
    <x v="0"/>
    <x v="6"/>
    <x v="14"/>
    <m/>
    <n v="9999"/>
    <n v="333.3"/>
    <n v="0"/>
    <n v="0"/>
    <n v="0"/>
    <x v="1"/>
    <n v="18.81917808219178"/>
    <x v="3"/>
    <n v="1"/>
    <d v="2006-04-04T00:00:00"/>
  </r>
  <r>
    <x v="1"/>
    <n v="17956166"/>
    <x v="0"/>
    <d v="2025-01-23T00:00:00"/>
    <x v="0"/>
    <x v="6"/>
    <x v="14"/>
    <m/>
    <n v="9999"/>
    <n v="333.3"/>
    <n v="0"/>
    <n v="0"/>
    <n v="0"/>
    <x v="1"/>
    <n v="19.865753424657534"/>
    <x v="3"/>
    <n v="1"/>
    <d v="2005-03-18T00:00:00"/>
  </r>
  <r>
    <x v="1"/>
    <n v="17957019"/>
    <x v="1"/>
    <d v="2025-01-23T00:00:00"/>
    <x v="0"/>
    <x v="6"/>
    <x v="14"/>
    <d v="2026-05-03T00:00:00"/>
    <n v="465"/>
    <n v="15.5"/>
    <n v="0"/>
    <n v="0"/>
    <n v="0"/>
    <x v="1"/>
    <n v="19.904109589041095"/>
    <x v="3"/>
    <n v="1"/>
    <d v="2005-03-04T00:00:00"/>
  </r>
  <r>
    <x v="1"/>
    <n v="17957356"/>
    <x v="0"/>
    <d v="2025-01-23T00:00:00"/>
    <x v="0"/>
    <x v="6"/>
    <x v="14"/>
    <d v="2025-06-30T00:00:00"/>
    <n v="158"/>
    <n v="5.2666666666666666"/>
    <n v="0"/>
    <n v="0"/>
    <n v="1"/>
    <x v="1"/>
    <n v="19.032876712328768"/>
    <x v="3"/>
    <n v="1"/>
    <d v="2006-01-16T00:00:00"/>
  </r>
  <r>
    <x v="1"/>
    <n v="17957357"/>
    <x v="0"/>
    <d v="2025-01-23T00:00:00"/>
    <x v="0"/>
    <x v="6"/>
    <x v="14"/>
    <d v="2026-01-06T00:00:00"/>
    <n v="348"/>
    <n v="11.6"/>
    <n v="0"/>
    <n v="0"/>
    <n v="0"/>
    <x v="1"/>
    <n v="36.906849315068492"/>
    <x v="0"/>
    <n v="4"/>
    <d v="1988-03-07T00:00:00"/>
  </r>
  <r>
    <x v="1"/>
    <n v="17957412"/>
    <x v="0"/>
    <d v="2025-01-23T00:00:00"/>
    <x v="0"/>
    <x v="6"/>
    <x v="14"/>
    <m/>
    <n v="9999"/>
    <n v="333.3"/>
    <n v="0"/>
    <n v="0"/>
    <n v="0"/>
    <x v="1"/>
    <n v="21.893150684931506"/>
    <x v="2"/>
    <n v="2"/>
    <d v="2003-03-09T00:00:00"/>
  </r>
  <r>
    <x v="1"/>
    <n v="17957802"/>
    <x v="0"/>
    <d v="2025-01-23T00:00:00"/>
    <x v="0"/>
    <x v="6"/>
    <x v="14"/>
    <m/>
    <n v="9999"/>
    <n v="333.3"/>
    <n v="0"/>
    <n v="0"/>
    <n v="0"/>
    <x v="1"/>
    <n v="20.824657534246576"/>
    <x v="3"/>
    <n v="1"/>
    <d v="2004-04-02T00:00:00"/>
  </r>
  <r>
    <x v="1"/>
    <n v="17958128"/>
    <x v="0"/>
    <d v="2025-01-24T00:00:00"/>
    <x v="0"/>
    <x v="6"/>
    <x v="14"/>
    <d v="2025-05-01T00:00:00"/>
    <n v="97"/>
    <n v="3.2333333333333334"/>
    <n v="0"/>
    <n v="0"/>
    <n v="1"/>
    <x v="1"/>
    <n v="20.186301369863013"/>
    <x v="3"/>
    <n v="1"/>
    <d v="2004-11-22T00:00:00"/>
  </r>
  <r>
    <x v="1"/>
    <n v="17958130"/>
    <x v="1"/>
    <d v="2025-01-24T00:00:00"/>
    <x v="0"/>
    <x v="6"/>
    <x v="14"/>
    <d v="2025-05-01T00:00:00"/>
    <n v="97"/>
    <n v="3.2333333333333334"/>
    <n v="0"/>
    <n v="0"/>
    <n v="1"/>
    <x v="1"/>
    <n v="18.761643835616439"/>
    <x v="3"/>
    <n v="1"/>
    <d v="2006-04-26T00:00:00"/>
  </r>
  <r>
    <x v="1"/>
    <n v="17958135"/>
    <x v="0"/>
    <d v="2025-01-24T00:00:00"/>
    <x v="0"/>
    <x v="6"/>
    <x v="14"/>
    <m/>
    <n v="9999"/>
    <n v="333.3"/>
    <n v="0"/>
    <n v="0"/>
    <n v="0"/>
    <x v="1"/>
    <n v="20.005479452054793"/>
    <x v="3"/>
    <n v="1"/>
    <d v="2005-01-27T00:00:00"/>
  </r>
  <r>
    <x v="1"/>
    <n v="17958137"/>
    <x v="0"/>
    <d v="2025-01-24T00:00:00"/>
    <x v="0"/>
    <x v="6"/>
    <x v="14"/>
    <d v="2025-03-31T00:00:00"/>
    <n v="66"/>
    <n v="2.2000000000000002"/>
    <n v="0"/>
    <n v="1"/>
    <n v="1"/>
    <x v="1"/>
    <n v="20.32054794520548"/>
    <x v="3"/>
    <n v="1"/>
    <d v="2004-10-04T00:00:00"/>
  </r>
  <r>
    <x v="1"/>
    <n v="17958390"/>
    <x v="0"/>
    <d v="2025-01-24T00:00:00"/>
    <x v="0"/>
    <x v="6"/>
    <x v="14"/>
    <d v="2025-03-31T00:00:00"/>
    <n v="66"/>
    <n v="2.2000000000000002"/>
    <n v="0"/>
    <n v="1"/>
    <n v="1"/>
    <x v="1"/>
    <n v="22.986301369863014"/>
    <x v="2"/>
    <n v="2"/>
    <d v="2002-02-04T00:00:00"/>
  </r>
  <r>
    <x v="1"/>
    <n v="17965565"/>
    <x v="1"/>
    <d v="2025-01-27T00:00:00"/>
    <x v="0"/>
    <x v="6"/>
    <x v="14"/>
    <d v="2025-04-14T00:00:00"/>
    <n v="77"/>
    <n v="2.5666666666666669"/>
    <n v="0"/>
    <n v="1"/>
    <n v="1"/>
    <x v="0"/>
    <n v="23.682191780821917"/>
    <x v="2"/>
    <n v="2"/>
    <d v="2001-05-29T00:00:00"/>
  </r>
  <r>
    <x v="0"/>
    <n v="17965607"/>
    <x v="0"/>
    <d v="2025-01-27T00:00:00"/>
    <x v="0"/>
    <x v="6"/>
    <x v="14"/>
    <d v="2026-03-15T00:00:00"/>
    <n v="412"/>
    <n v="13.733333333333333"/>
    <n v="0"/>
    <n v="0"/>
    <n v="0"/>
    <x v="1"/>
    <n v="20.246575342465754"/>
    <x v="3"/>
    <n v="1"/>
    <d v="2004-11-03T00:00:00"/>
  </r>
  <r>
    <x v="1"/>
    <n v="17965623"/>
    <x v="0"/>
    <d v="2025-01-27T00:00:00"/>
    <x v="0"/>
    <x v="6"/>
    <x v="14"/>
    <d v="2025-02-03T00:00:00"/>
    <n v="7"/>
    <n v="0.23333333333333334"/>
    <n v="1"/>
    <n v="1"/>
    <n v="1"/>
    <x v="0"/>
    <n v="19.098630136986301"/>
    <x v="3"/>
    <n v="1"/>
    <d v="2005-12-27T00:00:00"/>
  </r>
  <r>
    <x v="1"/>
    <n v="17965624"/>
    <x v="0"/>
    <d v="2025-01-27T00:00:00"/>
    <x v="0"/>
    <x v="6"/>
    <x v="14"/>
    <d v="2026-02-28T00:00:00"/>
    <n v="397"/>
    <n v="13.233333333333333"/>
    <n v="0"/>
    <n v="0"/>
    <n v="0"/>
    <x v="0"/>
    <n v="27.915068493150685"/>
    <x v="1"/>
    <n v="3"/>
    <d v="1997-03-06T00:00:00"/>
  </r>
  <r>
    <x v="1"/>
    <n v="17965629"/>
    <x v="1"/>
    <d v="2025-01-27T00:00:00"/>
    <x v="0"/>
    <x v="6"/>
    <x v="14"/>
    <d v="2025-03-31T00:00:00"/>
    <n v="63"/>
    <n v="2.1"/>
    <n v="0"/>
    <n v="1"/>
    <n v="1"/>
    <x v="1"/>
    <n v="18.460273972602739"/>
    <x v="3"/>
    <n v="1"/>
    <d v="2006-08-17T00:00:00"/>
  </r>
  <r>
    <x v="1"/>
    <n v="17965679"/>
    <x v="0"/>
    <d v="2025-01-27T00:00:00"/>
    <x v="0"/>
    <x v="6"/>
    <x v="14"/>
    <d v="2025-04-06T00:00:00"/>
    <n v="69"/>
    <n v="2.2999999999999998"/>
    <n v="0"/>
    <n v="1"/>
    <n v="1"/>
    <x v="1"/>
    <n v="21.367123287671234"/>
    <x v="2"/>
    <n v="2"/>
    <d v="2003-09-21T00:00:00"/>
  </r>
  <r>
    <x v="1"/>
    <n v="17965680"/>
    <x v="0"/>
    <d v="2025-01-27T00:00:00"/>
    <x v="0"/>
    <x v="6"/>
    <x v="14"/>
    <d v="2025-03-13T00:00:00"/>
    <n v="45"/>
    <n v="1.5"/>
    <n v="0"/>
    <n v="1"/>
    <n v="1"/>
    <x v="1"/>
    <n v="24.802739726027397"/>
    <x v="2"/>
    <n v="2"/>
    <d v="2000-04-15T00:00:00"/>
  </r>
  <r>
    <x v="1"/>
    <n v="17965687"/>
    <x v="1"/>
    <d v="2025-01-27T00:00:00"/>
    <x v="0"/>
    <x v="6"/>
    <x v="14"/>
    <d v="2025-04-11T00:00:00"/>
    <n v="74"/>
    <n v="2.4666666666666668"/>
    <n v="0"/>
    <n v="1"/>
    <n v="1"/>
    <x v="1"/>
    <n v="21.035616438356165"/>
    <x v="2"/>
    <n v="2"/>
    <d v="2004-01-20T00:00:00"/>
  </r>
  <r>
    <x v="1"/>
    <n v="17965725"/>
    <x v="0"/>
    <d v="2025-01-27T00:00:00"/>
    <x v="0"/>
    <x v="6"/>
    <x v="14"/>
    <d v="2025-09-01T00:00:00"/>
    <n v="217"/>
    <n v="7.2333333333333334"/>
    <n v="0"/>
    <n v="0"/>
    <n v="0"/>
    <x v="1"/>
    <n v="19.578082191780823"/>
    <x v="3"/>
    <n v="1"/>
    <d v="2005-07-05T00:00:00"/>
  </r>
  <r>
    <x v="1"/>
    <n v="17965729"/>
    <x v="0"/>
    <d v="2025-01-27T00:00:00"/>
    <x v="0"/>
    <x v="6"/>
    <x v="14"/>
    <d v="2025-05-15T00:00:00"/>
    <n v="108"/>
    <n v="3.6"/>
    <n v="0"/>
    <n v="0"/>
    <n v="1"/>
    <x v="1"/>
    <n v="20.44109589041096"/>
    <x v="3"/>
    <n v="1"/>
    <d v="2004-08-24T00:00:00"/>
  </r>
  <r>
    <x v="1"/>
    <n v="17965734"/>
    <x v="0"/>
    <d v="2025-01-27T00:00:00"/>
    <x v="0"/>
    <x v="6"/>
    <x v="14"/>
    <m/>
    <n v="9999"/>
    <n v="333.3"/>
    <n v="0"/>
    <n v="0"/>
    <n v="0"/>
    <x v="1"/>
    <n v="19.641095890410959"/>
    <x v="3"/>
    <n v="1"/>
    <d v="2005-06-12T00:00:00"/>
  </r>
  <r>
    <x v="1"/>
    <n v="17965763"/>
    <x v="0"/>
    <d v="2025-01-27T00:00:00"/>
    <x v="0"/>
    <x v="6"/>
    <x v="14"/>
    <d v="2026-02-15T00:00:00"/>
    <n v="384"/>
    <n v="12.8"/>
    <n v="0"/>
    <n v="0"/>
    <n v="0"/>
    <x v="1"/>
    <n v="23.317808219178083"/>
    <x v="2"/>
    <n v="2"/>
    <d v="2001-10-09T00:00:00"/>
  </r>
  <r>
    <x v="1"/>
    <n v="17965798"/>
    <x v="0"/>
    <d v="2025-01-27T00:00:00"/>
    <x v="0"/>
    <x v="6"/>
    <x v="14"/>
    <d v="2026-04-07T00:00:00"/>
    <n v="435"/>
    <n v="14.5"/>
    <n v="0"/>
    <n v="0"/>
    <n v="0"/>
    <x v="1"/>
    <n v="30.306849315068494"/>
    <x v="1"/>
    <n v="3"/>
    <d v="1994-10-15T00:00:00"/>
  </r>
  <r>
    <x v="1"/>
    <n v="17967354"/>
    <x v="0"/>
    <d v="2025-01-27T00:00:00"/>
    <x v="0"/>
    <x v="6"/>
    <x v="14"/>
    <m/>
    <n v="9999"/>
    <n v="333.3"/>
    <n v="0"/>
    <n v="0"/>
    <n v="0"/>
    <x v="0"/>
    <n v="27.394520547945206"/>
    <x v="1"/>
    <n v="3"/>
    <d v="1997-09-12T00:00:00"/>
  </r>
  <r>
    <x v="1"/>
    <n v="17968857"/>
    <x v="0"/>
    <d v="2025-01-27T00:00:00"/>
    <x v="0"/>
    <x v="6"/>
    <x v="14"/>
    <d v="2025-06-03T00:00:00"/>
    <n v="127"/>
    <n v="4.2333333333333334"/>
    <n v="0"/>
    <n v="0"/>
    <n v="1"/>
    <x v="1"/>
    <n v="20.399999999999999"/>
    <x v="3"/>
    <n v="1"/>
    <d v="2004-09-08T00:00:00"/>
  </r>
  <r>
    <x v="1"/>
    <n v="17993485"/>
    <x v="0"/>
    <d v="2025-01-28T00:00:00"/>
    <x v="0"/>
    <x v="6"/>
    <x v="14"/>
    <m/>
    <n v="9999"/>
    <n v="333.3"/>
    <n v="0"/>
    <n v="0"/>
    <n v="0"/>
    <x v="0"/>
    <n v="19.780821917808218"/>
    <x v="3"/>
    <n v="1"/>
    <d v="2005-04-23T00:00:00"/>
  </r>
  <r>
    <x v="1"/>
    <n v="17993607"/>
    <x v="0"/>
    <d v="2025-01-28T00:00:00"/>
    <x v="0"/>
    <x v="6"/>
    <x v="14"/>
    <m/>
    <n v="9999"/>
    <n v="333.3"/>
    <n v="0"/>
    <n v="0"/>
    <n v="0"/>
    <x v="0"/>
    <n v="27.789041095890411"/>
    <x v="1"/>
    <n v="3"/>
    <d v="1997-04-22T00:00:00"/>
  </r>
  <r>
    <x v="1"/>
    <n v="17993632"/>
    <x v="0"/>
    <d v="2025-01-28T00:00:00"/>
    <x v="0"/>
    <x v="6"/>
    <x v="14"/>
    <d v="2025-10-10T00:00:00"/>
    <n v="255"/>
    <n v="8.5"/>
    <n v="0"/>
    <n v="0"/>
    <n v="0"/>
    <x v="0"/>
    <n v="21.93972602739726"/>
    <x v="2"/>
    <n v="2"/>
    <d v="2003-02-25T00:00:00"/>
  </r>
  <r>
    <x v="1"/>
    <n v="17994231"/>
    <x v="0"/>
    <d v="2025-01-28T00:00:00"/>
    <x v="0"/>
    <x v="6"/>
    <x v="14"/>
    <d v="2025-02-28T00:00:00"/>
    <n v="31"/>
    <n v="1.0333333333333334"/>
    <n v="0"/>
    <n v="1"/>
    <n v="1"/>
    <x v="0"/>
    <n v="25.115068493150684"/>
    <x v="2"/>
    <n v="2"/>
    <d v="1999-12-24T00:00:00"/>
  </r>
  <r>
    <x v="1"/>
    <n v="17994290"/>
    <x v="0"/>
    <d v="2025-01-29T00:00:00"/>
    <x v="0"/>
    <x v="6"/>
    <x v="14"/>
    <d v="2025-04-03T00:00:00"/>
    <n v="64"/>
    <n v="2.1333333333333333"/>
    <n v="0"/>
    <n v="1"/>
    <n v="1"/>
    <x v="0"/>
    <n v="19.972602739726028"/>
    <x v="3"/>
    <n v="1"/>
    <d v="2005-02-13T00:00:00"/>
  </r>
  <r>
    <x v="1"/>
    <n v="17994381"/>
    <x v="1"/>
    <d v="2025-01-30T00:00:00"/>
    <x v="0"/>
    <x v="6"/>
    <x v="14"/>
    <d v="2025-07-31T00:00:00"/>
    <n v="182"/>
    <n v="6.0666666666666664"/>
    <n v="0"/>
    <n v="0"/>
    <n v="0"/>
    <x v="1"/>
    <n v="21.12054794520548"/>
    <x v="2"/>
    <n v="2"/>
    <d v="2003-12-23T00:00:00"/>
  </r>
  <r>
    <x v="1"/>
    <n v="17994382"/>
    <x v="0"/>
    <d v="2025-01-30T00:00:00"/>
    <x v="0"/>
    <x v="6"/>
    <x v="14"/>
    <d v="2025-03-03T00:00:00"/>
    <n v="32"/>
    <n v="1.0666666666666667"/>
    <n v="0"/>
    <n v="1"/>
    <n v="1"/>
    <x v="1"/>
    <n v="18.123287671232877"/>
    <x v="3"/>
    <n v="1"/>
    <d v="2006-12-21T00:00:00"/>
  </r>
  <r>
    <x v="1"/>
    <n v="17994383"/>
    <x v="1"/>
    <d v="2025-01-30T00:00:00"/>
    <x v="0"/>
    <x v="6"/>
    <x v="14"/>
    <d v="2026-03-01T00:00:00"/>
    <n v="395"/>
    <n v="13.166666666666666"/>
    <n v="0"/>
    <n v="0"/>
    <n v="0"/>
    <x v="1"/>
    <n v="25.523287671232875"/>
    <x v="2"/>
    <n v="2"/>
    <d v="1999-07-30T00:00:00"/>
  </r>
  <r>
    <x v="1"/>
    <n v="17994385"/>
    <x v="0"/>
    <d v="2025-01-30T00:00:00"/>
    <x v="0"/>
    <x v="6"/>
    <x v="14"/>
    <m/>
    <n v="9999"/>
    <n v="333.3"/>
    <n v="0"/>
    <n v="0"/>
    <n v="0"/>
    <x v="1"/>
    <n v="21.30958904109589"/>
    <x v="2"/>
    <n v="2"/>
    <d v="2003-10-15T00:00:00"/>
  </r>
  <r>
    <x v="1"/>
    <n v="17994387"/>
    <x v="1"/>
    <d v="2025-01-30T00:00:00"/>
    <x v="0"/>
    <x v="6"/>
    <x v="14"/>
    <m/>
    <n v="9999"/>
    <n v="333.3"/>
    <n v="0"/>
    <n v="0"/>
    <n v="0"/>
    <x v="1"/>
    <n v="20.052054794520547"/>
    <x v="3"/>
    <n v="1"/>
    <d v="2005-01-16T00:00:00"/>
  </r>
  <r>
    <x v="1"/>
    <n v="17994389"/>
    <x v="0"/>
    <d v="2025-01-30T00:00:00"/>
    <x v="0"/>
    <x v="6"/>
    <x v="14"/>
    <d v="2025-09-01T00:00:00"/>
    <n v="214"/>
    <n v="7.1333333333333337"/>
    <n v="0"/>
    <n v="0"/>
    <n v="0"/>
    <x v="1"/>
    <n v="20.693150684931506"/>
    <x v="3"/>
    <n v="1"/>
    <d v="2004-05-27T00:00:00"/>
  </r>
  <r>
    <x v="1"/>
    <n v="17994391"/>
    <x v="0"/>
    <d v="2025-01-30T00:00:00"/>
    <x v="0"/>
    <x v="6"/>
    <x v="14"/>
    <d v="2025-02-28T00:00:00"/>
    <n v="29"/>
    <n v="0.96666666666666667"/>
    <n v="1"/>
    <n v="1"/>
    <n v="1"/>
    <x v="1"/>
    <n v="23.802739726027397"/>
    <x v="2"/>
    <n v="2"/>
    <d v="2001-04-18T00:00:00"/>
  </r>
  <r>
    <x v="1"/>
    <n v="17994393"/>
    <x v="1"/>
    <d v="2025-01-30T00:00:00"/>
    <x v="0"/>
    <x v="6"/>
    <x v="14"/>
    <d v="2025-07-20T00:00:00"/>
    <n v="171"/>
    <n v="5.7"/>
    <n v="0"/>
    <n v="0"/>
    <n v="1"/>
    <x v="1"/>
    <n v="19.4986301369863"/>
    <x v="3"/>
    <n v="1"/>
    <d v="2005-08-06T00:00:00"/>
  </r>
  <r>
    <x v="1"/>
    <n v="17994418"/>
    <x v="0"/>
    <d v="2025-01-30T00:00:00"/>
    <x v="0"/>
    <x v="6"/>
    <x v="14"/>
    <m/>
    <n v="9999"/>
    <n v="333.3"/>
    <n v="0"/>
    <n v="0"/>
    <n v="0"/>
    <x v="1"/>
    <n v="18.484931506849314"/>
    <x v="3"/>
    <n v="1"/>
    <d v="2006-08-11T00:00:00"/>
  </r>
  <r>
    <x v="0"/>
    <n v="17994419"/>
    <x v="1"/>
    <d v="2025-01-30T00:00:00"/>
    <x v="0"/>
    <x v="6"/>
    <x v="14"/>
    <d v="2025-05-07T00:00:00"/>
    <n v="97"/>
    <n v="3.2333333333333334"/>
    <n v="0"/>
    <n v="0"/>
    <n v="1"/>
    <x v="1"/>
    <n v="18.964383561643835"/>
    <x v="3"/>
    <n v="1"/>
    <d v="2006-02-17T00:00:00"/>
  </r>
  <r>
    <x v="0"/>
    <n v="17994422"/>
    <x v="1"/>
    <d v="2025-01-30T00:00:00"/>
    <x v="0"/>
    <x v="6"/>
    <x v="14"/>
    <d v="2025-12-15T00:00:00"/>
    <n v="319"/>
    <n v="10.633333333333333"/>
    <n v="0"/>
    <n v="0"/>
    <n v="0"/>
    <x v="1"/>
    <n v="19.841095890410958"/>
    <x v="3"/>
    <n v="1"/>
    <d v="2005-04-03T00:00:00"/>
  </r>
  <r>
    <x v="1"/>
    <n v="17994425"/>
    <x v="0"/>
    <d v="2025-01-30T00:00:00"/>
    <x v="0"/>
    <x v="6"/>
    <x v="14"/>
    <d v="2025-04-06T00:00:00"/>
    <n v="66"/>
    <n v="2.2000000000000002"/>
    <n v="0"/>
    <n v="1"/>
    <n v="1"/>
    <x v="0"/>
    <n v="20.608219178082191"/>
    <x v="3"/>
    <n v="1"/>
    <d v="2004-06-27T00:00:00"/>
  </r>
  <r>
    <x v="1"/>
    <n v="17994434"/>
    <x v="0"/>
    <d v="2025-01-30T00:00:00"/>
    <x v="0"/>
    <x v="6"/>
    <x v="14"/>
    <m/>
    <n v="9999"/>
    <n v="333.3"/>
    <n v="0"/>
    <n v="0"/>
    <n v="0"/>
    <x v="1"/>
    <n v="21.169863013698631"/>
    <x v="2"/>
    <n v="2"/>
    <d v="2003-12-05T00:00:00"/>
  </r>
  <r>
    <x v="1"/>
    <n v="17994442"/>
    <x v="1"/>
    <d v="2025-01-30T00:00:00"/>
    <x v="0"/>
    <x v="6"/>
    <x v="14"/>
    <d v="2025-05-01T00:00:00"/>
    <n v="91"/>
    <n v="3.0333333333333332"/>
    <n v="0"/>
    <n v="0"/>
    <n v="1"/>
    <x v="1"/>
    <n v="21.328767123287673"/>
    <x v="2"/>
    <n v="2"/>
    <d v="2003-10-08T00:00:00"/>
  </r>
  <r>
    <x v="1"/>
    <n v="17994443"/>
    <x v="1"/>
    <d v="2025-01-30T00:00:00"/>
    <x v="0"/>
    <x v="6"/>
    <x v="14"/>
    <m/>
    <n v="9999"/>
    <n v="333.3"/>
    <n v="0"/>
    <n v="0"/>
    <n v="0"/>
    <x v="0"/>
    <n v="21.43013698630137"/>
    <x v="2"/>
    <n v="2"/>
    <d v="2003-09-01T00:00:00"/>
  </r>
  <r>
    <x v="1"/>
    <n v="17994460"/>
    <x v="0"/>
    <d v="2025-01-31T00:00:00"/>
    <x v="0"/>
    <x v="6"/>
    <x v="14"/>
    <d v="2026-04-16T00:00:00"/>
    <n v="440"/>
    <n v="14.666666666666666"/>
    <n v="0"/>
    <n v="0"/>
    <n v="0"/>
    <x v="1"/>
    <n v="19.101369863013698"/>
    <x v="3"/>
    <n v="1"/>
    <d v="2005-12-30T00:00:00"/>
  </r>
  <r>
    <x v="1"/>
    <n v="17994471"/>
    <x v="0"/>
    <d v="2025-01-31T00:00:00"/>
    <x v="0"/>
    <x v="6"/>
    <x v="14"/>
    <d v="2025-07-18T00:00:00"/>
    <n v="168"/>
    <n v="5.6"/>
    <n v="0"/>
    <n v="0"/>
    <n v="1"/>
    <x v="0"/>
    <n v="19.035616438356165"/>
    <x v="3"/>
    <n v="1"/>
    <d v="2006-01-23T00:00:00"/>
  </r>
  <r>
    <x v="1"/>
    <n v="17994473"/>
    <x v="0"/>
    <d v="2025-01-31T00:00:00"/>
    <x v="0"/>
    <x v="6"/>
    <x v="14"/>
    <d v="2025-09-27T00:00:00"/>
    <n v="239"/>
    <n v="7.9666666666666668"/>
    <n v="0"/>
    <n v="0"/>
    <n v="0"/>
    <x v="0"/>
    <n v="19.405479452054795"/>
    <x v="3"/>
    <n v="1"/>
    <d v="2005-09-10T00:00:00"/>
  </r>
  <r>
    <x v="1"/>
    <n v="17994507"/>
    <x v="1"/>
    <d v="2025-01-30T00:00:00"/>
    <x v="0"/>
    <x v="6"/>
    <x v="14"/>
    <m/>
    <n v="9999"/>
    <n v="333.3"/>
    <n v="0"/>
    <n v="0"/>
    <n v="0"/>
    <x v="0"/>
    <n v="20.356164383561644"/>
    <x v="3"/>
    <n v="1"/>
    <d v="2004-09-27T00:00:00"/>
  </r>
  <r>
    <x v="1"/>
    <n v="17994518"/>
    <x v="0"/>
    <d v="2025-01-30T00:00:00"/>
    <x v="0"/>
    <x v="6"/>
    <x v="14"/>
    <d v="2025-03-17T00:00:00"/>
    <n v="46"/>
    <n v="1.5333333333333334"/>
    <n v="0"/>
    <n v="1"/>
    <n v="1"/>
    <x v="0"/>
    <n v="26.92876712328767"/>
    <x v="1"/>
    <n v="3"/>
    <d v="1998-03-04T00:00:00"/>
  </r>
  <r>
    <x v="1"/>
    <n v="17994774"/>
    <x v="0"/>
    <d v="2025-01-31T00:00:00"/>
    <x v="0"/>
    <x v="6"/>
    <x v="14"/>
    <m/>
    <n v="9999"/>
    <n v="333.3"/>
    <n v="0"/>
    <n v="0"/>
    <n v="0"/>
    <x v="0"/>
    <n v="18.221917808219178"/>
    <x v="3"/>
    <n v="1"/>
    <d v="2006-11-16T00:00:00"/>
  </r>
  <r>
    <x v="1"/>
    <n v="18002316"/>
    <x v="1"/>
    <d v="2025-02-03T00:00:00"/>
    <x v="0"/>
    <x v="7"/>
    <x v="9"/>
    <m/>
    <n v="9999"/>
    <n v="333.3"/>
    <n v="0"/>
    <n v="0"/>
    <n v="0"/>
    <x v="1"/>
    <n v="19.758904109589039"/>
    <x v="3"/>
    <n v="1"/>
    <d v="2005-05-07T00:00:00"/>
  </r>
  <r>
    <x v="1"/>
    <n v="18002317"/>
    <x v="0"/>
    <d v="2025-02-03T00:00:00"/>
    <x v="0"/>
    <x v="7"/>
    <x v="9"/>
    <d v="2025-11-30T00:00:00"/>
    <n v="300"/>
    <n v="10"/>
    <n v="0"/>
    <n v="0"/>
    <n v="0"/>
    <x v="1"/>
    <n v="22.057534246575344"/>
    <x v="2"/>
    <n v="2"/>
    <d v="2003-01-19T00:00:00"/>
  </r>
  <r>
    <x v="1"/>
    <n v="18002334"/>
    <x v="0"/>
    <d v="2025-02-03T00:00:00"/>
    <x v="0"/>
    <x v="7"/>
    <x v="9"/>
    <d v="2026-04-01T00:00:00"/>
    <n v="422"/>
    <n v="14.066666666666666"/>
    <n v="0"/>
    <n v="0"/>
    <n v="0"/>
    <x v="1"/>
    <n v="29.260273972602739"/>
    <x v="1"/>
    <n v="3"/>
    <d v="1995-11-08T00:00:00"/>
  </r>
  <r>
    <x v="1"/>
    <n v="18002335"/>
    <x v="0"/>
    <d v="2025-02-03T00:00:00"/>
    <x v="0"/>
    <x v="7"/>
    <x v="9"/>
    <d v="2025-10-08T00:00:00"/>
    <n v="247"/>
    <n v="8.2333333333333325"/>
    <n v="0"/>
    <n v="0"/>
    <n v="0"/>
    <x v="1"/>
    <n v="30.328767123287673"/>
    <x v="1"/>
    <n v="3"/>
    <d v="1994-10-14T00:00:00"/>
  </r>
  <r>
    <x v="1"/>
    <n v="18002345"/>
    <x v="1"/>
    <d v="2025-02-03T00:00:00"/>
    <x v="0"/>
    <x v="7"/>
    <x v="9"/>
    <d v="2026-02-15T00:00:00"/>
    <n v="377"/>
    <n v="12.566666666666666"/>
    <n v="0"/>
    <n v="0"/>
    <n v="0"/>
    <x v="1"/>
    <n v="24.454794520547946"/>
    <x v="2"/>
    <n v="2"/>
    <d v="2000-08-27T00:00:00"/>
  </r>
  <r>
    <x v="1"/>
    <n v="18002360"/>
    <x v="0"/>
    <d v="2025-02-03T00:00:00"/>
    <x v="0"/>
    <x v="7"/>
    <x v="9"/>
    <m/>
    <n v="9999"/>
    <n v="333.3"/>
    <n v="0"/>
    <n v="0"/>
    <n v="0"/>
    <x v="0"/>
    <n v="20.210958904109589"/>
    <x v="3"/>
    <n v="1"/>
    <d v="2004-11-23T00:00:00"/>
  </r>
  <r>
    <x v="1"/>
    <n v="18002375"/>
    <x v="0"/>
    <d v="2025-02-03T00:00:00"/>
    <x v="0"/>
    <x v="7"/>
    <x v="9"/>
    <d v="2025-06-15T00:00:00"/>
    <n v="132"/>
    <n v="4.4000000000000004"/>
    <n v="0"/>
    <n v="0"/>
    <n v="1"/>
    <x v="1"/>
    <n v="30.219178082191782"/>
    <x v="1"/>
    <n v="3"/>
    <d v="1994-11-23T00:00:00"/>
  </r>
  <r>
    <x v="1"/>
    <n v="18002405"/>
    <x v="0"/>
    <d v="2025-02-03T00:00:00"/>
    <x v="0"/>
    <x v="7"/>
    <x v="9"/>
    <d v="2026-05-31T00:00:00"/>
    <n v="482"/>
    <n v="16.066666666666666"/>
    <n v="0"/>
    <n v="0"/>
    <n v="0"/>
    <x v="1"/>
    <n v="22.915068493150685"/>
    <x v="2"/>
    <n v="2"/>
    <d v="2002-03-12T00:00:00"/>
  </r>
  <r>
    <x v="1"/>
    <n v="18002406"/>
    <x v="0"/>
    <d v="2025-02-03T00:00:00"/>
    <x v="0"/>
    <x v="7"/>
    <x v="9"/>
    <m/>
    <n v="9999"/>
    <n v="333.3"/>
    <n v="0"/>
    <n v="0"/>
    <n v="0"/>
    <x v="1"/>
    <n v="18.276712328767122"/>
    <x v="3"/>
    <n v="1"/>
    <d v="2006-10-30T00:00:00"/>
  </r>
  <r>
    <x v="1"/>
    <n v="18009665"/>
    <x v="0"/>
    <d v="2025-02-04T00:00:00"/>
    <x v="0"/>
    <x v="7"/>
    <x v="9"/>
    <d v="2025-06-07T00:00:00"/>
    <n v="123"/>
    <n v="4.0999999999999996"/>
    <n v="0"/>
    <n v="0"/>
    <n v="1"/>
    <x v="1"/>
    <n v="20.287671232876711"/>
    <x v="3"/>
    <n v="1"/>
    <d v="2004-10-27T00:00:00"/>
  </r>
  <r>
    <x v="1"/>
    <n v="18010171"/>
    <x v="0"/>
    <d v="2025-02-04T00:00:00"/>
    <x v="0"/>
    <x v="7"/>
    <x v="9"/>
    <m/>
    <n v="9999"/>
    <n v="333.3"/>
    <n v="0"/>
    <n v="0"/>
    <n v="0"/>
    <x v="0"/>
    <n v="19.342465753424658"/>
    <x v="3"/>
    <n v="1"/>
    <d v="2005-10-07T00:00:00"/>
  </r>
  <r>
    <x v="1"/>
    <n v="18010340"/>
    <x v="1"/>
    <d v="2025-02-04T00:00:00"/>
    <x v="0"/>
    <x v="7"/>
    <x v="9"/>
    <m/>
    <n v="9999"/>
    <n v="333.3"/>
    <n v="0"/>
    <n v="0"/>
    <n v="0"/>
    <x v="1"/>
    <n v="18.906849315068492"/>
    <x v="3"/>
    <n v="1"/>
    <d v="2006-03-15T00:00:00"/>
  </r>
  <r>
    <x v="1"/>
    <n v="18026206"/>
    <x v="0"/>
    <d v="2025-02-05T00:00:00"/>
    <x v="0"/>
    <x v="7"/>
    <x v="9"/>
    <d v="2026-01-31T00:00:00"/>
    <n v="360"/>
    <n v="12"/>
    <n v="0"/>
    <n v="0"/>
    <n v="0"/>
    <x v="1"/>
    <n v="19.495890410958904"/>
    <x v="3"/>
    <n v="1"/>
    <d v="2005-08-13T00:00:00"/>
  </r>
  <r>
    <x v="1"/>
    <n v="18026605"/>
    <x v="0"/>
    <d v="2025-10-01T00:00:00"/>
    <x v="0"/>
    <x v="8"/>
    <x v="10"/>
    <d v="2026-03-15T00:00:00"/>
    <n v="165"/>
    <n v="5.5"/>
    <n v="0"/>
    <n v="0"/>
    <n v="1"/>
    <x v="1"/>
    <n v="18.728767123287671"/>
    <x v="3"/>
    <n v="1"/>
    <d v="2007-01-13T00:00:00"/>
  </r>
  <r>
    <x v="1"/>
    <n v="18028618"/>
    <x v="0"/>
    <d v="2025-02-06T00:00:00"/>
    <x v="0"/>
    <x v="7"/>
    <x v="9"/>
    <m/>
    <n v="9999"/>
    <n v="333.3"/>
    <n v="0"/>
    <n v="0"/>
    <n v="0"/>
    <x v="1"/>
    <n v="31.602739726027398"/>
    <x v="0"/>
    <n v="4"/>
    <d v="1993-07-09T00:00:00"/>
  </r>
  <r>
    <x v="1"/>
    <n v="18028619"/>
    <x v="0"/>
    <d v="2025-02-06T00:00:00"/>
    <x v="0"/>
    <x v="7"/>
    <x v="9"/>
    <d v="2025-08-17T00:00:00"/>
    <n v="192"/>
    <n v="6.4"/>
    <n v="0"/>
    <n v="0"/>
    <n v="0"/>
    <x v="1"/>
    <n v="18.232876712328768"/>
    <x v="3"/>
    <n v="1"/>
    <d v="2006-11-18T00:00:00"/>
  </r>
  <r>
    <x v="1"/>
    <n v="18028625"/>
    <x v="1"/>
    <d v="2025-02-06T00:00:00"/>
    <x v="0"/>
    <x v="7"/>
    <x v="9"/>
    <d v="2025-03-06T00:00:00"/>
    <n v="28"/>
    <n v="0.93333333333333335"/>
    <n v="1"/>
    <n v="1"/>
    <n v="1"/>
    <x v="1"/>
    <n v="23.010958904109589"/>
    <x v="2"/>
    <n v="2"/>
    <d v="2002-02-08T00:00:00"/>
  </r>
  <r>
    <x v="1"/>
    <n v="18028626"/>
    <x v="1"/>
    <d v="2025-02-06T00:00:00"/>
    <x v="0"/>
    <x v="7"/>
    <x v="9"/>
    <m/>
    <n v="9999"/>
    <n v="333.3"/>
    <n v="0"/>
    <n v="0"/>
    <n v="0"/>
    <x v="1"/>
    <n v="21.002739726027396"/>
    <x v="2"/>
    <n v="2"/>
    <d v="2004-02-11T00:00:00"/>
  </r>
  <r>
    <x v="1"/>
    <n v="18028627"/>
    <x v="0"/>
    <d v="2025-02-06T00:00:00"/>
    <x v="0"/>
    <x v="7"/>
    <x v="9"/>
    <d v="2025-11-30T00:00:00"/>
    <n v="297"/>
    <n v="9.9"/>
    <n v="0"/>
    <n v="0"/>
    <n v="0"/>
    <x v="1"/>
    <n v="19.394520547945206"/>
    <x v="3"/>
    <n v="1"/>
    <d v="2005-09-20T00:00:00"/>
  </r>
  <r>
    <x v="1"/>
    <n v="18028629"/>
    <x v="0"/>
    <d v="2025-02-06T00:00:00"/>
    <x v="0"/>
    <x v="7"/>
    <x v="9"/>
    <m/>
    <n v="9999"/>
    <n v="333.3"/>
    <n v="0"/>
    <n v="0"/>
    <n v="0"/>
    <x v="1"/>
    <n v="38.890410958904113"/>
    <x v="0"/>
    <n v="4"/>
    <d v="1986-03-28T00:00:00"/>
  </r>
  <r>
    <x v="1"/>
    <n v="18028635"/>
    <x v="0"/>
    <d v="2025-02-06T00:00:00"/>
    <x v="0"/>
    <x v="7"/>
    <x v="9"/>
    <d v="2025-09-15T00:00:00"/>
    <n v="221"/>
    <n v="7.3666666666666663"/>
    <n v="0"/>
    <n v="0"/>
    <n v="0"/>
    <x v="1"/>
    <n v="18.186301369863013"/>
    <x v="3"/>
    <n v="1"/>
    <d v="2006-12-05T00:00:00"/>
  </r>
  <r>
    <x v="1"/>
    <n v="18028636"/>
    <x v="0"/>
    <d v="2025-02-06T00:00:00"/>
    <x v="0"/>
    <x v="7"/>
    <x v="9"/>
    <d v="2025-03-04T00:00:00"/>
    <n v="26"/>
    <n v="0.8666666666666667"/>
    <n v="1"/>
    <n v="1"/>
    <n v="1"/>
    <x v="1"/>
    <n v="19.438356164383563"/>
    <x v="3"/>
    <n v="1"/>
    <d v="2005-09-04T00:00:00"/>
  </r>
  <r>
    <x v="1"/>
    <n v="18028637"/>
    <x v="0"/>
    <d v="2025-02-06T00:00:00"/>
    <x v="0"/>
    <x v="7"/>
    <x v="9"/>
    <d v="2025-08-15T00:00:00"/>
    <n v="190"/>
    <n v="6.333333333333333"/>
    <n v="0"/>
    <n v="0"/>
    <n v="0"/>
    <x v="0"/>
    <n v="19.816438356164383"/>
    <x v="3"/>
    <n v="1"/>
    <d v="2005-04-19T00:00:00"/>
  </r>
  <r>
    <x v="1"/>
    <n v="18028680"/>
    <x v="0"/>
    <d v="2025-02-06T00:00:00"/>
    <x v="0"/>
    <x v="7"/>
    <x v="9"/>
    <d v="2025-04-09T00:00:00"/>
    <n v="62"/>
    <n v="2.0666666666666669"/>
    <n v="0"/>
    <n v="1"/>
    <n v="1"/>
    <x v="1"/>
    <n v="20.073972602739726"/>
    <x v="3"/>
    <n v="1"/>
    <d v="2005-01-15T00:00:00"/>
  </r>
  <r>
    <x v="1"/>
    <n v="18028681"/>
    <x v="0"/>
    <d v="2025-02-06T00:00:00"/>
    <x v="0"/>
    <x v="7"/>
    <x v="9"/>
    <d v="2025-08-12T00:00:00"/>
    <n v="187"/>
    <n v="6.2333333333333334"/>
    <n v="0"/>
    <n v="0"/>
    <n v="0"/>
    <x v="1"/>
    <n v="31.241095890410961"/>
    <x v="0"/>
    <n v="4"/>
    <d v="1993-11-18T00:00:00"/>
  </r>
  <r>
    <x v="1"/>
    <n v="18028683"/>
    <x v="0"/>
    <d v="2025-02-06T00:00:00"/>
    <x v="0"/>
    <x v="7"/>
    <x v="9"/>
    <d v="2025-02-17T00:00:00"/>
    <n v="11"/>
    <n v="0.36666666666666664"/>
    <n v="1"/>
    <n v="1"/>
    <n v="1"/>
    <x v="1"/>
    <n v="22.334246575342465"/>
    <x v="2"/>
    <n v="2"/>
    <d v="2002-10-13T00:00:00"/>
  </r>
  <r>
    <x v="0"/>
    <n v="18028688"/>
    <x v="0"/>
    <d v="2025-02-06T00:00:00"/>
    <x v="0"/>
    <x v="7"/>
    <x v="9"/>
    <d v="2025-03-15T00:00:00"/>
    <n v="37"/>
    <n v="1.2333333333333334"/>
    <n v="0"/>
    <n v="1"/>
    <n v="1"/>
    <x v="1"/>
    <n v="29.079452054794519"/>
    <x v="1"/>
    <n v="3"/>
    <d v="1996-01-16T00:00:00"/>
  </r>
  <r>
    <x v="1"/>
    <n v="18030358"/>
    <x v="0"/>
    <d v="2025-02-07T00:00:00"/>
    <x v="0"/>
    <x v="7"/>
    <x v="9"/>
    <d v="2025-10-17T00:00:00"/>
    <n v="252"/>
    <n v="8.4"/>
    <n v="0"/>
    <n v="0"/>
    <n v="0"/>
    <x v="1"/>
    <n v="25.945205479452056"/>
    <x v="2"/>
    <n v="2"/>
    <d v="1999-03-06T00:00:00"/>
  </r>
  <r>
    <x v="1"/>
    <n v="18030377"/>
    <x v="0"/>
    <d v="2025-02-07T00:00:00"/>
    <x v="0"/>
    <x v="7"/>
    <x v="9"/>
    <d v="2025-04-01T00:00:00"/>
    <n v="53"/>
    <n v="1.7666666666666666"/>
    <n v="0"/>
    <n v="1"/>
    <n v="1"/>
    <x v="1"/>
    <n v="21.169863013698631"/>
    <x v="2"/>
    <n v="2"/>
    <d v="2003-12-13T00:00:00"/>
  </r>
  <r>
    <x v="1"/>
    <n v="18030390"/>
    <x v="0"/>
    <d v="2025-02-07T00:00:00"/>
    <x v="0"/>
    <x v="7"/>
    <x v="9"/>
    <d v="2025-05-14T00:00:00"/>
    <n v="96"/>
    <n v="3.2"/>
    <n v="0"/>
    <n v="0"/>
    <n v="1"/>
    <x v="1"/>
    <n v="21.663013698630138"/>
    <x v="2"/>
    <n v="2"/>
    <d v="2003-06-16T00:00:00"/>
  </r>
  <r>
    <x v="1"/>
    <n v="18030415"/>
    <x v="0"/>
    <d v="2025-02-07T00:00:00"/>
    <x v="0"/>
    <x v="7"/>
    <x v="9"/>
    <m/>
    <n v="9999"/>
    <n v="333.3"/>
    <n v="0"/>
    <n v="0"/>
    <n v="0"/>
    <x v="1"/>
    <n v="23.186301369863013"/>
    <x v="2"/>
    <n v="2"/>
    <d v="2001-12-07T00:00:00"/>
  </r>
  <r>
    <x v="1"/>
    <n v="18030416"/>
    <x v="0"/>
    <d v="2025-02-07T00:00:00"/>
    <x v="0"/>
    <x v="7"/>
    <x v="9"/>
    <m/>
    <n v="9999"/>
    <n v="333.3"/>
    <n v="0"/>
    <n v="0"/>
    <n v="0"/>
    <x v="1"/>
    <n v="20.323287671232876"/>
    <x v="3"/>
    <n v="1"/>
    <d v="2004-10-17T00:00:00"/>
  </r>
  <r>
    <x v="1"/>
    <n v="18030433"/>
    <x v="0"/>
    <d v="2025-02-07T00:00:00"/>
    <x v="0"/>
    <x v="7"/>
    <x v="9"/>
    <d v="2026-04-26T00:00:00"/>
    <n v="443"/>
    <n v="14.766666666666667"/>
    <n v="0"/>
    <n v="0"/>
    <n v="0"/>
    <x v="1"/>
    <n v="28.945205479452056"/>
    <x v="1"/>
    <n v="3"/>
    <d v="1996-03-06T00:00:00"/>
  </r>
  <r>
    <x v="1"/>
    <n v="18030434"/>
    <x v="1"/>
    <d v="2025-02-07T00:00:00"/>
    <x v="0"/>
    <x v="7"/>
    <x v="9"/>
    <d v="2025-11-30T00:00:00"/>
    <n v="296"/>
    <n v="9.8666666666666671"/>
    <n v="0"/>
    <n v="0"/>
    <n v="0"/>
    <x v="1"/>
    <n v="19.399999999999999"/>
    <x v="3"/>
    <n v="1"/>
    <d v="2005-09-19T00:00:00"/>
  </r>
  <r>
    <x v="1"/>
    <n v="18030435"/>
    <x v="1"/>
    <d v="2025-02-07T00:00:00"/>
    <x v="0"/>
    <x v="7"/>
    <x v="9"/>
    <m/>
    <n v="9999"/>
    <n v="333.3"/>
    <n v="0"/>
    <n v="0"/>
    <n v="0"/>
    <x v="1"/>
    <n v="21.035616438356165"/>
    <x v="2"/>
    <n v="2"/>
    <d v="2004-01-31T00:00:00"/>
  </r>
  <r>
    <x v="1"/>
    <n v="18030436"/>
    <x v="0"/>
    <d v="2025-02-07T00:00:00"/>
    <x v="0"/>
    <x v="7"/>
    <x v="9"/>
    <d v="2025-05-13T00:00:00"/>
    <n v="95"/>
    <n v="3.1666666666666665"/>
    <n v="0"/>
    <n v="0"/>
    <n v="1"/>
    <x v="1"/>
    <n v="18.772602739726029"/>
    <x v="3"/>
    <n v="1"/>
    <d v="2006-05-06T00:00:00"/>
  </r>
  <r>
    <x v="1"/>
    <n v="18030438"/>
    <x v="0"/>
    <d v="2025-02-07T00:00:00"/>
    <x v="0"/>
    <x v="7"/>
    <x v="9"/>
    <d v="2025-07-01T00:00:00"/>
    <n v="144"/>
    <n v="4.8"/>
    <n v="0"/>
    <n v="0"/>
    <n v="1"/>
    <x v="1"/>
    <n v="20.720547945205478"/>
    <x v="3"/>
    <n v="1"/>
    <d v="2004-05-25T00:00:00"/>
  </r>
  <r>
    <x v="1"/>
    <n v="18030445"/>
    <x v="1"/>
    <d v="2025-02-07T00:00:00"/>
    <x v="0"/>
    <x v="7"/>
    <x v="9"/>
    <d v="2025-04-06T00:00:00"/>
    <n v="58"/>
    <n v="1.9333333333333333"/>
    <n v="0"/>
    <n v="1"/>
    <n v="1"/>
    <x v="1"/>
    <n v="24.704109589041096"/>
    <x v="2"/>
    <n v="2"/>
    <d v="2000-06-01T00:00:00"/>
  </r>
  <r>
    <x v="1"/>
    <n v="18040197"/>
    <x v="0"/>
    <d v="2025-02-11T00:00:00"/>
    <x v="0"/>
    <x v="7"/>
    <x v="9"/>
    <d v="2025-03-10T00:00:00"/>
    <n v="27"/>
    <n v="0.9"/>
    <n v="1"/>
    <n v="1"/>
    <n v="1"/>
    <x v="1"/>
    <n v="22.24931506849315"/>
    <x v="2"/>
    <n v="2"/>
    <d v="2002-11-18T00:00:00"/>
  </r>
  <r>
    <x v="1"/>
    <n v="18040200"/>
    <x v="0"/>
    <d v="2025-02-11T00:00:00"/>
    <x v="0"/>
    <x v="7"/>
    <x v="9"/>
    <d v="2025-05-11T00:00:00"/>
    <n v="89"/>
    <n v="2.9666666666666668"/>
    <n v="0"/>
    <n v="1"/>
    <n v="1"/>
    <x v="1"/>
    <n v="32.372602739726027"/>
    <x v="0"/>
    <n v="4"/>
    <d v="1992-10-06T00:00:00"/>
  </r>
  <r>
    <x v="1"/>
    <n v="18040628"/>
    <x v="0"/>
    <d v="2025-02-11T00:00:00"/>
    <x v="0"/>
    <x v="7"/>
    <x v="9"/>
    <d v="2026-04-30T00:00:00"/>
    <n v="443"/>
    <n v="14.766666666666667"/>
    <n v="0"/>
    <n v="0"/>
    <n v="0"/>
    <x v="1"/>
    <n v="21.271232876712329"/>
    <x v="2"/>
    <n v="2"/>
    <d v="2003-11-10T00:00:00"/>
  </r>
  <r>
    <x v="1"/>
    <n v="18040749"/>
    <x v="0"/>
    <d v="2025-02-11T00:00:00"/>
    <x v="0"/>
    <x v="7"/>
    <x v="9"/>
    <d v="2025-05-04T00:00:00"/>
    <n v="82"/>
    <n v="2.7333333333333334"/>
    <n v="0"/>
    <n v="1"/>
    <n v="1"/>
    <x v="1"/>
    <n v="18.471232876712328"/>
    <x v="3"/>
    <n v="1"/>
    <d v="2006-08-28T00:00:00"/>
  </r>
  <r>
    <x v="1"/>
    <n v="18048944"/>
    <x v="1"/>
    <d v="2025-02-12T00:00:00"/>
    <x v="0"/>
    <x v="7"/>
    <x v="9"/>
    <d v="2025-03-31T00:00:00"/>
    <n v="47"/>
    <n v="1.5666666666666667"/>
    <n v="0"/>
    <n v="1"/>
    <n v="1"/>
    <x v="0"/>
    <n v="21.775342465753425"/>
    <x v="2"/>
    <n v="2"/>
    <d v="2003-05-11T00:00:00"/>
  </r>
  <r>
    <x v="1"/>
    <n v="18055471"/>
    <x v="0"/>
    <d v="2025-02-07T00:00:00"/>
    <x v="0"/>
    <x v="7"/>
    <x v="9"/>
    <d v="2025-03-31T00:00:00"/>
    <n v="52"/>
    <n v="1.7333333333333334"/>
    <n v="0"/>
    <n v="1"/>
    <n v="1"/>
    <x v="1"/>
    <n v="19.383561643835616"/>
    <x v="3"/>
    <n v="1"/>
    <d v="2005-09-25T00:00:00"/>
  </r>
  <r>
    <x v="1"/>
    <n v="18085435"/>
    <x v="0"/>
    <d v="2025-02-14T00:00:00"/>
    <x v="0"/>
    <x v="7"/>
    <x v="9"/>
    <m/>
    <n v="9999"/>
    <n v="333.3"/>
    <n v="0"/>
    <n v="0"/>
    <n v="0"/>
    <x v="1"/>
    <n v="20.978082191780821"/>
    <x v="3"/>
    <n v="1"/>
    <d v="2004-02-28T00:00:00"/>
  </r>
  <r>
    <x v="1"/>
    <n v="18085769"/>
    <x v="0"/>
    <d v="2025-02-14T00:00:00"/>
    <x v="0"/>
    <x v="7"/>
    <x v="9"/>
    <d v="2025-04-15T00:00:00"/>
    <n v="60"/>
    <n v="2"/>
    <n v="0"/>
    <n v="1"/>
    <n v="1"/>
    <x v="1"/>
    <n v="22.452054794520549"/>
    <x v="2"/>
    <n v="2"/>
    <d v="2002-09-08T00:00:00"/>
  </r>
  <r>
    <x v="1"/>
    <n v="18085832"/>
    <x v="0"/>
    <d v="2025-02-14T00:00:00"/>
    <x v="0"/>
    <x v="7"/>
    <x v="9"/>
    <m/>
    <n v="9999"/>
    <n v="333.3"/>
    <n v="0"/>
    <n v="0"/>
    <n v="0"/>
    <x v="1"/>
    <n v="19.761643835616439"/>
    <x v="3"/>
    <n v="1"/>
    <d v="2005-05-17T00:00:00"/>
  </r>
  <r>
    <x v="1"/>
    <n v="18085863"/>
    <x v="0"/>
    <d v="2025-02-14T00:00:00"/>
    <x v="0"/>
    <x v="7"/>
    <x v="9"/>
    <d v="2026-03-01T00:00:00"/>
    <n v="380"/>
    <n v="12.666666666666666"/>
    <n v="0"/>
    <n v="0"/>
    <n v="0"/>
    <x v="1"/>
    <n v="21.621917808219177"/>
    <x v="2"/>
    <n v="2"/>
    <d v="2003-07-08T00:00:00"/>
  </r>
  <r>
    <x v="1"/>
    <n v="18085905"/>
    <x v="0"/>
    <d v="2025-02-14T00:00:00"/>
    <x v="0"/>
    <x v="7"/>
    <x v="9"/>
    <m/>
    <n v="9999"/>
    <n v="333.3"/>
    <n v="0"/>
    <n v="0"/>
    <n v="0"/>
    <x v="1"/>
    <n v="21.745205479452054"/>
    <x v="2"/>
    <n v="2"/>
    <d v="2003-05-24T00:00:00"/>
  </r>
  <r>
    <x v="1"/>
    <n v="18085915"/>
    <x v="0"/>
    <d v="2025-02-14T00:00:00"/>
    <x v="0"/>
    <x v="7"/>
    <x v="9"/>
    <m/>
    <n v="9999"/>
    <n v="333.3"/>
    <n v="0"/>
    <n v="0"/>
    <n v="0"/>
    <x v="1"/>
    <n v="18.739726027397261"/>
    <x v="3"/>
    <n v="1"/>
    <d v="2006-05-25T00:00:00"/>
  </r>
  <r>
    <x v="1"/>
    <n v="18085945"/>
    <x v="0"/>
    <d v="2025-02-14T00:00:00"/>
    <x v="0"/>
    <x v="7"/>
    <x v="9"/>
    <d v="2025-05-01T00:00:00"/>
    <n v="76"/>
    <n v="2.5333333333333332"/>
    <n v="0"/>
    <n v="1"/>
    <n v="1"/>
    <x v="1"/>
    <n v="19.736986301369864"/>
    <x v="3"/>
    <n v="1"/>
    <d v="2005-05-26T00:00:00"/>
  </r>
  <r>
    <x v="1"/>
    <n v="18100802"/>
    <x v="0"/>
    <d v="2025-12-05T00:00:00"/>
    <x v="0"/>
    <x v="5"/>
    <x v="7"/>
    <d v="2026-01-21T00:00:00"/>
    <n v="47"/>
    <n v="1.5666666666666667"/>
    <n v="0"/>
    <n v="1"/>
    <n v="1"/>
    <x v="0"/>
    <n v="22.706849315068492"/>
    <x v="2"/>
    <n v="2"/>
    <d v="2003-03-28T00:00:00"/>
  </r>
  <r>
    <x v="1"/>
    <n v="18100803"/>
    <x v="0"/>
    <d v="2025-08-25T00:00:00"/>
    <x v="0"/>
    <x v="9"/>
    <x v="12"/>
    <m/>
    <n v="9999"/>
    <n v="333.3"/>
    <n v="0"/>
    <n v="0"/>
    <n v="0"/>
    <x v="0"/>
    <n v="23.958904109589042"/>
    <x v="2"/>
    <n v="2"/>
    <d v="2001-09-15T00:00:00"/>
  </r>
  <r>
    <x v="1"/>
    <n v="18101113"/>
    <x v="0"/>
    <d v="2025-11-14T00:00:00"/>
    <x v="0"/>
    <x v="4"/>
    <x v="6"/>
    <m/>
    <n v="9999"/>
    <n v="333.3"/>
    <n v="0"/>
    <n v="0"/>
    <n v="0"/>
    <x v="0"/>
    <n v="20.778082191780822"/>
    <x v="3"/>
    <n v="1"/>
    <d v="2005-02-08T00:00:00"/>
  </r>
  <r>
    <x v="1"/>
    <n v="18101128"/>
    <x v="0"/>
    <d v="2025-02-17T00:00:00"/>
    <x v="0"/>
    <x v="7"/>
    <x v="9"/>
    <m/>
    <n v="9999"/>
    <n v="333.3"/>
    <n v="0"/>
    <n v="0"/>
    <n v="0"/>
    <x v="0"/>
    <n v="23.046575342465754"/>
    <x v="2"/>
    <n v="2"/>
    <d v="2002-02-06T00:00:00"/>
  </r>
  <r>
    <x v="1"/>
    <n v="18101131"/>
    <x v="1"/>
    <d v="2025-02-17T00:00:00"/>
    <x v="0"/>
    <x v="7"/>
    <x v="9"/>
    <m/>
    <n v="9999"/>
    <n v="333.3"/>
    <n v="0"/>
    <n v="0"/>
    <n v="0"/>
    <x v="0"/>
    <n v="19.901369863013699"/>
    <x v="3"/>
    <n v="1"/>
    <d v="2005-03-30T00:00:00"/>
  </r>
  <r>
    <x v="1"/>
    <n v="18101160"/>
    <x v="1"/>
    <d v="2025-05-16T00:00:00"/>
    <x v="0"/>
    <x v="1"/>
    <x v="2"/>
    <m/>
    <n v="9999"/>
    <n v="333.3"/>
    <n v="0"/>
    <n v="0"/>
    <n v="0"/>
    <x v="0"/>
    <n v="24.994520547945207"/>
    <x v="2"/>
    <n v="2"/>
    <d v="2000-05-24T00:00:00"/>
  </r>
  <r>
    <x v="1"/>
    <n v="18101296"/>
    <x v="1"/>
    <d v="2025-02-17T00:00:00"/>
    <x v="0"/>
    <x v="7"/>
    <x v="9"/>
    <d v="2025-05-02T00:00:00"/>
    <n v="74"/>
    <n v="2.4666666666666668"/>
    <n v="0"/>
    <n v="1"/>
    <n v="1"/>
    <x v="0"/>
    <n v="20.745205479452054"/>
    <x v="3"/>
    <n v="1"/>
    <d v="2004-05-26T00:00:00"/>
  </r>
  <r>
    <x v="1"/>
    <n v="18101736"/>
    <x v="0"/>
    <d v="2025-02-17T00:00:00"/>
    <x v="0"/>
    <x v="7"/>
    <x v="9"/>
    <d v="2026-03-31T00:00:00"/>
    <n v="407"/>
    <n v="13.566666666666666"/>
    <n v="0"/>
    <n v="0"/>
    <n v="0"/>
    <x v="0"/>
    <n v="21.375342465753423"/>
    <x v="2"/>
    <n v="2"/>
    <d v="2003-10-09T00:00:00"/>
  </r>
  <r>
    <x v="1"/>
    <n v="18105796"/>
    <x v="1"/>
    <d v="2025-02-18T00:00:00"/>
    <x v="0"/>
    <x v="7"/>
    <x v="9"/>
    <d v="2025-08-08T00:00:00"/>
    <n v="171"/>
    <n v="5.7"/>
    <n v="0"/>
    <n v="0"/>
    <n v="1"/>
    <x v="1"/>
    <n v="23.736986301369864"/>
    <x v="2"/>
    <n v="2"/>
    <d v="2001-05-31T00:00:00"/>
  </r>
  <r>
    <x v="1"/>
    <n v="18106512"/>
    <x v="0"/>
    <d v="2025-02-18T00:00:00"/>
    <x v="0"/>
    <x v="7"/>
    <x v="9"/>
    <d v="2026-03-01T00:00:00"/>
    <n v="376"/>
    <n v="12.533333333333333"/>
    <n v="0"/>
    <n v="0"/>
    <n v="0"/>
    <x v="1"/>
    <n v="25.545205479452054"/>
    <x v="2"/>
    <n v="2"/>
    <d v="1999-08-10T00:00:00"/>
  </r>
  <r>
    <x v="1"/>
    <n v="18107124"/>
    <x v="0"/>
    <d v="2025-02-14T00:00:00"/>
    <x v="0"/>
    <x v="7"/>
    <x v="9"/>
    <d v="2025-05-31T00:00:00"/>
    <n v="106"/>
    <n v="3.5333333333333332"/>
    <n v="0"/>
    <n v="0"/>
    <n v="1"/>
    <x v="1"/>
    <n v="18.334246575342465"/>
    <x v="3"/>
    <n v="1"/>
    <d v="2006-10-20T00:00:00"/>
  </r>
  <r>
    <x v="1"/>
    <n v="18108866"/>
    <x v="0"/>
    <d v="2025-02-17T00:00:00"/>
    <x v="0"/>
    <x v="7"/>
    <x v="9"/>
    <d v="2025-05-18T00:00:00"/>
    <n v="90"/>
    <n v="3"/>
    <n v="0"/>
    <n v="1"/>
    <n v="1"/>
    <x v="1"/>
    <n v="21.238356164383561"/>
    <x v="2"/>
    <n v="2"/>
    <d v="2003-11-28T00:00:00"/>
  </r>
  <r>
    <x v="1"/>
    <n v="18108876"/>
    <x v="0"/>
    <d v="2025-05-03T00:00:00"/>
    <x v="0"/>
    <x v="1"/>
    <x v="2"/>
    <d v="2025-08-31T00:00:00"/>
    <n v="120"/>
    <n v="4"/>
    <n v="0"/>
    <n v="0"/>
    <n v="1"/>
    <x v="1"/>
    <n v="20.709589041095889"/>
    <x v="3"/>
    <n v="1"/>
    <d v="2004-08-22T00:00:00"/>
  </r>
  <r>
    <x v="1"/>
    <n v="18109038"/>
    <x v="1"/>
    <d v="2025-04-25T00:00:00"/>
    <x v="0"/>
    <x v="2"/>
    <x v="3"/>
    <d v="2026-04-30T00:00:00"/>
    <n v="370"/>
    <n v="12.333333333333334"/>
    <n v="0"/>
    <n v="0"/>
    <n v="0"/>
    <x v="1"/>
    <n v="20.304109589041097"/>
    <x v="3"/>
    <n v="1"/>
    <d v="2005-01-09T00:00:00"/>
  </r>
  <r>
    <x v="1"/>
    <n v="18109048"/>
    <x v="1"/>
    <d v="2025-02-17T00:00:00"/>
    <x v="0"/>
    <x v="7"/>
    <x v="9"/>
    <d v="2026-02-05T00:00:00"/>
    <n v="353"/>
    <n v="11.766666666666667"/>
    <n v="0"/>
    <n v="0"/>
    <n v="0"/>
    <x v="1"/>
    <n v="19.471232876712328"/>
    <x v="3"/>
    <n v="1"/>
    <d v="2005-09-03T00:00:00"/>
  </r>
  <r>
    <x v="1"/>
    <n v="18109051"/>
    <x v="1"/>
    <d v="2025-10-30T00:00:00"/>
    <x v="0"/>
    <x v="8"/>
    <x v="10"/>
    <m/>
    <n v="9999"/>
    <n v="333.3"/>
    <n v="0"/>
    <n v="0"/>
    <n v="0"/>
    <x v="1"/>
    <n v="21.010958904109589"/>
    <x v="2"/>
    <n v="2"/>
    <d v="2004-10-31T00:00:00"/>
  </r>
  <r>
    <x v="1"/>
    <n v="18109098"/>
    <x v="1"/>
    <d v="2026-03-12T00:00:00"/>
    <x v="1"/>
    <x v="0"/>
    <x v="5"/>
    <m/>
    <n v="9999"/>
    <n v="333.3"/>
    <n v="0"/>
    <n v="0"/>
    <n v="0"/>
    <x v="1"/>
    <n v="20.586301369863012"/>
    <x v="3"/>
    <n v="1"/>
    <d v="2005-08-15T00:00:00"/>
  </r>
  <r>
    <x v="1"/>
    <n v="18109101"/>
    <x v="0"/>
    <d v="2025-06-03T00:00:00"/>
    <x v="0"/>
    <x v="11"/>
    <x v="16"/>
    <m/>
    <n v="9999"/>
    <n v="333.3"/>
    <n v="0"/>
    <n v="0"/>
    <n v="0"/>
    <x v="1"/>
    <n v="19.865753424657534"/>
    <x v="3"/>
    <n v="1"/>
    <d v="2005-07-27T00:00:00"/>
  </r>
  <r>
    <x v="1"/>
    <n v="18190292"/>
    <x v="0"/>
    <d v="2025-02-19T00:00:00"/>
    <x v="0"/>
    <x v="7"/>
    <x v="9"/>
    <d v="2025-08-01T00:00:00"/>
    <n v="163"/>
    <n v="5.4333333333333336"/>
    <n v="0"/>
    <n v="0"/>
    <n v="1"/>
    <x v="0"/>
    <n v="19.471232876712328"/>
    <x v="3"/>
    <n v="1"/>
    <d v="2005-09-05T00:00:00"/>
  </r>
  <r>
    <x v="1"/>
    <n v="18209961"/>
    <x v="0"/>
    <d v="2025-02-17T00:00:00"/>
    <x v="0"/>
    <x v="7"/>
    <x v="9"/>
    <d v="2026-03-31T00:00:00"/>
    <n v="407"/>
    <n v="13.566666666666666"/>
    <n v="0"/>
    <n v="0"/>
    <n v="0"/>
    <x v="1"/>
    <n v="23.717808219178082"/>
    <x v="2"/>
    <n v="2"/>
    <d v="2001-06-06T00:00:00"/>
  </r>
  <r>
    <x v="1"/>
    <n v="18210076"/>
    <x v="0"/>
    <d v="2025-02-18T00:00:00"/>
    <x v="0"/>
    <x v="7"/>
    <x v="9"/>
    <d v="2025-10-31T00:00:00"/>
    <n v="255"/>
    <n v="8.5"/>
    <n v="0"/>
    <n v="0"/>
    <n v="0"/>
    <x v="1"/>
    <n v="20.342465753424658"/>
    <x v="3"/>
    <n v="1"/>
    <d v="2004-10-21T00:00:00"/>
  </r>
  <r>
    <x v="1"/>
    <n v="18210091"/>
    <x v="0"/>
    <d v="2025-02-18T00:00:00"/>
    <x v="0"/>
    <x v="7"/>
    <x v="9"/>
    <d v="2025-09-30T00:00:00"/>
    <n v="224"/>
    <n v="7.4666666666666668"/>
    <n v="0"/>
    <n v="0"/>
    <n v="0"/>
    <x v="1"/>
    <n v="18.926027397260274"/>
    <x v="3"/>
    <n v="1"/>
    <d v="2006-03-22T00:00:00"/>
  </r>
  <r>
    <x v="1"/>
    <n v="18210107"/>
    <x v="0"/>
    <d v="2025-02-18T00:00:00"/>
    <x v="0"/>
    <x v="7"/>
    <x v="9"/>
    <d v="2025-11-30T00:00:00"/>
    <n v="285"/>
    <n v="9.5"/>
    <n v="0"/>
    <n v="0"/>
    <n v="0"/>
    <x v="1"/>
    <n v="20.046575342465754"/>
    <x v="3"/>
    <n v="1"/>
    <d v="2005-02-06T00:00:00"/>
  </r>
  <r>
    <x v="1"/>
    <n v="18211734"/>
    <x v="0"/>
    <d v="2025-02-18T00:00:00"/>
    <x v="0"/>
    <x v="7"/>
    <x v="9"/>
    <m/>
    <n v="9999"/>
    <n v="333.3"/>
    <n v="0"/>
    <n v="0"/>
    <n v="0"/>
    <x v="1"/>
    <n v="18.734246575342464"/>
    <x v="3"/>
    <n v="1"/>
    <d v="2006-05-31T00:00:00"/>
  </r>
  <r>
    <x v="1"/>
    <n v="18211819"/>
    <x v="0"/>
    <d v="2025-02-20T00:00:00"/>
    <x v="0"/>
    <x v="7"/>
    <x v="9"/>
    <d v="2025-03-05T00:00:00"/>
    <n v="13"/>
    <n v="0.43333333333333335"/>
    <n v="1"/>
    <n v="1"/>
    <n v="1"/>
    <x v="1"/>
    <n v="19.975342465753425"/>
    <x v="3"/>
    <n v="1"/>
    <d v="2005-03-06T00:00:00"/>
  </r>
  <r>
    <x v="1"/>
    <n v="18211831"/>
    <x v="0"/>
    <d v="2025-02-20T00:00:00"/>
    <x v="0"/>
    <x v="7"/>
    <x v="9"/>
    <d v="2025-06-03T00:00:00"/>
    <n v="103"/>
    <n v="3.4333333333333331"/>
    <n v="0"/>
    <n v="0"/>
    <n v="1"/>
    <x v="1"/>
    <n v="19.342465753424658"/>
    <x v="3"/>
    <n v="1"/>
    <d v="2005-10-23T00:00:00"/>
  </r>
  <r>
    <x v="1"/>
    <n v="18211834"/>
    <x v="0"/>
    <d v="2025-02-20T00:00:00"/>
    <x v="0"/>
    <x v="7"/>
    <x v="9"/>
    <d v="2026-01-01T00:00:00"/>
    <n v="315"/>
    <n v="10.5"/>
    <n v="0"/>
    <n v="0"/>
    <n v="0"/>
    <x v="1"/>
    <n v="21.473972602739725"/>
    <x v="2"/>
    <n v="2"/>
    <d v="2003-09-06T00:00:00"/>
  </r>
  <r>
    <x v="1"/>
    <n v="18211845"/>
    <x v="1"/>
    <d v="2025-02-20T00:00:00"/>
    <x v="0"/>
    <x v="7"/>
    <x v="9"/>
    <d v="2025-07-31T00:00:00"/>
    <n v="161"/>
    <n v="5.3666666666666663"/>
    <n v="0"/>
    <n v="0"/>
    <n v="1"/>
    <x v="1"/>
    <n v="22.542465753424658"/>
    <x v="2"/>
    <n v="2"/>
    <d v="2002-08-12T00:00:00"/>
  </r>
  <r>
    <x v="1"/>
    <n v="18211859"/>
    <x v="0"/>
    <d v="2025-02-20T00:00:00"/>
    <x v="0"/>
    <x v="7"/>
    <x v="9"/>
    <d v="2025-03-31T00:00:00"/>
    <n v="39"/>
    <n v="1.3"/>
    <n v="0"/>
    <n v="1"/>
    <n v="1"/>
    <x v="1"/>
    <n v="22.093150684931508"/>
    <x v="2"/>
    <n v="2"/>
    <d v="2003-01-23T00:00:00"/>
  </r>
  <r>
    <x v="1"/>
    <n v="18211868"/>
    <x v="0"/>
    <d v="2025-02-20T00:00:00"/>
    <x v="0"/>
    <x v="7"/>
    <x v="9"/>
    <d v="2025-07-20T00:00:00"/>
    <n v="150"/>
    <n v="5"/>
    <n v="0"/>
    <n v="0"/>
    <n v="1"/>
    <x v="1"/>
    <n v="18.56986301369863"/>
    <x v="3"/>
    <n v="1"/>
    <d v="2006-08-01T00:00:00"/>
  </r>
  <r>
    <x v="1"/>
    <n v="18211869"/>
    <x v="0"/>
    <d v="2025-02-20T00:00:00"/>
    <x v="0"/>
    <x v="7"/>
    <x v="9"/>
    <d v="2025-03-16T00:00:00"/>
    <n v="24"/>
    <n v="0.8"/>
    <n v="1"/>
    <n v="1"/>
    <n v="1"/>
    <x v="1"/>
    <n v="19.87123287671233"/>
    <x v="3"/>
    <n v="1"/>
    <d v="2005-04-13T00:00:00"/>
  </r>
  <r>
    <x v="1"/>
    <n v="18211874"/>
    <x v="0"/>
    <d v="2025-02-20T00:00:00"/>
    <x v="0"/>
    <x v="7"/>
    <x v="9"/>
    <d v="2025-08-21T00:00:00"/>
    <n v="182"/>
    <n v="6.0666666666666664"/>
    <n v="0"/>
    <n v="0"/>
    <n v="0"/>
    <x v="1"/>
    <n v="25.873972602739727"/>
    <x v="2"/>
    <n v="2"/>
    <d v="1999-04-14T00:00:00"/>
  </r>
  <r>
    <x v="1"/>
    <n v="18211883"/>
    <x v="0"/>
    <d v="2025-02-20T00:00:00"/>
    <x v="0"/>
    <x v="7"/>
    <x v="9"/>
    <d v="2025-05-12T00:00:00"/>
    <n v="81"/>
    <n v="2.7"/>
    <n v="0"/>
    <n v="1"/>
    <n v="1"/>
    <x v="0"/>
    <n v="25.18904109589041"/>
    <x v="2"/>
    <n v="2"/>
    <d v="1999-12-20T00:00:00"/>
  </r>
  <r>
    <x v="1"/>
    <n v="18211884"/>
    <x v="0"/>
    <d v="2025-02-20T00:00:00"/>
    <x v="0"/>
    <x v="7"/>
    <x v="9"/>
    <d v="2025-04-30T00:00:00"/>
    <n v="69"/>
    <n v="2.2999999999999998"/>
    <n v="0"/>
    <n v="1"/>
    <n v="1"/>
    <x v="1"/>
    <n v="19.490410958904111"/>
    <x v="3"/>
    <n v="1"/>
    <d v="2005-08-30T00:00:00"/>
  </r>
  <r>
    <x v="1"/>
    <n v="18211886"/>
    <x v="1"/>
    <d v="2025-02-20T00:00:00"/>
    <x v="0"/>
    <x v="7"/>
    <x v="9"/>
    <d v="2025-06-30T00:00:00"/>
    <n v="130"/>
    <n v="4.333333333333333"/>
    <n v="0"/>
    <n v="0"/>
    <n v="1"/>
    <x v="1"/>
    <n v="19.257534246575343"/>
    <x v="3"/>
    <n v="1"/>
    <d v="2005-11-23T00:00:00"/>
  </r>
  <r>
    <x v="1"/>
    <n v="18211953"/>
    <x v="0"/>
    <d v="2025-02-20T00:00:00"/>
    <x v="0"/>
    <x v="7"/>
    <x v="9"/>
    <d v="2025-05-12T00:00:00"/>
    <n v="81"/>
    <n v="2.7"/>
    <n v="0"/>
    <n v="1"/>
    <n v="1"/>
    <x v="1"/>
    <n v="20.413698630136988"/>
    <x v="3"/>
    <n v="1"/>
    <d v="2004-09-27T00:00:00"/>
  </r>
  <r>
    <x v="1"/>
    <n v="18212671"/>
    <x v="0"/>
    <d v="2025-02-20T00:00:00"/>
    <x v="0"/>
    <x v="7"/>
    <x v="9"/>
    <d v="2025-06-30T00:00:00"/>
    <n v="130"/>
    <n v="4.333333333333333"/>
    <n v="0"/>
    <n v="0"/>
    <n v="1"/>
    <x v="1"/>
    <n v="31.912328767123288"/>
    <x v="0"/>
    <n v="4"/>
    <d v="1993-04-01T00:00:00"/>
  </r>
  <r>
    <x v="1"/>
    <n v="18212672"/>
    <x v="0"/>
    <d v="2025-02-20T00:00:00"/>
    <x v="0"/>
    <x v="7"/>
    <x v="9"/>
    <d v="2025-03-10T00:00:00"/>
    <n v="18"/>
    <n v="0.6"/>
    <n v="1"/>
    <n v="1"/>
    <n v="1"/>
    <x v="1"/>
    <n v="20.641095890410959"/>
    <x v="3"/>
    <n v="1"/>
    <d v="2004-07-06T00:00:00"/>
  </r>
  <r>
    <x v="1"/>
    <n v="18212675"/>
    <x v="0"/>
    <d v="2025-02-21T00:00:00"/>
    <x v="0"/>
    <x v="7"/>
    <x v="9"/>
    <m/>
    <n v="9999"/>
    <n v="333.3"/>
    <n v="0"/>
    <n v="0"/>
    <n v="0"/>
    <x v="1"/>
    <n v="21.238356164383561"/>
    <x v="2"/>
    <n v="2"/>
    <d v="2003-12-02T00:00:00"/>
  </r>
  <r>
    <x v="1"/>
    <n v="18212677"/>
    <x v="1"/>
    <d v="2025-02-21T00:00:00"/>
    <x v="0"/>
    <x v="7"/>
    <x v="9"/>
    <d v="2025-03-01T00:00:00"/>
    <n v="8"/>
    <n v="0.26666666666666666"/>
    <n v="1"/>
    <n v="1"/>
    <n v="1"/>
    <x v="1"/>
    <n v="22.202739726027396"/>
    <x v="2"/>
    <n v="2"/>
    <d v="2002-12-15T00:00:00"/>
  </r>
  <r>
    <x v="1"/>
    <n v="18212678"/>
    <x v="1"/>
    <d v="2025-02-21T00:00:00"/>
    <x v="0"/>
    <x v="7"/>
    <x v="9"/>
    <d v="2025-08-31T00:00:00"/>
    <n v="191"/>
    <n v="6.3666666666666663"/>
    <n v="0"/>
    <n v="0"/>
    <n v="0"/>
    <x v="1"/>
    <n v="25.583561643835615"/>
    <x v="2"/>
    <n v="2"/>
    <d v="1999-07-30T00:00:00"/>
  </r>
  <r>
    <x v="1"/>
    <n v="18212681"/>
    <x v="0"/>
    <d v="2025-02-21T00:00:00"/>
    <x v="0"/>
    <x v="7"/>
    <x v="9"/>
    <d v="2026-01-09T00:00:00"/>
    <n v="322"/>
    <n v="10.733333333333333"/>
    <n v="0"/>
    <n v="0"/>
    <n v="0"/>
    <x v="0"/>
    <n v="26.857534246575341"/>
    <x v="1"/>
    <n v="3"/>
    <d v="1998-04-21T00:00:00"/>
  </r>
  <r>
    <x v="1"/>
    <n v="18213931"/>
    <x v="1"/>
    <d v="2025-02-24T00:00:00"/>
    <x v="0"/>
    <x v="7"/>
    <x v="9"/>
    <d v="2025-06-02T00:00:00"/>
    <n v="98"/>
    <n v="3.2666666666666666"/>
    <n v="0"/>
    <n v="0"/>
    <n v="1"/>
    <x v="1"/>
    <n v="21.008219178082193"/>
    <x v="2"/>
    <n v="2"/>
    <d v="2004-02-27T00:00:00"/>
  </r>
  <r>
    <x v="1"/>
    <n v="18213936"/>
    <x v="0"/>
    <d v="2025-02-24T00:00:00"/>
    <x v="0"/>
    <x v="7"/>
    <x v="9"/>
    <m/>
    <n v="9999"/>
    <n v="333.3"/>
    <n v="0"/>
    <n v="0"/>
    <n v="0"/>
    <x v="1"/>
    <n v="25.457534246575342"/>
    <x v="2"/>
    <n v="2"/>
    <d v="1999-09-17T00:00:00"/>
  </r>
  <r>
    <x v="1"/>
    <n v="18213951"/>
    <x v="0"/>
    <d v="2025-02-24T00:00:00"/>
    <x v="0"/>
    <x v="7"/>
    <x v="9"/>
    <m/>
    <n v="9999"/>
    <n v="333.3"/>
    <n v="0"/>
    <n v="0"/>
    <n v="0"/>
    <x v="1"/>
    <n v="21.641095890410959"/>
    <x v="2"/>
    <n v="2"/>
    <d v="2003-07-11T00:00:00"/>
  </r>
  <r>
    <x v="1"/>
    <n v="18213955"/>
    <x v="1"/>
    <d v="2025-02-24T00:00:00"/>
    <x v="0"/>
    <x v="7"/>
    <x v="9"/>
    <d v="2026-03-15T00:00:00"/>
    <n v="384"/>
    <n v="12.8"/>
    <n v="0"/>
    <n v="0"/>
    <n v="0"/>
    <x v="1"/>
    <n v="22.334246575342465"/>
    <x v="2"/>
    <n v="2"/>
    <d v="2002-10-31T00:00:00"/>
  </r>
  <r>
    <x v="1"/>
    <n v="18213960"/>
    <x v="0"/>
    <d v="2025-02-24T00:00:00"/>
    <x v="0"/>
    <x v="7"/>
    <x v="9"/>
    <d v="2025-03-17T00:00:00"/>
    <n v="21"/>
    <n v="0.7"/>
    <n v="1"/>
    <n v="1"/>
    <n v="1"/>
    <x v="1"/>
    <n v="19.101369863013698"/>
    <x v="3"/>
    <n v="1"/>
    <d v="2006-01-23T00:00:00"/>
  </r>
  <r>
    <x v="1"/>
    <n v="18213982"/>
    <x v="1"/>
    <d v="2025-02-24T00:00:00"/>
    <x v="0"/>
    <x v="7"/>
    <x v="9"/>
    <m/>
    <n v="9999"/>
    <n v="333.3"/>
    <n v="0"/>
    <n v="0"/>
    <n v="0"/>
    <x v="0"/>
    <n v="26.783561643835615"/>
    <x v="1"/>
    <n v="3"/>
    <d v="1998-05-21T00:00:00"/>
  </r>
  <r>
    <x v="1"/>
    <n v="18214050"/>
    <x v="0"/>
    <d v="2025-02-24T00:00:00"/>
    <x v="0"/>
    <x v="7"/>
    <x v="9"/>
    <d v="2025-08-15T00:00:00"/>
    <n v="172"/>
    <n v="5.7333333333333334"/>
    <n v="0"/>
    <n v="0"/>
    <n v="1"/>
    <x v="1"/>
    <n v="20.147945205479452"/>
    <x v="3"/>
    <n v="1"/>
    <d v="2005-01-06T00:00:00"/>
  </r>
  <r>
    <x v="1"/>
    <n v="18214341"/>
    <x v="0"/>
    <d v="2025-02-24T00:00:00"/>
    <x v="0"/>
    <x v="7"/>
    <x v="9"/>
    <d v="2025-10-15T00:00:00"/>
    <n v="233"/>
    <n v="7.7666666666666666"/>
    <n v="0"/>
    <n v="0"/>
    <n v="0"/>
    <x v="0"/>
    <n v="20.44109589041096"/>
    <x v="3"/>
    <n v="1"/>
    <d v="2004-09-21T00:00:00"/>
  </r>
  <r>
    <x v="1"/>
    <n v="18214343"/>
    <x v="0"/>
    <d v="2025-02-24T00:00:00"/>
    <x v="0"/>
    <x v="7"/>
    <x v="9"/>
    <m/>
    <n v="9999"/>
    <n v="333.3"/>
    <n v="0"/>
    <n v="0"/>
    <n v="0"/>
    <x v="0"/>
    <n v="28.830136986301369"/>
    <x v="1"/>
    <n v="3"/>
    <d v="1996-05-04T00:00:00"/>
  </r>
  <r>
    <x v="1"/>
    <n v="18216092"/>
    <x v="1"/>
    <d v="2025-02-25T00:00:00"/>
    <x v="0"/>
    <x v="7"/>
    <x v="9"/>
    <d v="2026-05-04T00:00:00"/>
    <n v="433"/>
    <n v="14.433333333333334"/>
    <n v="0"/>
    <n v="0"/>
    <n v="0"/>
    <x v="1"/>
    <n v="22.876712328767123"/>
    <x v="2"/>
    <n v="2"/>
    <d v="2002-04-17T00:00:00"/>
  </r>
  <r>
    <x v="1"/>
    <n v="18216163"/>
    <x v="0"/>
    <d v="2025-02-25T00:00:00"/>
    <x v="0"/>
    <x v="7"/>
    <x v="9"/>
    <d v="2025-03-21T00:00:00"/>
    <n v="24"/>
    <n v="0.8"/>
    <n v="1"/>
    <n v="1"/>
    <n v="1"/>
    <x v="0"/>
    <n v="23.487671232876714"/>
    <x v="2"/>
    <n v="2"/>
    <d v="2001-09-06T00:00:00"/>
  </r>
  <r>
    <x v="1"/>
    <n v="18220536"/>
    <x v="1"/>
    <d v="2025-02-26T00:00:00"/>
    <x v="0"/>
    <x v="7"/>
    <x v="9"/>
    <d v="2026-05-03T00:00:00"/>
    <n v="431"/>
    <n v="14.366666666666667"/>
    <n v="0"/>
    <n v="0"/>
    <n v="0"/>
    <x v="0"/>
    <n v="19.61917808219178"/>
    <x v="3"/>
    <n v="1"/>
    <d v="2005-07-20T00:00:00"/>
  </r>
  <r>
    <x v="1"/>
    <n v="18220568"/>
    <x v="0"/>
    <d v="2025-02-26T00:00:00"/>
    <x v="0"/>
    <x v="7"/>
    <x v="9"/>
    <m/>
    <n v="9999"/>
    <n v="333.3"/>
    <n v="0"/>
    <n v="0"/>
    <n v="0"/>
    <x v="0"/>
    <n v="19.583561643835615"/>
    <x v="3"/>
    <n v="1"/>
    <d v="2005-08-02T00:00:00"/>
  </r>
  <r>
    <x v="1"/>
    <n v="18220766"/>
    <x v="1"/>
    <d v="2025-02-26T00:00:00"/>
    <x v="0"/>
    <x v="7"/>
    <x v="9"/>
    <d v="2025-07-03T00:00:00"/>
    <n v="127"/>
    <n v="4.2333333333333334"/>
    <n v="0"/>
    <n v="0"/>
    <n v="1"/>
    <x v="1"/>
    <n v="18.271232876712329"/>
    <x v="3"/>
    <n v="1"/>
    <d v="2006-11-24T00:00:00"/>
  </r>
  <r>
    <x v="1"/>
    <n v="18223584"/>
    <x v="0"/>
    <d v="2025-02-27T00:00:00"/>
    <x v="0"/>
    <x v="7"/>
    <x v="9"/>
    <d v="2025-05-31T00:00:00"/>
    <n v="93"/>
    <n v="3.1"/>
    <n v="0"/>
    <n v="0"/>
    <n v="1"/>
    <x v="1"/>
    <n v="18.515068493150686"/>
    <x v="3"/>
    <n v="1"/>
    <d v="2006-08-28T00:00:00"/>
  </r>
  <r>
    <x v="1"/>
    <n v="18225946"/>
    <x v="1"/>
    <d v="2025-02-28T00:00:00"/>
    <x v="0"/>
    <x v="7"/>
    <x v="9"/>
    <d v="2025-05-15T00:00:00"/>
    <n v="76"/>
    <n v="2.5333333333333332"/>
    <n v="0"/>
    <n v="1"/>
    <n v="1"/>
    <x v="0"/>
    <n v="18.852054794520548"/>
    <x v="3"/>
    <n v="1"/>
    <d v="2006-04-28T00:00:00"/>
  </r>
  <r>
    <x v="1"/>
    <n v="18225962"/>
    <x v="0"/>
    <d v="2025-02-28T00:00:00"/>
    <x v="0"/>
    <x v="7"/>
    <x v="9"/>
    <d v="2025-03-31T00:00:00"/>
    <n v="31"/>
    <n v="1.0333333333333334"/>
    <n v="0"/>
    <n v="1"/>
    <n v="1"/>
    <x v="0"/>
    <n v="20.63013698630137"/>
    <x v="3"/>
    <n v="1"/>
    <d v="2004-07-18T00:00:00"/>
  </r>
  <r>
    <x v="1"/>
    <n v="18246955"/>
    <x v="1"/>
    <d v="2025-03-03T00:00:00"/>
    <x v="0"/>
    <x v="0"/>
    <x v="0"/>
    <d v="2025-11-04T00:00:00"/>
    <n v="246"/>
    <n v="8.1999999999999993"/>
    <n v="0"/>
    <n v="0"/>
    <n v="0"/>
    <x v="0"/>
    <n v="26.252054794520546"/>
    <x v="1"/>
    <n v="3"/>
    <d v="1998-12-08T00:00:00"/>
  </r>
  <r>
    <x v="1"/>
    <n v="18246980"/>
    <x v="0"/>
    <d v="2025-03-03T00:00:00"/>
    <x v="0"/>
    <x v="0"/>
    <x v="0"/>
    <d v="2025-05-11T00:00:00"/>
    <n v="69"/>
    <n v="2.2999999999999998"/>
    <n v="0"/>
    <n v="1"/>
    <n v="1"/>
    <x v="0"/>
    <n v="18.849315068493151"/>
    <x v="3"/>
    <n v="1"/>
    <d v="2006-05-02T00:00:00"/>
  </r>
  <r>
    <x v="1"/>
    <n v="18247415"/>
    <x v="0"/>
    <d v="2025-03-03T00:00:00"/>
    <x v="0"/>
    <x v="0"/>
    <x v="0"/>
    <d v="2025-04-14T00:00:00"/>
    <n v="42"/>
    <n v="1.4"/>
    <n v="0"/>
    <n v="1"/>
    <n v="1"/>
    <x v="0"/>
    <n v="22.219178082191782"/>
    <x v="2"/>
    <n v="2"/>
    <d v="2002-12-19T00:00:00"/>
  </r>
  <r>
    <x v="1"/>
    <n v="18247460"/>
    <x v="0"/>
    <d v="2025-03-03T00:00:00"/>
    <x v="0"/>
    <x v="0"/>
    <x v="0"/>
    <d v="2026-05-03T00:00:00"/>
    <n v="426"/>
    <n v="14.2"/>
    <n v="0"/>
    <n v="0"/>
    <n v="0"/>
    <x v="1"/>
    <n v="43.038356164383565"/>
    <x v="0"/>
    <n v="4"/>
    <d v="1982-02-28T00:00:00"/>
  </r>
  <r>
    <x v="1"/>
    <n v="18249382"/>
    <x v="0"/>
    <d v="2025-03-03T00:00:00"/>
    <x v="0"/>
    <x v="0"/>
    <x v="0"/>
    <d v="2025-09-30T00:00:00"/>
    <n v="211"/>
    <n v="7.0333333333333332"/>
    <n v="0"/>
    <n v="0"/>
    <n v="0"/>
    <x v="0"/>
    <n v="18.526027397260275"/>
    <x v="3"/>
    <n v="1"/>
    <d v="2006-08-28T00:00:00"/>
  </r>
  <r>
    <x v="1"/>
    <n v="18249386"/>
    <x v="0"/>
    <d v="2025-03-03T00:00:00"/>
    <x v="0"/>
    <x v="0"/>
    <x v="0"/>
    <d v="2025-05-05T00:00:00"/>
    <n v="63"/>
    <n v="2.1"/>
    <n v="0"/>
    <n v="1"/>
    <n v="1"/>
    <x v="0"/>
    <n v="19.624657534246577"/>
    <x v="3"/>
    <n v="1"/>
    <d v="2005-07-23T00:00:00"/>
  </r>
  <r>
    <x v="1"/>
    <n v="18256157"/>
    <x v="0"/>
    <d v="2025-03-04T00:00:00"/>
    <x v="0"/>
    <x v="0"/>
    <x v="0"/>
    <d v="2025-04-01T00:00:00"/>
    <n v="28"/>
    <n v="0.93333333333333335"/>
    <n v="1"/>
    <n v="1"/>
    <n v="1"/>
    <x v="1"/>
    <n v="21.279452054794522"/>
    <x v="2"/>
    <n v="2"/>
    <d v="2003-11-28T00:00:00"/>
  </r>
  <r>
    <x v="1"/>
    <n v="18256492"/>
    <x v="1"/>
    <d v="2025-03-04T00:00:00"/>
    <x v="0"/>
    <x v="0"/>
    <x v="0"/>
    <d v="2025-04-01T00:00:00"/>
    <n v="28"/>
    <n v="0.93333333333333335"/>
    <n v="1"/>
    <n v="1"/>
    <n v="1"/>
    <x v="1"/>
    <n v="22.082191780821919"/>
    <x v="2"/>
    <n v="2"/>
    <d v="2003-02-08T00:00:00"/>
  </r>
  <r>
    <x v="1"/>
    <n v="18256493"/>
    <x v="0"/>
    <d v="2025-03-04T00:00:00"/>
    <x v="0"/>
    <x v="0"/>
    <x v="0"/>
    <d v="2026-01-05T00:00:00"/>
    <n v="307"/>
    <n v="10.233333333333333"/>
    <n v="0"/>
    <n v="0"/>
    <n v="0"/>
    <x v="1"/>
    <n v="23.208219178082192"/>
    <x v="2"/>
    <n v="2"/>
    <d v="2001-12-24T00:00:00"/>
  </r>
  <r>
    <x v="1"/>
    <n v="18266744"/>
    <x v="1"/>
    <d v="2025-03-05T00:00:00"/>
    <x v="0"/>
    <x v="0"/>
    <x v="0"/>
    <d v="2025-04-01T00:00:00"/>
    <n v="27"/>
    <n v="0.9"/>
    <n v="1"/>
    <n v="1"/>
    <n v="1"/>
    <x v="0"/>
    <n v="25.016438356164382"/>
    <x v="2"/>
    <n v="2"/>
    <d v="2000-03-05T00:00:00"/>
  </r>
  <r>
    <x v="1"/>
    <n v="18266850"/>
    <x v="0"/>
    <d v="2025-03-05T00:00:00"/>
    <x v="0"/>
    <x v="0"/>
    <x v="0"/>
    <d v="2026-02-28T00:00:00"/>
    <n v="360"/>
    <n v="12"/>
    <n v="0"/>
    <n v="0"/>
    <n v="0"/>
    <x v="1"/>
    <n v="42.019178082191779"/>
    <x v="0"/>
    <n v="4"/>
    <d v="1983-03-09T00:00:00"/>
  </r>
  <r>
    <x v="1"/>
    <n v="18267153"/>
    <x v="1"/>
    <d v="2025-03-05T00:00:00"/>
    <x v="0"/>
    <x v="0"/>
    <x v="0"/>
    <d v="2025-12-15T00:00:00"/>
    <n v="285"/>
    <n v="9.5"/>
    <n v="0"/>
    <n v="0"/>
    <n v="0"/>
    <x v="1"/>
    <n v="18.487671232876714"/>
    <x v="3"/>
    <n v="1"/>
    <d v="2006-09-13T00:00:00"/>
  </r>
  <r>
    <x v="1"/>
    <n v="18267302"/>
    <x v="1"/>
    <d v="2025-03-03T00:00:00"/>
    <x v="0"/>
    <x v="0"/>
    <x v="0"/>
    <d v="2025-08-31T00:00:00"/>
    <n v="181"/>
    <n v="6.0333333333333332"/>
    <n v="0"/>
    <n v="0"/>
    <n v="0"/>
    <x v="1"/>
    <n v="24.747945205479454"/>
    <x v="2"/>
    <n v="2"/>
    <d v="2000-06-09T00:00:00"/>
  </r>
  <r>
    <x v="1"/>
    <n v="18268052"/>
    <x v="0"/>
    <d v="2025-03-05T00:00:00"/>
    <x v="0"/>
    <x v="0"/>
    <x v="0"/>
    <m/>
    <n v="9999"/>
    <n v="333.3"/>
    <n v="0"/>
    <n v="0"/>
    <n v="0"/>
    <x v="1"/>
    <n v="23.153424657534245"/>
    <x v="2"/>
    <n v="2"/>
    <d v="2002-01-14T00:00:00"/>
  </r>
  <r>
    <x v="1"/>
    <n v="18268054"/>
    <x v="0"/>
    <d v="2025-03-05T00:00:00"/>
    <x v="0"/>
    <x v="0"/>
    <x v="0"/>
    <d v="2025-12-31T00:00:00"/>
    <n v="301"/>
    <n v="10.033333333333333"/>
    <n v="0"/>
    <n v="0"/>
    <n v="0"/>
    <x v="1"/>
    <n v="33.712328767123289"/>
    <x v="0"/>
    <n v="4"/>
    <d v="1991-06-27T00:00:00"/>
  </r>
  <r>
    <x v="1"/>
    <n v="18275934"/>
    <x v="0"/>
    <d v="2025-03-06T00:00:00"/>
    <x v="0"/>
    <x v="0"/>
    <x v="0"/>
    <d v="2026-03-13T00:00:00"/>
    <n v="372"/>
    <n v="12.4"/>
    <n v="0"/>
    <n v="0"/>
    <n v="0"/>
    <x v="0"/>
    <n v="24.495890410958904"/>
    <x v="2"/>
    <n v="2"/>
    <d v="2000-09-12T00:00:00"/>
  </r>
  <r>
    <x v="1"/>
    <n v="18276073"/>
    <x v="0"/>
    <d v="2025-03-06T00:00:00"/>
    <x v="0"/>
    <x v="0"/>
    <x v="0"/>
    <d v="2026-02-28T00:00:00"/>
    <n v="359"/>
    <n v="11.966666666666667"/>
    <n v="0"/>
    <n v="0"/>
    <n v="0"/>
    <x v="1"/>
    <n v="27.356164383561644"/>
    <x v="1"/>
    <n v="3"/>
    <d v="1997-11-03T00:00:00"/>
  </r>
  <r>
    <x v="0"/>
    <n v="18276222"/>
    <x v="0"/>
    <d v="2025-03-06T00:00:00"/>
    <x v="0"/>
    <x v="0"/>
    <x v="0"/>
    <d v="2025-03-31T00:00:00"/>
    <n v="25"/>
    <n v="0.83333333333333337"/>
    <n v="1"/>
    <n v="1"/>
    <n v="1"/>
    <x v="1"/>
    <n v="23.950684931506849"/>
    <x v="2"/>
    <n v="2"/>
    <d v="2001-03-30T00:00:00"/>
  </r>
  <r>
    <x v="1"/>
    <n v="18280197"/>
    <x v="0"/>
    <d v="2025-03-07T00:00:00"/>
    <x v="0"/>
    <x v="0"/>
    <x v="0"/>
    <d v="2025-04-01T00:00:00"/>
    <n v="25"/>
    <n v="0.83333333333333337"/>
    <n v="1"/>
    <n v="1"/>
    <n v="1"/>
    <x v="1"/>
    <n v="18.898630136986302"/>
    <x v="3"/>
    <n v="1"/>
    <d v="2006-04-18T00:00:00"/>
  </r>
  <r>
    <x v="1"/>
    <n v="18280339"/>
    <x v="0"/>
    <d v="2025-03-07T00:00:00"/>
    <x v="0"/>
    <x v="0"/>
    <x v="0"/>
    <d v="2025-03-09T00:00:00"/>
    <n v="2"/>
    <n v="6.6666666666666666E-2"/>
    <n v="1"/>
    <n v="1"/>
    <n v="1"/>
    <x v="1"/>
    <n v="20.608219178082191"/>
    <x v="3"/>
    <n v="1"/>
    <d v="2004-08-02T00:00:00"/>
  </r>
  <r>
    <x v="1"/>
    <n v="18280506"/>
    <x v="1"/>
    <d v="2025-03-07T00:00:00"/>
    <x v="0"/>
    <x v="0"/>
    <x v="0"/>
    <d v="2025-07-31T00:00:00"/>
    <n v="146"/>
    <n v="4.8666666666666663"/>
    <n v="0"/>
    <n v="0"/>
    <n v="1"/>
    <x v="0"/>
    <n v="21.627397260273973"/>
    <x v="2"/>
    <n v="2"/>
    <d v="2003-07-27T00:00:00"/>
  </r>
  <r>
    <x v="1"/>
    <n v="18280753"/>
    <x v="1"/>
    <d v="2025-03-07T00:00:00"/>
    <x v="0"/>
    <x v="0"/>
    <x v="0"/>
    <d v="2025-09-28T00:00:00"/>
    <n v="205"/>
    <n v="6.833333333333333"/>
    <n v="0"/>
    <n v="0"/>
    <n v="0"/>
    <x v="1"/>
    <n v="19.632876712328766"/>
    <x v="3"/>
    <n v="1"/>
    <d v="2005-07-24T00:00:00"/>
  </r>
  <r>
    <x v="1"/>
    <n v="18287779"/>
    <x v="0"/>
    <d v="2026-04-17T00:00:00"/>
    <x v="1"/>
    <x v="2"/>
    <x v="11"/>
    <d v="2026-05-31T00:00:00"/>
    <n v="44"/>
    <n v="1.4666666666666666"/>
    <n v="0"/>
    <n v="1"/>
    <n v="1"/>
    <x v="1"/>
    <n v="20.391780821917809"/>
    <x v="3"/>
    <n v="1"/>
    <d v="2005-11-30T00:00:00"/>
  </r>
  <r>
    <x v="1"/>
    <n v="18287923"/>
    <x v="0"/>
    <d v="2025-03-10T00:00:00"/>
    <x v="0"/>
    <x v="0"/>
    <x v="0"/>
    <d v="2025-09-03T00:00:00"/>
    <n v="177"/>
    <n v="5.9"/>
    <n v="0"/>
    <n v="0"/>
    <n v="1"/>
    <x v="1"/>
    <n v="19.30958904109589"/>
    <x v="3"/>
    <n v="1"/>
    <d v="2005-11-22T00:00:00"/>
  </r>
  <r>
    <x v="1"/>
    <n v="18288077"/>
    <x v="1"/>
    <d v="2025-03-10T00:00:00"/>
    <x v="0"/>
    <x v="0"/>
    <x v="0"/>
    <m/>
    <n v="9999"/>
    <n v="333.3"/>
    <n v="0"/>
    <n v="0"/>
    <n v="0"/>
    <x v="1"/>
    <n v="20.602739726027398"/>
    <x v="3"/>
    <n v="1"/>
    <d v="2004-08-07T00:00:00"/>
  </r>
  <r>
    <x v="1"/>
    <n v="18288106"/>
    <x v="0"/>
    <d v="2025-03-10T00:00:00"/>
    <x v="0"/>
    <x v="0"/>
    <x v="0"/>
    <d v="2026-05-31T00:00:00"/>
    <n v="447"/>
    <n v="14.9"/>
    <n v="0"/>
    <n v="0"/>
    <n v="0"/>
    <x v="1"/>
    <n v="18.452054794520549"/>
    <x v="3"/>
    <n v="1"/>
    <d v="2006-10-01T00:00:00"/>
  </r>
  <r>
    <x v="1"/>
    <n v="18288114"/>
    <x v="0"/>
    <d v="2025-03-10T00:00:00"/>
    <x v="0"/>
    <x v="0"/>
    <x v="0"/>
    <d v="2025-08-01T00:00:00"/>
    <n v="144"/>
    <n v="4.8"/>
    <n v="0"/>
    <n v="0"/>
    <n v="1"/>
    <x v="1"/>
    <n v="19.241095890410961"/>
    <x v="3"/>
    <n v="1"/>
    <d v="2005-12-17T00:00:00"/>
  </r>
  <r>
    <x v="1"/>
    <n v="18288131"/>
    <x v="0"/>
    <d v="2025-03-10T00:00:00"/>
    <x v="0"/>
    <x v="0"/>
    <x v="0"/>
    <d v="2026-01-01T00:00:00"/>
    <n v="297"/>
    <n v="9.9"/>
    <n v="0"/>
    <n v="0"/>
    <n v="0"/>
    <x v="1"/>
    <n v="21.882191780821916"/>
    <x v="2"/>
    <n v="2"/>
    <d v="2003-04-28T00:00:00"/>
  </r>
  <r>
    <x v="1"/>
    <n v="18288140"/>
    <x v="1"/>
    <d v="2025-03-10T00:00:00"/>
    <x v="0"/>
    <x v="0"/>
    <x v="0"/>
    <m/>
    <n v="9999"/>
    <n v="333.3"/>
    <n v="0"/>
    <n v="0"/>
    <n v="0"/>
    <x v="0"/>
    <n v="20.301369863013697"/>
    <x v="3"/>
    <n v="1"/>
    <d v="2004-11-25T00:00:00"/>
  </r>
  <r>
    <x v="1"/>
    <n v="18288149"/>
    <x v="1"/>
    <d v="2025-03-10T00:00:00"/>
    <x v="0"/>
    <x v="0"/>
    <x v="0"/>
    <d v="2025-08-01T00:00:00"/>
    <n v="144"/>
    <n v="4.8"/>
    <n v="0"/>
    <n v="0"/>
    <n v="1"/>
    <x v="1"/>
    <n v="20.487671232876714"/>
    <x v="3"/>
    <n v="1"/>
    <d v="2004-09-18T00:00:00"/>
  </r>
  <r>
    <x v="1"/>
    <n v="18288210"/>
    <x v="0"/>
    <d v="2025-03-10T00:00:00"/>
    <x v="0"/>
    <x v="0"/>
    <x v="0"/>
    <d v="2025-09-30T00:00:00"/>
    <n v="204"/>
    <n v="6.8"/>
    <n v="0"/>
    <n v="0"/>
    <n v="0"/>
    <x v="1"/>
    <n v="48.493150684931507"/>
    <x v="0"/>
    <n v="4"/>
    <d v="1976-09-23T00:00:00"/>
  </r>
  <r>
    <x v="1"/>
    <n v="18294702"/>
    <x v="0"/>
    <d v="2025-03-11T00:00:00"/>
    <x v="0"/>
    <x v="0"/>
    <x v="0"/>
    <d v="2025-04-20T00:00:00"/>
    <n v="40"/>
    <n v="1.3333333333333333"/>
    <n v="0"/>
    <n v="1"/>
    <n v="1"/>
    <x v="1"/>
    <n v="19.416438356164385"/>
    <x v="3"/>
    <n v="1"/>
    <d v="2005-10-15T00:00:00"/>
  </r>
  <r>
    <x v="1"/>
    <n v="18294918"/>
    <x v="1"/>
    <d v="2025-03-11T00:00:00"/>
    <x v="0"/>
    <x v="0"/>
    <x v="0"/>
    <m/>
    <n v="9999"/>
    <n v="333.3"/>
    <n v="0"/>
    <n v="0"/>
    <n v="0"/>
    <x v="1"/>
    <n v="19.580821917808219"/>
    <x v="3"/>
    <n v="1"/>
    <d v="2005-08-16T00:00:00"/>
  </r>
  <r>
    <x v="1"/>
    <n v="18294934"/>
    <x v="0"/>
    <d v="2025-03-07T00:00:00"/>
    <x v="0"/>
    <x v="0"/>
    <x v="0"/>
    <m/>
    <n v="9999"/>
    <n v="333.3"/>
    <n v="0"/>
    <n v="0"/>
    <n v="0"/>
    <x v="1"/>
    <n v="21.728767123287671"/>
    <x v="2"/>
    <n v="2"/>
    <d v="2003-06-20T00:00:00"/>
  </r>
  <r>
    <x v="1"/>
    <n v="18300438"/>
    <x v="1"/>
    <d v="2025-03-12T00:00:00"/>
    <x v="0"/>
    <x v="0"/>
    <x v="0"/>
    <m/>
    <n v="9999"/>
    <n v="333.3"/>
    <n v="0"/>
    <n v="0"/>
    <n v="0"/>
    <x v="0"/>
    <n v="19.895890410958906"/>
    <x v="3"/>
    <n v="1"/>
    <d v="2005-04-24T00:00:00"/>
  </r>
  <r>
    <x v="1"/>
    <n v="18304653"/>
    <x v="0"/>
    <d v="2025-03-13T00:00:00"/>
    <x v="0"/>
    <x v="0"/>
    <x v="0"/>
    <d v="2026-03-13T00:00:00"/>
    <n v="365"/>
    <n v="12.166666666666666"/>
    <n v="0"/>
    <n v="0"/>
    <n v="0"/>
    <x v="1"/>
    <n v="23.843835616438355"/>
    <x v="2"/>
    <n v="2"/>
    <d v="2001-05-15T00:00:00"/>
  </r>
  <r>
    <x v="1"/>
    <n v="18304655"/>
    <x v="0"/>
    <d v="2025-03-13T00:00:00"/>
    <x v="0"/>
    <x v="0"/>
    <x v="0"/>
    <d v="2025-08-10T00:00:00"/>
    <n v="150"/>
    <n v="5"/>
    <n v="0"/>
    <n v="0"/>
    <n v="1"/>
    <x v="1"/>
    <n v="37.334246575342469"/>
    <x v="0"/>
    <n v="4"/>
    <d v="1987-11-21T00:00:00"/>
  </r>
  <r>
    <x v="1"/>
    <n v="18304656"/>
    <x v="1"/>
    <d v="2025-03-13T00:00:00"/>
    <x v="0"/>
    <x v="0"/>
    <x v="0"/>
    <d v="2025-04-02T00:00:00"/>
    <n v="20"/>
    <n v="0.66666666666666663"/>
    <n v="1"/>
    <n v="1"/>
    <n v="1"/>
    <x v="1"/>
    <n v="19.115068493150684"/>
    <x v="3"/>
    <n v="1"/>
    <d v="2006-02-04T00:00:00"/>
  </r>
  <r>
    <x v="1"/>
    <n v="18304658"/>
    <x v="1"/>
    <d v="2025-03-13T00:00:00"/>
    <x v="0"/>
    <x v="0"/>
    <x v="0"/>
    <m/>
    <n v="9999"/>
    <n v="333.3"/>
    <n v="0"/>
    <n v="0"/>
    <n v="0"/>
    <x v="1"/>
    <n v="18.049315068493151"/>
    <x v="3"/>
    <n v="1"/>
    <d v="2007-02-28T00:00:00"/>
  </r>
  <r>
    <x v="1"/>
    <n v="18304659"/>
    <x v="1"/>
    <d v="2025-03-13T00:00:00"/>
    <x v="0"/>
    <x v="0"/>
    <x v="0"/>
    <d v="2025-04-01T00:00:00"/>
    <n v="19"/>
    <n v="0.6333333333333333"/>
    <n v="1"/>
    <n v="1"/>
    <n v="1"/>
    <x v="1"/>
    <n v="18.682191780821917"/>
    <x v="3"/>
    <n v="1"/>
    <d v="2006-07-12T00:00:00"/>
  </r>
  <r>
    <x v="1"/>
    <n v="18304661"/>
    <x v="0"/>
    <d v="2025-03-13T00:00:00"/>
    <x v="0"/>
    <x v="0"/>
    <x v="0"/>
    <d v="2025-03-31T00:00:00"/>
    <n v="18"/>
    <n v="0.6"/>
    <n v="1"/>
    <n v="1"/>
    <n v="1"/>
    <x v="1"/>
    <n v="40.123287671232873"/>
    <x v="0"/>
    <n v="4"/>
    <d v="1985-02-06T00:00:00"/>
  </r>
  <r>
    <x v="1"/>
    <n v="18304662"/>
    <x v="1"/>
    <d v="2025-03-13T00:00:00"/>
    <x v="0"/>
    <x v="0"/>
    <x v="0"/>
    <d v="2025-12-31T00:00:00"/>
    <n v="293"/>
    <n v="9.7666666666666675"/>
    <n v="0"/>
    <n v="0"/>
    <n v="0"/>
    <x v="1"/>
    <n v="26.468493150684932"/>
    <x v="1"/>
    <n v="3"/>
    <d v="1998-09-30T00:00:00"/>
  </r>
  <r>
    <x v="1"/>
    <n v="18304664"/>
    <x v="1"/>
    <d v="2025-03-13T00:00:00"/>
    <x v="0"/>
    <x v="0"/>
    <x v="0"/>
    <m/>
    <n v="9999"/>
    <n v="333.3"/>
    <n v="0"/>
    <n v="0"/>
    <n v="0"/>
    <x v="1"/>
    <n v="23.279452054794522"/>
    <x v="2"/>
    <n v="2"/>
    <d v="2001-12-07T00:00:00"/>
  </r>
  <r>
    <x v="1"/>
    <n v="18304665"/>
    <x v="0"/>
    <d v="2025-03-13T00:00:00"/>
    <x v="0"/>
    <x v="0"/>
    <x v="0"/>
    <m/>
    <n v="9999"/>
    <n v="333.3"/>
    <n v="0"/>
    <n v="0"/>
    <n v="0"/>
    <x v="1"/>
    <n v="31.457534246575342"/>
    <x v="0"/>
    <n v="4"/>
    <d v="1993-10-05T00:00:00"/>
  </r>
  <r>
    <x v="1"/>
    <n v="18304675"/>
    <x v="1"/>
    <d v="2025-03-13T00:00:00"/>
    <x v="0"/>
    <x v="0"/>
    <x v="0"/>
    <d v="2025-06-01T00:00:00"/>
    <n v="80"/>
    <n v="2.6666666666666665"/>
    <n v="0"/>
    <n v="1"/>
    <n v="1"/>
    <x v="1"/>
    <n v="18.539726027397261"/>
    <x v="3"/>
    <n v="1"/>
    <d v="2006-09-02T00:00:00"/>
  </r>
  <r>
    <x v="1"/>
    <n v="18304697"/>
    <x v="1"/>
    <d v="2025-03-13T00:00:00"/>
    <x v="0"/>
    <x v="0"/>
    <x v="0"/>
    <d v="2026-02-28T00:00:00"/>
    <n v="352"/>
    <n v="11.733333333333333"/>
    <n v="0"/>
    <n v="0"/>
    <n v="0"/>
    <x v="1"/>
    <n v="20.542465753424658"/>
    <x v="3"/>
    <n v="1"/>
    <d v="2004-09-01T00:00:00"/>
  </r>
  <r>
    <x v="1"/>
    <n v="18304698"/>
    <x v="0"/>
    <d v="2025-03-13T00:00:00"/>
    <x v="0"/>
    <x v="0"/>
    <x v="0"/>
    <d v="2025-08-01T00:00:00"/>
    <n v="141"/>
    <n v="4.7"/>
    <n v="0"/>
    <n v="0"/>
    <n v="1"/>
    <x v="1"/>
    <n v="22.005479452054793"/>
    <x v="2"/>
    <n v="2"/>
    <d v="2003-03-17T00:00:00"/>
  </r>
  <r>
    <x v="1"/>
    <n v="18304699"/>
    <x v="1"/>
    <d v="2025-03-13T00:00:00"/>
    <x v="0"/>
    <x v="0"/>
    <x v="0"/>
    <d v="2025-06-01T00:00:00"/>
    <n v="80"/>
    <n v="2.6666666666666665"/>
    <n v="0"/>
    <n v="1"/>
    <n v="1"/>
    <x v="1"/>
    <n v="27.778082191780822"/>
    <x v="1"/>
    <n v="3"/>
    <d v="1997-06-09T00:00:00"/>
  </r>
  <r>
    <x v="1"/>
    <n v="18304707"/>
    <x v="0"/>
    <d v="2025-03-13T00:00:00"/>
    <x v="0"/>
    <x v="0"/>
    <x v="0"/>
    <d v="2025-04-08T00:00:00"/>
    <n v="26"/>
    <n v="0.8666666666666667"/>
    <n v="1"/>
    <n v="1"/>
    <n v="1"/>
    <x v="1"/>
    <n v="25.230136986301371"/>
    <x v="2"/>
    <n v="2"/>
    <d v="1999-12-26T00:00:00"/>
  </r>
  <r>
    <x v="1"/>
    <n v="18304717"/>
    <x v="0"/>
    <d v="2025-03-13T00:00:00"/>
    <x v="0"/>
    <x v="0"/>
    <x v="0"/>
    <d v="2025-05-06T00:00:00"/>
    <n v="54"/>
    <n v="1.8"/>
    <n v="0"/>
    <n v="1"/>
    <n v="1"/>
    <x v="1"/>
    <n v="19.789041095890411"/>
    <x v="3"/>
    <n v="1"/>
    <d v="2005-06-03T00:00:00"/>
  </r>
  <r>
    <x v="1"/>
    <n v="18304909"/>
    <x v="0"/>
    <d v="2025-03-14T00:00:00"/>
    <x v="0"/>
    <x v="0"/>
    <x v="0"/>
    <d v="2025-06-07T00:00:00"/>
    <n v="85"/>
    <n v="2.8333333333333335"/>
    <n v="0"/>
    <n v="1"/>
    <n v="1"/>
    <x v="0"/>
    <n v="21.345205479452055"/>
    <x v="2"/>
    <n v="2"/>
    <d v="2003-11-14T00:00:00"/>
  </r>
  <r>
    <x v="1"/>
    <n v="18304917"/>
    <x v="0"/>
    <d v="2025-03-14T00:00:00"/>
    <x v="0"/>
    <x v="0"/>
    <x v="0"/>
    <m/>
    <n v="9999"/>
    <n v="333.3"/>
    <n v="0"/>
    <n v="0"/>
    <n v="0"/>
    <x v="1"/>
    <n v="21.19178082191781"/>
    <x v="2"/>
    <n v="2"/>
    <d v="2004-01-09T00:00:00"/>
  </r>
  <r>
    <x v="1"/>
    <n v="18304929"/>
    <x v="1"/>
    <d v="2025-03-14T00:00:00"/>
    <x v="0"/>
    <x v="0"/>
    <x v="0"/>
    <d v="2025-09-15T00:00:00"/>
    <n v="185"/>
    <n v="6.166666666666667"/>
    <n v="0"/>
    <n v="0"/>
    <n v="0"/>
    <x v="1"/>
    <n v="19.747945205479454"/>
    <x v="3"/>
    <n v="1"/>
    <d v="2005-06-19T00:00:00"/>
  </r>
  <r>
    <x v="1"/>
    <n v="18304931"/>
    <x v="1"/>
    <d v="2025-03-14T00:00:00"/>
    <x v="0"/>
    <x v="0"/>
    <x v="0"/>
    <m/>
    <n v="9999"/>
    <n v="333.3"/>
    <n v="0"/>
    <n v="0"/>
    <n v="0"/>
    <x v="0"/>
    <n v="19.202739726027396"/>
    <x v="3"/>
    <n v="1"/>
    <d v="2006-01-04T00:00:00"/>
  </r>
  <r>
    <x v="1"/>
    <n v="18304940"/>
    <x v="0"/>
    <d v="2025-03-14T00:00:00"/>
    <x v="0"/>
    <x v="0"/>
    <x v="0"/>
    <d v="2025-10-31T00:00:00"/>
    <n v="231"/>
    <n v="7.7"/>
    <n v="0"/>
    <n v="0"/>
    <n v="0"/>
    <x v="1"/>
    <n v="20.742465753424657"/>
    <x v="3"/>
    <n v="1"/>
    <d v="2004-06-21T00:00:00"/>
  </r>
  <r>
    <x v="1"/>
    <n v="18304942"/>
    <x v="1"/>
    <d v="2025-03-14T00:00:00"/>
    <x v="0"/>
    <x v="0"/>
    <x v="0"/>
    <d v="2025-06-30T00:00:00"/>
    <n v="108"/>
    <n v="3.6"/>
    <n v="0"/>
    <n v="0"/>
    <n v="1"/>
    <x v="1"/>
    <n v="19.764383561643836"/>
    <x v="3"/>
    <n v="1"/>
    <d v="2005-06-13T00:00:00"/>
  </r>
  <r>
    <x v="1"/>
    <n v="18305017"/>
    <x v="1"/>
    <d v="2025-03-15T00:00:00"/>
    <x v="0"/>
    <x v="0"/>
    <x v="0"/>
    <d v="2025-08-15T00:00:00"/>
    <n v="153"/>
    <n v="5.0999999999999996"/>
    <n v="0"/>
    <n v="0"/>
    <n v="1"/>
    <x v="1"/>
    <n v="21.065753424657533"/>
    <x v="2"/>
    <n v="2"/>
    <d v="2004-02-25T00:00:00"/>
  </r>
  <r>
    <x v="1"/>
    <n v="18305018"/>
    <x v="0"/>
    <d v="2025-03-15T00:00:00"/>
    <x v="0"/>
    <x v="0"/>
    <x v="0"/>
    <m/>
    <n v="9999"/>
    <n v="333.3"/>
    <n v="0"/>
    <n v="0"/>
    <n v="0"/>
    <x v="1"/>
    <n v="20.246575342465754"/>
    <x v="3"/>
    <n v="1"/>
    <d v="2004-12-20T00:00:00"/>
  </r>
  <r>
    <x v="1"/>
    <n v="18305019"/>
    <x v="0"/>
    <d v="2025-03-15T00:00:00"/>
    <x v="0"/>
    <x v="0"/>
    <x v="0"/>
    <m/>
    <n v="9999"/>
    <n v="333.3"/>
    <n v="0"/>
    <n v="0"/>
    <n v="0"/>
    <x v="1"/>
    <n v="22.975342465753425"/>
    <x v="2"/>
    <n v="2"/>
    <d v="2002-03-30T00:00:00"/>
  </r>
  <r>
    <x v="1"/>
    <n v="18305020"/>
    <x v="1"/>
    <d v="2025-03-15T00:00:00"/>
    <x v="0"/>
    <x v="0"/>
    <x v="0"/>
    <d v="2025-05-31T00:00:00"/>
    <n v="77"/>
    <n v="2.5666666666666669"/>
    <n v="0"/>
    <n v="1"/>
    <n v="1"/>
    <x v="1"/>
    <n v="20.876712328767123"/>
    <x v="3"/>
    <n v="1"/>
    <d v="2004-05-04T00:00:00"/>
  </r>
  <r>
    <x v="1"/>
    <n v="18305021"/>
    <x v="1"/>
    <d v="2025-03-15T00:00:00"/>
    <x v="0"/>
    <x v="0"/>
    <x v="0"/>
    <d v="2025-04-02T00:00:00"/>
    <n v="18"/>
    <n v="0.6"/>
    <n v="1"/>
    <n v="1"/>
    <n v="1"/>
    <x v="1"/>
    <n v="21.616438356164384"/>
    <x v="2"/>
    <n v="2"/>
    <d v="2003-08-08T00:00:00"/>
  </r>
  <r>
    <x v="1"/>
    <n v="18305022"/>
    <x v="1"/>
    <d v="2025-03-15T00:00:00"/>
    <x v="0"/>
    <x v="0"/>
    <x v="0"/>
    <d v="2025-11-12T00:00:00"/>
    <n v="242"/>
    <n v="8.0666666666666664"/>
    <n v="0"/>
    <n v="0"/>
    <n v="0"/>
    <x v="1"/>
    <n v="20.361643835616437"/>
    <x v="3"/>
    <n v="1"/>
    <d v="2004-11-08T00:00:00"/>
  </r>
  <r>
    <x v="1"/>
    <n v="18305035"/>
    <x v="0"/>
    <d v="2025-03-15T00:00:00"/>
    <x v="0"/>
    <x v="0"/>
    <x v="0"/>
    <d v="2025-03-31T00:00:00"/>
    <n v="16"/>
    <n v="0.53333333333333333"/>
    <n v="1"/>
    <n v="1"/>
    <n v="1"/>
    <x v="1"/>
    <n v="20.986301369863014"/>
    <x v="3"/>
    <n v="1"/>
    <d v="2004-03-25T00:00:00"/>
  </r>
  <r>
    <x v="1"/>
    <n v="18307177"/>
    <x v="0"/>
    <d v="2025-03-17T00:00:00"/>
    <x v="0"/>
    <x v="0"/>
    <x v="0"/>
    <m/>
    <n v="9999"/>
    <n v="333.3"/>
    <n v="0"/>
    <n v="0"/>
    <n v="0"/>
    <x v="0"/>
    <n v="35.213698630136989"/>
    <x v="0"/>
    <n v="4"/>
    <d v="1990-01-07T00:00:00"/>
  </r>
  <r>
    <x v="1"/>
    <n v="18308840"/>
    <x v="0"/>
    <d v="2025-03-01T00:00:00"/>
    <x v="0"/>
    <x v="0"/>
    <x v="0"/>
    <d v="2025-12-07T00:00:00"/>
    <n v="281"/>
    <n v="9.3666666666666671"/>
    <n v="0"/>
    <n v="0"/>
    <n v="0"/>
    <x v="1"/>
    <n v="21.356164383561644"/>
    <x v="2"/>
    <n v="2"/>
    <d v="2003-10-28T00:00:00"/>
  </r>
  <r>
    <x v="1"/>
    <n v="18316672"/>
    <x v="1"/>
    <d v="2025-03-18T00:00:00"/>
    <x v="0"/>
    <x v="0"/>
    <x v="0"/>
    <d v="2025-07-31T00:00:00"/>
    <n v="135"/>
    <n v="4.5"/>
    <n v="0"/>
    <n v="0"/>
    <n v="1"/>
    <x v="1"/>
    <n v="38.863013698630134"/>
    <x v="0"/>
    <n v="4"/>
    <d v="1986-05-17T00:00:00"/>
  </r>
  <r>
    <x v="1"/>
    <n v="18316676"/>
    <x v="1"/>
    <d v="2025-03-18T00:00:00"/>
    <x v="0"/>
    <x v="0"/>
    <x v="0"/>
    <m/>
    <n v="9999"/>
    <n v="333.3"/>
    <n v="0"/>
    <n v="0"/>
    <n v="0"/>
    <x v="1"/>
    <n v="21.616438356164384"/>
    <x v="2"/>
    <n v="2"/>
    <d v="2003-08-11T00:00:00"/>
  </r>
  <r>
    <x v="1"/>
    <n v="18316677"/>
    <x v="1"/>
    <d v="2025-03-18T00:00:00"/>
    <x v="0"/>
    <x v="0"/>
    <x v="0"/>
    <d v="2025-04-15T00:00:00"/>
    <n v="28"/>
    <n v="0.93333333333333335"/>
    <n v="1"/>
    <n v="1"/>
    <n v="1"/>
    <x v="0"/>
    <n v="18.901369863013699"/>
    <x v="3"/>
    <n v="1"/>
    <d v="2006-04-28T00:00:00"/>
  </r>
  <r>
    <x v="1"/>
    <n v="18316679"/>
    <x v="1"/>
    <d v="2025-03-18T00:00:00"/>
    <x v="0"/>
    <x v="0"/>
    <x v="0"/>
    <d v="2026-02-28T00:00:00"/>
    <n v="347"/>
    <n v="11.566666666666666"/>
    <n v="0"/>
    <n v="0"/>
    <n v="0"/>
    <x v="1"/>
    <n v="19.019178082191782"/>
    <x v="3"/>
    <n v="1"/>
    <d v="2006-03-16T00:00:00"/>
  </r>
  <r>
    <x v="1"/>
    <n v="18316685"/>
    <x v="0"/>
    <d v="2025-03-18T00:00:00"/>
    <x v="0"/>
    <x v="0"/>
    <x v="0"/>
    <d v="2025-07-15T00:00:00"/>
    <n v="119"/>
    <n v="3.9666666666666668"/>
    <n v="0"/>
    <n v="0"/>
    <n v="1"/>
    <x v="1"/>
    <n v="19.589041095890412"/>
    <x v="3"/>
    <n v="1"/>
    <d v="2005-08-20T00:00:00"/>
  </r>
  <r>
    <x v="1"/>
    <n v="18316687"/>
    <x v="0"/>
    <d v="2025-03-18T00:00:00"/>
    <x v="0"/>
    <x v="0"/>
    <x v="0"/>
    <d v="2025-08-01T00:00:00"/>
    <n v="136"/>
    <n v="4.5333333333333332"/>
    <n v="0"/>
    <n v="0"/>
    <n v="1"/>
    <x v="1"/>
    <n v="18.197260273972603"/>
    <x v="3"/>
    <n v="1"/>
    <d v="2007-01-10T00:00:00"/>
  </r>
  <r>
    <x v="1"/>
    <n v="18316698"/>
    <x v="0"/>
    <d v="2025-03-18T00:00:00"/>
    <x v="0"/>
    <x v="0"/>
    <x v="0"/>
    <m/>
    <n v="9999"/>
    <n v="333.3"/>
    <n v="0"/>
    <n v="0"/>
    <n v="0"/>
    <x v="0"/>
    <n v="19.945205479452056"/>
    <x v="3"/>
    <n v="1"/>
    <d v="2005-04-12T00:00:00"/>
  </r>
  <r>
    <x v="1"/>
    <n v="18316699"/>
    <x v="0"/>
    <d v="2025-03-18T00:00:00"/>
    <x v="0"/>
    <x v="0"/>
    <x v="0"/>
    <d v="2025-05-05T00:00:00"/>
    <n v="48"/>
    <n v="1.6"/>
    <n v="0"/>
    <n v="1"/>
    <n v="1"/>
    <x v="0"/>
    <n v="30.841095890410958"/>
    <x v="1"/>
    <n v="3"/>
    <d v="1994-05-23T00:00:00"/>
  </r>
  <r>
    <x v="1"/>
    <n v="18316700"/>
    <x v="0"/>
    <d v="2025-03-18T00:00:00"/>
    <x v="0"/>
    <x v="0"/>
    <x v="0"/>
    <d v="2025-04-30T00:00:00"/>
    <n v="43"/>
    <n v="1.4333333333333333"/>
    <n v="0"/>
    <n v="1"/>
    <n v="1"/>
    <x v="0"/>
    <n v="23.665753424657535"/>
    <x v="2"/>
    <n v="2"/>
    <d v="2001-07-24T00:00:00"/>
  </r>
  <r>
    <x v="1"/>
    <n v="18316701"/>
    <x v="0"/>
    <d v="2025-03-18T00:00:00"/>
    <x v="0"/>
    <x v="0"/>
    <x v="0"/>
    <d v="2026-04-30T00:00:00"/>
    <n v="408"/>
    <n v="13.6"/>
    <n v="0"/>
    <n v="0"/>
    <n v="0"/>
    <x v="0"/>
    <n v="31.391780821917809"/>
    <x v="0"/>
    <n v="4"/>
    <d v="1993-11-03T00:00:00"/>
  </r>
  <r>
    <x v="1"/>
    <n v="18316702"/>
    <x v="0"/>
    <d v="2025-03-18T00:00:00"/>
    <x v="0"/>
    <x v="0"/>
    <x v="0"/>
    <m/>
    <n v="9999"/>
    <n v="333.3"/>
    <n v="0"/>
    <n v="0"/>
    <n v="0"/>
    <x v="0"/>
    <n v="18.890410958904109"/>
    <x v="3"/>
    <n v="1"/>
    <d v="2006-05-02T00:00:00"/>
  </r>
  <r>
    <x v="1"/>
    <n v="18316703"/>
    <x v="0"/>
    <d v="2025-03-18T00:00:00"/>
    <x v="0"/>
    <x v="0"/>
    <x v="0"/>
    <d v="2025-12-14T00:00:00"/>
    <n v="271"/>
    <n v="9.0333333333333332"/>
    <n v="0"/>
    <n v="0"/>
    <n v="0"/>
    <x v="0"/>
    <n v="21"/>
    <x v="2"/>
    <n v="2"/>
    <d v="2004-03-23T00:00:00"/>
  </r>
  <r>
    <x v="1"/>
    <n v="18316705"/>
    <x v="0"/>
    <d v="2025-03-18T00:00:00"/>
    <x v="0"/>
    <x v="0"/>
    <x v="0"/>
    <m/>
    <n v="9999"/>
    <n v="333.3"/>
    <n v="0"/>
    <n v="0"/>
    <n v="0"/>
    <x v="1"/>
    <n v="18.139726027397259"/>
    <x v="3"/>
    <n v="1"/>
    <d v="2007-01-31T00:00:00"/>
  </r>
  <r>
    <x v="1"/>
    <n v="18320427"/>
    <x v="1"/>
    <d v="2025-03-19T00:00:00"/>
    <x v="0"/>
    <x v="0"/>
    <x v="0"/>
    <m/>
    <n v="9999"/>
    <n v="333.3"/>
    <n v="0"/>
    <n v="0"/>
    <n v="0"/>
    <x v="1"/>
    <n v="20.553424657534247"/>
    <x v="3"/>
    <n v="1"/>
    <d v="2004-09-03T00:00:00"/>
  </r>
  <r>
    <x v="1"/>
    <n v="18320709"/>
    <x v="1"/>
    <d v="2025-03-19T00:00:00"/>
    <x v="0"/>
    <x v="0"/>
    <x v="0"/>
    <d v="2025-08-04T00:00:00"/>
    <n v="138"/>
    <n v="4.5999999999999996"/>
    <n v="0"/>
    <n v="0"/>
    <n v="1"/>
    <x v="1"/>
    <n v="20.471232876712328"/>
    <x v="3"/>
    <n v="1"/>
    <d v="2004-10-03T00:00:00"/>
  </r>
  <r>
    <x v="1"/>
    <n v="18327334"/>
    <x v="0"/>
    <d v="2025-03-20T00:00:00"/>
    <x v="0"/>
    <x v="0"/>
    <x v="0"/>
    <d v="2026-04-15T00:00:00"/>
    <n v="391"/>
    <n v="13.033333333333333"/>
    <n v="0"/>
    <n v="0"/>
    <n v="0"/>
    <x v="1"/>
    <n v="30.24931506849315"/>
    <x v="1"/>
    <n v="3"/>
    <d v="1994-12-27T00:00:00"/>
  </r>
  <r>
    <x v="1"/>
    <n v="18327358"/>
    <x v="0"/>
    <d v="2025-03-20T00:00:00"/>
    <x v="0"/>
    <x v="0"/>
    <x v="0"/>
    <d v="2025-04-04T00:00:00"/>
    <n v="15"/>
    <n v="0.5"/>
    <n v="1"/>
    <n v="1"/>
    <n v="1"/>
    <x v="1"/>
    <n v="22.649315068493152"/>
    <x v="2"/>
    <n v="2"/>
    <d v="2002-08-01T00:00:00"/>
  </r>
  <r>
    <x v="1"/>
    <n v="18327359"/>
    <x v="0"/>
    <d v="2025-03-20T00:00:00"/>
    <x v="0"/>
    <x v="0"/>
    <x v="0"/>
    <d v="2025-04-01T00:00:00"/>
    <n v="12"/>
    <n v="0.4"/>
    <n v="1"/>
    <n v="1"/>
    <n v="1"/>
    <x v="1"/>
    <n v="19.19178082191781"/>
    <x v="3"/>
    <n v="1"/>
    <d v="2006-01-14T00:00:00"/>
  </r>
  <r>
    <x v="1"/>
    <n v="18327424"/>
    <x v="0"/>
    <d v="2025-03-20T00:00:00"/>
    <x v="0"/>
    <x v="0"/>
    <x v="0"/>
    <d v="2025-06-20T00:00:00"/>
    <n v="92"/>
    <n v="3.0666666666666669"/>
    <n v="0"/>
    <n v="0"/>
    <n v="1"/>
    <x v="1"/>
    <n v="19.838356164383562"/>
    <x v="3"/>
    <n v="1"/>
    <d v="2005-05-23T00:00:00"/>
  </r>
  <r>
    <x v="1"/>
    <n v="18327530"/>
    <x v="0"/>
    <d v="2025-03-20T00:00:00"/>
    <x v="0"/>
    <x v="0"/>
    <x v="0"/>
    <d v="2025-08-31T00:00:00"/>
    <n v="164"/>
    <n v="5.4666666666666668"/>
    <n v="0"/>
    <n v="0"/>
    <n v="1"/>
    <x v="1"/>
    <n v="23.895890410958906"/>
    <x v="2"/>
    <n v="2"/>
    <d v="2001-05-03T00:00:00"/>
  </r>
  <r>
    <x v="1"/>
    <n v="18327567"/>
    <x v="1"/>
    <d v="2025-03-20T00:00:00"/>
    <x v="0"/>
    <x v="0"/>
    <x v="0"/>
    <d v="2025-06-11T00:00:00"/>
    <n v="83"/>
    <n v="2.7666666666666666"/>
    <n v="0"/>
    <n v="1"/>
    <n v="1"/>
    <x v="1"/>
    <n v="18.424657534246574"/>
    <x v="3"/>
    <n v="1"/>
    <d v="2006-10-21T00:00:00"/>
  </r>
  <r>
    <x v="1"/>
    <n v="18327568"/>
    <x v="1"/>
    <d v="2025-03-20T00:00:00"/>
    <x v="0"/>
    <x v="0"/>
    <x v="0"/>
    <d v="2026-05-31T00:00:00"/>
    <n v="437"/>
    <n v="14.566666666666666"/>
    <n v="0"/>
    <n v="0"/>
    <n v="0"/>
    <x v="1"/>
    <n v="21.671232876712327"/>
    <x v="2"/>
    <n v="2"/>
    <d v="2003-07-24T00:00:00"/>
  </r>
  <r>
    <x v="1"/>
    <n v="18327912"/>
    <x v="0"/>
    <d v="2025-03-20T00:00:00"/>
    <x v="0"/>
    <x v="0"/>
    <x v="0"/>
    <d v="2026-01-01T00:00:00"/>
    <n v="287"/>
    <n v="9.5666666666666664"/>
    <n v="0"/>
    <n v="0"/>
    <n v="0"/>
    <x v="1"/>
    <n v="22.301369863013697"/>
    <x v="2"/>
    <n v="2"/>
    <d v="2002-12-06T00:00:00"/>
  </r>
  <r>
    <x v="1"/>
    <n v="18327913"/>
    <x v="0"/>
    <d v="2025-03-20T00:00:00"/>
    <x v="0"/>
    <x v="0"/>
    <x v="0"/>
    <d v="2025-12-15T00:00:00"/>
    <n v="270"/>
    <n v="9"/>
    <n v="0"/>
    <n v="0"/>
    <n v="0"/>
    <x v="1"/>
    <n v="23.726027397260275"/>
    <x v="2"/>
    <n v="2"/>
    <d v="2001-07-04T00:00:00"/>
  </r>
  <r>
    <x v="1"/>
    <n v="18327914"/>
    <x v="0"/>
    <d v="2025-03-20T00:00:00"/>
    <x v="0"/>
    <x v="0"/>
    <x v="0"/>
    <m/>
    <n v="9999"/>
    <n v="333.3"/>
    <n v="0"/>
    <n v="0"/>
    <n v="0"/>
    <x v="1"/>
    <n v="40.783561643835618"/>
    <x v="0"/>
    <n v="4"/>
    <d v="1984-06-17T00:00:00"/>
  </r>
  <r>
    <x v="1"/>
    <n v="18327928"/>
    <x v="1"/>
    <d v="2025-03-20T00:00:00"/>
    <x v="0"/>
    <x v="0"/>
    <x v="0"/>
    <d v="2025-08-01T00:00:00"/>
    <n v="134"/>
    <n v="4.4666666666666668"/>
    <n v="0"/>
    <n v="0"/>
    <n v="1"/>
    <x v="1"/>
    <n v="18.791780821917808"/>
    <x v="3"/>
    <n v="1"/>
    <d v="2006-06-09T00:00:00"/>
  </r>
  <r>
    <x v="1"/>
    <n v="18327929"/>
    <x v="1"/>
    <d v="2025-03-20T00:00:00"/>
    <x v="0"/>
    <x v="0"/>
    <x v="0"/>
    <d v="2025-05-08T00:00:00"/>
    <n v="49"/>
    <n v="1.6333333333333333"/>
    <n v="0"/>
    <n v="1"/>
    <n v="1"/>
    <x v="1"/>
    <n v="18.117808219178084"/>
    <x v="3"/>
    <n v="1"/>
    <d v="2007-02-10T00:00:00"/>
  </r>
  <r>
    <x v="1"/>
    <n v="18329117"/>
    <x v="1"/>
    <d v="2025-03-20T00:00:00"/>
    <x v="0"/>
    <x v="0"/>
    <x v="0"/>
    <d v="2025-04-01T00:00:00"/>
    <n v="12"/>
    <n v="0.4"/>
    <n v="1"/>
    <n v="1"/>
    <n v="1"/>
    <x v="1"/>
    <n v="18.375342465753423"/>
    <x v="3"/>
    <n v="1"/>
    <d v="2006-11-08T00:00:00"/>
  </r>
  <r>
    <x v="0"/>
    <n v="18329263"/>
    <x v="0"/>
    <d v="2025-03-21T00:00:00"/>
    <x v="0"/>
    <x v="0"/>
    <x v="0"/>
    <d v="2026-02-01T00:00:00"/>
    <n v="317"/>
    <n v="10.566666666666666"/>
    <n v="0"/>
    <n v="0"/>
    <n v="0"/>
    <x v="1"/>
    <n v="20.101369863013698"/>
    <x v="3"/>
    <n v="1"/>
    <d v="2005-02-17T00:00:00"/>
  </r>
  <r>
    <x v="1"/>
    <n v="18329270"/>
    <x v="0"/>
    <d v="2025-03-21T00:00:00"/>
    <x v="0"/>
    <x v="0"/>
    <x v="0"/>
    <m/>
    <n v="9999"/>
    <n v="333.3"/>
    <n v="0"/>
    <n v="0"/>
    <n v="0"/>
    <x v="1"/>
    <n v="19.523287671232875"/>
    <x v="3"/>
    <n v="1"/>
    <d v="2005-09-16T00:00:00"/>
  </r>
  <r>
    <x v="1"/>
    <n v="18329275"/>
    <x v="0"/>
    <d v="2025-03-21T00:00:00"/>
    <x v="0"/>
    <x v="0"/>
    <x v="0"/>
    <d v="2025-10-31T00:00:00"/>
    <n v="224"/>
    <n v="7.4666666666666668"/>
    <n v="0"/>
    <n v="0"/>
    <n v="0"/>
    <x v="0"/>
    <n v="28.145205479452056"/>
    <x v="1"/>
    <n v="3"/>
    <d v="1997-02-03T00:00:00"/>
  </r>
  <r>
    <x v="1"/>
    <n v="18329286"/>
    <x v="0"/>
    <d v="2025-03-21T00:00:00"/>
    <x v="0"/>
    <x v="0"/>
    <x v="0"/>
    <m/>
    <n v="9999"/>
    <n v="333.3"/>
    <n v="0"/>
    <n v="0"/>
    <n v="0"/>
    <x v="1"/>
    <n v="18.315068493150687"/>
    <x v="3"/>
    <n v="1"/>
    <d v="2006-12-01T00:00:00"/>
  </r>
  <r>
    <x v="1"/>
    <n v="18329289"/>
    <x v="0"/>
    <d v="2025-03-21T00:00:00"/>
    <x v="0"/>
    <x v="0"/>
    <x v="0"/>
    <m/>
    <n v="9999"/>
    <n v="333.3"/>
    <n v="0"/>
    <n v="0"/>
    <n v="0"/>
    <x v="1"/>
    <n v="25.443835616438356"/>
    <x v="2"/>
    <n v="2"/>
    <d v="1999-10-17T00:00:00"/>
  </r>
  <r>
    <x v="1"/>
    <n v="18329293"/>
    <x v="0"/>
    <d v="2025-03-21T00:00:00"/>
    <x v="0"/>
    <x v="0"/>
    <x v="0"/>
    <m/>
    <n v="9999"/>
    <n v="333.3"/>
    <n v="0"/>
    <n v="0"/>
    <n v="0"/>
    <x v="1"/>
    <n v="32.772602739726025"/>
    <x v="0"/>
    <n v="4"/>
    <d v="1992-06-20T00:00:00"/>
  </r>
  <r>
    <x v="1"/>
    <n v="18329295"/>
    <x v="0"/>
    <d v="2025-03-21T00:00:00"/>
    <x v="0"/>
    <x v="0"/>
    <x v="0"/>
    <d v="2025-12-15T00:00:00"/>
    <n v="269"/>
    <n v="8.9666666666666668"/>
    <n v="0"/>
    <n v="0"/>
    <n v="0"/>
    <x v="1"/>
    <n v="19.597260273972601"/>
    <x v="3"/>
    <n v="1"/>
    <d v="2005-08-20T00:00:00"/>
  </r>
  <r>
    <x v="0"/>
    <n v="18329312"/>
    <x v="0"/>
    <d v="2025-03-21T00:00:00"/>
    <x v="0"/>
    <x v="0"/>
    <x v="0"/>
    <d v="2025-04-01T00:00:00"/>
    <n v="11"/>
    <n v="0.36666666666666664"/>
    <n v="1"/>
    <n v="1"/>
    <n v="1"/>
    <x v="1"/>
    <n v="21.972602739726028"/>
    <x v="2"/>
    <n v="2"/>
    <d v="2003-04-06T00:00:00"/>
  </r>
  <r>
    <x v="1"/>
    <n v="18329313"/>
    <x v="0"/>
    <d v="2025-03-21T00:00:00"/>
    <x v="0"/>
    <x v="0"/>
    <x v="0"/>
    <m/>
    <n v="9999"/>
    <n v="333.3"/>
    <n v="0"/>
    <n v="0"/>
    <n v="0"/>
    <x v="1"/>
    <n v="23.054794520547944"/>
    <x v="2"/>
    <n v="2"/>
    <d v="2002-03-07T00:00:00"/>
  </r>
  <r>
    <x v="1"/>
    <n v="18329319"/>
    <x v="0"/>
    <d v="2025-03-21T00:00:00"/>
    <x v="0"/>
    <x v="0"/>
    <x v="0"/>
    <d v="2026-02-15T00:00:00"/>
    <n v="331"/>
    <n v="11.033333333333333"/>
    <n v="0"/>
    <n v="0"/>
    <n v="0"/>
    <x v="1"/>
    <n v="19.92876712328767"/>
    <x v="3"/>
    <n v="1"/>
    <d v="2005-04-21T00:00:00"/>
  </r>
  <r>
    <x v="0"/>
    <n v="18329322"/>
    <x v="0"/>
    <d v="2025-03-21T00:00:00"/>
    <x v="0"/>
    <x v="0"/>
    <x v="0"/>
    <m/>
    <n v="9999"/>
    <n v="333.3"/>
    <n v="0"/>
    <n v="0"/>
    <n v="0"/>
    <x v="1"/>
    <n v="27.282191780821918"/>
    <x v="1"/>
    <n v="3"/>
    <d v="1997-12-15T00:00:00"/>
  </r>
  <r>
    <x v="1"/>
    <n v="18329595"/>
    <x v="0"/>
    <d v="2025-03-20T00:00:00"/>
    <x v="0"/>
    <x v="0"/>
    <x v="0"/>
    <m/>
    <n v="9999"/>
    <n v="333.3"/>
    <n v="0"/>
    <n v="0"/>
    <n v="0"/>
    <x v="0"/>
    <n v="21.860273972602741"/>
    <x v="2"/>
    <n v="2"/>
    <d v="2003-05-16T00:00:00"/>
  </r>
  <r>
    <x v="1"/>
    <n v="18338126"/>
    <x v="0"/>
    <d v="2025-03-24T00:00:00"/>
    <x v="0"/>
    <x v="0"/>
    <x v="0"/>
    <d v="2026-04-30T00:00:00"/>
    <n v="402"/>
    <n v="13.4"/>
    <n v="0"/>
    <n v="0"/>
    <n v="0"/>
    <x v="0"/>
    <n v="18.465753424657535"/>
    <x v="3"/>
    <n v="1"/>
    <d v="2006-10-10T00:00:00"/>
  </r>
  <r>
    <x v="1"/>
    <n v="18338394"/>
    <x v="0"/>
    <d v="2025-03-24T00:00:00"/>
    <x v="0"/>
    <x v="0"/>
    <x v="0"/>
    <d v="2025-05-31T00:00:00"/>
    <n v="68"/>
    <n v="2.2666666666666666"/>
    <n v="0"/>
    <n v="1"/>
    <n v="1"/>
    <x v="1"/>
    <n v="20.712328767123289"/>
    <x v="3"/>
    <n v="1"/>
    <d v="2004-07-12T00:00:00"/>
  </r>
  <r>
    <x v="1"/>
    <n v="18338429"/>
    <x v="0"/>
    <d v="2025-03-24T00:00:00"/>
    <x v="0"/>
    <x v="0"/>
    <x v="0"/>
    <d v="2025-04-30T00:00:00"/>
    <n v="37"/>
    <n v="1.2333333333333334"/>
    <n v="0"/>
    <n v="1"/>
    <n v="1"/>
    <x v="0"/>
    <n v="18.298630136986301"/>
    <x v="3"/>
    <n v="1"/>
    <d v="2006-12-10T00:00:00"/>
  </r>
  <r>
    <x v="1"/>
    <n v="18338483"/>
    <x v="0"/>
    <d v="2025-03-24T00:00:00"/>
    <x v="0"/>
    <x v="0"/>
    <x v="0"/>
    <d v="2026-01-05T00:00:00"/>
    <n v="287"/>
    <n v="9.5666666666666664"/>
    <n v="0"/>
    <n v="0"/>
    <n v="0"/>
    <x v="0"/>
    <n v="27.424657534246574"/>
    <x v="1"/>
    <n v="3"/>
    <d v="1997-10-27T00:00:00"/>
  </r>
  <r>
    <x v="0"/>
    <n v="18338496"/>
    <x v="1"/>
    <d v="2025-03-24T00:00:00"/>
    <x v="0"/>
    <x v="0"/>
    <x v="0"/>
    <m/>
    <n v="9999"/>
    <n v="333.3"/>
    <n v="0"/>
    <n v="0"/>
    <n v="0"/>
    <x v="1"/>
    <n v="21.438356164383563"/>
    <x v="2"/>
    <n v="2"/>
    <d v="2003-10-21T00:00:00"/>
  </r>
  <r>
    <x v="0"/>
    <n v="18338513"/>
    <x v="0"/>
    <d v="2025-03-24T00:00:00"/>
    <x v="0"/>
    <x v="0"/>
    <x v="0"/>
    <m/>
    <n v="9999"/>
    <n v="333.3"/>
    <n v="0"/>
    <n v="0"/>
    <n v="0"/>
    <x v="1"/>
    <n v="23.435616438356163"/>
    <x v="2"/>
    <n v="2"/>
    <d v="2001-10-22T00:00:00"/>
  </r>
  <r>
    <x v="1"/>
    <n v="18338516"/>
    <x v="0"/>
    <d v="2025-03-24T00:00:00"/>
    <x v="0"/>
    <x v="0"/>
    <x v="0"/>
    <d v="2025-05-09T00:00:00"/>
    <n v="46"/>
    <n v="1.5333333333333334"/>
    <n v="0"/>
    <n v="1"/>
    <n v="1"/>
    <x v="1"/>
    <n v="18.095890410958905"/>
    <x v="3"/>
    <n v="1"/>
    <d v="2007-02-22T00:00:00"/>
  </r>
  <r>
    <x v="1"/>
    <n v="18338570"/>
    <x v="0"/>
    <d v="2025-03-24T00:00:00"/>
    <x v="0"/>
    <x v="0"/>
    <x v="0"/>
    <d v="2025-07-01T00:00:00"/>
    <n v="99"/>
    <n v="3.3"/>
    <n v="0"/>
    <n v="0"/>
    <n v="1"/>
    <x v="1"/>
    <n v="34.80821917808219"/>
    <x v="0"/>
    <n v="4"/>
    <d v="1990-06-11T00:00:00"/>
  </r>
  <r>
    <x v="1"/>
    <n v="18339043"/>
    <x v="0"/>
    <d v="2025-03-24T00:00:00"/>
    <x v="0"/>
    <x v="0"/>
    <x v="0"/>
    <m/>
    <n v="9999"/>
    <n v="333.3"/>
    <n v="0"/>
    <n v="0"/>
    <n v="0"/>
    <x v="1"/>
    <n v="60.715068493150682"/>
    <x v="0"/>
    <n v="4"/>
    <d v="1964-07-21T00:00:00"/>
  </r>
  <r>
    <x v="1"/>
    <n v="18340261"/>
    <x v="1"/>
    <d v="2025-03-25T00:00:00"/>
    <x v="0"/>
    <x v="0"/>
    <x v="0"/>
    <d v="2025-05-15T00:00:00"/>
    <n v="51"/>
    <n v="1.7"/>
    <n v="0"/>
    <n v="1"/>
    <n v="1"/>
    <x v="1"/>
    <n v="26.561643835616437"/>
    <x v="1"/>
    <n v="3"/>
    <d v="1998-09-08T00:00:00"/>
  </r>
  <r>
    <x v="1"/>
    <n v="18340301"/>
    <x v="0"/>
    <d v="2025-03-25T00:00:00"/>
    <x v="0"/>
    <x v="0"/>
    <x v="0"/>
    <m/>
    <n v="9999"/>
    <n v="333.3"/>
    <n v="0"/>
    <n v="0"/>
    <n v="0"/>
    <x v="1"/>
    <n v="24.2"/>
    <x v="2"/>
    <n v="2"/>
    <d v="2001-01-17T00:00:00"/>
  </r>
  <r>
    <x v="1"/>
    <n v="18340386"/>
    <x v="0"/>
    <d v="2025-03-25T00:00:00"/>
    <x v="0"/>
    <x v="0"/>
    <x v="0"/>
    <d v="2025-09-01T00:00:00"/>
    <n v="160"/>
    <n v="5.333333333333333"/>
    <n v="0"/>
    <n v="0"/>
    <n v="1"/>
    <x v="1"/>
    <n v="24.44109589041096"/>
    <x v="2"/>
    <n v="2"/>
    <d v="2000-10-21T00:00:00"/>
  </r>
  <r>
    <x v="1"/>
    <n v="18340389"/>
    <x v="1"/>
    <d v="2025-03-25T00:00:00"/>
    <x v="0"/>
    <x v="0"/>
    <x v="0"/>
    <d v="2025-07-01T00:00:00"/>
    <n v="98"/>
    <n v="3.2666666666666666"/>
    <n v="0"/>
    <n v="0"/>
    <n v="1"/>
    <x v="1"/>
    <n v="19.345205479452055"/>
    <x v="3"/>
    <n v="1"/>
    <d v="2005-11-24T00:00:00"/>
  </r>
  <r>
    <x v="1"/>
    <n v="18340395"/>
    <x v="0"/>
    <d v="2025-03-25T00:00:00"/>
    <x v="0"/>
    <x v="0"/>
    <x v="0"/>
    <d v="2026-01-14T00:00:00"/>
    <n v="295"/>
    <n v="9.8333333333333339"/>
    <n v="0"/>
    <n v="0"/>
    <n v="0"/>
    <x v="1"/>
    <n v="19.186301369863013"/>
    <x v="3"/>
    <n v="1"/>
    <d v="2006-01-21T00:00:00"/>
  </r>
  <r>
    <x v="1"/>
    <n v="18340397"/>
    <x v="0"/>
    <d v="2025-03-25T00:00:00"/>
    <x v="0"/>
    <x v="0"/>
    <x v="0"/>
    <m/>
    <n v="9999"/>
    <n v="333.3"/>
    <n v="0"/>
    <n v="0"/>
    <n v="0"/>
    <x v="0"/>
    <n v="27.416438356164385"/>
    <x v="1"/>
    <n v="3"/>
    <d v="1997-10-31T00:00:00"/>
  </r>
  <r>
    <x v="1"/>
    <n v="18340402"/>
    <x v="0"/>
    <d v="2025-03-25T00:00:00"/>
    <x v="0"/>
    <x v="0"/>
    <x v="0"/>
    <m/>
    <n v="9999"/>
    <n v="333.3"/>
    <n v="0"/>
    <n v="0"/>
    <n v="0"/>
    <x v="1"/>
    <n v="25.82191780821918"/>
    <x v="2"/>
    <n v="2"/>
    <d v="1999-06-05T00:00:00"/>
  </r>
  <r>
    <x v="1"/>
    <n v="18340462"/>
    <x v="0"/>
    <d v="2025-03-26T00:00:00"/>
    <x v="0"/>
    <x v="0"/>
    <x v="0"/>
    <m/>
    <n v="9999"/>
    <n v="333.3"/>
    <n v="0"/>
    <n v="0"/>
    <n v="0"/>
    <x v="1"/>
    <n v="18.257534246575343"/>
    <x v="3"/>
    <n v="1"/>
    <d v="2006-12-27T00:00:00"/>
  </r>
  <r>
    <x v="1"/>
    <n v="18340475"/>
    <x v="0"/>
    <d v="2025-03-26T00:00:00"/>
    <x v="0"/>
    <x v="0"/>
    <x v="0"/>
    <d v="2026-01-07T00:00:00"/>
    <n v="287"/>
    <n v="9.5666666666666664"/>
    <n v="0"/>
    <n v="0"/>
    <n v="0"/>
    <x v="1"/>
    <n v="23.663013698630138"/>
    <x v="2"/>
    <n v="2"/>
    <d v="2001-08-02T00:00:00"/>
  </r>
  <r>
    <x v="1"/>
    <n v="18340476"/>
    <x v="1"/>
    <d v="2025-03-26T00:00:00"/>
    <x v="0"/>
    <x v="0"/>
    <x v="0"/>
    <d v="2025-08-31T00:00:00"/>
    <n v="158"/>
    <n v="5.2666666666666666"/>
    <n v="0"/>
    <n v="0"/>
    <n v="1"/>
    <x v="1"/>
    <n v="22.75068493150685"/>
    <x v="2"/>
    <n v="2"/>
    <d v="2002-07-01T00:00:00"/>
  </r>
  <r>
    <x v="1"/>
    <n v="18340477"/>
    <x v="0"/>
    <d v="2025-03-26T00:00:00"/>
    <x v="0"/>
    <x v="0"/>
    <x v="0"/>
    <d v="2025-04-01T00:00:00"/>
    <n v="6"/>
    <n v="0.2"/>
    <n v="1"/>
    <n v="1"/>
    <n v="1"/>
    <x v="1"/>
    <n v="19.547945205479451"/>
    <x v="3"/>
    <n v="1"/>
    <d v="2005-09-12T00:00:00"/>
  </r>
  <r>
    <x v="1"/>
    <n v="18340480"/>
    <x v="1"/>
    <d v="2025-03-26T00:00:00"/>
    <x v="0"/>
    <x v="0"/>
    <x v="0"/>
    <m/>
    <n v="9999"/>
    <n v="333.3"/>
    <n v="0"/>
    <n v="0"/>
    <n v="0"/>
    <x v="1"/>
    <n v="22.706849315068492"/>
    <x v="2"/>
    <n v="2"/>
    <d v="2002-07-17T00:00:00"/>
  </r>
  <r>
    <x v="0"/>
    <n v="18340481"/>
    <x v="0"/>
    <d v="2025-03-26T00:00:00"/>
    <x v="0"/>
    <x v="0"/>
    <x v="0"/>
    <d v="2026-02-01T00:00:00"/>
    <n v="312"/>
    <n v="10.4"/>
    <n v="0"/>
    <n v="0"/>
    <n v="0"/>
    <x v="1"/>
    <n v="20.246575342465754"/>
    <x v="3"/>
    <n v="1"/>
    <d v="2004-12-31T00:00:00"/>
  </r>
  <r>
    <x v="1"/>
    <n v="18340483"/>
    <x v="0"/>
    <d v="2025-03-26T00:00:00"/>
    <x v="0"/>
    <x v="0"/>
    <x v="0"/>
    <d v="2025-05-17T00:00:00"/>
    <n v="52"/>
    <n v="1.7333333333333334"/>
    <n v="0"/>
    <n v="1"/>
    <n v="1"/>
    <x v="1"/>
    <n v="20.610958904109587"/>
    <x v="3"/>
    <n v="1"/>
    <d v="2004-08-20T00:00:00"/>
  </r>
  <r>
    <x v="1"/>
    <n v="18340487"/>
    <x v="0"/>
    <d v="2025-03-26T00:00:00"/>
    <x v="0"/>
    <x v="0"/>
    <x v="0"/>
    <d v="2025-12-31T00:00:00"/>
    <n v="280"/>
    <n v="9.3333333333333339"/>
    <n v="0"/>
    <n v="0"/>
    <n v="0"/>
    <x v="1"/>
    <n v="20.794520547945204"/>
    <x v="3"/>
    <n v="1"/>
    <d v="2004-06-14T00:00:00"/>
  </r>
  <r>
    <x v="1"/>
    <n v="18340492"/>
    <x v="1"/>
    <d v="2025-03-26T00:00:00"/>
    <x v="0"/>
    <x v="0"/>
    <x v="0"/>
    <m/>
    <n v="9999"/>
    <n v="333.3"/>
    <n v="0"/>
    <n v="0"/>
    <n v="0"/>
    <x v="1"/>
    <n v="22.252054794520546"/>
    <x v="2"/>
    <n v="2"/>
    <d v="2002-12-30T00:00:00"/>
  </r>
  <r>
    <x v="1"/>
    <n v="18340844"/>
    <x v="0"/>
    <d v="2025-03-27T00:00:00"/>
    <x v="0"/>
    <x v="0"/>
    <x v="0"/>
    <d v="2025-11-16T00:00:00"/>
    <n v="234"/>
    <n v="7.8"/>
    <n v="0"/>
    <n v="0"/>
    <n v="0"/>
    <x v="0"/>
    <n v="21.693150684931506"/>
    <x v="2"/>
    <n v="2"/>
    <d v="2003-07-23T00:00:00"/>
  </r>
  <r>
    <x v="1"/>
    <n v="18340849"/>
    <x v="0"/>
    <d v="2025-03-27T00:00:00"/>
    <x v="0"/>
    <x v="0"/>
    <x v="0"/>
    <d v="2025-04-08T00:00:00"/>
    <n v="12"/>
    <n v="0.4"/>
    <n v="1"/>
    <n v="1"/>
    <n v="1"/>
    <x v="1"/>
    <n v="20.857534246575341"/>
    <x v="3"/>
    <n v="1"/>
    <d v="2004-05-23T00:00:00"/>
  </r>
  <r>
    <x v="1"/>
    <n v="18340856"/>
    <x v="0"/>
    <d v="2025-03-27T00:00:00"/>
    <x v="0"/>
    <x v="0"/>
    <x v="0"/>
    <d v="2026-02-01T00:00:00"/>
    <n v="311"/>
    <n v="10.366666666666667"/>
    <n v="0"/>
    <n v="0"/>
    <n v="0"/>
    <x v="1"/>
    <n v="20.304109589041097"/>
    <x v="3"/>
    <n v="1"/>
    <d v="2004-12-11T00:00:00"/>
  </r>
  <r>
    <x v="1"/>
    <n v="18340858"/>
    <x v="1"/>
    <d v="2025-03-27T00:00:00"/>
    <x v="0"/>
    <x v="0"/>
    <x v="0"/>
    <d v="2026-01-31T00:00:00"/>
    <n v="310"/>
    <n v="10.333333333333334"/>
    <n v="0"/>
    <n v="0"/>
    <n v="0"/>
    <x v="1"/>
    <n v="19.660273972602738"/>
    <x v="3"/>
    <n v="1"/>
    <d v="2005-08-03T00:00:00"/>
  </r>
  <r>
    <x v="1"/>
    <n v="18340861"/>
    <x v="0"/>
    <d v="2025-03-27T00:00:00"/>
    <x v="0"/>
    <x v="0"/>
    <x v="0"/>
    <m/>
    <n v="9999"/>
    <n v="333.3"/>
    <n v="0"/>
    <n v="0"/>
    <n v="0"/>
    <x v="1"/>
    <n v="34.934246575342463"/>
    <x v="0"/>
    <n v="4"/>
    <d v="1990-04-29T00:00:00"/>
  </r>
  <r>
    <x v="1"/>
    <n v="18340864"/>
    <x v="1"/>
    <d v="2025-03-27T00:00:00"/>
    <x v="0"/>
    <x v="0"/>
    <x v="0"/>
    <d v="2025-04-04T00:00:00"/>
    <n v="8"/>
    <n v="0.26666666666666666"/>
    <n v="1"/>
    <n v="1"/>
    <n v="1"/>
    <x v="1"/>
    <n v="20.109589041095891"/>
    <x v="3"/>
    <n v="1"/>
    <d v="2005-02-20T00:00:00"/>
  </r>
  <r>
    <x v="1"/>
    <n v="18340865"/>
    <x v="0"/>
    <d v="2025-03-27T00:00:00"/>
    <x v="0"/>
    <x v="0"/>
    <x v="0"/>
    <d v="2025-09-01T00:00:00"/>
    <n v="158"/>
    <n v="5.2666666666666666"/>
    <n v="0"/>
    <n v="0"/>
    <n v="1"/>
    <x v="1"/>
    <n v="20.238356164383561"/>
    <x v="3"/>
    <n v="1"/>
    <d v="2005-01-04T00:00:00"/>
  </r>
  <r>
    <x v="1"/>
    <n v="18340866"/>
    <x v="0"/>
    <d v="2025-03-27T00:00:00"/>
    <x v="0"/>
    <x v="0"/>
    <x v="0"/>
    <d v="2026-01-10T00:00:00"/>
    <n v="289"/>
    <n v="9.6333333333333329"/>
    <n v="0"/>
    <n v="0"/>
    <n v="0"/>
    <x v="1"/>
    <n v="18.75068493150685"/>
    <x v="3"/>
    <n v="1"/>
    <d v="2006-07-01T00:00:00"/>
  </r>
  <r>
    <x v="1"/>
    <n v="18340870"/>
    <x v="0"/>
    <d v="2025-03-27T00:00:00"/>
    <x v="0"/>
    <x v="0"/>
    <x v="0"/>
    <d v="2025-04-01T00:00:00"/>
    <n v="5"/>
    <n v="0.16666666666666666"/>
    <n v="1"/>
    <n v="1"/>
    <n v="1"/>
    <x v="1"/>
    <n v="26.838356164383562"/>
    <x v="1"/>
    <n v="3"/>
    <d v="1998-06-01T00:00:00"/>
  </r>
  <r>
    <x v="1"/>
    <n v="18340874"/>
    <x v="1"/>
    <d v="2025-03-27T00:00:00"/>
    <x v="0"/>
    <x v="0"/>
    <x v="0"/>
    <d v="2025-07-31T00:00:00"/>
    <n v="126"/>
    <n v="4.2"/>
    <n v="0"/>
    <n v="0"/>
    <n v="1"/>
    <x v="0"/>
    <n v="23.284931506849315"/>
    <x v="2"/>
    <n v="2"/>
    <d v="2001-12-19T00:00:00"/>
  </r>
  <r>
    <x v="1"/>
    <n v="18340875"/>
    <x v="0"/>
    <d v="2025-03-21T00:00:00"/>
    <x v="0"/>
    <x v="0"/>
    <x v="0"/>
    <m/>
    <n v="9999"/>
    <n v="333.3"/>
    <n v="0"/>
    <n v="0"/>
    <n v="0"/>
    <x v="0"/>
    <n v="28.465753424657535"/>
    <x v="1"/>
    <n v="3"/>
    <d v="1996-10-09T00:00:00"/>
  </r>
  <r>
    <x v="1"/>
    <n v="18340880"/>
    <x v="0"/>
    <d v="2025-03-27T00:00:00"/>
    <x v="0"/>
    <x v="0"/>
    <x v="0"/>
    <d v="2025-04-30T00:00:00"/>
    <n v="34"/>
    <n v="1.1333333333333333"/>
    <n v="0"/>
    <n v="1"/>
    <n v="1"/>
    <x v="0"/>
    <n v="18.545205479452054"/>
    <x v="3"/>
    <n v="1"/>
    <d v="2006-09-14T00:00:00"/>
  </r>
  <r>
    <x v="1"/>
    <n v="18340881"/>
    <x v="1"/>
    <d v="2025-03-27T00:00:00"/>
    <x v="0"/>
    <x v="0"/>
    <x v="0"/>
    <d v="2025-06-02T00:00:00"/>
    <n v="67"/>
    <n v="2.2333333333333334"/>
    <n v="0"/>
    <n v="1"/>
    <n v="1"/>
    <x v="0"/>
    <n v="18.284931506849315"/>
    <x v="3"/>
    <n v="1"/>
    <d v="2006-12-18T00:00:00"/>
  </r>
  <r>
    <x v="1"/>
    <n v="18340890"/>
    <x v="0"/>
    <d v="2025-03-27T00:00:00"/>
    <x v="0"/>
    <x v="0"/>
    <x v="0"/>
    <m/>
    <n v="9999"/>
    <n v="333.3"/>
    <n v="0"/>
    <n v="0"/>
    <n v="0"/>
    <x v="0"/>
    <n v="20.758904109589039"/>
    <x v="3"/>
    <n v="1"/>
    <d v="2004-06-28T00:00:00"/>
  </r>
  <r>
    <x v="1"/>
    <n v="18340891"/>
    <x v="0"/>
    <d v="2025-03-27T00:00:00"/>
    <x v="0"/>
    <x v="0"/>
    <x v="0"/>
    <m/>
    <n v="9999"/>
    <n v="333.3"/>
    <n v="0"/>
    <n v="0"/>
    <n v="0"/>
    <x v="0"/>
    <n v="21.153424657534245"/>
    <x v="2"/>
    <n v="2"/>
    <d v="2004-02-05T00:00:00"/>
  </r>
  <r>
    <x v="1"/>
    <n v="18340892"/>
    <x v="0"/>
    <d v="2025-03-27T00:00:00"/>
    <x v="0"/>
    <x v="0"/>
    <x v="0"/>
    <m/>
    <n v="9999"/>
    <n v="333.3"/>
    <n v="0"/>
    <n v="0"/>
    <n v="0"/>
    <x v="0"/>
    <n v="20.87945205479452"/>
    <x v="3"/>
    <n v="1"/>
    <d v="2004-05-15T00:00:00"/>
  </r>
  <r>
    <x v="1"/>
    <n v="18340952"/>
    <x v="0"/>
    <d v="2025-03-28T00:00:00"/>
    <x v="0"/>
    <x v="0"/>
    <x v="0"/>
    <d v="2026-02-28T00:00:00"/>
    <n v="337"/>
    <n v="11.233333333333333"/>
    <n v="0"/>
    <n v="0"/>
    <n v="0"/>
    <x v="0"/>
    <n v="25.665753424657535"/>
    <x v="2"/>
    <n v="2"/>
    <d v="1999-08-04T00:00:00"/>
  </r>
  <r>
    <x v="0"/>
    <n v="18340965"/>
    <x v="0"/>
    <d v="2025-03-28T00:00:00"/>
    <x v="0"/>
    <x v="0"/>
    <x v="0"/>
    <d v="2026-03-31T00:00:00"/>
    <n v="368"/>
    <n v="12.266666666666667"/>
    <n v="0"/>
    <n v="0"/>
    <n v="0"/>
    <x v="1"/>
    <n v="21.671232876712327"/>
    <x v="2"/>
    <n v="2"/>
    <d v="2003-08-01T00:00:00"/>
  </r>
  <r>
    <x v="1"/>
    <n v="18340966"/>
    <x v="0"/>
    <d v="2025-03-28T00:00:00"/>
    <x v="0"/>
    <x v="0"/>
    <x v="0"/>
    <d v="2025-05-31T00:00:00"/>
    <n v="64"/>
    <n v="2.1333333333333333"/>
    <n v="0"/>
    <n v="1"/>
    <n v="1"/>
    <x v="1"/>
    <n v="22.257534246575343"/>
    <x v="2"/>
    <n v="2"/>
    <d v="2002-12-30T00:00:00"/>
  </r>
  <r>
    <x v="1"/>
    <n v="18340999"/>
    <x v="0"/>
    <d v="2025-03-28T00:00:00"/>
    <x v="0"/>
    <x v="0"/>
    <x v="0"/>
    <d v="2025-04-30T00:00:00"/>
    <n v="33"/>
    <n v="1.1000000000000001"/>
    <n v="0"/>
    <n v="1"/>
    <n v="1"/>
    <x v="1"/>
    <n v="18.572602739726026"/>
    <x v="3"/>
    <n v="1"/>
    <d v="2006-09-05T00:00:00"/>
  </r>
  <r>
    <x v="1"/>
    <n v="18341030"/>
    <x v="0"/>
    <d v="2025-03-31T00:00:00"/>
    <x v="0"/>
    <x v="0"/>
    <x v="0"/>
    <m/>
    <n v="9999"/>
    <n v="333.3"/>
    <n v="0"/>
    <n v="0"/>
    <n v="0"/>
    <x v="1"/>
    <n v="19.989041095890411"/>
    <x v="3"/>
    <n v="1"/>
    <d v="2005-04-09T00:00:00"/>
  </r>
  <r>
    <x v="1"/>
    <n v="18343214"/>
    <x v="0"/>
    <d v="2025-04-01T00:00:00"/>
    <x v="0"/>
    <x v="2"/>
    <x v="3"/>
    <m/>
    <n v="9999"/>
    <n v="333.3"/>
    <n v="0"/>
    <n v="0"/>
    <n v="0"/>
    <x v="0"/>
    <n v="22.775342465753425"/>
    <x v="2"/>
    <n v="2"/>
    <d v="2002-06-28T00:00:00"/>
  </r>
  <r>
    <x v="1"/>
    <n v="18343215"/>
    <x v="0"/>
    <d v="2025-04-01T00:00:00"/>
    <x v="0"/>
    <x v="2"/>
    <x v="3"/>
    <m/>
    <n v="9999"/>
    <n v="333.3"/>
    <n v="0"/>
    <n v="0"/>
    <n v="0"/>
    <x v="0"/>
    <n v="31.975342465753425"/>
    <x v="0"/>
    <n v="4"/>
    <d v="1993-04-18T00:00:00"/>
  </r>
  <r>
    <x v="1"/>
    <n v="18343427"/>
    <x v="1"/>
    <d v="2025-04-01T00:00:00"/>
    <x v="0"/>
    <x v="2"/>
    <x v="3"/>
    <d v="2025-05-14T00:00:00"/>
    <n v="43"/>
    <n v="1.4333333333333333"/>
    <n v="0"/>
    <n v="1"/>
    <n v="1"/>
    <x v="1"/>
    <n v="26.917808219178081"/>
    <x v="1"/>
    <n v="3"/>
    <d v="1998-05-08T00:00:00"/>
  </r>
  <r>
    <x v="1"/>
    <n v="18343480"/>
    <x v="0"/>
    <d v="2025-04-01T00:00:00"/>
    <x v="0"/>
    <x v="2"/>
    <x v="3"/>
    <d v="2025-10-03T00:00:00"/>
    <n v="185"/>
    <n v="6.166666666666667"/>
    <n v="0"/>
    <n v="0"/>
    <n v="0"/>
    <x v="0"/>
    <n v="23.273972602739725"/>
    <x v="2"/>
    <n v="2"/>
    <d v="2001-12-28T00:00:00"/>
  </r>
  <r>
    <x v="1"/>
    <n v="18343493"/>
    <x v="0"/>
    <d v="2025-04-01T00:00:00"/>
    <x v="0"/>
    <x v="2"/>
    <x v="3"/>
    <d v="2026-05-31T00:00:00"/>
    <n v="425"/>
    <n v="14.166666666666666"/>
    <n v="0"/>
    <n v="0"/>
    <n v="0"/>
    <x v="1"/>
    <n v="19.17808219178082"/>
    <x v="3"/>
    <n v="1"/>
    <d v="2006-01-31T00:00:00"/>
  </r>
  <r>
    <x v="1"/>
    <n v="18343517"/>
    <x v="0"/>
    <d v="2025-04-01T00:00:00"/>
    <x v="0"/>
    <x v="2"/>
    <x v="3"/>
    <m/>
    <n v="9999"/>
    <n v="333.3"/>
    <n v="0"/>
    <n v="0"/>
    <n v="0"/>
    <x v="0"/>
    <n v="26.090410958904108"/>
    <x v="1"/>
    <n v="3"/>
    <d v="1999-03-06T00:00:00"/>
  </r>
  <r>
    <x v="1"/>
    <n v="18343643"/>
    <x v="1"/>
    <d v="2025-04-01T00:00:00"/>
    <x v="0"/>
    <x v="2"/>
    <x v="3"/>
    <m/>
    <n v="9999"/>
    <n v="333.3"/>
    <n v="0"/>
    <n v="0"/>
    <n v="0"/>
    <x v="1"/>
    <n v="19.052054794520547"/>
    <x v="3"/>
    <n v="1"/>
    <d v="2006-03-18T00:00:00"/>
  </r>
  <r>
    <x v="1"/>
    <n v="18343659"/>
    <x v="0"/>
    <d v="2025-04-01T00:00:00"/>
    <x v="0"/>
    <x v="2"/>
    <x v="3"/>
    <d v="2025-11-01T00:00:00"/>
    <n v="214"/>
    <n v="7.1333333333333337"/>
    <n v="0"/>
    <n v="0"/>
    <n v="0"/>
    <x v="0"/>
    <n v="26.967123287671232"/>
    <x v="1"/>
    <n v="3"/>
    <d v="1998-04-20T00:00:00"/>
  </r>
  <r>
    <x v="1"/>
    <n v="18343793"/>
    <x v="1"/>
    <d v="2025-04-01T00:00:00"/>
    <x v="0"/>
    <x v="2"/>
    <x v="3"/>
    <d v="2025-11-30T00:00:00"/>
    <n v="243"/>
    <n v="8.1"/>
    <n v="0"/>
    <n v="0"/>
    <n v="0"/>
    <x v="0"/>
    <n v="18.057534246575344"/>
    <x v="3"/>
    <n v="1"/>
    <d v="2007-03-16T00:00:00"/>
  </r>
  <r>
    <x v="1"/>
    <n v="18343880"/>
    <x v="0"/>
    <d v="2025-04-01T00:00:00"/>
    <x v="0"/>
    <x v="2"/>
    <x v="3"/>
    <d v="2025-10-01T00:00:00"/>
    <n v="183"/>
    <n v="6.1"/>
    <n v="0"/>
    <n v="0"/>
    <n v="0"/>
    <x v="0"/>
    <n v="22.230136986301371"/>
    <x v="2"/>
    <n v="2"/>
    <d v="2003-01-13T00:00:00"/>
  </r>
  <r>
    <x v="1"/>
    <n v="18343893"/>
    <x v="1"/>
    <d v="2025-04-01T00:00:00"/>
    <x v="0"/>
    <x v="2"/>
    <x v="3"/>
    <m/>
    <n v="9999"/>
    <n v="333.3"/>
    <n v="0"/>
    <n v="0"/>
    <n v="0"/>
    <x v="0"/>
    <n v="25.375342465753423"/>
    <x v="2"/>
    <n v="2"/>
    <d v="1999-11-22T00:00:00"/>
  </r>
  <r>
    <x v="1"/>
    <n v="18343924"/>
    <x v="0"/>
    <d v="2025-04-01T00:00:00"/>
    <x v="0"/>
    <x v="2"/>
    <x v="3"/>
    <d v="2025-07-01T00:00:00"/>
    <n v="91"/>
    <n v="3.0333333333333332"/>
    <n v="0"/>
    <n v="0"/>
    <n v="1"/>
    <x v="0"/>
    <n v="21.758904109589039"/>
    <x v="2"/>
    <n v="2"/>
    <d v="2003-07-04T00:00:00"/>
  </r>
  <r>
    <x v="1"/>
    <n v="18344388"/>
    <x v="1"/>
    <d v="2025-04-01T00:00:00"/>
    <x v="0"/>
    <x v="2"/>
    <x v="3"/>
    <d v="2025-09-30T00:00:00"/>
    <n v="182"/>
    <n v="6.0666666666666664"/>
    <n v="0"/>
    <n v="0"/>
    <n v="0"/>
    <x v="0"/>
    <n v="21.534246575342465"/>
    <x v="2"/>
    <n v="2"/>
    <d v="2003-09-24T00:00:00"/>
  </r>
  <r>
    <x v="1"/>
    <n v="18347381"/>
    <x v="0"/>
    <d v="2025-04-02T00:00:00"/>
    <x v="0"/>
    <x v="2"/>
    <x v="3"/>
    <d v="2025-07-27T00:00:00"/>
    <n v="116"/>
    <n v="3.8666666666666667"/>
    <n v="0"/>
    <n v="0"/>
    <n v="1"/>
    <x v="1"/>
    <n v="20.912328767123288"/>
    <x v="3"/>
    <n v="1"/>
    <d v="2004-05-09T00:00:00"/>
  </r>
  <r>
    <x v="0"/>
    <n v="18347397"/>
    <x v="0"/>
    <d v="2025-04-02T00:00:00"/>
    <x v="0"/>
    <x v="2"/>
    <x v="3"/>
    <d v="2026-02-28T00:00:00"/>
    <n v="332"/>
    <n v="11.066666666666666"/>
    <n v="0"/>
    <n v="0"/>
    <n v="0"/>
    <x v="1"/>
    <n v="34.934246575342463"/>
    <x v="0"/>
    <n v="4"/>
    <d v="1990-05-05T00:00:00"/>
  </r>
  <r>
    <x v="1"/>
    <n v="18347408"/>
    <x v="1"/>
    <d v="2025-04-02T00:00:00"/>
    <x v="0"/>
    <x v="2"/>
    <x v="3"/>
    <d v="2025-10-01T00:00:00"/>
    <n v="182"/>
    <n v="6.0666666666666664"/>
    <n v="0"/>
    <n v="0"/>
    <n v="0"/>
    <x v="1"/>
    <n v="21.326027397260273"/>
    <x v="2"/>
    <n v="2"/>
    <d v="2003-12-10T00:00:00"/>
  </r>
  <r>
    <x v="1"/>
    <n v="18347409"/>
    <x v="0"/>
    <d v="2025-04-02T00:00:00"/>
    <x v="0"/>
    <x v="2"/>
    <x v="3"/>
    <d v="2025-12-31T00:00:00"/>
    <n v="273"/>
    <n v="9.1"/>
    <n v="0"/>
    <n v="0"/>
    <n v="0"/>
    <x v="1"/>
    <n v="19.183561643835617"/>
    <x v="3"/>
    <n v="1"/>
    <d v="2006-01-30T00:00:00"/>
  </r>
  <r>
    <x v="0"/>
    <n v="18347410"/>
    <x v="1"/>
    <d v="2025-04-02T00:00:00"/>
    <x v="0"/>
    <x v="2"/>
    <x v="3"/>
    <d v="2025-07-31T00:00:00"/>
    <n v="120"/>
    <n v="4"/>
    <n v="0"/>
    <n v="0"/>
    <n v="1"/>
    <x v="1"/>
    <n v="20.731506849315068"/>
    <x v="3"/>
    <n v="1"/>
    <d v="2004-07-14T00:00:00"/>
  </r>
  <r>
    <x v="1"/>
    <n v="18348707"/>
    <x v="0"/>
    <d v="2025-04-02T00:00:00"/>
    <x v="0"/>
    <x v="2"/>
    <x v="3"/>
    <d v="2026-02-03T00:00:00"/>
    <n v="307"/>
    <n v="10.233333333333333"/>
    <n v="0"/>
    <n v="0"/>
    <n v="0"/>
    <x v="0"/>
    <n v="19.295890410958904"/>
    <x v="3"/>
    <n v="1"/>
    <d v="2005-12-20T00:00:00"/>
  </r>
  <r>
    <x v="1"/>
    <n v="18356804"/>
    <x v="0"/>
    <d v="2025-04-03T00:00:00"/>
    <x v="0"/>
    <x v="2"/>
    <x v="3"/>
    <m/>
    <n v="9999"/>
    <n v="333.3"/>
    <n v="0"/>
    <n v="0"/>
    <n v="0"/>
    <x v="1"/>
    <n v="19.12876712328767"/>
    <x v="3"/>
    <n v="1"/>
    <d v="2006-02-20T00:00:00"/>
  </r>
  <r>
    <x v="1"/>
    <n v="18356856"/>
    <x v="1"/>
    <d v="2025-04-03T00:00:00"/>
    <x v="0"/>
    <x v="2"/>
    <x v="3"/>
    <d v="2025-06-02T00:00:00"/>
    <n v="60"/>
    <n v="2"/>
    <n v="0"/>
    <n v="1"/>
    <n v="1"/>
    <x v="1"/>
    <n v="21.756164383561643"/>
    <x v="2"/>
    <n v="2"/>
    <d v="2003-07-07T00:00:00"/>
  </r>
  <r>
    <x v="1"/>
    <n v="18356901"/>
    <x v="0"/>
    <d v="2025-04-03T00:00:00"/>
    <x v="0"/>
    <x v="2"/>
    <x v="3"/>
    <d v="2025-07-06T00:00:00"/>
    <n v="94"/>
    <n v="3.1333333333333333"/>
    <n v="0"/>
    <n v="0"/>
    <n v="1"/>
    <x v="1"/>
    <n v="18.797260273972604"/>
    <x v="3"/>
    <n v="1"/>
    <d v="2006-06-21T00:00:00"/>
  </r>
  <r>
    <x v="1"/>
    <n v="18356955"/>
    <x v="1"/>
    <d v="2025-04-03T00:00:00"/>
    <x v="0"/>
    <x v="2"/>
    <x v="3"/>
    <d v="2025-07-31T00:00:00"/>
    <n v="119"/>
    <n v="3.9666666666666668"/>
    <n v="0"/>
    <n v="0"/>
    <n v="1"/>
    <x v="1"/>
    <n v="19.898630136986302"/>
    <x v="3"/>
    <n v="1"/>
    <d v="2005-05-15T00:00:00"/>
  </r>
  <r>
    <x v="1"/>
    <n v="18357095"/>
    <x v="0"/>
    <d v="2025-04-03T00:00:00"/>
    <x v="0"/>
    <x v="2"/>
    <x v="3"/>
    <m/>
    <n v="9999"/>
    <n v="333.3"/>
    <n v="0"/>
    <n v="0"/>
    <n v="0"/>
    <x v="1"/>
    <n v="19.802739726027397"/>
    <x v="3"/>
    <n v="1"/>
    <d v="2005-06-19T00:00:00"/>
  </r>
  <r>
    <x v="1"/>
    <n v="18357130"/>
    <x v="0"/>
    <d v="2025-04-03T00:00:00"/>
    <x v="0"/>
    <x v="2"/>
    <x v="3"/>
    <d v="2025-07-01T00:00:00"/>
    <n v="89"/>
    <n v="2.9666666666666668"/>
    <n v="0"/>
    <n v="1"/>
    <n v="1"/>
    <x v="1"/>
    <n v="22.260273972602739"/>
    <x v="2"/>
    <n v="2"/>
    <d v="2003-01-04T00:00:00"/>
  </r>
  <r>
    <x v="1"/>
    <n v="18357131"/>
    <x v="0"/>
    <d v="2025-04-03T00:00:00"/>
    <x v="0"/>
    <x v="2"/>
    <x v="3"/>
    <d v="2025-06-01T00:00:00"/>
    <n v="59"/>
    <n v="1.9666666666666666"/>
    <n v="0"/>
    <n v="1"/>
    <n v="1"/>
    <x v="1"/>
    <n v="29.526027397260275"/>
    <x v="1"/>
    <n v="3"/>
    <d v="1995-10-01T00:00:00"/>
  </r>
  <r>
    <x v="1"/>
    <n v="18357132"/>
    <x v="1"/>
    <d v="2025-04-03T00:00:00"/>
    <x v="0"/>
    <x v="2"/>
    <x v="3"/>
    <d v="2025-12-21T00:00:00"/>
    <n v="262"/>
    <n v="8.7333333333333325"/>
    <n v="0"/>
    <n v="0"/>
    <n v="0"/>
    <x v="1"/>
    <n v="20.895890410958906"/>
    <x v="3"/>
    <n v="1"/>
    <d v="2004-05-16T00:00:00"/>
  </r>
  <r>
    <x v="1"/>
    <n v="18357168"/>
    <x v="0"/>
    <d v="2025-04-03T00:00:00"/>
    <x v="0"/>
    <x v="2"/>
    <x v="3"/>
    <d v="2026-01-01T00:00:00"/>
    <n v="273"/>
    <n v="9.1"/>
    <n v="0"/>
    <n v="0"/>
    <n v="0"/>
    <x v="0"/>
    <n v="24.134246575342466"/>
    <x v="2"/>
    <n v="2"/>
    <d v="2001-02-19T00:00:00"/>
  </r>
  <r>
    <x v="1"/>
    <n v="18357169"/>
    <x v="0"/>
    <d v="2025-04-03T00:00:00"/>
    <x v="0"/>
    <x v="2"/>
    <x v="3"/>
    <d v="2026-05-10T00:00:00"/>
    <n v="402"/>
    <n v="13.4"/>
    <n v="0"/>
    <n v="0"/>
    <n v="0"/>
    <x v="1"/>
    <n v="21.961643835616439"/>
    <x v="2"/>
    <n v="2"/>
    <d v="2003-04-23T00:00:00"/>
  </r>
  <r>
    <x v="0"/>
    <n v="18357221"/>
    <x v="0"/>
    <d v="2025-11-01T00:00:00"/>
    <x v="0"/>
    <x v="4"/>
    <x v="6"/>
    <d v="2026-05-31T00:00:00"/>
    <n v="211"/>
    <n v="7.0333333333333332"/>
    <n v="0"/>
    <n v="0"/>
    <n v="0"/>
    <x v="1"/>
    <n v="24.18082191780822"/>
    <x v="2"/>
    <n v="2"/>
    <d v="2001-09-02T00:00:00"/>
  </r>
  <r>
    <x v="1"/>
    <n v="18357221"/>
    <x v="0"/>
    <d v="2025-04-03T00:00:00"/>
    <x v="0"/>
    <x v="2"/>
    <x v="3"/>
    <d v="2025-10-31T00:00:00"/>
    <n v="211"/>
    <n v="7.0333333333333332"/>
    <n v="0"/>
    <n v="0"/>
    <n v="0"/>
    <x v="1"/>
    <n v="23.6"/>
    <x v="2"/>
    <n v="2"/>
    <d v="2001-09-02T00:00:00"/>
  </r>
  <r>
    <x v="1"/>
    <n v="18357222"/>
    <x v="1"/>
    <d v="2025-04-03T00:00:00"/>
    <x v="0"/>
    <x v="2"/>
    <x v="3"/>
    <d v="2025-06-30T00:00:00"/>
    <n v="88"/>
    <n v="2.9333333333333331"/>
    <n v="0"/>
    <n v="1"/>
    <n v="1"/>
    <x v="1"/>
    <n v="18.591780821917808"/>
    <x v="3"/>
    <n v="1"/>
    <d v="2006-09-04T00:00:00"/>
  </r>
  <r>
    <x v="1"/>
    <n v="18357251"/>
    <x v="0"/>
    <d v="2025-04-03T00:00:00"/>
    <x v="0"/>
    <x v="2"/>
    <x v="3"/>
    <d v="2025-06-11T00:00:00"/>
    <n v="69"/>
    <n v="2.2999999999999998"/>
    <n v="0"/>
    <n v="1"/>
    <n v="1"/>
    <x v="1"/>
    <n v="31.884931506849316"/>
    <x v="0"/>
    <n v="4"/>
    <d v="1993-05-23T00:00:00"/>
  </r>
  <r>
    <x v="1"/>
    <n v="18357252"/>
    <x v="0"/>
    <d v="2025-04-03T00:00:00"/>
    <x v="0"/>
    <x v="2"/>
    <x v="3"/>
    <d v="2026-03-22T00:00:00"/>
    <n v="353"/>
    <n v="11.766666666666667"/>
    <n v="0"/>
    <n v="0"/>
    <n v="0"/>
    <x v="1"/>
    <n v="19.153424657534245"/>
    <x v="3"/>
    <n v="1"/>
    <d v="2006-02-11T00:00:00"/>
  </r>
  <r>
    <x v="1"/>
    <n v="18357253"/>
    <x v="0"/>
    <d v="2025-04-03T00:00:00"/>
    <x v="0"/>
    <x v="2"/>
    <x v="3"/>
    <m/>
    <n v="9999"/>
    <n v="333.3"/>
    <n v="0"/>
    <n v="0"/>
    <n v="0"/>
    <x v="1"/>
    <n v="19.186301369863013"/>
    <x v="3"/>
    <n v="1"/>
    <d v="2006-01-30T00:00:00"/>
  </r>
  <r>
    <x v="1"/>
    <n v="18357254"/>
    <x v="0"/>
    <d v="2025-04-03T00:00:00"/>
    <x v="0"/>
    <x v="2"/>
    <x v="3"/>
    <d v="2025-07-15T00:00:00"/>
    <n v="103"/>
    <n v="3.4333333333333331"/>
    <n v="0"/>
    <n v="0"/>
    <n v="1"/>
    <x v="1"/>
    <n v="46.742465753424661"/>
    <x v="0"/>
    <n v="4"/>
    <d v="1978-07-18T00:00:00"/>
  </r>
  <r>
    <x v="1"/>
    <n v="18357255"/>
    <x v="0"/>
    <d v="2025-04-03T00:00:00"/>
    <x v="0"/>
    <x v="2"/>
    <x v="3"/>
    <m/>
    <n v="9999"/>
    <n v="333.3"/>
    <n v="0"/>
    <n v="0"/>
    <n v="0"/>
    <x v="1"/>
    <n v="20.446575342465753"/>
    <x v="3"/>
    <n v="1"/>
    <d v="2004-10-27T00:00:00"/>
  </r>
  <r>
    <x v="1"/>
    <n v="18357256"/>
    <x v="0"/>
    <d v="2025-04-03T00:00:00"/>
    <x v="0"/>
    <x v="2"/>
    <x v="3"/>
    <d v="2025-10-25T00:00:00"/>
    <n v="205"/>
    <n v="6.833333333333333"/>
    <n v="0"/>
    <n v="0"/>
    <n v="0"/>
    <x v="1"/>
    <n v="19.252054794520546"/>
    <x v="3"/>
    <n v="1"/>
    <d v="2006-01-06T00:00:00"/>
  </r>
  <r>
    <x v="1"/>
    <n v="18357258"/>
    <x v="0"/>
    <d v="2025-04-03T00:00:00"/>
    <x v="0"/>
    <x v="2"/>
    <x v="3"/>
    <d v="2025-04-16T00:00:00"/>
    <n v="13"/>
    <n v="0.43333333333333335"/>
    <n v="1"/>
    <n v="1"/>
    <n v="1"/>
    <x v="1"/>
    <n v="30.32054794520548"/>
    <x v="1"/>
    <n v="3"/>
    <d v="1994-12-15T00:00:00"/>
  </r>
  <r>
    <x v="1"/>
    <n v="18357332"/>
    <x v="0"/>
    <d v="2025-04-03T00:00:00"/>
    <x v="0"/>
    <x v="2"/>
    <x v="3"/>
    <m/>
    <n v="9999"/>
    <n v="333.3"/>
    <n v="0"/>
    <n v="0"/>
    <n v="0"/>
    <x v="1"/>
    <n v="51.734246575342468"/>
    <x v="0"/>
    <n v="4"/>
    <d v="1973-07-22T00:00:00"/>
  </r>
  <r>
    <x v="1"/>
    <n v="18357333"/>
    <x v="1"/>
    <d v="2025-04-03T00:00:00"/>
    <x v="0"/>
    <x v="2"/>
    <x v="3"/>
    <m/>
    <n v="9999"/>
    <n v="333.3"/>
    <n v="0"/>
    <n v="0"/>
    <n v="0"/>
    <x v="1"/>
    <n v="18.345205479452055"/>
    <x v="3"/>
    <n v="1"/>
    <d v="2006-12-03T00:00:00"/>
  </r>
  <r>
    <x v="1"/>
    <n v="18357334"/>
    <x v="0"/>
    <d v="2025-04-03T00:00:00"/>
    <x v="0"/>
    <x v="2"/>
    <x v="3"/>
    <m/>
    <n v="9999"/>
    <n v="333.3"/>
    <n v="0"/>
    <n v="0"/>
    <n v="0"/>
    <x v="1"/>
    <n v="20.306849315068494"/>
    <x v="3"/>
    <n v="1"/>
    <d v="2004-12-17T00:00:00"/>
  </r>
  <r>
    <x v="1"/>
    <n v="18357335"/>
    <x v="0"/>
    <d v="2025-04-03T00:00:00"/>
    <x v="0"/>
    <x v="2"/>
    <x v="3"/>
    <d v="2025-05-06T00:00:00"/>
    <n v="33"/>
    <n v="1.1000000000000001"/>
    <n v="0"/>
    <n v="1"/>
    <n v="1"/>
    <x v="1"/>
    <n v="20.783561643835615"/>
    <x v="3"/>
    <n v="1"/>
    <d v="2004-06-26T00:00:00"/>
  </r>
  <r>
    <x v="1"/>
    <n v="18357398"/>
    <x v="0"/>
    <d v="2025-04-03T00:00:00"/>
    <x v="0"/>
    <x v="2"/>
    <x v="3"/>
    <d v="2026-03-15T00:00:00"/>
    <n v="346"/>
    <n v="11.533333333333333"/>
    <n v="0"/>
    <n v="0"/>
    <n v="0"/>
    <x v="1"/>
    <n v="19.375342465753423"/>
    <x v="3"/>
    <n v="1"/>
    <d v="2005-11-22T00:00:00"/>
  </r>
  <r>
    <x v="1"/>
    <n v="18357507"/>
    <x v="0"/>
    <d v="2025-04-03T00:00:00"/>
    <x v="0"/>
    <x v="2"/>
    <x v="3"/>
    <d v="2025-07-15T00:00:00"/>
    <n v="103"/>
    <n v="3.4333333333333331"/>
    <n v="0"/>
    <n v="0"/>
    <n v="1"/>
    <x v="1"/>
    <n v="27.882191780821916"/>
    <x v="1"/>
    <n v="3"/>
    <d v="1997-05-23T00:00:00"/>
  </r>
  <r>
    <x v="1"/>
    <n v="18357561"/>
    <x v="1"/>
    <d v="2025-04-03T00:00:00"/>
    <x v="0"/>
    <x v="2"/>
    <x v="3"/>
    <d v="2025-06-03T00:00:00"/>
    <n v="61"/>
    <n v="2.0333333333333332"/>
    <n v="0"/>
    <n v="1"/>
    <n v="1"/>
    <x v="1"/>
    <n v="18.816438356164383"/>
    <x v="3"/>
    <n v="1"/>
    <d v="2006-06-14T00:00:00"/>
  </r>
  <r>
    <x v="1"/>
    <n v="18357680"/>
    <x v="0"/>
    <d v="2025-04-03T00:00:00"/>
    <x v="0"/>
    <x v="2"/>
    <x v="3"/>
    <d v="2025-08-10T00:00:00"/>
    <n v="129"/>
    <n v="4.3"/>
    <n v="0"/>
    <n v="0"/>
    <n v="1"/>
    <x v="1"/>
    <n v="23.8"/>
    <x v="2"/>
    <n v="2"/>
    <d v="2001-06-21T00:00:00"/>
  </r>
  <r>
    <x v="1"/>
    <n v="18357903"/>
    <x v="0"/>
    <d v="2025-04-03T00:00:00"/>
    <x v="0"/>
    <x v="2"/>
    <x v="3"/>
    <d v="2025-06-01T00:00:00"/>
    <n v="59"/>
    <n v="1.9666666666666666"/>
    <n v="0"/>
    <n v="1"/>
    <n v="1"/>
    <x v="1"/>
    <n v="41.42739726027397"/>
    <x v="0"/>
    <n v="4"/>
    <d v="1983-11-09T00:00:00"/>
  </r>
  <r>
    <x v="1"/>
    <n v="18357904"/>
    <x v="0"/>
    <d v="2025-04-03T00:00:00"/>
    <x v="0"/>
    <x v="2"/>
    <x v="3"/>
    <d v="2025-08-10T00:00:00"/>
    <n v="129"/>
    <n v="4.3"/>
    <n v="0"/>
    <n v="0"/>
    <n v="1"/>
    <x v="1"/>
    <n v="31.416438356164385"/>
    <x v="0"/>
    <n v="4"/>
    <d v="1993-11-10T00:00:00"/>
  </r>
  <r>
    <x v="1"/>
    <n v="18358071"/>
    <x v="0"/>
    <d v="2025-04-03T00:00:00"/>
    <x v="0"/>
    <x v="2"/>
    <x v="3"/>
    <d v="2026-01-31T00:00:00"/>
    <n v="303"/>
    <n v="10.1"/>
    <n v="0"/>
    <n v="0"/>
    <n v="0"/>
    <x v="1"/>
    <n v="20.917808219178081"/>
    <x v="3"/>
    <n v="1"/>
    <d v="2004-05-08T00:00:00"/>
  </r>
  <r>
    <x v="1"/>
    <n v="18358208"/>
    <x v="0"/>
    <d v="2025-04-03T00:00:00"/>
    <x v="0"/>
    <x v="2"/>
    <x v="3"/>
    <d v="2025-07-01T00:00:00"/>
    <n v="89"/>
    <n v="2.9666666666666668"/>
    <n v="0"/>
    <n v="1"/>
    <n v="1"/>
    <x v="1"/>
    <n v="20.312328767123287"/>
    <x v="3"/>
    <n v="1"/>
    <d v="2004-12-15T00:00:00"/>
  </r>
  <r>
    <x v="1"/>
    <n v="18359813"/>
    <x v="0"/>
    <d v="2025-04-03T00:00:00"/>
    <x v="0"/>
    <x v="2"/>
    <x v="3"/>
    <d v="2025-09-10T00:00:00"/>
    <n v="160"/>
    <n v="5.333333333333333"/>
    <n v="0"/>
    <n v="0"/>
    <n v="1"/>
    <x v="1"/>
    <n v="19.356164383561644"/>
    <x v="3"/>
    <n v="1"/>
    <d v="2005-11-29T00:00:00"/>
  </r>
  <r>
    <x v="1"/>
    <n v="18370283"/>
    <x v="0"/>
    <d v="2025-04-04T00:00:00"/>
    <x v="0"/>
    <x v="2"/>
    <x v="3"/>
    <d v="2025-04-30T00:00:00"/>
    <n v="26"/>
    <n v="0.8666666666666667"/>
    <n v="1"/>
    <n v="1"/>
    <n v="1"/>
    <x v="1"/>
    <n v="21.43013698630137"/>
    <x v="2"/>
    <n v="2"/>
    <d v="2003-11-04T00:00:00"/>
  </r>
  <r>
    <x v="1"/>
    <n v="18371477"/>
    <x v="0"/>
    <d v="2025-04-04T00:00:00"/>
    <x v="0"/>
    <x v="2"/>
    <x v="3"/>
    <m/>
    <n v="9999"/>
    <n v="333.3"/>
    <n v="0"/>
    <n v="0"/>
    <n v="0"/>
    <x v="0"/>
    <n v="23.589041095890412"/>
    <x v="2"/>
    <n v="2"/>
    <d v="2001-09-07T00:00:00"/>
  </r>
  <r>
    <x v="1"/>
    <n v="18371776"/>
    <x v="0"/>
    <d v="2025-04-04T00:00:00"/>
    <x v="0"/>
    <x v="2"/>
    <x v="3"/>
    <d v="2026-04-30T00:00:00"/>
    <n v="391"/>
    <n v="13.033333333333333"/>
    <n v="0"/>
    <n v="0"/>
    <n v="0"/>
    <x v="1"/>
    <n v="40.263013698630139"/>
    <x v="0"/>
    <n v="4"/>
    <d v="1985-01-08T00:00:00"/>
  </r>
  <r>
    <x v="1"/>
    <n v="18383017"/>
    <x v="0"/>
    <d v="2025-04-05T00:00:00"/>
    <x v="0"/>
    <x v="2"/>
    <x v="3"/>
    <d v="2026-01-11T00:00:00"/>
    <n v="281"/>
    <n v="9.3666666666666671"/>
    <n v="0"/>
    <n v="0"/>
    <n v="0"/>
    <x v="1"/>
    <n v="32.109589041095887"/>
    <x v="0"/>
    <n v="4"/>
    <d v="1993-03-04T00:00:00"/>
  </r>
  <r>
    <x v="1"/>
    <n v="18408035"/>
    <x v="1"/>
    <d v="2025-04-07T00:00:00"/>
    <x v="0"/>
    <x v="2"/>
    <x v="3"/>
    <d v="2025-09-01T00:00:00"/>
    <n v="147"/>
    <n v="4.9000000000000004"/>
    <n v="0"/>
    <n v="0"/>
    <n v="1"/>
    <x v="1"/>
    <n v="18.210958904109589"/>
    <x v="3"/>
    <n v="1"/>
    <d v="2007-01-25T00:00:00"/>
  </r>
  <r>
    <x v="1"/>
    <n v="18408804"/>
    <x v="0"/>
    <d v="2025-04-07T00:00:00"/>
    <x v="0"/>
    <x v="2"/>
    <x v="3"/>
    <m/>
    <n v="9999"/>
    <n v="333.3"/>
    <n v="0"/>
    <n v="0"/>
    <n v="0"/>
    <x v="1"/>
    <n v="31.019178082191782"/>
    <x v="0"/>
    <n v="4"/>
    <d v="1994-04-08T00:00:00"/>
  </r>
  <r>
    <x v="1"/>
    <n v="18408897"/>
    <x v="0"/>
    <d v="2025-04-07T00:00:00"/>
    <x v="0"/>
    <x v="2"/>
    <x v="3"/>
    <d v="2025-06-03T00:00:00"/>
    <n v="57"/>
    <n v="1.9"/>
    <n v="0"/>
    <n v="1"/>
    <n v="1"/>
    <x v="0"/>
    <n v="20.063013698630137"/>
    <x v="3"/>
    <n v="1"/>
    <d v="2005-03-20T00:00:00"/>
  </r>
  <r>
    <x v="1"/>
    <n v="18415319"/>
    <x v="0"/>
    <d v="2025-04-08T00:00:00"/>
    <x v="0"/>
    <x v="2"/>
    <x v="3"/>
    <d v="2025-07-01T00:00:00"/>
    <n v="84"/>
    <n v="2.8"/>
    <n v="0"/>
    <n v="1"/>
    <n v="1"/>
    <x v="1"/>
    <n v="27.895890410958906"/>
    <x v="1"/>
    <n v="3"/>
    <d v="1997-05-23T00:00:00"/>
  </r>
  <r>
    <x v="1"/>
    <n v="18415342"/>
    <x v="0"/>
    <d v="2025-04-08T00:00:00"/>
    <x v="0"/>
    <x v="2"/>
    <x v="3"/>
    <d v="2025-08-01T00:00:00"/>
    <n v="115"/>
    <n v="3.8333333333333335"/>
    <n v="0"/>
    <n v="0"/>
    <n v="1"/>
    <x v="1"/>
    <n v="19.490410958904111"/>
    <x v="3"/>
    <n v="1"/>
    <d v="2005-10-16T00:00:00"/>
  </r>
  <r>
    <x v="1"/>
    <n v="18415369"/>
    <x v="0"/>
    <d v="2025-04-08T00:00:00"/>
    <x v="0"/>
    <x v="2"/>
    <x v="3"/>
    <d v="2026-03-01T00:00:00"/>
    <n v="327"/>
    <n v="10.9"/>
    <n v="0"/>
    <n v="0"/>
    <n v="0"/>
    <x v="0"/>
    <n v="18.695890410958903"/>
    <x v="3"/>
    <n v="1"/>
    <d v="2006-08-02T00:00:00"/>
  </r>
  <r>
    <x v="1"/>
    <n v="18415370"/>
    <x v="0"/>
    <d v="2025-04-08T00:00:00"/>
    <x v="0"/>
    <x v="2"/>
    <x v="3"/>
    <d v="2025-05-13T00:00:00"/>
    <n v="35"/>
    <n v="1.1666666666666667"/>
    <n v="0"/>
    <n v="1"/>
    <n v="1"/>
    <x v="1"/>
    <n v="23.608219178082191"/>
    <x v="2"/>
    <n v="2"/>
    <d v="2001-09-04T00:00:00"/>
  </r>
  <r>
    <x v="1"/>
    <n v="18415395"/>
    <x v="0"/>
    <d v="2025-04-08T00:00:00"/>
    <x v="0"/>
    <x v="2"/>
    <x v="3"/>
    <d v="2026-02-01T00:00:00"/>
    <n v="299"/>
    <n v="9.9666666666666668"/>
    <n v="0"/>
    <n v="0"/>
    <n v="0"/>
    <x v="0"/>
    <n v="27.506849315068493"/>
    <x v="1"/>
    <n v="3"/>
    <d v="1997-10-12T00:00:00"/>
  </r>
  <r>
    <x v="0"/>
    <n v="18415461"/>
    <x v="0"/>
    <d v="2025-04-08T00:00:00"/>
    <x v="0"/>
    <x v="2"/>
    <x v="3"/>
    <d v="2026-02-28T00:00:00"/>
    <n v="326"/>
    <n v="10.866666666666667"/>
    <n v="0"/>
    <n v="0"/>
    <n v="0"/>
    <x v="1"/>
    <n v="19.383561643835616"/>
    <x v="3"/>
    <n v="1"/>
    <d v="2005-11-24T00:00:00"/>
  </r>
  <r>
    <x v="1"/>
    <n v="18415680"/>
    <x v="0"/>
    <d v="2025-04-08T00:00:00"/>
    <x v="0"/>
    <x v="2"/>
    <x v="3"/>
    <d v="2026-01-31T00:00:00"/>
    <n v="298"/>
    <n v="9.9333333333333336"/>
    <n v="0"/>
    <n v="0"/>
    <n v="0"/>
    <x v="1"/>
    <n v="21.531506849315068"/>
    <x v="2"/>
    <n v="2"/>
    <d v="2003-10-02T00:00:00"/>
  </r>
  <r>
    <x v="1"/>
    <n v="18415879"/>
    <x v="0"/>
    <d v="2025-04-08T00:00:00"/>
    <x v="0"/>
    <x v="2"/>
    <x v="3"/>
    <m/>
    <n v="9999"/>
    <n v="333.3"/>
    <n v="0"/>
    <n v="0"/>
    <n v="0"/>
    <x v="1"/>
    <n v="19.032876712328768"/>
    <x v="3"/>
    <n v="1"/>
    <d v="2006-04-01T00:00:00"/>
  </r>
  <r>
    <x v="1"/>
    <n v="18416004"/>
    <x v="0"/>
    <d v="2025-04-08T00:00:00"/>
    <x v="0"/>
    <x v="2"/>
    <x v="3"/>
    <m/>
    <n v="9999"/>
    <n v="333.3"/>
    <n v="0"/>
    <n v="0"/>
    <n v="0"/>
    <x v="1"/>
    <n v="19.906849315068492"/>
    <x v="3"/>
    <n v="1"/>
    <d v="2005-05-17T00:00:00"/>
  </r>
  <r>
    <x v="1"/>
    <n v="18416039"/>
    <x v="0"/>
    <d v="2025-04-08T00:00:00"/>
    <x v="0"/>
    <x v="2"/>
    <x v="3"/>
    <d v="2026-03-01T00:00:00"/>
    <n v="327"/>
    <n v="10.9"/>
    <n v="0"/>
    <n v="0"/>
    <n v="0"/>
    <x v="1"/>
    <n v="25.67945205479452"/>
    <x v="2"/>
    <n v="2"/>
    <d v="1999-08-10T00:00:00"/>
  </r>
  <r>
    <x v="1"/>
    <n v="18425442"/>
    <x v="0"/>
    <d v="2025-04-09T00:00:00"/>
    <x v="0"/>
    <x v="2"/>
    <x v="3"/>
    <d v="2025-06-01T00:00:00"/>
    <n v="53"/>
    <n v="1.7666666666666666"/>
    <n v="0"/>
    <n v="1"/>
    <n v="1"/>
    <x v="1"/>
    <n v="21.027397260273972"/>
    <x v="2"/>
    <n v="2"/>
    <d v="2004-04-04T00:00:00"/>
  </r>
  <r>
    <x v="1"/>
    <n v="18425443"/>
    <x v="0"/>
    <d v="2025-04-09T00:00:00"/>
    <x v="0"/>
    <x v="2"/>
    <x v="3"/>
    <m/>
    <n v="9999"/>
    <n v="333.3"/>
    <n v="0"/>
    <n v="0"/>
    <n v="0"/>
    <x v="1"/>
    <n v="33.871232876712327"/>
    <x v="0"/>
    <n v="4"/>
    <d v="1991-06-04T00:00:00"/>
  </r>
  <r>
    <x v="1"/>
    <n v="18426489"/>
    <x v="1"/>
    <d v="2025-04-09T00:00:00"/>
    <x v="0"/>
    <x v="2"/>
    <x v="3"/>
    <d v="2025-06-30T00:00:00"/>
    <n v="82"/>
    <n v="2.7333333333333334"/>
    <n v="0"/>
    <n v="1"/>
    <n v="1"/>
    <x v="0"/>
    <n v="20.336986301369862"/>
    <x v="3"/>
    <n v="1"/>
    <d v="2004-12-12T00:00:00"/>
  </r>
  <r>
    <x v="1"/>
    <n v="18426528"/>
    <x v="1"/>
    <d v="2025-04-09T00:00:00"/>
    <x v="0"/>
    <x v="2"/>
    <x v="3"/>
    <d v="2026-01-31T00:00:00"/>
    <n v="297"/>
    <n v="9.9"/>
    <n v="0"/>
    <n v="0"/>
    <n v="0"/>
    <x v="0"/>
    <n v="24.424657534246574"/>
    <x v="2"/>
    <n v="2"/>
    <d v="2000-11-11T00:00:00"/>
  </r>
  <r>
    <x v="1"/>
    <n v="18437811"/>
    <x v="0"/>
    <d v="2025-04-10T00:00:00"/>
    <x v="0"/>
    <x v="2"/>
    <x v="3"/>
    <m/>
    <n v="9999"/>
    <n v="333.3"/>
    <n v="0"/>
    <n v="0"/>
    <n v="0"/>
    <x v="1"/>
    <n v="24.517808219178082"/>
    <x v="2"/>
    <n v="2"/>
    <d v="2000-10-09T00:00:00"/>
  </r>
  <r>
    <x v="1"/>
    <n v="18437815"/>
    <x v="0"/>
    <d v="2025-04-10T00:00:00"/>
    <x v="0"/>
    <x v="2"/>
    <x v="3"/>
    <d v="2026-02-01T00:00:00"/>
    <n v="297"/>
    <n v="9.9"/>
    <n v="0"/>
    <n v="0"/>
    <n v="0"/>
    <x v="1"/>
    <n v="18.945205479452056"/>
    <x v="3"/>
    <n v="1"/>
    <d v="2006-05-05T00:00:00"/>
  </r>
  <r>
    <x v="1"/>
    <n v="18437855"/>
    <x v="0"/>
    <d v="2025-04-10T00:00:00"/>
    <x v="0"/>
    <x v="2"/>
    <x v="3"/>
    <d v="2026-01-05T00:00:00"/>
    <n v="270"/>
    <n v="9"/>
    <n v="0"/>
    <n v="0"/>
    <n v="0"/>
    <x v="1"/>
    <n v="28.219178082191782"/>
    <x v="1"/>
    <n v="3"/>
    <d v="1997-01-27T00:00:00"/>
  </r>
  <r>
    <x v="1"/>
    <n v="18437856"/>
    <x v="1"/>
    <d v="2025-04-10T00:00:00"/>
    <x v="0"/>
    <x v="2"/>
    <x v="3"/>
    <d v="2025-12-31T00:00:00"/>
    <n v="265"/>
    <n v="8.8333333333333339"/>
    <n v="0"/>
    <n v="0"/>
    <n v="0"/>
    <x v="1"/>
    <n v="19.339726027397262"/>
    <x v="3"/>
    <n v="1"/>
    <d v="2005-12-12T00:00:00"/>
  </r>
  <r>
    <x v="1"/>
    <n v="18437941"/>
    <x v="0"/>
    <d v="2025-04-10T00:00:00"/>
    <x v="0"/>
    <x v="2"/>
    <x v="3"/>
    <d v="2026-01-04T00:00:00"/>
    <n v="269"/>
    <n v="8.9666666666666668"/>
    <n v="0"/>
    <n v="0"/>
    <n v="0"/>
    <x v="0"/>
    <n v="21.416438356164385"/>
    <x v="2"/>
    <n v="2"/>
    <d v="2003-11-15T00:00:00"/>
  </r>
  <r>
    <x v="1"/>
    <n v="18437984"/>
    <x v="1"/>
    <d v="2025-04-10T00:00:00"/>
    <x v="0"/>
    <x v="2"/>
    <x v="3"/>
    <d v="2026-02-11T00:00:00"/>
    <n v="307"/>
    <n v="10.233333333333333"/>
    <n v="0"/>
    <n v="0"/>
    <n v="0"/>
    <x v="1"/>
    <n v="25.624657534246577"/>
    <x v="2"/>
    <n v="2"/>
    <d v="1999-09-01T00:00:00"/>
  </r>
  <r>
    <x v="1"/>
    <n v="18438013"/>
    <x v="0"/>
    <d v="2025-04-10T00:00:00"/>
    <x v="0"/>
    <x v="2"/>
    <x v="3"/>
    <d v="2025-07-16T00:00:00"/>
    <n v="97"/>
    <n v="3.2333333333333334"/>
    <n v="0"/>
    <n v="0"/>
    <n v="1"/>
    <x v="1"/>
    <n v="28.112328767123287"/>
    <x v="1"/>
    <n v="3"/>
    <d v="1997-03-07T00:00:00"/>
  </r>
  <r>
    <x v="1"/>
    <n v="18438056"/>
    <x v="1"/>
    <d v="2025-04-10T00:00:00"/>
    <x v="0"/>
    <x v="2"/>
    <x v="3"/>
    <d v="2025-10-10T00:00:00"/>
    <n v="183"/>
    <n v="6.1"/>
    <n v="0"/>
    <n v="0"/>
    <n v="0"/>
    <x v="1"/>
    <n v="19.273972602739725"/>
    <x v="3"/>
    <n v="1"/>
    <d v="2006-01-05T00:00:00"/>
  </r>
  <r>
    <x v="1"/>
    <n v="18438355"/>
    <x v="0"/>
    <d v="2025-04-10T00:00:00"/>
    <x v="0"/>
    <x v="2"/>
    <x v="3"/>
    <d v="2026-03-31T00:00:00"/>
    <n v="355"/>
    <n v="11.833333333333334"/>
    <n v="0"/>
    <n v="0"/>
    <n v="0"/>
    <x v="1"/>
    <n v="19.457534246575342"/>
    <x v="3"/>
    <n v="1"/>
    <d v="2005-10-30T00:00:00"/>
  </r>
  <r>
    <x v="1"/>
    <n v="18438371"/>
    <x v="1"/>
    <d v="2025-04-10T00:00:00"/>
    <x v="0"/>
    <x v="2"/>
    <x v="3"/>
    <d v="2026-01-01T00:00:00"/>
    <n v="266"/>
    <n v="8.8666666666666671"/>
    <n v="0"/>
    <n v="0"/>
    <n v="0"/>
    <x v="1"/>
    <n v="20.397260273972602"/>
    <x v="3"/>
    <n v="1"/>
    <d v="2004-11-21T00:00:00"/>
  </r>
  <r>
    <x v="1"/>
    <n v="18438386"/>
    <x v="1"/>
    <d v="2025-04-10T00:00:00"/>
    <x v="0"/>
    <x v="2"/>
    <x v="3"/>
    <d v="2026-01-31T00:00:00"/>
    <n v="296"/>
    <n v="9.8666666666666671"/>
    <n v="0"/>
    <n v="0"/>
    <n v="0"/>
    <x v="1"/>
    <n v="19.068493150684933"/>
    <x v="3"/>
    <n v="1"/>
    <d v="2006-03-21T00:00:00"/>
  </r>
  <r>
    <x v="1"/>
    <n v="18443414"/>
    <x v="0"/>
    <d v="2025-04-11T00:00:00"/>
    <x v="0"/>
    <x v="2"/>
    <x v="3"/>
    <d v="2025-12-03T00:00:00"/>
    <n v="236"/>
    <n v="7.8666666666666663"/>
    <n v="0"/>
    <n v="0"/>
    <n v="0"/>
    <x v="0"/>
    <n v="23.523287671232875"/>
    <x v="2"/>
    <n v="2"/>
    <d v="2001-10-08T00:00:00"/>
  </r>
  <r>
    <x v="1"/>
    <n v="18443455"/>
    <x v="0"/>
    <d v="2025-04-11T00:00:00"/>
    <x v="0"/>
    <x v="2"/>
    <x v="3"/>
    <d v="2025-05-01T00:00:00"/>
    <n v="20"/>
    <n v="0.66666666666666663"/>
    <n v="1"/>
    <n v="1"/>
    <n v="1"/>
    <x v="1"/>
    <n v="20.8"/>
    <x v="3"/>
    <n v="1"/>
    <d v="2004-06-28T00:00:00"/>
  </r>
  <r>
    <x v="1"/>
    <n v="18443483"/>
    <x v="0"/>
    <d v="2025-04-11T00:00:00"/>
    <x v="0"/>
    <x v="2"/>
    <x v="3"/>
    <m/>
    <n v="9999"/>
    <n v="333.3"/>
    <n v="0"/>
    <n v="0"/>
    <n v="0"/>
    <x v="1"/>
    <n v="18.931506849315067"/>
    <x v="3"/>
    <n v="1"/>
    <d v="2006-05-11T00:00:00"/>
  </r>
  <r>
    <x v="1"/>
    <n v="18443500"/>
    <x v="0"/>
    <d v="2025-04-11T00:00:00"/>
    <x v="0"/>
    <x v="2"/>
    <x v="3"/>
    <m/>
    <n v="9999"/>
    <n v="333.3"/>
    <n v="0"/>
    <n v="0"/>
    <n v="0"/>
    <x v="1"/>
    <n v="37.654794520547945"/>
    <x v="0"/>
    <n v="4"/>
    <d v="1987-08-25T00:00:00"/>
  </r>
  <r>
    <x v="1"/>
    <n v="18443501"/>
    <x v="0"/>
    <d v="2025-04-11T00:00:00"/>
    <x v="0"/>
    <x v="2"/>
    <x v="3"/>
    <m/>
    <n v="9999"/>
    <n v="333.3"/>
    <n v="0"/>
    <n v="0"/>
    <n v="0"/>
    <x v="1"/>
    <n v="28.361643835616437"/>
    <x v="1"/>
    <n v="3"/>
    <d v="1996-12-07T00:00:00"/>
  </r>
  <r>
    <x v="1"/>
    <n v="18443519"/>
    <x v="0"/>
    <d v="2025-04-11T00:00:00"/>
    <x v="0"/>
    <x v="2"/>
    <x v="3"/>
    <d v="2025-08-01T00:00:00"/>
    <n v="112"/>
    <n v="3.7333333333333334"/>
    <n v="0"/>
    <n v="0"/>
    <n v="1"/>
    <x v="1"/>
    <n v="18.783561643835615"/>
    <x v="3"/>
    <n v="1"/>
    <d v="2006-07-04T00:00:00"/>
  </r>
  <r>
    <x v="1"/>
    <n v="18443524"/>
    <x v="1"/>
    <d v="2025-04-11T00:00:00"/>
    <x v="0"/>
    <x v="2"/>
    <x v="3"/>
    <m/>
    <n v="9999"/>
    <n v="333.3"/>
    <n v="0"/>
    <n v="0"/>
    <n v="0"/>
    <x v="1"/>
    <n v="20.723287671232878"/>
    <x v="3"/>
    <n v="1"/>
    <d v="2004-07-26T00:00:00"/>
  </r>
  <r>
    <x v="1"/>
    <n v="18443525"/>
    <x v="0"/>
    <d v="2025-04-11T00:00:00"/>
    <x v="0"/>
    <x v="2"/>
    <x v="3"/>
    <d v="2025-06-30T00:00:00"/>
    <n v="80"/>
    <n v="2.6666666666666665"/>
    <n v="0"/>
    <n v="1"/>
    <n v="1"/>
    <x v="1"/>
    <n v="35.279452054794518"/>
    <x v="0"/>
    <n v="4"/>
    <d v="1990-01-08T00:00:00"/>
  </r>
  <r>
    <x v="1"/>
    <n v="18443579"/>
    <x v="0"/>
    <d v="2025-04-11T00:00:00"/>
    <x v="0"/>
    <x v="2"/>
    <x v="3"/>
    <m/>
    <n v="9999"/>
    <n v="333.3"/>
    <n v="0"/>
    <n v="0"/>
    <n v="0"/>
    <x v="1"/>
    <n v="22.934246575342467"/>
    <x v="2"/>
    <n v="2"/>
    <d v="2002-05-11T00:00:00"/>
  </r>
  <r>
    <x v="1"/>
    <n v="18455779"/>
    <x v="1"/>
    <d v="2025-04-14T00:00:00"/>
    <x v="0"/>
    <x v="2"/>
    <x v="3"/>
    <m/>
    <n v="9999"/>
    <n v="333.3"/>
    <n v="0"/>
    <n v="0"/>
    <n v="0"/>
    <x v="1"/>
    <n v="22.323287671232876"/>
    <x v="2"/>
    <n v="2"/>
    <d v="2002-12-23T00:00:00"/>
  </r>
  <r>
    <x v="1"/>
    <n v="18455801"/>
    <x v="0"/>
    <d v="2025-04-14T00:00:00"/>
    <x v="0"/>
    <x v="2"/>
    <x v="3"/>
    <m/>
    <n v="9999"/>
    <n v="333.3"/>
    <n v="0"/>
    <n v="0"/>
    <n v="0"/>
    <x v="1"/>
    <n v="20.027397260273972"/>
    <x v="3"/>
    <n v="1"/>
    <d v="2005-04-09T00:00:00"/>
  </r>
  <r>
    <x v="1"/>
    <n v="18455803"/>
    <x v="0"/>
    <d v="2025-04-14T00:00:00"/>
    <x v="0"/>
    <x v="2"/>
    <x v="3"/>
    <d v="2025-12-31T00:00:00"/>
    <n v="261"/>
    <n v="8.6999999999999993"/>
    <n v="0"/>
    <n v="0"/>
    <n v="0"/>
    <x v="1"/>
    <n v="24.238356164383561"/>
    <x v="2"/>
    <n v="2"/>
    <d v="2001-01-23T00:00:00"/>
  </r>
  <r>
    <x v="1"/>
    <n v="18455812"/>
    <x v="1"/>
    <d v="2025-04-14T00:00:00"/>
    <x v="0"/>
    <x v="2"/>
    <x v="3"/>
    <d v="2025-04-16T00:00:00"/>
    <n v="2"/>
    <n v="6.6666666666666666E-2"/>
    <n v="1"/>
    <n v="1"/>
    <n v="1"/>
    <x v="1"/>
    <n v="30.104109589041094"/>
    <x v="1"/>
    <n v="3"/>
    <d v="1995-03-15T00:00:00"/>
  </r>
  <r>
    <x v="1"/>
    <n v="18455828"/>
    <x v="0"/>
    <d v="2025-04-14T00:00:00"/>
    <x v="0"/>
    <x v="2"/>
    <x v="3"/>
    <d v="2025-10-19T00:00:00"/>
    <n v="188"/>
    <n v="6.2666666666666666"/>
    <n v="0"/>
    <n v="0"/>
    <n v="0"/>
    <x v="1"/>
    <n v="20.682191780821917"/>
    <x v="3"/>
    <n v="1"/>
    <d v="2004-08-13T00:00:00"/>
  </r>
  <r>
    <x v="1"/>
    <n v="18455871"/>
    <x v="0"/>
    <d v="2025-04-14T00:00:00"/>
    <x v="0"/>
    <x v="2"/>
    <x v="3"/>
    <m/>
    <n v="9999"/>
    <n v="333.3"/>
    <n v="0"/>
    <n v="0"/>
    <n v="0"/>
    <x v="1"/>
    <n v="21.347945205479451"/>
    <x v="2"/>
    <n v="2"/>
    <d v="2003-12-14T00:00:00"/>
  </r>
  <r>
    <x v="1"/>
    <n v="18455942"/>
    <x v="1"/>
    <d v="2025-04-14T00:00:00"/>
    <x v="0"/>
    <x v="2"/>
    <x v="3"/>
    <d v="2025-08-01T00:00:00"/>
    <n v="109"/>
    <n v="3.6333333333333333"/>
    <n v="0"/>
    <n v="0"/>
    <n v="1"/>
    <x v="1"/>
    <n v="18.098630136986301"/>
    <x v="3"/>
    <n v="1"/>
    <d v="2007-03-14T00:00:00"/>
  </r>
  <r>
    <x v="1"/>
    <n v="18455974"/>
    <x v="0"/>
    <d v="2025-04-14T00:00:00"/>
    <x v="0"/>
    <x v="2"/>
    <x v="3"/>
    <d v="2025-05-31T00:00:00"/>
    <n v="47"/>
    <n v="1.5666666666666667"/>
    <n v="0"/>
    <n v="1"/>
    <n v="1"/>
    <x v="1"/>
    <n v="20.419178082191781"/>
    <x v="3"/>
    <n v="1"/>
    <d v="2004-11-17T00:00:00"/>
  </r>
  <r>
    <x v="1"/>
    <n v="18455976"/>
    <x v="0"/>
    <d v="2025-04-14T00:00:00"/>
    <x v="0"/>
    <x v="2"/>
    <x v="3"/>
    <d v="2026-06-01T00:00:00"/>
    <n v="413"/>
    <n v="13.766666666666667"/>
    <n v="0"/>
    <n v="0"/>
    <n v="0"/>
    <x v="1"/>
    <n v="20.936986301369863"/>
    <x v="3"/>
    <n v="1"/>
    <d v="2004-05-12T00:00:00"/>
  </r>
  <r>
    <x v="1"/>
    <n v="18456454"/>
    <x v="0"/>
    <d v="2025-04-14T00:00:00"/>
    <x v="0"/>
    <x v="2"/>
    <x v="3"/>
    <m/>
    <n v="9999"/>
    <n v="333.3"/>
    <n v="0"/>
    <n v="0"/>
    <n v="0"/>
    <x v="0"/>
    <n v="21.232876712328768"/>
    <x v="2"/>
    <n v="2"/>
    <d v="2004-01-25T00:00:00"/>
  </r>
  <r>
    <x v="1"/>
    <n v="18456485"/>
    <x v="1"/>
    <d v="2025-04-14T00:00:00"/>
    <x v="0"/>
    <x v="2"/>
    <x v="3"/>
    <m/>
    <n v="9999"/>
    <n v="333.3"/>
    <n v="0"/>
    <n v="0"/>
    <n v="0"/>
    <x v="0"/>
    <n v="20.419178082191781"/>
    <x v="3"/>
    <n v="1"/>
    <d v="2004-11-17T00:00:00"/>
  </r>
  <r>
    <x v="1"/>
    <n v="18456487"/>
    <x v="0"/>
    <d v="2025-04-14T00:00:00"/>
    <x v="0"/>
    <x v="2"/>
    <x v="3"/>
    <d v="2026-03-31T00:00:00"/>
    <n v="351"/>
    <n v="11.7"/>
    <n v="0"/>
    <n v="0"/>
    <n v="0"/>
    <x v="0"/>
    <n v="21.739726027397261"/>
    <x v="2"/>
    <n v="2"/>
    <d v="2003-07-24T00:00:00"/>
  </r>
  <r>
    <x v="1"/>
    <n v="18457580"/>
    <x v="1"/>
    <d v="2025-04-11T00:00:00"/>
    <x v="0"/>
    <x v="2"/>
    <x v="3"/>
    <m/>
    <n v="9999"/>
    <n v="333.3"/>
    <n v="0"/>
    <n v="0"/>
    <n v="0"/>
    <x v="1"/>
    <n v="19.739726027397261"/>
    <x v="3"/>
    <n v="1"/>
    <d v="2005-07-20T00:00:00"/>
  </r>
  <r>
    <x v="1"/>
    <n v="18457921"/>
    <x v="0"/>
    <d v="2025-10-24T00:00:00"/>
    <x v="0"/>
    <x v="8"/>
    <x v="10"/>
    <d v="2025-12-01T00:00:00"/>
    <n v="38"/>
    <n v="1.2666666666666666"/>
    <n v="0"/>
    <n v="1"/>
    <n v="1"/>
    <x v="1"/>
    <n v="18.753424657534246"/>
    <x v="3"/>
    <n v="1"/>
    <d v="2007-01-27T00:00:00"/>
  </r>
  <r>
    <x v="1"/>
    <n v="18459090"/>
    <x v="0"/>
    <d v="2025-04-14T00:00:00"/>
    <x v="0"/>
    <x v="2"/>
    <x v="3"/>
    <m/>
    <n v="9999"/>
    <n v="333.3"/>
    <n v="0"/>
    <n v="0"/>
    <n v="0"/>
    <x v="0"/>
    <n v="18.709589041095889"/>
    <x v="3"/>
    <n v="1"/>
    <d v="2006-08-03T00:00:00"/>
  </r>
  <r>
    <x v="1"/>
    <n v="18471533"/>
    <x v="0"/>
    <d v="2025-04-15T00:00:00"/>
    <x v="0"/>
    <x v="2"/>
    <x v="3"/>
    <d v="2026-01-15T00:00:00"/>
    <n v="275"/>
    <n v="9.1666666666666661"/>
    <n v="0"/>
    <n v="0"/>
    <n v="0"/>
    <x v="0"/>
    <n v="19.347945205479451"/>
    <x v="3"/>
    <n v="1"/>
    <d v="2005-12-14T00:00:00"/>
  </r>
  <r>
    <x v="1"/>
    <n v="18473423"/>
    <x v="0"/>
    <d v="2025-04-15T00:00:00"/>
    <x v="0"/>
    <x v="2"/>
    <x v="3"/>
    <m/>
    <n v="9999"/>
    <n v="333.3"/>
    <n v="0"/>
    <n v="0"/>
    <n v="0"/>
    <x v="1"/>
    <n v="41.583561643835615"/>
    <x v="0"/>
    <n v="4"/>
    <d v="1983-09-25T00:00:00"/>
  </r>
  <r>
    <x v="1"/>
    <n v="18477957"/>
    <x v="0"/>
    <d v="2025-04-15T00:00:00"/>
    <x v="0"/>
    <x v="2"/>
    <x v="3"/>
    <d v="2026-01-31T00:00:00"/>
    <n v="291"/>
    <n v="9.6999999999999993"/>
    <n v="0"/>
    <n v="0"/>
    <n v="0"/>
    <x v="0"/>
    <n v="22.906849315068492"/>
    <x v="2"/>
    <n v="2"/>
    <d v="2002-05-25T00:00:00"/>
  </r>
  <r>
    <x v="1"/>
    <n v="18488126"/>
    <x v="1"/>
    <d v="2025-04-16T00:00:00"/>
    <x v="0"/>
    <x v="2"/>
    <x v="3"/>
    <d v="2025-12-15T00:00:00"/>
    <n v="243"/>
    <n v="8.1"/>
    <n v="0"/>
    <n v="0"/>
    <n v="0"/>
    <x v="1"/>
    <n v="18.701369863013699"/>
    <x v="3"/>
    <n v="1"/>
    <d v="2006-08-08T00:00:00"/>
  </r>
  <r>
    <x v="1"/>
    <n v="18488612"/>
    <x v="0"/>
    <d v="2025-04-16T00:00:00"/>
    <x v="0"/>
    <x v="2"/>
    <x v="3"/>
    <m/>
    <n v="9999"/>
    <n v="333.3"/>
    <n v="0"/>
    <n v="0"/>
    <n v="0"/>
    <x v="1"/>
    <n v="18.583561643835615"/>
    <x v="3"/>
    <n v="1"/>
    <d v="2006-09-20T00:00:00"/>
  </r>
  <r>
    <x v="1"/>
    <n v="18488757"/>
    <x v="0"/>
    <d v="2025-04-16T00:00:00"/>
    <x v="0"/>
    <x v="2"/>
    <x v="3"/>
    <d v="2025-11-03T00:00:00"/>
    <n v="201"/>
    <n v="6.7"/>
    <n v="0"/>
    <n v="0"/>
    <n v="0"/>
    <x v="1"/>
    <n v="19.739726027397261"/>
    <x v="3"/>
    <n v="1"/>
    <d v="2005-07-25T00:00:00"/>
  </r>
  <r>
    <x v="1"/>
    <n v="18496181"/>
    <x v="0"/>
    <d v="2025-04-16T00:00:00"/>
    <x v="0"/>
    <x v="2"/>
    <x v="3"/>
    <d v="2026-02-28T00:00:00"/>
    <n v="318"/>
    <n v="10.6"/>
    <n v="0"/>
    <n v="0"/>
    <n v="0"/>
    <x v="1"/>
    <n v="34.632876712328766"/>
    <x v="0"/>
    <n v="4"/>
    <d v="1990-09-06T00:00:00"/>
  </r>
  <r>
    <x v="1"/>
    <n v="18619687"/>
    <x v="1"/>
    <d v="2025-04-21T00:00:00"/>
    <x v="0"/>
    <x v="2"/>
    <x v="3"/>
    <m/>
    <n v="9999"/>
    <n v="333.3"/>
    <n v="0"/>
    <n v="0"/>
    <n v="0"/>
    <x v="0"/>
    <n v="23.005479452054793"/>
    <x v="2"/>
    <n v="2"/>
    <d v="2002-04-25T00:00:00"/>
  </r>
  <r>
    <x v="1"/>
    <n v="18619689"/>
    <x v="1"/>
    <d v="2025-04-21T00:00:00"/>
    <x v="0"/>
    <x v="2"/>
    <x v="3"/>
    <m/>
    <n v="9999"/>
    <n v="333.3"/>
    <n v="0"/>
    <n v="0"/>
    <n v="0"/>
    <x v="0"/>
    <n v="21.698630136986303"/>
    <x v="2"/>
    <n v="2"/>
    <d v="2003-08-15T00:00:00"/>
  </r>
  <r>
    <x v="1"/>
    <n v="18619690"/>
    <x v="0"/>
    <d v="2025-04-01T00:00:00"/>
    <x v="0"/>
    <x v="2"/>
    <x v="3"/>
    <d v="2025-06-16T00:00:00"/>
    <n v="76"/>
    <n v="2.5333333333333332"/>
    <n v="0"/>
    <n v="1"/>
    <n v="1"/>
    <x v="0"/>
    <n v="23.915068493150685"/>
    <x v="2"/>
    <n v="2"/>
    <d v="2001-05-08T00:00:00"/>
  </r>
  <r>
    <x v="1"/>
    <n v="18619691"/>
    <x v="0"/>
    <d v="2025-04-01T00:00:00"/>
    <x v="0"/>
    <x v="2"/>
    <x v="3"/>
    <d v="2025-11-12T00:00:00"/>
    <n v="225"/>
    <n v="7.5"/>
    <n v="0"/>
    <n v="0"/>
    <n v="0"/>
    <x v="0"/>
    <n v="18.586301369863012"/>
    <x v="3"/>
    <n v="1"/>
    <d v="2006-09-04T00:00:00"/>
  </r>
  <r>
    <x v="1"/>
    <n v="18619692"/>
    <x v="0"/>
    <d v="2025-04-01T00:00:00"/>
    <x v="0"/>
    <x v="2"/>
    <x v="3"/>
    <d v="2025-10-31T00:00:00"/>
    <n v="213"/>
    <n v="7.1"/>
    <n v="0"/>
    <n v="0"/>
    <n v="0"/>
    <x v="0"/>
    <n v="20.942465753424656"/>
    <x v="3"/>
    <n v="1"/>
    <d v="2004-04-27T00:00:00"/>
  </r>
  <r>
    <x v="1"/>
    <n v="18619693"/>
    <x v="1"/>
    <d v="2025-04-01T00:00:00"/>
    <x v="0"/>
    <x v="2"/>
    <x v="3"/>
    <m/>
    <n v="9999"/>
    <n v="333.3"/>
    <n v="0"/>
    <n v="0"/>
    <n v="0"/>
    <x v="0"/>
    <n v="18.638356164383563"/>
    <x v="3"/>
    <n v="1"/>
    <d v="2006-08-16T00:00:00"/>
  </r>
  <r>
    <x v="1"/>
    <n v="18619928"/>
    <x v="0"/>
    <d v="2025-12-01T00:00:00"/>
    <x v="0"/>
    <x v="5"/>
    <x v="7"/>
    <m/>
    <n v="9999"/>
    <n v="333.3"/>
    <n v="0"/>
    <n v="0"/>
    <n v="0"/>
    <x v="1"/>
    <n v="19.361643835616437"/>
    <x v="3"/>
    <n v="1"/>
    <d v="2006-07-27T00:00:00"/>
  </r>
  <r>
    <x v="1"/>
    <n v="18622456"/>
    <x v="0"/>
    <d v="2025-04-22T00:00:00"/>
    <x v="0"/>
    <x v="2"/>
    <x v="3"/>
    <d v="2025-08-17T00:00:00"/>
    <n v="117"/>
    <n v="3.9"/>
    <n v="0"/>
    <n v="0"/>
    <n v="1"/>
    <x v="1"/>
    <n v="20.610958904109587"/>
    <x v="3"/>
    <n v="1"/>
    <d v="2004-09-16T00:00:00"/>
  </r>
  <r>
    <x v="1"/>
    <n v="18622457"/>
    <x v="1"/>
    <d v="2025-04-22T00:00:00"/>
    <x v="0"/>
    <x v="2"/>
    <x v="3"/>
    <d v="2026-03-01T00:00:00"/>
    <n v="313"/>
    <n v="10.433333333333334"/>
    <n v="0"/>
    <n v="0"/>
    <n v="0"/>
    <x v="1"/>
    <n v="18.794520547945204"/>
    <x v="3"/>
    <n v="1"/>
    <d v="2006-07-11T00:00:00"/>
  </r>
  <r>
    <x v="1"/>
    <n v="18622544"/>
    <x v="1"/>
    <d v="2025-04-22T00:00:00"/>
    <x v="0"/>
    <x v="2"/>
    <x v="3"/>
    <d v="2025-06-01T00:00:00"/>
    <n v="40"/>
    <n v="1.3333333333333333"/>
    <n v="0"/>
    <n v="1"/>
    <n v="1"/>
    <x v="1"/>
    <n v="18.054794520547944"/>
    <x v="3"/>
    <n v="1"/>
    <d v="2007-04-07T00:00:00"/>
  </r>
  <r>
    <x v="1"/>
    <n v="18622583"/>
    <x v="0"/>
    <d v="2025-04-22T00:00:00"/>
    <x v="0"/>
    <x v="2"/>
    <x v="3"/>
    <d v="2025-08-01T00:00:00"/>
    <n v="101"/>
    <n v="3.3666666666666667"/>
    <n v="0"/>
    <n v="0"/>
    <n v="1"/>
    <x v="1"/>
    <n v="28.597260273972601"/>
    <x v="1"/>
    <n v="3"/>
    <d v="1996-09-23T00:00:00"/>
  </r>
  <r>
    <x v="1"/>
    <n v="18622611"/>
    <x v="0"/>
    <d v="2025-04-22T00:00:00"/>
    <x v="0"/>
    <x v="2"/>
    <x v="3"/>
    <d v="2026-04-26T00:00:00"/>
    <n v="369"/>
    <n v="12.3"/>
    <n v="0"/>
    <n v="0"/>
    <n v="0"/>
    <x v="1"/>
    <n v="19.084931506849315"/>
    <x v="3"/>
    <n v="1"/>
    <d v="2006-03-27T00:00:00"/>
  </r>
  <r>
    <x v="1"/>
    <n v="18622743"/>
    <x v="1"/>
    <d v="2025-04-22T00:00:00"/>
    <x v="0"/>
    <x v="2"/>
    <x v="3"/>
    <m/>
    <n v="9999"/>
    <n v="333.3"/>
    <n v="0"/>
    <n v="0"/>
    <n v="0"/>
    <x v="1"/>
    <n v="21.358904109589041"/>
    <x v="2"/>
    <n v="2"/>
    <d v="2003-12-18T00:00:00"/>
  </r>
  <r>
    <x v="1"/>
    <n v="18623003"/>
    <x v="0"/>
    <d v="2025-04-22T00:00:00"/>
    <x v="0"/>
    <x v="2"/>
    <x v="3"/>
    <m/>
    <n v="9999"/>
    <n v="333.3"/>
    <n v="0"/>
    <n v="0"/>
    <n v="0"/>
    <x v="1"/>
    <n v="26.972602739726028"/>
    <x v="1"/>
    <n v="3"/>
    <d v="1998-05-09T00:00:00"/>
  </r>
  <r>
    <x v="0"/>
    <n v="18623029"/>
    <x v="0"/>
    <d v="2025-04-22T00:00:00"/>
    <x v="0"/>
    <x v="2"/>
    <x v="3"/>
    <d v="2025-05-31T00:00:00"/>
    <n v="39"/>
    <n v="1.3"/>
    <n v="0"/>
    <n v="1"/>
    <n v="1"/>
    <x v="1"/>
    <n v="20.734246575342464"/>
    <x v="3"/>
    <n v="1"/>
    <d v="2004-08-02T00:00:00"/>
  </r>
  <r>
    <x v="1"/>
    <n v="18623030"/>
    <x v="0"/>
    <d v="2025-04-22T00:00:00"/>
    <x v="0"/>
    <x v="2"/>
    <x v="3"/>
    <m/>
    <n v="9999"/>
    <n v="333.3"/>
    <n v="0"/>
    <n v="0"/>
    <n v="0"/>
    <x v="1"/>
    <n v="24.06027397260274"/>
    <x v="2"/>
    <n v="2"/>
    <d v="2001-04-06T00:00:00"/>
  </r>
  <r>
    <x v="1"/>
    <n v="18623031"/>
    <x v="0"/>
    <d v="2025-04-22T00:00:00"/>
    <x v="0"/>
    <x v="2"/>
    <x v="3"/>
    <d v="2025-08-01T00:00:00"/>
    <n v="101"/>
    <n v="3.3666666666666667"/>
    <n v="0"/>
    <n v="0"/>
    <n v="1"/>
    <x v="1"/>
    <n v="19.44109589041096"/>
    <x v="3"/>
    <n v="1"/>
    <d v="2005-11-17T00:00:00"/>
  </r>
  <r>
    <x v="1"/>
    <n v="18624893"/>
    <x v="0"/>
    <d v="2025-04-23T00:00:00"/>
    <x v="0"/>
    <x v="2"/>
    <x v="3"/>
    <d v="2025-06-03T00:00:00"/>
    <n v="41"/>
    <n v="1.3666666666666667"/>
    <n v="0"/>
    <n v="1"/>
    <n v="1"/>
    <x v="0"/>
    <n v="28.6"/>
    <x v="1"/>
    <n v="3"/>
    <d v="1996-09-23T00:00:00"/>
  </r>
  <r>
    <x v="1"/>
    <n v="18624911"/>
    <x v="0"/>
    <d v="2025-04-23T00:00:00"/>
    <x v="0"/>
    <x v="2"/>
    <x v="3"/>
    <d v="2026-01-11T00:00:00"/>
    <n v="263"/>
    <n v="8.7666666666666675"/>
    <n v="0"/>
    <n v="0"/>
    <n v="0"/>
    <x v="1"/>
    <n v="19.216438356164385"/>
    <x v="3"/>
    <n v="1"/>
    <d v="2006-02-08T00:00:00"/>
  </r>
  <r>
    <x v="1"/>
    <n v="18625666"/>
    <x v="0"/>
    <d v="2025-04-23T00:00:00"/>
    <x v="0"/>
    <x v="2"/>
    <x v="3"/>
    <d v="2025-12-31T00:00:00"/>
    <n v="252"/>
    <n v="8.4"/>
    <n v="0"/>
    <n v="0"/>
    <n v="0"/>
    <x v="0"/>
    <n v="22.87123287671233"/>
    <x v="2"/>
    <n v="2"/>
    <d v="2002-06-15T00:00:00"/>
  </r>
  <r>
    <x v="1"/>
    <n v="18625732"/>
    <x v="1"/>
    <d v="2025-04-24T00:00:00"/>
    <x v="0"/>
    <x v="2"/>
    <x v="3"/>
    <d v="2025-11-30T00:00:00"/>
    <n v="220"/>
    <n v="7.333333333333333"/>
    <n v="0"/>
    <n v="0"/>
    <n v="0"/>
    <x v="0"/>
    <n v="20.947945205479453"/>
    <x v="3"/>
    <n v="1"/>
    <d v="2004-05-18T00:00:00"/>
  </r>
  <r>
    <x v="0"/>
    <n v="18625750"/>
    <x v="0"/>
    <d v="2025-04-24T00:00:00"/>
    <x v="0"/>
    <x v="2"/>
    <x v="3"/>
    <m/>
    <n v="9999"/>
    <n v="333.3"/>
    <n v="0"/>
    <n v="0"/>
    <n v="0"/>
    <x v="1"/>
    <n v="38.353424657534248"/>
    <x v="0"/>
    <n v="4"/>
    <d v="1986-12-26T00:00:00"/>
  </r>
  <r>
    <x v="1"/>
    <n v="18625752"/>
    <x v="1"/>
    <d v="2025-04-24T00:00:00"/>
    <x v="0"/>
    <x v="2"/>
    <x v="3"/>
    <d v="2026-03-01T00:00:00"/>
    <n v="311"/>
    <n v="10.366666666666667"/>
    <n v="0"/>
    <n v="0"/>
    <n v="0"/>
    <x v="1"/>
    <n v="19.578082191780823"/>
    <x v="3"/>
    <n v="1"/>
    <d v="2005-09-30T00:00:00"/>
  </r>
  <r>
    <x v="1"/>
    <n v="18625769"/>
    <x v="0"/>
    <d v="2025-04-24T00:00:00"/>
    <x v="0"/>
    <x v="2"/>
    <x v="3"/>
    <d v="2026-03-31T00:00:00"/>
    <n v="341"/>
    <n v="11.366666666666667"/>
    <n v="0"/>
    <n v="0"/>
    <n v="0"/>
    <x v="1"/>
    <n v="25.095890410958905"/>
    <x v="2"/>
    <n v="2"/>
    <d v="2000-03-26T00:00:00"/>
  </r>
  <r>
    <x v="1"/>
    <n v="18625771"/>
    <x v="0"/>
    <d v="2025-04-24T00:00:00"/>
    <x v="0"/>
    <x v="2"/>
    <x v="3"/>
    <d v="2026-03-31T00:00:00"/>
    <n v="341"/>
    <n v="11.366666666666667"/>
    <n v="0"/>
    <n v="0"/>
    <n v="0"/>
    <x v="1"/>
    <n v="22.109589041095891"/>
    <x v="2"/>
    <n v="2"/>
    <d v="2003-03-21T00:00:00"/>
  </r>
  <r>
    <x v="1"/>
    <n v="18625863"/>
    <x v="1"/>
    <d v="2025-04-25T00:00:00"/>
    <x v="0"/>
    <x v="2"/>
    <x v="3"/>
    <m/>
    <n v="9999"/>
    <n v="333.3"/>
    <n v="0"/>
    <n v="0"/>
    <n v="0"/>
    <x v="0"/>
    <n v="20.876712328767123"/>
    <x v="3"/>
    <n v="1"/>
    <d v="2004-06-14T00:00:00"/>
  </r>
  <r>
    <x v="1"/>
    <n v="18625867"/>
    <x v="1"/>
    <d v="2025-04-25T00:00:00"/>
    <x v="0"/>
    <x v="2"/>
    <x v="3"/>
    <m/>
    <n v="9999"/>
    <n v="333.3"/>
    <n v="0"/>
    <n v="0"/>
    <n v="0"/>
    <x v="1"/>
    <n v="18.775342465753425"/>
    <x v="3"/>
    <n v="1"/>
    <d v="2006-07-21T00:00:00"/>
  </r>
  <r>
    <x v="1"/>
    <n v="18625868"/>
    <x v="1"/>
    <d v="2025-04-25T00:00:00"/>
    <x v="0"/>
    <x v="2"/>
    <x v="3"/>
    <d v="2026-03-31T00:00:00"/>
    <n v="340"/>
    <n v="11.333333333333334"/>
    <n v="0"/>
    <n v="0"/>
    <n v="0"/>
    <x v="1"/>
    <n v="18.216438356164385"/>
    <x v="3"/>
    <n v="1"/>
    <d v="2007-02-10T00:00:00"/>
  </r>
  <r>
    <x v="1"/>
    <n v="18625869"/>
    <x v="1"/>
    <d v="2025-04-25T00:00:00"/>
    <x v="0"/>
    <x v="2"/>
    <x v="3"/>
    <d v="2025-06-13T00:00:00"/>
    <n v="49"/>
    <n v="1.6333333333333333"/>
    <n v="0"/>
    <n v="1"/>
    <n v="1"/>
    <x v="1"/>
    <n v="22.098630136986301"/>
    <x v="2"/>
    <n v="2"/>
    <d v="2003-03-26T00:00:00"/>
  </r>
  <r>
    <x v="1"/>
    <n v="18625871"/>
    <x v="1"/>
    <d v="2025-04-25T00:00:00"/>
    <x v="0"/>
    <x v="2"/>
    <x v="3"/>
    <m/>
    <n v="9999"/>
    <n v="333.3"/>
    <n v="0"/>
    <n v="0"/>
    <n v="0"/>
    <x v="1"/>
    <n v="19.775342465753425"/>
    <x v="3"/>
    <n v="1"/>
    <d v="2005-07-21T00:00:00"/>
  </r>
  <r>
    <x v="1"/>
    <n v="18625873"/>
    <x v="0"/>
    <d v="2025-04-25T00:00:00"/>
    <x v="0"/>
    <x v="2"/>
    <x v="3"/>
    <m/>
    <n v="9999"/>
    <n v="333.3"/>
    <n v="0"/>
    <n v="0"/>
    <n v="0"/>
    <x v="1"/>
    <n v="18.427397260273974"/>
    <x v="3"/>
    <n v="1"/>
    <d v="2006-11-25T00:00:00"/>
  </r>
  <r>
    <x v="1"/>
    <n v="18625876"/>
    <x v="0"/>
    <d v="2025-04-25T00:00:00"/>
    <x v="0"/>
    <x v="2"/>
    <x v="3"/>
    <d v="2025-08-01T00:00:00"/>
    <n v="98"/>
    <n v="3.2666666666666666"/>
    <n v="0"/>
    <n v="0"/>
    <n v="1"/>
    <x v="1"/>
    <n v="23.334246575342465"/>
    <x v="2"/>
    <n v="2"/>
    <d v="2001-12-30T00:00:00"/>
  </r>
  <r>
    <x v="1"/>
    <n v="18625884"/>
    <x v="0"/>
    <d v="2025-04-25T00:00:00"/>
    <x v="0"/>
    <x v="2"/>
    <x v="3"/>
    <d v="2026-02-10T00:00:00"/>
    <n v="291"/>
    <n v="9.6999999999999993"/>
    <n v="0"/>
    <n v="0"/>
    <n v="0"/>
    <x v="1"/>
    <n v="19.87123287671233"/>
    <x v="3"/>
    <n v="1"/>
    <d v="2005-06-16T00:00:00"/>
  </r>
  <r>
    <x v="1"/>
    <n v="18625886"/>
    <x v="1"/>
    <d v="2025-04-25T00:00:00"/>
    <x v="0"/>
    <x v="2"/>
    <x v="3"/>
    <d v="2025-12-15T00:00:00"/>
    <n v="234"/>
    <n v="7.8"/>
    <n v="0"/>
    <n v="0"/>
    <n v="0"/>
    <x v="1"/>
    <n v="22.36986301369863"/>
    <x v="2"/>
    <n v="2"/>
    <d v="2002-12-17T00:00:00"/>
  </r>
  <r>
    <x v="1"/>
    <n v="18625887"/>
    <x v="1"/>
    <d v="2025-04-25T00:00:00"/>
    <x v="0"/>
    <x v="2"/>
    <x v="3"/>
    <m/>
    <n v="9999"/>
    <n v="333.3"/>
    <n v="0"/>
    <n v="0"/>
    <n v="0"/>
    <x v="1"/>
    <n v="20.909589041095892"/>
    <x v="3"/>
    <n v="1"/>
    <d v="2004-06-02T00:00:00"/>
  </r>
  <r>
    <x v="1"/>
    <n v="18625888"/>
    <x v="0"/>
    <d v="2025-04-25T00:00:00"/>
    <x v="0"/>
    <x v="2"/>
    <x v="3"/>
    <d v="2026-01-01T00:00:00"/>
    <n v="251"/>
    <n v="8.3666666666666671"/>
    <n v="0"/>
    <n v="0"/>
    <n v="0"/>
    <x v="1"/>
    <n v="19.36986301369863"/>
    <x v="3"/>
    <n v="1"/>
    <d v="2005-12-16T00:00:00"/>
  </r>
  <r>
    <x v="1"/>
    <n v="18625889"/>
    <x v="1"/>
    <d v="2025-04-25T00:00:00"/>
    <x v="0"/>
    <x v="2"/>
    <x v="3"/>
    <m/>
    <n v="9999"/>
    <n v="333.3"/>
    <n v="0"/>
    <n v="0"/>
    <n v="0"/>
    <x v="1"/>
    <n v="20.19178082191781"/>
    <x v="3"/>
    <n v="1"/>
    <d v="2005-02-19T00:00:00"/>
  </r>
  <r>
    <x v="1"/>
    <n v="18625896"/>
    <x v="0"/>
    <d v="2025-04-25T00:00:00"/>
    <x v="0"/>
    <x v="2"/>
    <x v="3"/>
    <m/>
    <n v="9999"/>
    <n v="333.3"/>
    <n v="0"/>
    <n v="0"/>
    <n v="0"/>
    <x v="1"/>
    <n v="19.734246575342464"/>
    <x v="3"/>
    <n v="1"/>
    <d v="2005-08-05T00:00:00"/>
  </r>
  <r>
    <x v="1"/>
    <n v="18625897"/>
    <x v="0"/>
    <d v="2025-04-25T00:00:00"/>
    <x v="0"/>
    <x v="2"/>
    <x v="3"/>
    <m/>
    <n v="9999"/>
    <n v="333.3"/>
    <n v="0"/>
    <n v="0"/>
    <n v="0"/>
    <x v="1"/>
    <n v="21.2"/>
    <x v="2"/>
    <n v="2"/>
    <d v="2004-02-17T00:00:00"/>
  </r>
  <r>
    <x v="1"/>
    <n v="18625901"/>
    <x v="0"/>
    <d v="2025-04-25T00:00:00"/>
    <x v="0"/>
    <x v="2"/>
    <x v="3"/>
    <d v="2025-09-01T00:00:00"/>
    <n v="129"/>
    <n v="4.3"/>
    <n v="0"/>
    <n v="0"/>
    <n v="1"/>
    <x v="1"/>
    <n v="22.252054794520546"/>
    <x v="2"/>
    <n v="2"/>
    <d v="2003-01-29T00:00:00"/>
  </r>
  <r>
    <x v="1"/>
    <n v="18625907"/>
    <x v="0"/>
    <d v="2025-04-25T00:00:00"/>
    <x v="0"/>
    <x v="2"/>
    <x v="3"/>
    <d v="2025-05-11T00:00:00"/>
    <n v="16"/>
    <n v="0.53333333333333333"/>
    <n v="1"/>
    <n v="1"/>
    <n v="1"/>
    <x v="1"/>
    <n v="23.4"/>
    <x v="2"/>
    <n v="2"/>
    <d v="2001-12-06T00:00:00"/>
  </r>
  <r>
    <x v="1"/>
    <n v="18625932"/>
    <x v="0"/>
    <d v="2025-04-25T00:00:00"/>
    <x v="0"/>
    <x v="2"/>
    <x v="3"/>
    <m/>
    <n v="9999"/>
    <n v="333.3"/>
    <n v="0"/>
    <n v="0"/>
    <n v="0"/>
    <x v="1"/>
    <n v="25.246575342465754"/>
    <x v="2"/>
    <n v="2"/>
    <d v="2000-02-01T00:00:00"/>
  </r>
  <r>
    <x v="1"/>
    <n v="18625936"/>
    <x v="0"/>
    <d v="2025-04-25T00:00:00"/>
    <x v="0"/>
    <x v="2"/>
    <x v="3"/>
    <d v="2026-04-01T00:00:00"/>
    <n v="341"/>
    <n v="11.366666666666667"/>
    <n v="0"/>
    <n v="0"/>
    <n v="0"/>
    <x v="1"/>
    <n v="20.008219178082193"/>
    <x v="3"/>
    <n v="1"/>
    <d v="2005-04-27T00:00:00"/>
  </r>
  <r>
    <x v="1"/>
    <n v="18625950"/>
    <x v="1"/>
    <d v="2025-09-26T00:00:00"/>
    <x v="0"/>
    <x v="3"/>
    <x v="4"/>
    <d v="2026-04-01T00:00:00"/>
    <n v="187"/>
    <n v="6.2333333333333334"/>
    <n v="0"/>
    <n v="0"/>
    <n v="0"/>
    <x v="1"/>
    <n v="19.323287671232876"/>
    <x v="3"/>
    <n v="1"/>
    <d v="2006-06-05T00:00:00"/>
  </r>
  <r>
    <x v="0"/>
    <n v="18626058"/>
    <x v="0"/>
    <d v="2025-04-28T00:00:00"/>
    <x v="0"/>
    <x v="2"/>
    <x v="3"/>
    <d v="2025-10-01T00:00:00"/>
    <n v="156"/>
    <n v="5.2"/>
    <n v="0"/>
    <n v="0"/>
    <n v="1"/>
    <x v="1"/>
    <n v="25.098630136986301"/>
    <x v="2"/>
    <n v="2"/>
    <d v="2000-03-29T00:00:00"/>
  </r>
  <r>
    <x v="1"/>
    <n v="18626063"/>
    <x v="0"/>
    <d v="2025-04-28T00:00:00"/>
    <x v="0"/>
    <x v="2"/>
    <x v="3"/>
    <m/>
    <n v="9999"/>
    <n v="333.3"/>
    <n v="0"/>
    <n v="0"/>
    <n v="0"/>
    <x v="1"/>
    <n v="19.164383561643834"/>
    <x v="3"/>
    <n v="1"/>
    <d v="2006-03-04T00:00:00"/>
  </r>
  <r>
    <x v="0"/>
    <n v="18626066"/>
    <x v="1"/>
    <d v="2025-04-28T00:00:00"/>
    <x v="0"/>
    <x v="2"/>
    <x v="3"/>
    <m/>
    <n v="9999"/>
    <n v="333.3"/>
    <n v="0"/>
    <n v="0"/>
    <n v="0"/>
    <x v="1"/>
    <n v="20.989041095890411"/>
    <x v="3"/>
    <n v="1"/>
    <d v="2004-05-07T00:00:00"/>
  </r>
  <r>
    <x v="1"/>
    <n v="18628141"/>
    <x v="0"/>
    <d v="2025-04-29T00:00:00"/>
    <x v="0"/>
    <x v="2"/>
    <x v="3"/>
    <m/>
    <n v="9999"/>
    <n v="333.3"/>
    <n v="0"/>
    <n v="0"/>
    <n v="0"/>
    <x v="0"/>
    <n v="20.386301369863013"/>
    <x v="3"/>
    <n v="1"/>
    <d v="2004-12-14T00:00:00"/>
  </r>
  <r>
    <x v="1"/>
    <n v="18628170"/>
    <x v="1"/>
    <d v="2025-04-29T00:00:00"/>
    <x v="0"/>
    <x v="2"/>
    <x v="3"/>
    <d v="2025-07-31T00:00:00"/>
    <n v="93"/>
    <n v="3.1"/>
    <n v="0"/>
    <n v="0"/>
    <n v="1"/>
    <x v="0"/>
    <n v="19.4986301369863"/>
    <x v="3"/>
    <n v="1"/>
    <d v="2005-11-03T00:00:00"/>
  </r>
  <r>
    <x v="1"/>
    <n v="18628235"/>
    <x v="0"/>
    <d v="2025-04-29T00:00:00"/>
    <x v="0"/>
    <x v="2"/>
    <x v="3"/>
    <d v="2025-05-06T00:00:00"/>
    <n v="7"/>
    <n v="0.23333333333333334"/>
    <n v="1"/>
    <n v="1"/>
    <n v="1"/>
    <x v="1"/>
    <n v="23.797260273972604"/>
    <x v="2"/>
    <n v="2"/>
    <d v="2001-07-18T00:00:00"/>
  </r>
  <r>
    <x v="1"/>
    <n v="18628239"/>
    <x v="0"/>
    <d v="2025-04-29T00:00:00"/>
    <x v="0"/>
    <x v="2"/>
    <x v="3"/>
    <m/>
    <n v="9999"/>
    <n v="333.3"/>
    <n v="0"/>
    <n v="0"/>
    <n v="0"/>
    <x v="1"/>
    <n v="25.32054794520548"/>
    <x v="2"/>
    <n v="2"/>
    <d v="2000-01-09T00:00:00"/>
  </r>
  <r>
    <x v="1"/>
    <n v="18628295"/>
    <x v="0"/>
    <d v="2025-04-29T00:00:00"/>
    <x v="0"/>
    <x v="2"/>
    <x v="3"/>
    <d v="2025-08-17T00:00:00"/>
    <n v="110"/>
    <n v="3.6666666666666665"/>
    <n v="0"/>
    <n v="0"/>
    <n v="1"/>
    <x v="1"/>
    <n v="20.904109589041095"/>
    <x v="3"/>
    <n v="1"/>
    <d v="2004-06-08T00:00:00"/>
  </r>
  <r>
    <x v="1"/>
    <n v="18628296"/>
    <x v="1"/>
    <d v="2025-04-29T00:00:00"/>
    <x v="0"/>
    <x v="2"/>
    <x v="3"/>
    <d v="2025-06-10T00:00:00"/>
    <n v="42"/>
    <n v="1.4"/>
    <n v="0"/>
    <n v="1"/>
    <n v="1"/>
    <x v="1"/>
    <n v="23.4986301369863"/>
    <x v="2"/>
    <n v="2"/>
    <d v="2001-11-04T00:00:00"/>
  </r>
  <r>
    <x v="1"/>
    <n v="18628301"/>
    <x v="1"/>
    <d v="2025-04-29T00:00:00"/>
    <x v="0"/>
    <x v="2"/>
    <x v="3"/>
    <d v="2025-10-01T00:00:00"/>
    <n v="155"/>
    <n v="5.166666666666667"/>
    <n v="0"/>
    <n v="0"/>
    <n v="1"/>
    <x v="1"/>
    <n v="27.589041095890412"/>
    <x v="1"/>
    <n v="3"/>
    <d v="1997-10-03T00:00:00"/>
  </r>
  <r>
    <x v="1"/>
    <n v="18628308"/>
    <x v="0"/>
    <d v="2025-04-29T00:00:00"/>
    <x v="0"/>
    <x v="2"/>
    <x v="3"/>
    <d v="2025-12-14T00:00:00"/>
    <n v="229"/>
    <n v="7.6333333333333337"/>
    <n v="0"/>
    <n v="0"/>
    <n v="0"/>
    <x v="1"/>
    <n v="21.273972602739725"/>
    <x v="2"/>
    <n v="2"/>
    <d v="2004-01-25T00:00:00"/>
  </r>
  <r>
    <x v="1"/>
    <n v="18628342"/>
    <x v="0"/>
    <d v="2025-04-29T00:00:00"/>
    <x v="0"/>
    <x v="2"/>
    <x v="3"/>
    <m/>
    <n v="9999"/>
    <n v="333.3"/>
    <n v="0"/>
    <n v="0"/>
    <n v="0"/>
    <x v="1"/>
    <n v="29.67945205479452"/>
    <x v="1"/>
    <n v="3"/>
    <d v="1995-09-01T00:00:00"/>
  </r>
  <r>
    <x v="1"/>
    <n v="18628343"/>
    <x v="0"/>
    <d v="2025-04-29T00:00:00"/>
    <x v="0"/>
    <x v="2"/>
    <x v="3"/>
    <m/>
    <n v="9999"/>
    <n v="333.3"/>
    <n v="0"/>
    <n v="0"/>
    <n v="0"/>
    <x v="1"/>
    <n v="18.254794520547946"/>
    <x v="3"/>
    <n v="1"/>
    <d v="2007-01-31T00:00:00"/>
  </r>
  <r>
    <x v="1"/>
    <n v="18628345"/>
    <x v="1"/>
    <d v="2025-04-29T00:00:00"/>
    <x v="0"/>
    <x v="2"/>
    <x v="3"/>
    <d v="2026-04-30T00:00:00"/>
    <n v="366"/>
    <n v="12.2"/>
    <n v="0"/>
    <n v="0"/>
    <n v="0"/>
    <x v="0"/>
    <n v="21.87123287671233"/>
    <x v="2"/>
    <n v="2"/>
    <d v="2003-06-21T00:00:00"/>
  </r>
  <r>
    <x v="1"/>
    <n v="18628370"/>
    <x v="0"/>
    <d v="2025-04-29T00:00:00"/>
    <x v="0"/>
    <x v="2"/>
    <x v="3"/>
    <d v="2026-01-13T00:00:00"/>
    <n v="259"/>
    <n v="8.6333333333333329"/>
    <n v="0"/>
    <n v="0"/>
    <n v="0"/>
    <x v="1"/>
    <n v="18.564383561643837"/>
    <x v="3"/>
    <n v="1"/>
    <d v="2006-10-10T00:00:00"/>
  </r>
  <r>
    <x v="1"/>
    <n v="18628387"/>
    <x v="0"/>
    <d v="2025-04-29T00:00:00"/>
    <x v="0"/>
    <x v="2"/>
    <x v="3"/>
    <d v="2026-01-31T00:00:00"/>
    <n v="277"/>
    <n v="9.2333333333333325"/>
    <n v="0"/>
    <n v="0"/>
    <n v="0"/>
    <x v="0"/>
    <n v="18.334246575342465"/>
    <x v="3"/>
    <n v="1"/>
    <d v="2007-01-02T00:00:00"/>
  </r>
  <r>
    <x v="1"/>
    <n v="18628391"/>
    <x v="0"/>
    <d v="2025-04-29T00:00:00"/>
    <x v="0"/>
    <x v="2"/>
    <x v="3"/>
    <d v="2025-10-12T00:00:00"/>
    <n v="166"/>
    <n v="5.5333333333333332"/>
    <n v="0"/>
    <n v="0"/>
    <n v="1"/>
    <x v="1"/>
    <n v="18.306849315068494"/>
    <x v="3"/>
    <n v="1"/>
    <d v="2007-01-12T00:00:00"/>
  </r>
  <r>
    <x v="1"/>
    <n v="18628414"/>
    <x v="0"/>
    <d v="2025-04-29T00:00:00"/>
    <x v="0"/>
    <x v="2"/>
    <x v="3"/>
    <m/>
    <n v="9999"/>
    <n v="333.3"/>
    <n v="0"/>
    <n v="0"/>
    <n v="0"/>
    <x v="1"/>
    <n v="20.597260273972601"/>
    <x v="3"/>
    <n v="1"/>
    <d v="2004-09-28T00:00:00"/>
  </r>
  <r>
    <x v="1"/>
    <n v="18628522"/>
    <x v="0"/>
    <d v="2025-04-29T00:00:00"/>
    <x v="0"/>
    <x v="2"/>
    <x v="3"/>
    <m/>
    <n v="9999"/>
    <n v="333.3"/>
    <n v="0"/>
    <n v="0"/>
    <n v="0"/>
    <x v="1"/>
    <n v="20.328767123287673"/>
    <x v="3"/>
    <n v="1"/>
    <d v="2005-01-04T00:00:00"/>
  </r>
  <r>
    <x v="1"/>
    <n v="18628657"/>
    <x v="0"/>
    <d v="2025-04-29T00:00:00"/>
    <x v="0"/>
    <x v="2"/>
    <x v="3"/>
    <d v="2026-01-06T00:00:00"/>
    <n v="252"/>
    <n v="8.4"/>
    <n v="0"/>
    <n v="0"/>
    <n v="0"/>
    <x v="1"/>
    <n v="23.383561643835616"/>
    <x v="2"/>
    <n v="2"/>
    <d v="2001-12-16T00:00:00"/>
  </r>
  <r>
    <x v="1"/>
    <n v="18628661"/>
    <x v="1"/>
    <d v="2025-04-29T00:00:00"/>
    <x v="0"/>
    <x v="2"/>
    <x v="3"/>
    <d v="2025-10-01T00:00:00"/>
    <n v="155"/>
    <n v="5.166666666666667"/>
    <n v="0"/>
    <n v="0"/>
    <n v="1"/>
    <x v="1"/>
    <n v="21.495890410958904"/>
    <x v="2"/>
    <n v="2"/>
    <d v="2003-11-05T00:00:00"/>
  </r>
  <r>
    <x v="1"/>
    <n v="18628789"/>
    <x v="1"/>
    <d v="2025-04-29T00:00:00"/>
    <x v="0"/>
    <x v="2"/>
    <x v="3"/>
    <d v="2025-10-31T00:00:00"/>
    <n v="185"/>
    <n v="6.166666666666667"/>
    <n v="0"/>
    <n v="0"/>
    <n v="0"/>
    <x v="1"/>
    <n v="20.805479452054794"/>
    <x v="3"/>
    <n v="1"/>
    <d v="2004-07-14T00:00:00"/>
  </r>
  <r>
    <x v="1"/>
    <n v="18629006"/>
    <x v="0"/>
    <d v="2025-04-29T00:00:00"/>
    <x v="0"/>
    <x v="2"/>
    <x v="3"/>
    <d v="2025-08-15T00:00:00"/>
    <n v="108"/>
    <n v="3.6"/>
    <n v="0"/>
    <n v="0"/>
    <n v="1"/>
    <x v="1"/>
    <n v="18.13150684931507"/>
    <x v="3"/>
    <n v="1"/>
    <d v="2007-03-17T00:00:00"/>
  </r>
  <r>
    <x v="1"/>
    <n v="18633717"/>
    <x v="1"/>
    <d v="2025-04-29T00:00:00"/>
    <x v="0"/>
    <x v="2"/>
    <x v="3"/>
    <d v="2025-05-31T00:00:00"/>
    <n v="32"/>
    <n v="1.0666666666666667"/>
    <n v="0"/>
    <n v="1"/>
    <n v="1"/>
    <x v="1"/>
    <n v="23.273972602739725"/>
    <x v="2"/>
    <n v="2"/>
    <d v="2002-01-25T00:00:00"/>
  </r>
  <r>
    <x v="1"/>
    <n v="18633776"/>
    <x v="0"/>
    <d v="2025-10-10T00:00:00"/>
    <x v="0"/>
    <x v="8"/>
    <x v="10"/>
    <m/>
    <n v="9999"/>
    <n v="333.3"/>
    <n v="0"/>
    <n v="0"/>
    <n v="0"/>
    <x v="1"/>
    <n v="18.186301369863013"/>
    <x v="3"/>
    <n v="1"/>
    <d v="2007-08-08T00:00:00"/>
  </r>
  <r>
    <x v="1"/>
    <n v="18633801"/>
    <x v="0"/>
    <d v="2025-05-02T00:00:00"/>
    <x v="0"/>
    <x v="1"/>
    <x v="2"/>
    <d v="2025-07-31T00:00:00"/>
    <n v="90"/>
    <n v="3"/>
    <n v="0"/>
    <n v="1"/>
    <n v="1"/>
    <x v="1"/>
    <n v="20.591780821917808"/>
    <x v="3"/>
    <n v="1"/>
    <d v="2004-10-03T00:00:00"/>
  </r>
  <r>
    <x v="1"/>
    <n v="18633844"/>
    <x v="0"/>
    <d v="2025-05-02T00:00:00"/>
    <x v="0"/>
    <x v="1"/>
    <x v="2"/>
    <m/>
    <n v="9999"/>
    <n v="333.3"/>
    <n v="0"/>
    <n v="0"/>
    <n v="0"/>
    <x v="1"/>
    <n v="23.906849315068492"/>
    <x v="2"/>
    <n v="2"/>
    <d v="2001-06-11T00:00:00"/>
  </r>
  <r>
    <x v="1"/>
    <n v="18633855"/>
    <x v="0"/>
    <d v="2025-05-03T00:00:00"/>
    <x v="0"/>
    <x v="1"/>
    <x v="2"/>
    <d v="2025-06-30T00:00:00"/>
    <n v="58"/>
    <n v="1.9333333333333333"/>
    <n v="0"/>
    <n v="1"/>
    <n v="1"/>
    <x v="1"/>
    <n v="20.19178082191781"/>
    <x v="3"/>
    <n v="1"/>
    <d v="2005-02-27T00:00:00"/>
  </r>
  <r>
    <x v="1"/>
    <n v="18633856"/>
    <x v="1"/>
    <d v="2025-05-03T00:00:00"/>
    <x v="0"/>
    <x v="1"/>
    <x v="2"/>
    <m/>
    <n v="9999"/>
    <n v="333.3"/>
    <n v="0"/>
    <n v="0"/>
    <n v="0"/>
    <x v="1"/>
    <n v="20.641095890410959"/>
    <x v="3"/>
    <n v="1"/>
    <d v="2004-09-16T00:00:00"/>
  </r>
  <r>
    <x v="1"/>
    <n v="18633857"/>
    <x v="0"/>
    <d v="2025-05-03T00:00:00"/>
    <x v="0"/>
    <x v="1"/>
    <x v="2"/>
    <d v="2025-05-07T00:00:00"/>
    <n v="4"/>
    <n v="0.13333333333333333"/>
    <n v="1"/>
    <n v="1"/>
    <n v="1"/>
    <x v="1"/>
    <n v="28.227397260273971"/>
    <x v="1"/>
    <n v="3"/>
    <d v="1997-02-16T00:00:00"/>
  </r>
  <r>
    <x v="1"/>
    <n v="18633858"/>
    <x v="1"/>
    <d v="2025-05-03T00:00:00"/>
    <x v="0"/>
    <x v="1"/>
    <x v="2"/>
    <d v="2026-01-07T00:00:00"/>
    <n v="249"/>
    <n v="8.3000000000000007"/>
    <n v="0"/>
    <n v="0"/>
    <n v="0"/>
    <x v="1"/>
    <n v="19.561643835616437"/>
    <x v="3"/>
    <n v="1"/>
    <d v="2005-10-15T00:00:00"/>
  </r>
  <r>
    <x v="1"/>
    <n v="18633859"/>
    <x v="0"/>
    <d v="2025-05-03T00:00:00"/>
    <x v="0"/>
    <x v="1"/>
    <x v="2"/>
    <d v="2026-03-03T00:00:00"/>
    <n v="304"/>
    <n v="10.133333333333333"/>
    <n v="0"/>
    <n v="0"/>
    <n v="0"/>
    <x v="1"/>
    <n v="19.567123287671233"/>
    <x v="3"/>
    <n v="1"/>
    <d v="2005-10-13T00:00:00"/>
  </r>
  <r>
    <x v="1"/>
    <n v="18633860"/>
    <x v="0"/>
    <d v="2025-05-03T00:00:00"/>
    <x v="0"/>
    <x v="1"/>
    <x v="2"/>
    <d v="2025-06-08T00:00:00"/>
    <n v="36"/>
    <n v="1.2"/>
    <n v="0"/>
    <n v="1"/>
    <n v="1"/>
    <x v="1"/>
    <n v="53.235616438356168"/>
    <x v="0"/>
    <n v="4"/>
    <d v="1972-02-20T00:00:00"/>
  </r>
  <r>
    <x v="1"/>
    <n v="18633929"/>
    <x v="0"/>
    <d v="2025-05-05T00:00:00"/>
    <x v="0"/>
    <x v="1"/>
    <x v="2"/>
    <m/>
    <n v="9999"/>
    <n v="333.3"/>
    <n v="0"/>
    <n v="0"/>
    <n v="0"/>
    <x v="0"/>
    <n v="28.271232876712329"/>
    <x v="1"/>
    <n v="3"/>
    <d v="1997-02-02T00:00:00"/>
  </r>
  <r>
    <x v="1"/>
    <n v="18633930"/>
    <x v="0"/>
    <d v="2025-05-05T00:00:00"/>
    <x v="0"/>
    <x v="1"/>
    <x v="2"/>
    <d v="2025-06-17T00:00:00"/>
    <n v="43"/>
    <n v="1.4333333333333333"/>
    <n v="0"/>
    <n v="1"/>
    <n v="1"/>
    <x v="0"/>
    <n v="32.219178082191782"/>
    <x v="0"/>
    <n v="4"/>
    <d v="1993-02-22T00:00:00"/>
  </r>
  <r>
    <x v="1"/>
    <n v="18633958"/>
    <x v="0"/>
    <d v="2025-05-05T00:00:00"/>
    <x v="0"/>
    <x v="1"/>
    <x v="2"/>
    <m/>
    <n v="9999"/>
    <n v="333.3"/>
    <n v="0"/>
    <n v="0"/>
    <n v="0"/>
    <x v="1"/>
    <n v="20.731506849315068"/>
    <x v="3"/>
    <n v="1"/>
    <d v="2004-08-16T00:00:00"/>
  </r>
  <r>
    <x v="1"/>
    <n v="18633970"/>
    <x v="1"/>
    <d v="2025-05-05T00:00:00"/>
    <x v="0"/>
    <x v="1"/>
    <x v="2"/>
    <d v="2025-12-15T00:00:00"/>
    <n v="224"/>
    <n v="7.4666666666666668"/>
    <n v="0"/>
    <n v="0"/>
    <n v="0"/>
    <x v="1"/>
    <n v="20.594520547945205"/>
    <x v="3"/>
    <n v="1"/>
    <d v="2004-10-05T00:00:00"/>
  </r>
  <r>
    <x v="1"/>
    <n v="18633971"/>
    <x v="0"/>
    <d v="2025-05-05T00:00:00"/>
    <x v="0"/>
    <x v="1"/>
    <x v="2"/>
    <m/>
    <n v="9999"/>
    <n v="333.3"/>
    <n v="0"/>
    <n v="0"/>
    <n v="0"/>
    <x v="1"/>
    <n v="19.336986301369862"/>
    <x v="3"/>
    <n v="1"/>
    <d v="2006-01-07T00:00:00"/>
  </r>
  <r>
    <x v="1"/>
    <n v="18633972"/>
    <x v="0"/>
    <d v="2025-05-05T00:00:00"/>
    <x v="0"/>
    <x v="1"/>
    <x v="2"/>
    <m/>
    <n v="9999"/>
    <n v="333.3"/>
    <n v="0"/>
    <n v="0"/>
    <n v="0"/>
    <x v="1"/>
    <n v="20.515068493150686"/>
    <x v="3"/>
    <n v="1"/>
    <d v="2004-11-03T00:00:00"/>
  </r>
  <r>
    <x v="1"/>
    <n v="18633974"/>
    <x v="1"/>
    <d v="2025-05-05T00:00:00"/>
    <x v="0"/>
    <x v="1"/>
    <x v="2"/>
    <d v="2025-05-31T00:00:00"/>
    <n v="26"/>
    <n v="0.8666666666666667"/>
    <n v="1"/>
    <n v="1"/>
    <n v="1"/>
    <x v="1"/>
    <n v="19.947945205479453"/>
    <x v="3"/>
    <n v="1"/>
    <d v="2005-05-29T00:00:00"/>
  </r>
  <r>
    <x v="1"/>
    <n v="18633978"/>
    <x v="1"/>
    <d v="2025-05-05T00:00:00"/>
    <x v="0"/>
    <x v="1"/>
    <x v="2"/>
    <d v="2026-01-05T00:00:00"/>
    <n v="245"/>
    <n v="8.1666666666666661"/>
    <n v="0"/>
    <n v="0"/>
    <n v="0"/>
    <x v="1"/>
    <n v="21.32054794520548"/>
    <x v="2"/>
    <n v="2"/>
    <d v="2004-01-14T00:00:00"/>
  </r>
  <r>
    <x v="1"/>
    <n v="18633979"/>
    <x v="1"/>
    <d v="2025-05-05T00:00:00"/>
    <x v="0"/>
    <x v="1"/>
    <x v="2"/>
    <m/>
    <n v="9999"/>
    <n v="333.3"/>
    <n v="0"/>
    <n v="0"/>
    <n v="0"/>
    <x v="0"/>
    <n v="20.758904109589039"/>
    <x v="3"/>
    <n v="1"/>
    <d v="2004-08-06T00:00:00"/>
  </r>
  <r>
    <x v="1"/>
    <n v="18634008"/>
    <x v="0"/>
    <d v="2025-05-05T00:00:00"/>
    <x v="0"/>
    <x v="1"/>
    <x v="2"/>
    <d v="2025-07-01T00:00:00"/>
    <n v="57"/>
    <n v="1.9"/>
    <n v="0"/>
    <n v="1"/>
    <n v="1"/>
    <x v="1"/>
    <n v="31.969863013698632"/>
    <x v="0"/>
    <n v="4"/>
    <d v="1993-05-24T00:00:00"/>
  </r>
  <r>
    <x v="0"/>
    <n v="18634011"/>
    <x v="1"/>
    <d v="2025-05-05T00:00:00"/>
    <x v="0"/>
    <x v="1"/>
    <x v="2"/>
    <d v="2025-07-01T00:00:00"/>
    <n v="57"/>
    <n v="1.9"/>
    <n v="0"/>
    <n v="1"/>
    <n v="1"/>
    <x v="1"/>
    <n v="20.18904109589041"/>
    <x v="3"/>
    <n v="1"/>
    <d v="2005-03-02T00:00:00"/>
  </r>
  <r>
    <x v="1"/>
    <n v="18634012"/>
    <x v="0"/>
    <d v="2025-05-05T00:00:00"/>
    <x v="0"/>
    <x v="1"/>
    <x v="2"/>
    <m/>
    <n v="9999"/>
    <n v="333.3"/>
    <n v="0"/>
    <n v="0"/>
    <n v="0"/>
    <x v="1"/>
    <n v="20.238356164383561"/>
    <x v="3"/>
    <n v="1"/>
    <d v="2005-02-12T00:00:00"/>
  </r>
  <r>
    <x v="1"/>
    <n v="18634029"/>
    <x v="0"/>
    <d v="2025-05-05T00:00:00"/>
    <x v="0"/>
    <x v="1"/>
    <x v="2"/>
    <d v="2026-04-01T00:00:00"/>
    <n v="331"/>
    <n v="11.033333333333333"/>
    <n v="0"/>
    <n v="0"/>
    <n v="0"/>
    <x v="0"/>
    <n v="29.476712328767125"/>
    <x v="1"/>
    <n v="3"/>
    <d v="1995-11-20T00:00:00"/>
  </r>
  <r>
    <x v="1"/>
    <n v="18634030"/>
    <x v="0"/>
    <d v="2025-05-05T00:00:00"/>
    <x v="0"/>
    <x v="1"/>
    <x v="2"/>
    <d v="2026-02-15T00:00:00"/>
    <n v="286"/>
    <n v="9.5333333333333332"/>
    <n v="0"/>
    <n v="0"/>
    <n v="0"/>
    <x v="0"/>
    <n v="23.641095890410959"/>
    <x v="2"/>
    <n v="2"/>
    <d v="2001-09-19T00:00:00"/>
  </r>
  <r>
    <x v="1"/>
    <n v="18634032"/>
    <x v="0"/>
    <d v="2025-05-05T00:00:00"/>
    <x v="0"/>
    <x v="1"/>
    <x v="2"/>
    <d v="2025-08-15T00:00:00"/>
    <n v="102"/>
    <n v="3.4"/>
    <n v="0"/>
    <n v="0"/>
    <n v="1"/>
    <x v="1"/>
    <n v="21.032876712328768"/>
    <x v="2"/>
    <n v="2"/>
    <d v="2004-04-28T00:00:00"/>
  </r>
  <r>
    <x v="1"/>
    <n v="18634046"/>
    <x v="0"/>
    <d v="2025-05-05T00:00:00"/>
    <x v="0"/>
    <x v="1"/>
    <x v="2"/>
    <d v="2025-10-20T00:00:00"/>
    <n v="168"/>
    <n v="5.6"/>
    <n v="0"/>
    <n v="0"/>
    <n v="1"/>
    <x v="1"/>
    <n v="31.75068493150685"/>
    <x v="0"/>
    <n v="4"/>
    <d v="1993-08-12T00:00:00"/>
  </r>
  <r>
    <x v="1"/>
    <n v="18634049"/>
    <x v="1"/>
    <d v="2025-05-05T00:00:00"/>
    <x v="0"/>
    <x v="1"/>
    <x v="2"/>
    <d v="2025-12-01T00:00:00"/>
    <n v="210"/>
    <n v="7"/>
    <n v="0"/>
    <n v="0"/>
    <n v="0"/>
    <x v="0"/>
    <n v="20.156164383561645"/>
    <x v="3"/>
    <n v="1"/>
    <d v="2005-03-14T00:00:00"/>
  </r>
  <r>
    <x v="1"/>
    <n v="18634563"/>
    <x v="0"/>
    <d v="2025-05-06T00:00:00"/>
    <x v="0"/>
    <x v="1"/>
    <x v="2"/>
    <d v="2026-03-05T00:00:00"/>
    <n v="303"/>
    <n v="10.1"/>
    <n v="0"/>
    <n v="0"/>
    <n v="0"/>
    <x v="1"/>
    <n v="46.884931506849313"/>
    <x v="0"/>
    <n v="4"/>
    <d v="1978-06-29T00:00:00"/>
  </r>
  <r>
    <x v="1"/>
    <n v="18634640"/>
    <x v="0"/>
    <d v="2025-05-06T00:00:00"/>
    <x v="0"/>
    <x v="1"/>
    <x v="2"/>
    <m/>
    <n v="9999"/>
    <n v="333.3"/>
    <n v="0"/>
    <n v="0"/>
    <n v="0"/>
    <x v="1"/>
    <n v="18.904109589041095"/>
    <x v="3"/>
    <n v="1"/>
    <d v="2006-06-15T00:00:00"/>
  </r>
  <r>
    <x v="1"/>
    <n v="18641071"/>
    <x v="0"/>
    <d v="2025-05-07T00:00:00"/>
    <x v="0"/>
    <x v="1"/>
    <x v="2"/>
    <d v="2025-08-07T00:00:00"/>
    <n v="92"/>
    <n v="3.0666666666666669"/>
    <n v="0"/>
    <n v="0"/>
    <n v="1"/>
    <x v="0"/>
    <n v="18.824657534246576"/>
    <x v="3"/>
    <n v="1"/>
    <d v="2006-07-15T00:00:00"/>
  </r>
  <r>
    <x v="1"/>
    <n v="18641394"/>
    <x v="0"/>
    <d v="2025-05-07T00:00:00"/>
    <x v="0"/>
    <x v="1"/>
    <x v="2"/>
    <m/>
    <n v="9999"/>
    <n v="333.3"/>
    <n v="0"/>
    <n v="0"/>
    <n v="0"/>
    <x v="0"/>
    <n v="26.052054794520547"/>
    <x v="1"/>
    <n v="3"/>
    <d v="1999-04-25T00:00:00"/>
  </r>
  <r>
    <x v="1"/>
    <n v="18641546"/>
    <x v="0"/>
    <d v="2025-05-07T00:00:00"/>
    <x v="0"/>
    <x v="1"/>
    <x v="2"/>
    <d v="2025-07-07T00:00:00"/>
    <n v="61"/>
    <n v="2.0333333333333332"/>
    <n v="0"/>
    <n v="1"/>
    <n v="1"/>
    <x v="1"/>
    <n v="23.246575342465754"/>
    <x v="2"/>
    <n v="2"/>
    <d v="2002-02-12T00:00:00"/>
  </r>
  <r>
    <x v="1"/>
    <n v="18641709"/>
    <x v="0"/>
    <d v="2025-05-07T00:00:00"/>
    <x v="0"/>
    <x v="1"/>
    <x v="2"/>
    <d v="2025-08-31T00:00:00"/>
    <n v="116"/>
    <n v="3.8666666666666667"/>
    <n v="0"/>
    <n v="0"/>
    <n v="1"/>
    <x v="1"/>
    <n v="18.517808219178082"/>
    <x v="3"/>
    <n v="1"/>
    <d v="2006-11-04T00:00:00"/>
  </r>
  <r>
    <x v="1"/>
    <n v="18641803"/>
    <x v="0"/>
    <d v="2025-05-07T00:00:00"/>
    <x v="0"/>
    <x v="1"/>
    <x v="2"/>
    <m/>
    <n v="9999"/>
    <n v="333.3"/>
    <n v="0"/>
    <n v="0"/>
    <n v="0"/>
    <x v="1"/>
    <n v="22.358904109589041"/>
    <x v="2"/>
    <n v="2"/>
    <d v="2003-01-02T00:00:00"/>
  </r>
  <r>
    <x v="1"/>
    <n v="18642081"/>
    <x v="1"/>
    <d v="2025-05-07T00:00:00"/>
    <x v="0"/>
    <x v="1"/>
    <x v="2"/>
    <d v="2025-05-31T00:00:00"/>
    <n v="24"/>
    <n v="0.8"/>
    <n v="1"/>
    <n v="1"/>
    <n v="1"/>
    <x v="0"/>
    <n v="19.487671232876714"/>
    <x v="3"/>
    <n v="1"/>
    <d v="2005-11-15T00:00:00"/>
  </r>
  <r>
    <x v="1"/>
    <n v="18642871"/>
    <x v="0"/>
    <d v="2025-05-07T00:00:00"/>
    <x v="0"/>
    <x v="1"/>
    <x v="2"/>
    <d v="2026-03-31T00:00:00"/>
    <n v="328"/>
    <n v="10.933333333333334"/>
    <n v="0"/>
    <n v="0"/>
    <n v="0"/>
    <x v="0"/>
    <n v="21.038356164383561"/>
    <x v="2"/>
    <n v="2"/>
    <d v="2004-04-28T00:00:00"/>
  </r>
  <r>
    <x v="1"/>
    <n v="18643524"/>
    <x v="0"/>
    <d v="2025-11-03T00:00:00"/>
    <x v="0"/>
    <x v="4"/>
    <x v="6"/>
    <d v="2025-12-01T00:00:00"/>
    <n v="28"/>
    <n v="0.93333333333333335"/>
    <n v="1"/>
    <n v="1"/>
    <n v="1"/>
    <x v="0"/>
    <n v="37.986301369863014"/>
    <x v="0"/>
    <n v="4"/>
    <d v="1987-11-18T00:00:00"/>
  </r>
  <r>
    <x v="1"/>
    <n v="18643582"/>
    <x v="0"/>
    <d v="2025-05-08T00:00:00"/>
    <x v="0"/>
    <x v="1"/>
    <x v="2"/>
    <m/>
    <n v="9999"/>
    <n v="333.3"/>
    <n v="0"/>
    <n v="0"/>
    <n v="0"/>
    <x v="1"/>
    <n v="38.257534246575339"/>
    <x v="0"/>
    <n v="4"/>
    <d v="1987-02-13T00:00:00"/>
  </r>
  <r>
    <x v="1"/>
    <n v="18643583"/>
    <x v="0"/>
    <d v="2025-05-08T00:00:00"/>
    <x v="0"/>
    <x v="1"/>
    <x v="2"/>
    <d v="2026-01-01T00:00:00"/>
    <n v="238"/>
    <n v="7.9333333333333336"/>
    <n v="0"/>
    <n v="0"/>
    <n v="0"/>
    <x v="1"/>
    <n v="21.038356164383561"/>
    <x v="2"/>
    <n v="2"/>
    <d v="2004-04-29T00:00:00"/>
  </r>
  <r>
    <x v="1"/>
    <n v="18643584"/>
    <x v="0"/>
    <d v="2025-05-08T00:00:00"/>
    <x v="0"/>
    <x v="1"/>
    <x v="2"/>
    <d v="2025-08-04T00:00:00"/>
    <n v="88"/>
    <n v="2.9333333333333331"/>
    <n v="0"/>
    <n v="1"/>
    <n v="1"/>
    <x v="1"/>
    <n v="18.643835616438356"/>
    <x v="3"/>
    <n v="1"/>
    <d v="2006-09-20T00:00:00"/>
  </r>
  <r>
    <x v="1"/>
    <n v="18643587"/>
    <x v="0"/>
    <d v="2025-05-08T00:00:00"/>
    <x v="0"/>
    <x v="1"/>
    <x v="2"/>
    <m/>
    <n v="9999"/>
    <n v="333.3"/>
    <n v="0"/>
    <n v="0"/>
    <n v="0"/>
    <x v="1"/>
    <n v="23.802739726027397"/>
    <x v="2"/>
    <n v="2"/>
    <d v="2001-07-25T00:00:00"/>
  </r>
  <r>
    <x v="1"/>
    <n v="18643595"/>
    <x v="1"/>
    <d v="2025-05-08T00:00:00"/>
    <x v="0"/>
    <x v="1"/>
    <x v="2"/>
    <d v="2025-06-30T00:00:00"/>
    <n v="53"/>
    <n v="1.7666666666666666"/>
    <n v="0"/>
    <n v="1"/>
    <n v="1"/>
    <x v="1"/>
    <n v="18.67945205479452"/>
    <x v="3"/>
    <n v="1"/>
    <d v="2006-09-07T00:00:00"/>
  </r>
  <r>
    <x v="1"/>
    <n v="18643598"/>
    <x v="0"/>
    <d v="2025-05-08T00:00:00"/>
    <x v="0"/>
    <x v="1"/>
    <x v="2"/>
    <m/>
    <n v="9999"/>
    <n v="333.3"/>
    <n v="0"/>
    <n v="0"/>
    <n v="0"/>
    <x v="1"/>
    <n v="19.624657534246577"/>
    <x v="3"/>
    <n v="1"/>
    <d v="2005-09-27T00:00:00"/>
  </r>
  <r>
    <x v="1"/>
    <n v="18643599"/>
    <x v="1"/>
    <d v="2025-05-08T00:00:00"/>
    <x v="0"/>
    <x v="1"/>
    <x v="2"/>
    <d v="2025-09-30T00:00:00"/>
    <n v="145"/>
    <n v="4.833333333333333"/>
    <n v="0"/>
    <n v="0"/>
    <n v="1"/>
    <x v="1"/>
    <n v="32.926027397260277"/>
    <x v="0"/>
    <n v="4"/>
    <d v="1992-06-12T00:00:00"/>
  </r>
  <r>
    <x v="1"/>
    <n v="18643603"/>
    <x v="0"/>
    <d v="2025-05-08T00:00:00"/>
    <x v="0"/>
    <x v="1"/>
    <x v="2"/>
    <d v="2025-08-10T00:00:00"/>
    <n v="94"/>
    <n v="3.1333333333333333"/>
    <n v="0"/>
    <n v="0"/>
    <n v="1"/>
    <x v="1"/>
    <n v="21.454794520547946"/>
    <x v="2"/>
    <n v="2"/>
    <d v="2003-11-29T00:00:00"/>
  </r>
  <r>
    <x v="1"/>
    <n v="18643605"/>
    <x v="0"/>
    <d v="2025-05-08T00:00:00"/>
    <x v="0"/>
    <x v="1"/>
    <x v="2"/>
    <d v="2025-11-07T00:00:00"/>
    <n v="183"/>
    <n v="6.1"/>
    <n v="0"/>
    <n v="0"/>
    <n v="0"/>
    <x v="1"/>
    <n v="42.6"/>
    <x v="0"/>
    <n v="4"/>
    <d v="1982-10-12T00:00:00"/>
  </r>
  <r>
    <x v="1"/>
    <n v="18643606"/>
    <x v="0"/>
    <d v="2025-05-08T00:00:00"/>
    <x v="0"/>
    <x v="1"/>
    <x v="2"/>
    <m/>
    <n v="9999"/>
    <n v="333.3"/>
    <n v="0"/>
    <n v="0"/>
    <n v="0"/>
    <x v="1"/>
    <n v="18.794520547945204"/>
    <x v="3"/>
    <n v="1"/>
    <d v="2006-07-27T00:00:00"/>
  </r>
  <r>
    <x v="1"/>
    <n v="18643608"/>
    <x v="0"/>
    <d v="2025-05-08T00:00:00"/>
    <x v="0"/>
    <x v="1"/>
    <x v="2"/>
    <d v="2025-05-09T00:00:00"/>
    <n v="1"/>
    <n v="3.3333333333333333E-2"/>
    <n v="1"/>
    <n v="1"/>
    <n v="1"/>
    <x v="1"/>
    <n v="27.882191780821916"/>
    <x v="1"/>
    <n v="3"/>
    <d v="1997-06-27T00:00:00"/>
  </r>
  <r>
    <x v="1"/>
    <n v="18643610"/>
    <x v="0"/>
    <d v="2025-05-08T00:00:00"/>
    <x v="0"/>
    <x v="1"/>
    <x v="2"/>
    <d v="2026-02-01T00:00:00"/>
    <n v="269"/>
    <n v="8.9666666666666668"/>
    <n v="0"/>
    <n v="0"/>
    <n v="0"/>
    <x v="1"/>
    <n v="18.772602739726029"/>
    <x v="3"/>
    <n v="1"/>
    <d v="2006-08-04T00:00:00"/>
  </r>
  <r>
    <x v="1"/>
    <n v="18643613"/>
    <x v="0"/>
    <d v="2025-05-08T00:00:00"/>
    <x v="0"/>
    <x v="1"/>
    <x v="2"/>
    <d v="2025-06-04T00:00:00"/>
    <n v="27"/>
    <n v="0.9"/>
    <n v="1"/>
    <n v="1"/>
    <n v="1"/>
    <x v="1"/>
    <n v="18.8"/>
    <x v="3"/>
    <n v="1"/>
    <d v="2006-07-25T00:00:00"/>
  </r>
  <r>
    <x v="1"/>
    <n v="18643635"/>
    <x v="1"/>
    <d v="2025-05-08T00:00:00"/>
    <x v="0"/>
    <x v="1"/>
    <x v="2"/>
    <d v="2025-12-19T00:00:00"/>
    <n v="225"/>
    <n v="7.5"/>
    <n v="0"/>
    <n v="0"/>
    <n v="0"/>
    <x v="0"/>
    <n v="19.81917808219178"/>
    <x v="3"/>
    <n v="1"/>
    <d v="2005-07-18T00:00:00"/>
  </r>
  <r>
    <x v="1"/>
    <n v="18643637"/>
    <x v="0"/>
    <d v="2025-05-08T00:00:00"/>
    <x v="0"/>
    <x v="1"/>
    <x v="2"/>
    <d v="2026-01-15T00:00:00"/>
    <n v="252"/>
    <n v="8.4"/>
    <n v="0"/>
    <n v="0"/>
    <n v="0"/>
    <x v="0"/>
    <n v="18.591780821917808"/>
    <x v="3"/>
    <n v="1"/>
    <d v="2006-10-09T00:00:00"/>
  </r>
  <r>
    <x v="1"/>
    <n v="18643638"/>
    <x v="0"/>
    <d v="2025-05-08T00:00:00"/>
    <x v="0"/>
    <x v="1"/>
    <x v="2"/>
    <d v="2025-08-01T00:00:00"/>
    <n v="85"/>
    <n v="2.8333333333333335"/>
    <n v="0"/>
    <n v="1"/>
    <n v="1"/>
    <x v="0"/>
    <n v="20.126027397260273"/>
    <x v="3"/>
    <n v="1"/>
    <d v="2005-03-28T00:00:00"/>
  </r>
  <r>
    <x v="1"/>
    <n v="18644813"/>
    <x v="0"/>
    <d v="2025-05-09T00:00:00"/>
    <x v="0"/>
    <x v="1"/>
    <x v="2"/>
    <d v="2026-02-22T00:00:00"/>
    <n v="289"/>
    <n v="9.6333333333333329"/>
    <n v="0"/>
    <n v="0"/>
    <n v="0"/>
    <x v="1"/>
    <n v="24.663013698630138"/>
    <x v="2"/>
    <n v="2"/>
    <d v="2000-09-15T00:00:00"/>
  </r>
  <r>
    <x v="1"/>
    <n v="18644906"/>
    <x v="1"/>
    <d v="2025-05-09T00:00:00"/>
    <x v="0"/>
    <x v="1"/>
    <x v="2"/>
    <d v="2025-10-31T00:00:00"/>
    <n v="175"/>
    <n v="5.833333333333333"/>
    <n v="0"/>
    <n v="0"/>
    <n v="1"/>
    <x v="1"/>
    <n v="24.624657534246577"/>
    <x v="2"/>
    <n v="2"/>
    <d v="2000-09-29T00:00:00"/>
  </r>
  <r>
    <x v="1"/>
    <n v="18644937"/>
    <x v="0"/>
    <d v="2025-05-09T00:00:00"/>
    <x v="0"/>
    <x v="1"/>
    <x v="2"/>
    <m/>
    <n v="9999"/>
    <n v="333.3"/>
    <n v="0"/>
    <n v="0"/>
    <n v="0"/>
    <x v="1"/>
    <n v="25.742465753424657"/>
    <x v="2"/>
    <n v="2"/>
    <d v="1999-08-18T00:00:00"/>
  </r>
  <r>
    <x v="1"/>
    <n v="18645108"/>
    <x v="0"/>
    <d v="2025-05-09T00:00:00"/>
    <x v="0"/>
    <x v="1"/>
    <x v="2"/>
    <m/>
    <n v="9999"/>
    <n v="333.3"/>
    <n v="0"/>
    <n v="0"/>
    <n v="0"/>
    <x v="1"/>
    <n v="19.706849315068492"/>
    <x v="3"/>
    <n v="1"/>
    <d v="2005-08-29T00:00:00"/>
  </r>
  <r>
    <x v="1"/>
    <n v="18645109"/>
    <x v="0"/>
    <d v="2025-05-09T00:00:00"/>
    <x v="0"/>
    <x v="1"/>
    <x v="2"/>
    <m/>
    <n v="9999"/>
    <n v="333.3"/>
    <n v="0"/>
    <n v="0"/>
    <n v="0"/>
    <x v="1"/>
    <n v="29.408219178082192"/>
    <x v="1"/>
    <n v="3"/>
    <d v="1995-12-19T00:00:00"/>
  </r>
  <r>
    <x v="1"/>
    <n v="18645110"/>
    <x v="1"/>
    <d v="2025-05-09T00:00:00"/>
    <x v="0"/>
    <x v="1"/>
    <x v="2"/>
    <d v="2026-02-01T00:00:00"/>
    <n v="268"/>
    <n v="8.9333333333333336"/>
    <n v="0"/>
    <n v="0"/>
    <n v="0"/>
    <x v="1"/>
    <n v="19.394520547945206"/>
    <x v="3"/>
    <n v="1"/>
    <d v="2005-12-21T00:00:00"/>
  </r>
  <r>
    <x v="1"/>
    <n v="18645111"/>
    <x v="0"/>
    <d v="2025-05-09T00:00:00"/>
    <x v="0"/>
    <x v="1"/>
    <x v="2"/>
    <d v="2025-11-07T00:00:00"/>
    <n v="182"/>
    <n v="6.0666666666666664"/>
    <n v="0"/>
    <n v="0"/>
    <n v="0"/>
    <x v="1"/>
    <n v="32.164383561643838"/>
    <x v="0"/>
    <n v="4"/>
    <d v="1993-03-18T00:00:00"/>
  </r>
  <r>
    <x v="1"/>
    <n v="18645112"/>
    <x v="0"/>
    <d v="2025-05-09T00:00:00"/>
    <x v="0"/>
    <x v="1"/>
    <x v="2"/>
    <d v="2026-04-30T00:00:00"/>
    <n v="356"/>
    <n v="11.866666666666667"/>
    <n v="0"/>
    <n v="0"/>
    <n v="0"/>
    <x v="1"/>
    <n v="41.512328767123286"/>
    <x v="0"/>
    <n v="4"/>
    <d v="1983-11-14T00:00:00"/>
  </r>
  <r>
    <x v="1"/>
    <n v="18645308"/>
    <x v="0"/>
    <d v="2025-05-09T00:00:00"/>
    <x v="0"/>
    <x v="1"/>
    <x v="2"/>
    <d v="2026-03-31T00:00:00"/>
    <n v="326"/>
    <n v="10.866666666666667"/>
    <n v="0"/>
    <n v="0"/>
    <n v="0"/>
    <x v="1"/>
    <n v="30.093150684931508"/>
    <x v="1"/>
    <n v="3"/>
    <d v="1995-04-13T00:00:00"/>
  </r>
  <r>
    <x v="1"/>
    <n v="18645354"/>
    <x v="0"/>
    <d v="2025-05-09T00:00:00"/>
    <x v="0"/>
    <x v="1"/>
    <x v="2"/>
    <d v="2026-05-10T00:00:00"/>
    <n v="366"/>
    <n v="12.2"/>
    <n v="0"/>
    <n v="0"/>
    <n v="0"/>
    <x v="1"/>
    <n v="22.512328767123286"/>
    <x v="2"/>
    <n v="2"/>
    <d v="2002-11-09T00:00:00"/>
  </r>
  <r>
    <x v="1"/>
    <n v="18645355"/>
    <x v="1"/>
    <d v="2025-05-09T00:00:00"/>
    <x v="0"/>
    <x v="1"/>
    <x v="2"/>
    <m/>
    <n v="9999"/>
    <n v="333.3"/>
    <n v="0"/>
    <n v="0"/>
    <n v="0"/>
    <x v="1"/>
    <n v="18.627397260273973"/>
    <x v="3"/>
    <n v="1"/>
    <d v="2006-09-27T00:00:00"/>
  </r>
  <r>
    <x v="1"/>
    <n v="18645386"/>
    <x v="1"/>
    <d v="2025-05-09T00:00:00"/>
    <x v="0"/>
    <x v="1"/>
    <x v="2"/>
    <d v="2025-12-15T00:00:00"/>
    <n v="220"/>
    <n v="7.333333333333333"/>
    <n v="0"/>
    <n v="0"/>
    <n v="0"/>
    <x v="1"/>
    <n v="23.983561643835618"/>
    <x v="2"/>
    <n v="2"/>
    <d v="2001-05-21T00:00:00"/>
  </r>
  <r>
    <x v="1"/>
    <n v="18645417"/>
    <x v="0"/>
    <d v="2025-05-09T00:00:00"/>
    <x v="0"/>
    <x v="1"/>
    <x v="2"/>
    <d v="2025-12-15T00:00:00"/>
    <n v="220"/>
    <n v="7.333333333333333"/>
    <n v="0"/>
    <n v="0"/>
    <n v="0"/>
    <x v="1"/>
    <n v="26.926027397260274"/>
    <x v="1"/>
    <n v="3"/>
    <d v="1998-06-12T00:00:00"/>
  </r>
  <r>
    <x v="1"/>
    <n v="18645479"/>
    <x v="0"/>
    <d v="2025-05-09T00:00:00"/>
    <x v="0"/>
    <x v="1"/>
    <x v="2"/>
    <m/>
    <n v="9999"/>
    <n v="333.3"/>
    <n v="0"/>
    <n v="0"/>
    <n v="0"/>
    <x v="1"/>
    <n v="48.06849315068493"/>
    <x v="0"/>
    <n v="4"/>
    <d v="1977-04-26T00:00:00"/>
  </r>
  <r>
    <x v="1"/>
    <n v="18645557"/>
    <x v="0"/>
    <d v="2025-05-09T00:00:00"/>
    <x v="0"/>
    <x v="1"/>
    <x v="2"/>
    <m/>
    <n v="9999"/>
    <n v="333.3"/>
    <n v="0"/>
    <n v="0"/>
    <n v="0"/>
    <x v="1"/>
    <n v="21.857534246575341"/>
    <x v="2"/>
    <n v="2"/>
    <d v="2003-07-06T00:00:00"/>
  </r>
  <r>
    <x v="1"/>
    <n v="18645588"/>
    <x v="0"/>
    <d v="2025-05-09T00:00:00"/>
    <x v="0"/>
    <x v="1"/>
    <x v="2"/>
    <d v="2025-08-19T00:00:00"/>
    <n v="102"/>
    <n v="3.4"/>
    <n v="0"/>
    <n v="0"/>
    <n v="1"/>
    <x v="1"/>
    <n v="18.046575342465754"/>
    <x v="3"/>
    <n v="1"/>
    <d v="2007-04-27T00:00:00"/>
  </r>
  <r>
    <x v="1"/>
    <n v="18645589"/>
    <x v="0"/>
    <d v="2025-05-09T00:00:00"/>
    <x v="0"/>
    <x v="1"/>
    <x v="2"/>
    <d v="2025-11-07T00:00:00"/>
    <n v="182"/>
    <n v="6.0666666666666664"/>
    <n v="0"/>
    <n v="0"/>
    <n v="0"/>
    <x v="1"/>
    <n v="19.857534246575341"/>
    <x v="3"/>
    <n v="1"/>
    <d v="2005-07-05T00:00:00"/>
  </r>
  <r>
    <x v="0"/>
    <n v="18646348"/>
    <x v="0"/>
    <d v="2025-05-09T00:00:00"/>
    <x v="0"/>
    <x v="1"/>
    <x v="2"/>
    <m/>
    <n v="9999"/>
    <n v="333.3"/>
    <n v="0"/>
    <n v="0"/>
    <n v="0"/>
    <x v="1"/>
    <n v="21.353424657534248"/>
    <x v="2"/>
    <n v="2"/>
    <d v="2004-01-06T00:00:00"/>
  </r>
  <r>
    <x v="1"/>
    <n v="18677260"/>
    <x v="0"/>
    <d v="2025-05-12T00:00:00"/>
    <x v="0"/>
    <x v="1"/>
    <x v="2"/>
    <d v="2025-08-07T00:00:00"/>
    <n v="87"/>
    <n v="2.9"/>
    <n v="0"/>
    <n v="1"/>
    <n v="1"/>
    <x v="0"/>
    <n v="18.92876712328767"/>
    <x v="3"/>
    <n v="1"/>
    <d v="2006-06-12T00:00:00"/>
  </r>
  <r>
    <x v="1"/>
    <n v="18677291"/>
    <x v="0"/>
    <d v="2025-05-12T00:00:00"/>
    <x v="0"/>
    <x v="1"/>
    <x v="2"/>
    <d v="2025-05-15T00:00:00"/>
    <n v="3"/>
    <n v="0.1"/>
    <n v="1"/>
    <n v="1"/>
    <n v="1"/>
    <x v="0"/>
    <n v="34.027397260273972"/>
    <x v="0"/>
    <n v="4"/>
    <d v="1991-05-11T00:00:00"/>
  </r>
  <r>
    <x v="1"/>
    <n v="18677353"/>
    <x v="0"/>
    <d v="2025-05-12T00:00:00"/>
    <x v="0"/>
    <x v="1"/>
    <x v="2"/>
    <m/>
    <n v="9999"/>
    <n v="333.3"/>
    <n v="0"/>
    <n v="0"/>
    <n v="0"/>
    <x v="0"/>
    <n v="39.057534246575344"/>
    <x v="0"/>
    <n v="4"/>
    <d v="1986-05-01T00:00:00"/>
  </r>
  <r>
    <x v="1"/>
    <n v="18677385"/>
    <x v="0"/>
    <d v="2025-05-12T00:00:00"/>
    <x v="0"/>
    <x v="1"/>
    <x v="2"/>
    <d v="2025-05-14T00:00:00"/>
    <n v="2"/>
    <n v="6.6666666666666666E-2"/>
    <n v="1"/>
    <n v="1"/>
    <n v="1"/>
    <x v="1"/>
    <n v="25.967123287671232"/>
    <x v="2"/>
    <n v="2"/>
    <d v="1999-05-31T00:00:00"/>
  </r>
  <r>
    <x v="1"/>
    <n v="18677503"/>
    <x v="0"/>
    <d v="2025-05-12T00:00:00"/>
    <x v="0"/>
    <x v="1"/>
    <x v="2"/>
    <d v="2025-08-01T00:00:00"/>
    <n v="81"/>
    <n v="2.7"/>
    <n v="0"/>
    <n v="1"/>
    <n v="1"/>
    <x v="0"/>
    <n v="25.536986301369861"/>
    <x v="2"/>
    <n v="2"/>
    <d v="1999-11-04T00:00:00"/>
  </r>
  <r>
    <x v="1"/>
    <n v="18677871"/>
    <x v="0"/>
    <d v="2025-05-12T00:00:00"/>
    <x v="0"/>
    <x v="1"/>
    <x v="2"/>
    <m/>
    <n v="9999"/>
    <n v="333.3"/>
    <n v="0"/>
    <n v="0"/>
    <n v="0"/>
    <x v="0"/>
    <n v="22.150684931506849"/>
    <x v="2"/>
    <n v="2"/>
    <d v="2003-03-24T00:00:00"/>
  </r>
  <r>
    <x v="1"/>
    <n v="18678007"/>
    <x v="1"/>
    <d v="2025-05-13T00:00:00"/>
    <x v="0"/>
    <x v="1"/>
    <x v="2"/>
    <d v="2025-06-30T00:00:00"/>
    <n v="48"/>
    <n v="1.6"/>
    <n v="0"/>
    <n v="1"/>
    <n v="1"/>
    <x v="1"/>
    <n v="22.87123287671233"/>
    <x v="2"/>
    <n v="2"/>
    <d v="2002-07-05T00:00:00"/>
  </r>
  <r>
    <x v="1"/>
    <n v="18678099"/>
    <x v="1"/>
    <d v="2025-05-13T00:00:00"/>
    <x v="0"/>
    <x v="1"/>
    <x v="2"/>
    <d v="2026-03-31T00:00:00"/>
    <n v="322"/>
    <n v="10.733333333333333"/>
    <n v="0"/>
    <n v="0"/>
    <n v="0"/>
    <x v="1"/>
    <n v="18.326027397260273"/>
    <x v="3"/>
    <n v="1"/>
    <d v="2007-01-19T00:00:00"/>
  </r>
  <r>
    <x v="1"/>
    <n v="18678409"/>
    <x v="0"/>
    <d v="2025-05-13T00:00:00"/>
    <x v="0"/>
    <x v="1"/>
    <x v="2"/>
    <d v="2025-05-31T00:00:00"/>
    <n v="18"/>
    <n v="0.6"/>
    <n v="1"/>
    <n v="1"/>
    <n v="1"/>
    <x v="0"/>
    <n v="20.904109589041095"/>
    <x v="3"/>
    <n v="1"/>
    <d v="2004-06-22T00:00:00"/>
  </r>
  <r>
    <x v="0"/>
    <n v="18679978"/>
    <x v="1"/>
    <d v="2025-05-14T00:00:00"/>
    <x v="0"/>
    <x v="1"/>
    <x v="2"/>
    <m/>
    <n v="9999"/>
    <n v="333.3"/>
    <n v="0"/>
    <n v="0"/>
    <n v="0"/>
    <x v="1"/>
    <n v="22.758904109589039"/>
    <x v="2"/>
    <n v="2"/>
    <d v="2002-08-16T00:00:00"/>
  </r>
  <r>
    <x v="0"/>
    <n v="18679981"/>
    <x v="0"/>
    <d v="2025-05-14T00:00:00"/>
    <x v="0"/>
    <x v="1"/>
    <x v="2"/>
    <d v="2026-05-01T00:00:00"/>
    <n v="352"/>
    <n v="11.733333333333333"/>
    <n v="0"/>
    <n v="0"/>
    <n v="0"/>
    <x v="1"/>
    <n v="40.265753424657532"/>
    <x v="0"/>
    <n v="4"/>
    <d v="1985-02-16T00:00:00"/>
  </r>
  <r>
    <x v="1"/>
    <n v="18680008"/>
    <x v="0"/>
    <d v="2025-05-14T00:00:00"/>
    <x v="0"/>
    <x v="1"/>
    <x v="2"/>
    <d v="2025-06-30T00:00:00"/>
    <n v="47"/>
    <n v="1.5666666666666667"/>
    <n v="0"/>
    <n v="1"/>
    <n v="1"/>
    <x v="1"/>
    <n v="41.517808219178079"/>
    <x v="0"/>
    <n v="4"/>
    <d v="1983-11-17T00:00:00"/>
  </r>
  <r>
    <x v="1"/>
    <n v="18680009"/>
    <x v="1"/>
    <d v="2025-05-14T00:00:00"/>
    <x v="0"/>
    <x v="1"/>
    <x v="2"/>
    <d v="2026-04-30T00:00:00"/>
    <n v="351"/>
    <n v="11.7"/>
    <n v="0"/>
    <n v="0"/>
    <n v="0"/>
    <x v="1"/>
    <n v="30.901369863013699"/>
    <x v="1"/>
    <n v="3"/>
    <d v="1994-06-27T00:00:00"/>
  </r>
  <r>
    <x v="1"/>
    <n v="18680013"/>
    <x v="1"/>
    <d v="2025-05-14T00:00:00"/>
    <x v="0"/>
    <x v="1"/>
    <x v="2"/>
    <d v="2025-11-01T00:00:00"/>
    <n v="171"/>
    <n v="5.7"/>
    <n v="0"/>
    <n v="0"/>
    <n v="1"/>
    <x v="1"/>
    <n v="22.315068493150687"/>
    <x v="2"/>
    <n v="2"/>
    <d v="2003-01-25T00:00:00"/>
  </r>
  <r>
    <x v="1"/>
    <n v="18680015"/>
    <x v="0"/>
    <d v="2025-05-14T00:00:00"/>
    <x v="0"/>
    <x v="1"/>
    <x v="2"/>
    <m/>
    <n v="9999"/>
    <n v="333.3"/>
    <n v="0"/>
    <n v="0"/>
    <n v="0"/>
    <x v="1"/>
    <n v="18.468493150684932"/>
    <x v="3"/>
    <n v="1"/>
    <d v="2006-11-29T00:00:00"/>
  </r>
  <r>
    <x v="1"/>
    <n v="18680016"/>
    <x v="0"/>
    <d v="2025-05-14T00:00:00"/>
    <x v="0"/>
    <x v="1"/>
    <x v="2"/>
    <m/>
    <n v="9999"/>
    <n v="333.3"/>
    <n v="0"/>
    <n v="0"/>
    <n v="0"/>
    <x v="1"/>
    <n v="22.435616438356163"/>
    <x v="2"/>
    <n v="2"/>
    <d v="2002-12-12T00:00:00"/>
  </r>
  <r>
    <x v="1"/>
    <n v="18680017"/>
    <x v="0"/>
    <d v="2025-05-14T00:00:00"/>
    <x v="0"/>
    <x v="1"/>
    <x v="2"/>
    <d v="2026-01-04T00:00:00"/>
    <n v="235"/>
    <n v="7.833333333333333"/>
    <n v="0"/>
    <n v="0"/>
    <n v="0"/>
    <x v="1"/>
    <n v="22.342465753424658"/>
    <x v="2"/>
    <n v="2"/>
    <d v="2003-01-15T00:00:00"/>
  </r>
  <r>
    <x v="1"/>
    <n v="18680019"/>
    <x v="0"/>
    <d v="2025-05-14T00:00:00"/>
    <x v="0"/>
    <x v="1"/>
    <x v="2"/>
    <d v="2026-04-12T00:00:00"/>
    <n v="333"/>
    <n v="11.1"/>
    <n v="0"/>
    <n v="0"/>
    <n v="0"/>
    <x v="1"/>
    <n v="20.613698630136987"/>
    <x v="3"/>
    <n v="1"/>
    <d v="2004-10-07T00:00:00"/>
  </r>
  <r>
    <x v="1"/>
    <n v="18680020"/>
    <x v="0"/>
    <d v="2025-05-14T00:00:00"/>
    <x v="0"/>
    <x v="1"/>
    <x v="2"/>
    <m/>
    <n v="9999"/>
    <n v="333.3"/>
    <n v="0"/>
    <n v="0"/>
    <n v="0"/>
    <x v="1"/>
    <n v="19.290410958904111"/>
    <x v="3"/>
    <n v="1"/>
    <d v="2006-02-02T00:00:00"/>
  </r>
  <r>
    <x v="1"/>
    <n v="18680021"/>
    <x v="0"/>
    <d v="2025-05-14T00:00:00"/>
    <x v="0"/>
    <x v="1"/>
    <x v="2"/>
    <m/>
    <n v="9999"/>
    <n v="333.3"/>
    <n v="0"/>
    <n v="0"/>
    <n v="0"/>
    <x v="0"/>
    <n v="30.145205479452056"/>
    <x v="1"/>
    <n v="3"/>
    <d v="1995-03-30T00:00:00"/>
  </r>
  <r>
    <x v="1"/>
    <n v="18680022"/>
    <x v="0"/>
    <d v="2025-05-14T00:00:00"/>
    <x v="0"/>
    <x v="1"/>
    <x v="2"/>
    <d v="2026-02-16T00:00:00"/>
    <n v="278"/>
    <n v="9.2666666666666675"/>
    <n v="0"/>
    <n v="0"/>
    <n v="0"/>
    <x v="1"/>
    <n v="21.575342465753426"/>
    <x v="2"/>
    <n v="2"/>
    <d v="2003-10-22T00:00:00"/>
  </r>
  <r>
    <x v="1"/>
    <n v="18680027"/>
    <x v="0"/>
    <d v="2025-05-14T00:00:00"/>
    <x v="0"/>
    <x v="1"/>
    <x v="2"/>
    <m/>
    <n v="9999"/>
    <n v="333.3"/>
    <n v="0"/>
    <n v="0"/>
    <n v="0"/>
    <x v="1"/>
    <n v="19.517808219178082"/>
    <x v="3"/>
    <n v="1"/>
    <d v="2005-11-11T00:00:00"/>
  </r>
  <r>
    <x v="1"/>
    <n v="18680028"/>
    <x v="1"/>
    <d v="2025-05-14T00:00:00"/>
    <x v="0"/>
    <x v="1"/>
    <x v="2"/>
    <d v="2025-06-18T00:00:00"/>
    <n v="35"/>
    <n v="1.1666666666666667"/>
    <n v="0"/>
    <n v="1"/>
    <n v="1"/>
    <x v="1"/>
    <n v="20.594520547945205"/>
    <x v="3"/>
    <n v="1"/>
    <d v="2004-10-14T00:00:00"/>
  </r>
  <r>
    <x v="1"/>
    <n v="18680029"/>
    <x v="0"/>
    <d v="2025-05-14T00:00:00"/>
    <x v="0"/>
    <x v="1"/>
    <x v="2"/>
    <d v="2026-03-15T00:00:00"/>
    <n v="305"/>
    <n v="10.166666666666666"/>
    <n v="0"/>
    <n v="0"/>
    <n v="0"/>
    <x v="0"/>
    <n v="23.323287671232876"/>
    <x v="2"/>
    <n v="2"/>
    <d v="2002-01-22T00:00:00"/>
  </r>
  <r>
    <x v="1"/>
    <n v="18680030"/>
    <x v="0"/>
    <d v="2025-05-14T00:00:00"/>
    <x v="0"/>
    <x v="1"/>
    <x v="2"/>
    <d v="2025-07-31T00:00:00"/>
    <n v="78"/>
    <n v="2.6"/>
    <n v="0"/>
    <n v="1"/>
    <n v="1"/>
    <x v="1"/>
    <n v="20.106849315068494"/>
    <x v="3"/>
    <n v="1"/>
    <d v="2005-04-10T00:00:00"/>
  </r>
  <r>
    <x v="1"/>
    <n v="18680037"/>
    <x v="0"/>
    <d v="2025-05-14T00:00:00"/>
    <x v="0"/>
    <x v="1"/>
    <x v="2"/>
    <m/>
    <n v="9999"/>
    <n v="333.3"/>
    <n v="0"/>
    <n v="0"/>
    <n v="0"/>
    <x v="1"/>
    <n v="34.224657534246575"/>
    <x v="0"/>
    <n v="4"/>
    <d v="1991-03-02T00:00:00"/>
  </r>
  <r>
    <x v="1"/>
    <n v="18680048"/>
    <x v="0"/>
    <d v="2025-05-14T00:00:00"/>
    <x v="0"/>
    <x v="1"/>
    <x v="2"/>
    <m/>
    <n v="9999"/>
    <n v="333.3"/>
    <n v="0"/>
    <n v="0"/>
    <n v="0"/>
    <x v="1"/>
    <n v="20.18082191780822"/>
    <x v="3"/>
    <n v="1"/>
    <d v="2005-03-14T00:00:00"/>
  </r>
  <r>
    <x v="1"/>
    <n v="18680051"/>
    <x v="0"/>
    <d v="2025-05-14T00:00:00"/>
    <x v="0"/>
    <x v="1"/>
    <x v="2"/>
    <m/>
    <n v="9999"/>
    <n v="333.3"/>
    <n v="0"/>
    <n v="0"/>
    <n v="0"/>
    <x v="0"/>
    <n v="20.769863013698629"/>
    <x v="3"/>
    <n v="1"/>
    <d v="2004-08-11T00:00:00"/>
  </r>
  <r>
    <x v="1"/>
    <n v="18680130"/>
    <x v="0"/>
    <d v="2025-05-14T00:00:00"/>
    <x v="0"/>
    <x v="1"/>
    <x v="2"/>
    <d v="2025-06-01T00:00:00"/>
    <n v="18"/>
    <n v="0.6"/>
    <n v="1"/>
    <n v="1"/>
    <n v="1"/>
    <x v="0"/>
    <n v="20.117808219178084"/>
    <x v="3"/>
    <n v="1"/>
    <d v="2005-04-06T00:00:00"/>
  </r>
  <r>
    <x v="1"/>
    <n v="18680143"/>
    <x v="0"/>
    <d v="2025-05-14T00:00:00"/>
    <x v="0"/>
    <x v="1"/>
    <x v="2"/>
    <m/>
    <n v="9999"/>
    <n v="333.3"/>
    <n v="0"/>
    <n v="0"/>
    <n v="0"/>
    <x v="0"/>
    <n v="19.602739726027398"/>
    <x v="3"/>
    <n v="1"/>
    <d v="2005-10-11T00:00:00"/>
  </r>
  <r>
    <x v="1"/>
    <n v="18681896"/>
    <x v="1"/>
    <d v="2025-05-15T00:00:00"/>
    <x v="0"/>
    <x v="1"/>
    <x v="2"/>
    <d v="2026-02-15T00:00:00"/>
    <n v="276"/>
    <n v="9.1999999999999993"/>
    <n v="0"/>
    <n v="0"/>
    <n v="0"/>
    <x v="1"/>
    <n v="18.704109589041096"/>
    <x v="3"/>
    <n v="1"/>
    <d v="2006-09-05T00:00:00"/>
  </r>
  <r>
    <x v="1"/>
    <n v="18681897"/>
    <x v="1"/>
    <d v="2025-05-15T00:00:00"/>
    <x v="0"/>
    <x v="1"/>
    <x v="2"/>
    <d v="2026-03-31T00:00:00"/>
    <n v="320"/>
    <n v="10.666666666666666"/>
    <n v="0"/>
    <n v="0"/>
    <n v="0"/>
    <x v="1"/>
    <n v="18.701369863013699"/>
    <x v="3"/>
    <n v="1"/>
    <d v="2006-09-06T00:00:00"/>
  </r>
  <r>
    <x v="1"/>
    <n v="18681898"/>
    <x v="1"/>
    <d v="2025-05-15T00:00:00"/>
    <x v="0"/>
    <x v="1"/>
    <x v="2"/>
    <d v="2025-12-21T00:00:00"/>
    <n v="220"/>
    <n v="7.333333333333333"/>
    <n v="0"/>
    <n v="0"/>
    <n v="0"/>
    <x v="1"/>
    <n v="19.786301369863015"/>
    <x v="3"/>
    <n v="1"/>
    <d v="2005-08-06T00:00:00"/>
  </r>
  <r>
    <x v="1"/>
    <n v="18685548"/>
    <x v="0"/>
    <d v="2025-05-16T00:00:00"/>
    <x v="0"/>
    <x v="1"/>
    <x v="2"/>
    <d v="2025-06-01T00:00:00"/>
    <n v="16"/>
    <n v="0.53333333333333333"/>
    <n v="1"/>
    <n v="1"/>
    <n v="1"/>
    <x v="0"/>
    <n v="22.219178082191782"/>
    <x v="2"/>
    <n v="2"/>
    <d v="2003-03-03T00:00:00"/>
  </r>
  <r>
    <x v="1"/>
    <n v="18685555"/>
    <x v="1"/>
    <d v="2025-05-16T00:00:00"/>
    <x v="0"/>
    <x v="1"/>
    <x v="2"/>
    <d v="2025-06-01T00:00:00"/>
    <n v="16"/>
    <n v="0.53333333333333333"/>
    <n v="1"/>
    <n v="1"/>
    <n v="1"/>
    <x v="0"/>
    <n v="19.041095890410958"/>
    <x v="3"/>
    <n v="1"/>
    <d v="2006-05-06T00:00:00"/>
  </r>
  <r>
    <x v="0"/>
    <n v="18685598"/>
    <x v="1"/>
    <d v="2025-05-16T00:00:00"/>
    <x v="0"/>
    <x v="1"/>
    <x v="2"/>
    <d v="2025-05-31T00:00:00"/>
    <n v="15"/>
    <n v="0.5"/>
    <n v="1"/>
    <n v="1"/>
    <n v="1"/>
    <x v="1"/>
    <n v="18.164383561643834"/>
    <x v="3"/>
    <n v="1"/>
    <d v="2007-03-22T00:00:00"/>
  </r>
  <r>
    <x v="1"/>
    <n v="18685602"/>
    <x v="0"/>
    <d v="2025-05-16T00:00:00"/>
    <x v="0"/>
    <x v="1"/>
    <x v="2"/>
    <m/>
    <n v="9999"/>
    <n v="333.3"/>
    <n v="0"/>
    <n v="0"/>
    <n v="0"/>
    <x v="1"/>
    <n v="20.583561643835615"/>
    <x v="3"/>
    <n v="1"/>
    <d v="2004-10-20T00:00:00"/>
  </r>
  <r>
    <x v="1"/>
    <n v="18685609"/>
    <x v="1"/>
    <d v="2025-05-16T00:00:00"/>
    <x v="0"/>
    <x v="1"/>
    <x v="2"/>
    <m/>
    <n v="9999"/>
    <n v="333.3"/>
    <n v="0"/>
    <n v="0"/>
    <n v="0"/>
    <x v="1"/>
    <n v="20.997260273972604"/>
    <x v="3"/>
    <n v="1"/>
    <d v="2004-05-22T00:00:00"/>
  </r>
  <r>
    <x v="1"/>
    <n v="18685617"/>
    <x v="0"/>
    <d v="2025-05-16T00:00:00"/>
    <x v="0"/>
    <x v="1"/>
    <x v="2"/>
    <d v="2025-10-10T00:00:00"/>
    <n v="147"/>
    <n v="4.9000000000000004"/>
    <n v="0"/>
    <n v="0"/>
    <n v="1"/>
    <x v="1"/>
    <n v="19.641095890410959"/>
    <x v="3"/>
    <n v="1"/>
    <d v="2005-09-29T00:00:00"/>
  </r>
  <r>
    <x v="1"/>
    <n v="18685659"/>
    <x v="0"/>
    <d v="2025-05-16T00:00:00"/>
    <x v="0"/>
    <x v="1"/>
    <x v="2"/>
    <d v="2025-08-31T00:00:00"/>
    <n v="107"/>
    <n v="3.5666666666666669"/>
    <n v="0"/>
    <n v="0"/>
    <n v="1"/>
    <x v="1"/>
    <n v="18.720547945205478"/>
    <x v="3"/>
    <n v="1"/>
    <d v="2006-08-31T00:00:00"/>
  </r>
  <r>
    <x v="1"/>
    <n v="18685669"/>
    <x v="0"/>
    <d v="2025-05-16T00:00:00"/>
    <x v="0"/>
    <x v="1"/>
    <x v="2"/>
    <m/>
    <n v="9999"/>
    <n v="333.3"/>
    <n v="0"/>
    <n v="0"/>
    <n v="0"/>
    <x v="1"/>
    <n v="25.860273972602741"/>
    <x v="2"/>
    <n v="2"/>
    <d v="1999-07-13T00:00:00"/>
  </r>
  <r>
    <x v="1"/>
    <n v="18685682"/>
    <x v="1"/>
    <d v="2025-05-16T00:00:00"/>
    <x v="0"/>
    <x v="1"/>
    <x v="2"/>
    <d v="2026-02-16T00:00:00"/>
    <n v="276"/>
    <n v="9.1999999999999993"/>
    <n v="0"/>
    <n v="0"/>
    <n v="0"/>
    <x v="0"/>
    <n v="20.827397260273973"/>
    <x v="3"/>
    <n v="1"/>
    <d v="2004-07-23T00:00:00"/>
  </r>
  <r>
    <x v="1"/>
    <n v="18685683"/>
    <x v="0"/>
    <d v="2025-05-16T00:00:00"/>
    <x v="0"/>
    <x v="1"/>
    <x v="2"/>
    <d v="2026-05-01T00:00:00"/>
    <n v="350"/>
    <n v="11.666666666666666"/>
    <n v="0"/>
    <n v="0"/>
    <n v="0"/>
    <x v="1"/>
    <n v="20.531506849315068"/>
    <x v="3"/>
    <n v="1"/>
    <d v="2004-11-08T00:00:00"/>
  </r>
  <r>
    <x v="1"/>
    <n v="18685707"/>
    <x v="1"/>
    <d v="2025-05-16T00:00:00"/>
    <x v="0"/>
    <x v="1"/>
    <x v="2"/>
    <d v="2026-03-07T00:00:00"/>
    <n v="295"/>
    <n v="9.8333333333333339"/>
    <n v="0"/>
    <n v="0"/>
    <n v="0"/>
    <x v="1"/>
    <n v="18.600000000000001"/>
    <x v="3"/>
    <n v="1"/>
    <d v="2006-10-14T00:00:00"/>
  </r>
  <r>
    <x v="0"/>
    <n v="18685709"/>
    <x v="0"/>
    <d v="2025-05-16T00:00:00"/>
    <x v="0"/>
    <x v="1"/>
    <x v="2"/>
    <d v="2025-06-30T00:00:00"/>
    <n v="45"/>
    <n v="1.5"/>
    <n v="0"/>
    <n v="1"/>
    <n v="1"/>
    <x v="1"/>
    <n v="18.490410958904111"/>
    <x v="3"/>
    <n v="1"/>
    <d v="2006-11-23T00:00:00"/>
  </r>
  <r>
    <x v="1"/>
    <n v="18685731"/>
    <x v="0"/>
    <d v="2025-05-16T00:00:00"/>
    <x v="0"/>
    <x v="1"/>
    <x v="2"/>
    <d v="2025-06-01T00:00:00"/>
    <n v="16"/>
    <n v="0.53333333333333333"/>
    <n v="1"/>
    <n v="1"/>
    <n v="1"/>
    <x v="0"/>
    <n v="19.298630136986301"/>
    <x v="3"/>
    <n v="1"/>
    <d v="2006-02-01T00:00:00"/>
  </r>
  <r>
    <x v="1"/>
    <n v="18685732"/>
    <x v="0"/>
    <d v="2025-05-16T00:00:00"/>
    <x v="0"/>
    <x v="1"/>
    <x v="2"/>
    <m/>
    <n v="9999"/>
    <n v="333.3"/>
    <n v="0"/>
    <n v="0"/>
    <n v="0"/>
    <x v="1"/>
    <n v="18.095890410958905"/>
    <x v="3"/>
    <n v="1"/>
    <d v="2007-04-16T00:00:00"/>
  </r>
  <r>
    <x v="1"/>
    <n v="18685757"/>
    <x v="0"/>
    <d v="2025-05-16T00:00:00"/>
    <x v="0"/>
    <x v="1"/>
    <x v="2"/>
    <d v="2025-09-03T00:00:00"/>
    <n v="110"/>
    <n v="3.6666666666666665"/>
    <n v="0"/>
    <n v="0"/>
    <n v="1"/>
    <x v="1"/>
    <n v="23.158904109589042"/>
    <x v="2"/>
    <n v="2"/>
    <d v="2002-03-25T00:00:00"/>
  </r>
  <r>
    <x v="1"/>
    <n v="18685767"/>
    <x v="1"/>
    <d v="2025-05-16T00:00:00"/>
    <x v="0"/>
    <x v="1"/>
    <x v="2"/>
    <d v="2026-03-31T00:00:00"/>
    <n v="319"/>
    <n v="10.633333333333333"/>
    <n v="0"/>
    <n v="0"/>
    <n v="0"/>
    <x v="1"/>
    <n v="24.783561643835615"/>
    <x v="2"/>
    <n v="2"/>
    <d v="2000-08-09T00:00:00"/>
  </r>
  <r>
    <x v="1"/>
    <n v="18685771"/>
    <x v="0"/>
    <d v="2025-05-16T00:00:00"/>
    <x v="0"/>
    <x v="1"/>
    <x v="2"/>
    <d v="2025-06-05T00:00:00"/>
    <n v="20"/>
    <n v="0.66666666666666663"/>
    <n v="1"/>
    <n v="1"/>
    <n v="1"/>
    <x v="1"/>
    <n v="20.989041095890411"/>
    <x v="3"/>
    <n v="1"/>
    <d v="2004-05-25T00:00:00"/>
  </r>
  <r>
    <x v="1"/>
    <n v="18685772"/>
    <x v="0"/>
    <d v="2025-05-16T00:00:00"/>
    <x v="0"/>
    <x v="1"/>
    <x v="2"/>
    <m/>
    <n v="9999"/>
    <n v="333.3"/>
    <n v="0"/>
    <n v="0"/>
    <n v="0"/>
    <x v="1"/>
    <n v="19.506849315068493"/>
    <x v="3"/>
    <n v="1"/>
    <d v="2005-11-17T00:00:00"/>
  </r>
  <r>
    <x v="1"/>
    <n v="18685791"/>
    <x v="1"/>
    <d v="2025-05-16T00:00:00"/>
    <x v="0"/>
    <x v="1"/>
    <x v="2"/>
    <d v="2026-03-31T00:00:00"/>
    <n v="319"/>
    <n v="10.633333333333333"/>
    <n v="0"/>
    <n v="0"/>
    <n v="0"/>
    <x v="1"/>
    <n v="23.945205479452056"/>
    <x v="2"/>
    <n v="2"/>
    <d v="2001-06-11T00:00:00"/>
  </r>
  <r>
    <x v="1"/>
    <n v="18685837"/>
    <x v="0"/>
    <d v="2025-05-16T00:00:00"/>
    <x v="0"/>
    <x v="1"/>
    <x v="2"/>
    <d v="2026-01-11T00:00:00"/>
    <n v="240"/>
    <n v="8"/>
    <n v="0"/>
    <n v="0"/>
    <n v="0"/>
    <x v="1"/>
    <n v="20.2"/>
    <x v="3"/>
    <n v="1"/>
    <d v="2005-03-09T00:00:00"/>
  </r>
  <r>
    <x v="1"/>
    <n v="18685935"/>
    <x v="0"/>
    <d v="2025-05-16T00:00:00"/>
    <x v="0"/>
    <x v="1"/>
    <x v="2"/>
    <d v="2025-05-16T00:00:00"/>
    <n v="0"/>
    <n v="0"/>
    <n v="1"/>
    <n v="1"/>
    <n v="1"/>
    <x v="1"/>
    <n v="19.660273972602738"/>
    <x v="3"/>
    <n v="1"/>
    <d v="2005-09-22T00:00:00"/>
  </r>
  <r>
    <x v="1"/>
    <n v="18691354"/>
    <x v="0"/>
    <d v="2025-05-19T00:00:00"/>
    <x v="0"/>
    <x v="1"/>
    <x v="2"/>
    <d v="2025-08-15T00:00:00"/>
    <n v="88"/>
    <n v="2.9333333333333331"/>
    <n v="0"/>
    <n v="1"/>
    <n v="1"/>
    <x v="1"/>
    <n v="19.964383561643835"/>
    <x v="3"/>
    <n v="1"/>
    <d v="2005-06-06T00:00:00"/>
  </r>
  <r>
    <x v="0"/>
    <n v="18691374"/>
    <x v="0"/>
    <d v="2025-05-19T00:00:00"/>
    <x v="0"/>
    <x v="1"/>
    <x v="2"/>
    <d v="2026-02-10T00:00:00"/>
    <n v="267"/>
    <n v="8.9"/>
    <n v="0"/>
    <n v="0"/>
    <n v="0"/>
    <x v="1"/>
    <n v="19.605479452054794"/>
    <x v="3"/>
    <n v="1"/>
    <d v="2005-10-15T00:00:00"/>
  </r>
  <r>
    <x v="1"/>
    <n v="18691405"/>
    <x v="0"/>
    <d v="2025-05-19T00:00:00"/>
    <x v="0"/>
    <x v="1"/>
    <x v="2"/>
    <d v="2025-07-31T00:00:00"/>
    <n v="73"/>
    <n v="2.4333333333333331"/>
    <n v="0"/>
    <n v="1"/>
    <n v="1"/>
    <x v="1"/>
    <n v="20.942465753424656"/>
    <x v="3"/>
    <n v="1"/>
    <d v="2004-06-14T00:00:00"/>
  </r>
  <r>
    <x v="1"/>
    <n v="18691413"/>
    <x v="0"/>
    <d v="2025-05-19T00:00:00"/>
    <x v="0"/>
    <x v="1"/>
    <x v="2"/>
    <d v="2025-06-15T00:00:00"/>
    <n v="27"/>
    <n v="0.9"/>
    <n v="1"/>
    <n v="1"/>
    <n v="1"/>
    <x v="1"/>
    <n v="26.18904109589041"/>
    <x v="1"/>
    <n v="3"/>
    <d v="1999-03-18T00:00:00"/>
  </r>
  <r>
    <x v="1"/>
    <n v="18691414"/>
    <x v="0"/>
    <d v="2025-05-19T00:00:00"/>
    <x v="0"/>
    <x v="1"/>
    <x v="2"/>
    <d v="2025-10-12T00:00:00"/>
    <n v="146"/>
    <n v="4.8666666666666663"/>
    <n v="0"/>
    <n v="0"/>
    <n v="1"/>
    <x v="1"/>
    <n v="23.567123287671233"/>
    <x v="2"/>
    <n v="2"/>
    <d v="2001-10-30T00:00:00"/>
  </r>
  <r>
    <x v="1"/>
    <n v="18691474"/>
    <x v="0"/>
    <d v="2025-05-19T00:00:00"/>
    <x v="0"/>
    <x v="1"/>
    <x v="2"/>
    <d v="2025-06-01T00:00:00"/>
    <n v="13"/>
    <n v="0.43333333333333335"/>
    <n v="1"/>
    <n v="1"/>
    <n v="1"/>
    <x v="1"/>
    <n v="26.843835616438355"/>
    <x v="1"/>
    <n v="3"/>
    <d v="1998-07-22T00:00:00"/>
  </r>
  <r>
    <x v="1"/>
    <n v="18691475"/>
    <x v="1"/>
    <d v="2025-05-19T00:00:00"/>
    <x v="0"/>
    <x v="1"/>
    <x v="2"/>
    <d v="2025-12-31T00:00:00"/>
    <n v="226"/>
    <n v="7.5333333333333332"/>
    <n v="0"/>
    <n v="0"/>
    <n v="0"/>
    <x v="1"/>
    <n v="18.706849315068492"/>
    <x v="3"/>
    <n v="1"/>
    <d v="2006-09-08T00:00:00"/>
  </r>
  <r>
    <x v="1"/>
    <n v="18691759"/>
    <x v="0"/>
    <d v="2026-03-19T00:00:00"/>
    <x v="1"/>
    <x v="0"/>
    <x v="5"/>
    <d v="2026-04-01T00:00:00"/>
    <n v="13"/>
    <n v="0.43333333333333335"/>
    <n v="1"/>
    <n v="1"/>
    <n v="1"/>
    <x v="0"/>
    <n v="24.958904109589042"/>
    <x v="2"/>
    <n v="2"/>
    <d v="2001-04-09T00:00:00"/>
  </r>
  <r>
    <x v="1"/>
    <n v="18693250"/>
    <x v="0"/>
    <d v="2025-05-20T00:00:00"/>
    <x v="0"/>
    <x v="1"/>
    <x v="2"/>
    <m/>
    <n v="9999"/>
    <n v="333.3"/>
    <n v="0"/>
    <n v="0"/>
    <n v="0"/>
    <x v="0"/>
    <n v="26.326027397260273"/>
    <x v="1"/>
    <n v="3"/>
    <d v="1999-01-28T00:00:00"/>
  </r>
  <r>
    <x v="1"/>
    <n v="18693270"/>
    <x v="0"/>
    <d v="2025-05-20T00:00:00"/>
    <x v="0"/>
    <x v="1"/>
    <x v="2"/>
    <m/>
    <n v="9999"/>
    <n v="333.3"/>
    <n v="0"/>
    <n v="0"/>
    <n v="0"/>
    <x v="1"/>
    <n v="18.830136986301369"/>
    <x v="3"/>
    <n v="1"/>
    <d v="2006-07-26T00:00:00"/>
  </r>
  <r>
    <x v="1"/>
    <n v="18693316"/>
    <x v="1"/>
    <d v="2025-05-20T00:00:00"/>
    <x v="0"/>
    <x v="1"/>
    <x v="2"/>
    <m/>
    <n v="9999"/>
    <n v="333.3"/>
    <n v="0"/>
    <n v="0"/>
    <n v="0"/>
    <x v="1"/>
    <n v="19.194520547945206"/>
    <x v="3"/>
    <n v="1"/>
    <d v="2006-03-15T00:00:00"/>
  </r>
  <r>
    <x v="1"/>
    <n v="18693329"/>
    <x v="0"/>
    <d v="2025-05-20T00:00:00"/>
    <x v="0"/>
    <x v="1"/>
    <x v="2"/>
    <m/>
    <n v="9999"/>
    <n v="333.3"/>
    <n v="0"/>
    <n v="0"/>
    <n v="0"/>
    <x v="1"/>
    <n v="30.556164383561644"/>
    <x v="1"/>
    <n v="3"/>
    <d v="1994-11-06T00:00:00"/>
  </r>
  <r>
    <x v="1"/>
    <n v="18693366"/>
    <x v="1"/>
    <d v="2025-05-20T00:00:00"/>
    <x v="0"/>
    <x v="1"/>
    <x v="2"/>
    <m/>
    <n v="9999"/>
    <n v="333.3"/>
    <n v="0"/>
    <n v="0"/>
    <n v="0"/>
    <x v="1"/>
    <n v="23.375342465753423"/>
    <x v="2"/>
    <n v="2"/>
    <d v="2002-01-09T00:00:00"/>
  </r>
  <r>
    <x v="1"/>
    <n v="18693373"/>
    <x v="1"/>
    <d v="2025-05-20T00:00:00"/>
    <x v="0"/>
    <x v="1"/>
    <x v="2"/>
    <m/>
    <n v="9999"/>
    <n v="333.3"/>
    <n v="0"/>
    <n v="0"/>
    <n v="0"/>
    <x v="1"/>
    <n v="23.17808219178082"/>
    <x v="2"/>
    <n v="2"/>
    <d v="2002-03-22T00:00:00"/>
  </r>
  <r>
    <x v="1"/>
    <n v="18693838"/>
    <x v="0"/>
    <d v="2025-05-20T00:00:00"/>
    <x v="0"/>
    <x v="1"/>
    <x v="2"/>
    <d v="2025-12-31T00:00:00"/>
    <n v="225"/>
    <n v="7.5"/>
    <n v="0"/>
    <n v="0"/>
    <n v="0"/>
    <x v="1"/>
    <n v="20.720547945205478"/>
    <x v="3"/>
    <n v="1"/>
    <d v="2004-09-04T00:00:00"/>
  </r>
  <r>
    <x v="1"/>
    <n v="18696732"/>
    <x v="1"/>
    <d v="2025-05-21T00:00:00"/>
    <x v="0"/>
    <x v="1"/>
    <x v="2"/>
    <m/>
    <n v="9999"/>
    <n v="333.3"/>
    <n v="0"/>
    <n v="0"/>
    <n v="0"/>
    <x v="1"/>
    <n v="20.054794520547944"/>
    <x v="3"/>
    <n v="1"/>
    <d v="2005-05-06T00:00:00"/>
  </r>
  <r>
    <x v="1"/>
    <n v="18696734"/>
    <x v="1"/>
    <d v="2025-05-21T00:00:00"/>
    <x v="0"/>
    <x v="1"/>
    <x v="2"/>
    <m/>
    <n v="9999"/>
    <n v="333.3"/>
    <n v="0"/>
    <n v="0"/>
    <n v="0"/>
    <x v="1"/>
    <n v="18.394520547945206"/>
    <x v="3"/>
    <n v="1"/>
    <d v="2007-01-02T00:00:00"/>
  </r>
  <r>
    <x v="1"/>
    <n v="18696795"/>
    <x v="0"/>
    <d v="2025-05-21T00:00:00"/>
    <x v="0"/>
    <x v="1"/>
    <x v="2"/>
    <d v="2026-01-27T00:00:00"/>
    <n v="251"/>
    <n v="8.3666666666666671"/>
    <n v="0"/>
    <n v="0"/>
    <n v="0"/>
    <x v="0"/>
    <n v="22.238356164383561"/>
    <x v="2"/>
    <n v="2"/>
    <d v="2003-03-01T00:00:00"/>
  </r>
  <r>
    <x v="1"/>
    <n v="18696846"/>
    <x v="1"/>
    <d v="2025-05-21T00:00:00"/>
    <x v="0"/>
    <x v="1"/>
    <x v="2"/>
    <m/>
    <n v="9999"/>
    <n v="333.3"/>
    <n v="0"/>
    <n v="0"/>
    <n v="0"/>
    <x v="1"/>
    <n v="21.336986301369862"/>
    <x v="2"/>
    <n v="2"/>
    <d v="2004-01-24T00:00:00"/>
  </r>
  <r>
    <x v="1"/>
    <n v="18696995"/>
    <x v="0"/>
    <d v="2025-05-21T00:00:00"/>
    <x v="0"/>
    <x v="1"/>
    <x v="2"/>
    <m/>
    <n v="9999"/>
    <n v="333.3"/>
    <n v="0"/>
    <n v="0"/>
    <n v="0"/>
    <x v="0"/>
    <n v="22.92876712328767"/>
    <x v="2"/>
    <n v="2"/>
    <d v="2002-06-22T00:00:00"/>
  </r>
  <r>
    <x v="1"/>
    <n v="18696996"/>
    <x v="0"/>
    <d v="2025-05-21T00:00:00"/>
    <x v="0"/>
    <x v="1"/>
    <x v="2"/>
    <d v="2025-09-04T00:00:00"/>
    <n v="106"/>
    <n v="3.5333333333333332"/>
    <n v="0"/>
    <n v="0"/>
    <n v="1"/>
    <x v="0"/>
    <n v="23.358904109589041"/>
    <x v="2"/>
    <n v="2"/>
    <d v="2002-01-16T00:00:00"/>
  </r>
  <r>
    <x v="1"/>
    <n v="18697018"/>
    <x v="1"/>
    <d v="2025-05-21T00:00:00"/>
    <x v="0"/>
    <x v="1"/>
    <x v="2"/>
    <d v="2025-06-02T00:00:00"/>
    <n v="12"/>
    <n v="0.4"/>
    <n v="1"/>
    <n v="1"/>
    <n v="1"/>
    <x v="1"/>
    <n v="24.06027397260274"/>
    <x v="2"/>
    <n v="2"/>
    <d v="2001-05-05T00:00:00"/>
  </r>
  <r>
    <x v="1"/>
    <n v="18697034"/>
    <x v="1"/>
    <d v="2025-05-21T00:00:00"/>
    <x v="0"/>
    <x v="1"/>
    <x v="2"/>
    <d v="2025-12-31T00:00:00"/>
    <n v="224"/>
    <n v="7.4666666666666668"/>
    <n v="0"/>
    <n v="0"/>
    <n v="0"/>
    <x v="0"/>
    <n v="23.989041095890411"/>
    <x v="2"/>
    <n v="2"/>
    <d v="2001-05-31T00:00:00"/>
  </r>
  <r>
    <x v="1"/>
    <n v="18697515"/>
    <x v="1"/>
    <d v="2025-05-21T00:00:00"/>
    <x v="0"/>
    <x v="1"/>
    <x v="2"/>
    <m/>
    <n v="9999"/>
    <n v="333.3"/>
    <n v="0"/>
    <n v="0"/>
    <n v="0"/>
    <x v="0"/>
    <n v="19.890410958904109"/>
    <x v="3"/>
    <n v="1"/>
    <d v="2005-07-05T00:00:00"/>
  </r>
  <r>
    <x v="1"/>
    <n v="18700169"/>
    <x v="0"/>
    <d v="2025-05-22T00:00:00"/>
    <x v="0"/>
    <x v="1"/>
    <x v="2"/>
    <m/>
    <n v="9999"/>
    <n v="333.3"/>
    <n v="0"/>
    <n v="0"/>
    <n v="0"/>
    <x v="0"/>
    <n v="18.942465753424656"/>
    <x v="3"/>
    <n v="1"/>
    <d v="2006-06-17T00:00:00"/>
  </r>
  <r>
    <x v="1"/>
    <n v="18700171"/>
    <x v="0"/>
    <d v="2025-05-22T00:00:00"/>
    <x v="0"/>
    <x v="1"/>
    <x v="2"/>
    <d v="2025-12-31T00:00:00"/>
    <n v="223"/>
    <n v="7.4333333333333336"/>
    <n v="0"/>
    <n v="0"/>
    <n v="0"/>
    <x v="0"/>
    <n v="27.32054794520548"/>
    <x v="1"/>
    <n v="3"/>
    <d v="1998-02-01T00:00:00"/>
  </r>
  <r>
    <x v="1"/>
    <n v="18700186"/>
    <x v="1"/>
    <d v="2025-05-22T00:00:00"/>
    <x v="0"/>
    <x v="1"/>
    <x v="2"/>
    <m/>
    <n v="9999"/>
    <n v="333.3"/>
    <n v="0"/>
    <n v="0"/>
    <n v="0"/>
    <x v="0"/>
    <n v="19.572602739726026"/>
    <x v="3"/>
    <n v="1"/>
    <d v="2005-10-30T00:00:00"/>
  </r>
  <r>
    <x v="1"/>
    <n v="18700314"/>
    <x v="0"/>
    <d v="2025-05-22T00:00:00"/>
    <x v="0"/>
    <x v="1"/>
    <x v="2"/>
    <d v="2025-09-14T00:00:00"/>
    <n v="115"/>
    <n v="3.8333333333333335"/>
    <n v="0"/>
    <n v="0"/>
    <n v="1"/>
    <x v="1"/>
    <n v="21.098630136986301"/>
    <x v="2"/>
    <n v="2"/>
    <d v="2004-04-21T00:00:00"/>
  </r>
  <r>
    <x v="1"/>
    <n v="18700333"/>
    <x v="0"/>
    <d v="2025-05-22T00:00:00"/>
    <x v="0"/>
    <x v="1"/>
    <x v="2"/>
    <d v="2026-01-06T00:00:00"/>
    <n v="229"/>
    <n v="7.6333333333333337"/>
    <n v="0"/>
    <n v="0"/>
    <n v="0"/>
    <x v="1"/>
    <n v="24.986301369863014"/>
    <x v="2"/>
    <n v="2"/>
    <d v="2000-06-02T00:00:00"/>
  </r>
  <r>
    <x v="1"/>
    <n v="18700365"/>
    <x v="0"/>
    <d v="2025-05-22T00:00:00"/>
    <x v="0"/>
    <x v="1"/>
    <x v="2"/>
    <d v="2026-03-17T00:00:00"/>
    <n v="299"/>
    <n v="9.9666666666666668"/>
    <n v="0"/>
    <n v="0"/>
    <n v="0"/>
    <x v="1"/>
    <n v="45.961643835616435"/>
    <x v="0"/>
    <n v="4"/>
    <d v="1979-06-17T00:00:00"/>
  </r>
  <r>
    <x v="1"/>
    <n v="18704473"/>
    <x v="0"/>
    <d v="2025-05-23T00:00:00"/>
    <x v="0"/>
    <x v="1"/>
    <x v="2"/>
    <d v="2026-01-31T00:00:00"/>
    <n v="253"/>
    <n v="8.4333333333333336"/>
    <n v="0"/>
    <n v="0"/>
    <n v="0"/>
    <x v="0"/>
    <n v="19.342465753424658"/>
    <x v="3"/>
    <n v="1"/>
    <d v="2006-01-23T00:00:00"/>
  </r>
  <r>
    <x v="1"/>
    <n v="18704543"/>
    <x v="1"/>
    <d v="2025-05-23T00:00:00"/>
    <x v="0"/>
    <x v="1"/>
    <x v="2"/>
    <m/>
    <n v="9999"/>
    <n v="333.3"/>
    <n v="0"/>
    <n v="0"/>
    <n v="0"/>
    <x v="0"/>
    <n v="18.136986301369863"/>
    <x v="3"/>
    <n v="1"/>
    <d v="2007-04-08T00:00:00"/>
  </r>
  <r>
    <x v="1"/>
    <n v="18704544"/>
    <x v="0"/>
    <d v="2025-05-23T00:00:00"/>
    <x v="0"/>
    <x v="1"/>
    <x v="2"/>
    <d v="2026-02-28T00:00:00"/>
    <n v="281"/>
    <n v="9.3666666666666671"/>
    <n v="0"/>
    <n v="0"/>
    <n v="0"/>
    <x v="1"/>
    <n v="21.046575342465754"/>
    <x v="2"/>
    <n v="2"/>
    <d v="2004-05-11T00:00:00"/>
  </r>
  <r>
    <x v="1"/>
    <n v="18704561"/>
    <x v="1"/>
    <d v="2025-05-23T00:00:00"/>
    <x v="0"/>
    <x v="1"/>
    <x v="2"/>
    <d v="2025-10-31T00:00:00"/>
    <n v="161"/>
    <n v="5.3666666666666663"/>
    <n v="0"/>
    <n v="0"/>
    <n v="1"/>
    <x v="1"/>
    <n v="22.084931506849315"/>
    <x v="2"/>
    <n v="2"/>
    <d v="2003-04-28T00:00:00"/>
  </r>
  <r>
    <x v="1"/>
    <n v="18704592"/>
    <x v="0"/>
    <d v="2025-05-23T00:00:00"/>
    <x v="0"/>
    <x v="1"/>
    <x v="2"/>
    <d v="2025-09-30T00:00:00"/>
    <n v="130"/>
    <n v="4.333333333333333"/>
    <n v="0"/>
    <n v="0"/>
    <n v="1"/>
    <x v="1"/>
    <n v="19.934246575342467"/>
    <x v="3"/>
    <n v="1"/>
    <d v="2005-06-21T00:00:00"/>
  </r>
  <r>
    <x v="1"/>
    <n v="18704593"/>
    <x v="0"/>
    <d v="2025-05-23T00:00:00"/>
    <x v="0"/>
    <x v="1"/>
    <x v="2"/>
    <d v="2026-01-31T00:00:00"/>
    <n v="253"/>
    <n v="8.4333333333333336"/>
    <n v="0"/>
    <n v="0"/>
    <n v="0"/>
    <x v="1"/>
    <n v="19.890410958904109"/>
    <x v="3"/>
    <n v="1"/>
    <d v="2005-07-07T00:00:00"/>
  </r>
  <r>
    <x v="1"/>
    <n v="18704602"/>
    <x v="0"/>
    <d v="2025-05-23T00:00:00"/>
    <x v="0"/>
    <x v="1"/>
    <x v="2"/>
    <d v="2026-05-05T00:00:00"/>
    <n v="347"/>
    <n v="11.566666666666666"/>
    <n v="0"/>
    <n v="0"/>
    <n v="0"/>
    <x v="1"/>
    <n v="21.295890410958904"/>
    <x v="2"/>
    <n v="2"/>
    <d v="2004-02-10T00:00:00"/>
  </r>
  <r>
    <x v="1"/>
    <n v="18704640"/>
    <x v="0"/>
    <d v="2025-05-23T00:00:00"/>
    <x v="0"/>
    <x v="1"/>
    <x v="2"/>
    <m/>
    <n v="9999"/>
    <n v="333.3"/>
    <n v="0"/>
    <n v="0"/>
    <n v="0"/>
    <x v="0"/>
    <n v="18.147945205479452"/>
    <x v="3"/>
    <n v="1"/>
    <d v="2007-04-04T00:00:00"/>
  </r>
  <r>
    <x v="1"/>
    <n v="18704695"/>
    <x v="1"/>
    <d v="2025-05-23T00:00:00"/>
    <x v="0"/>
    <x v="1"/>
    <x v="2"/>
    <m/>
    <n v="9999"/>
    <n v="333.3"/>
    <n v="0"/>
    <n v="0"/>
    <n v="0"/>
    <x v="0"/>
    <n v="22.824657534246576"/>
    <x v="2"/>
    <n v="2"/>
    <d v="2002-08-01T00:00:00"/>
  </r>
  <r>
    <x v="1"/>
    <n v="18705013"/>
    <x v="1"/>
    <d v="2026-02-02T00:00:00"/>
    <x v="1"/>
    <x v="7"/>
    <x v="15"/>
    <m/>
    <n v="9999"/>
    <n v="333.3"/>
    <n v="0"/>
    <n v="0"/>
    <n v="0"/>
    <x v="0"/>
    <n v="31.216438356164385"/>
    <x v="0"/>
    <n v="4"/>
    <d v="1994-11-23T00:00:00"/>
  </r>
  <r>
    <x v="1"/>
    <n v="18705017"/>
    <x v="1"/>
    <d v="2025-05-23T00:00:00"/>
    <x v="0"/>
    <x v="1"/>
    <x v="2"/>
    <d v="2026-01-11T00:00:00"/>
    <n v="233"/>
    <n v="7.7666666666666666"/>
    <n v="0"/>
    <n v="0"/>
    <n v="0"/>
    <x v="0"/>
    <n v="18.046575342465754"/>
    <x v="3"/>
    <n v="1"/>
    <d v="2007-05-11T00:00:00"/>
  </r>
  <r>
    <x v="1"/>
    <n v="18710150"/>
    <x v="1"/>
    <d v="2025-05-26T00:00:00"/>
    <x v="0"/>
    <x v="1"/>
    <x v="2"/>
    <m/>
    <n v="9999"/>
    <n v="333.3"/>
    <n v="0"/>
    <n v="0"/>
    <n v="0"/>
    <x v="1"/>
    <n v="18.989041095890411"/>
    <x v="3"/>
    <n v="1"/>
    <d v="2006-06-04T00:00:00"/>
  </r>
  <r>
    <x v="1"/>
    <n v="18710238"/>
    <x v="1"/>
    <d v="2025-05-26T00:00:00"/>
    <x v="0"/>
    <x v="1"/>
    <x v="2"/>
    <m/>
    <n v="9999"/>
    <n v="333.3"/>
    <n v="0"/>
    <n v="0"/>
    <n v="0"/>
    <x v="0"/>
    <n v="19.290410958904111"/>
    <x v="3"/>
    <n v="1"/>
    <d v="2006-02-14T00:00:00"/>
  </r>
  <r>
    <x v="1"/>
    <n v="18710244"/>
    <x v="0"/>
    <d v="2025-05-26T00:00:00"/>
    <x v="0"/>
    <x v="1"/>
    <x v="2"/>
    <m/>
    <n v="9999"/>
    <n v="333.3"/>
    <n v="0"/>
    <n v="0"/>
    <n v="0"/>
    <x v="0"/>
    <n v="20.402739726027399"/>
    <x v="3"/>
    <n v="1"/>
    <d v="2005-01-04T00:00:00"/>
  </r>
  <r>
    <x v="1"/>
    <n v="18711448"/>
    <x v="1"/>
    <d v="2025-05-27T00:00:00"/>
    <x v="0"/>
    <x v="1"/>
    <x v="2"/>
    <m/>
    <n v="9999"/>
    <n v="333.3"/>
    <n v="0"/>
    <n v="0"/>
    <n v="0"/>
    <x v="1"/>
    <n v="32.939726027397263"/>
    <x v="0"/>
    <n v="4"/>
    <d v="1992-06-26T00:00:00"/>
  </r>
  <r>
    <x v="1"/>
    <n v="18711487"/>
    <x v="0"/>
    <d v="2025-05-27T00:00:00"/>
    <x v="0"/>
    <x v="1"/>
    <x v="2"/>
    <m/>
    <n v="9999"/>
    <n v="333.3"/>
    <n v="0"/>
    <n v="0"/>
    <n v="0"/>
    <x v="1"/>
    <n v="27.290410958904111"/>
    <x v="1"/>
    <n v="3"/>
    <d v="1998-02-17T00:00:00"/>
  </r>
  <r>
    <x v="1"/>
    <n v="18711502"/>
    <x v="0"/>
    <d v="2025-05-27T00:00:00"/>
    <x v="0"/>
    <x v="1"/>
    <x v="2"/>
    <m/>
    <n v="9999"/>
    <n v="333.3"/>
    <n v="0"/>
    <n v="0"/>
    <n v="0"/>
    <x v="1"/>
    <n v="20.254794520547946"/>
    <x v="3"/>
    <n v="1"/>
    <d v="2005-02-28T00:00:00"/>
  </r>
  <r>
    <x v="1"/>
    <n v="18711560"/>
    <x v="0"/>
    <d v="2025-05-27T00:00:00"/>
    <x v="0"/>
    <x v="1"/>
    <x v="2"/>
    <d v="2026-03-16T00:00:00"/>
    <n v="293"/>
    <n v="9.7666666666666675"/>
    <n v="0"/>
    <n v="0"/>
    <n v="0"/>
    <x v="1"/>
    <n v="20.860273972602741"/>
    <x v="3"/>
    <n v="1"/>
    <d v="2004-07-22T00:00:00"/>
  </r>
  <r>
    <x v="1"/>
    <n v="18711568"/>
    <x v="0"/>
    <d v="2025-05-27T00:00:00"/>
    <x v="0"/>
    <x v="1"/>
    <x v="2"/>
    <d v="2025-06-18T00:00:00"/>
    <n v="22"/>
    <n v="0.73333333333333328"/>
    <n v="1"/>
    <n v="1"/>
    <n v="1"/>
    <x v="1"/>
    <n v="34.372602739726027"/>
    <x v="0"/>
    <n v="4"/>
    <d v="1991-01-20T00:00:00"/>
  </r>
  <r>
    <x v="1"/>
    <n v="18711569"/>
    <x v="0"/>
    <d v="2025-05-27T00:00:00"/>
    <x v="0"/>
    <x v="1"/>
    <x v="2"/>
    <d v="2025-07-01T00:00:00"/>
    <n v="35"/>
    <n v="1.1666666666666667"/>
    <n v="0"/>
    <n v="1"/>
    <n v="1"/>
    <x v="1"/>
    <n v="18.082191780821919"/>
    <x v="3"/>
    <n v="1"/>
    <d v="2007-05-02T00:00:00"/>
  </r>
  <r>
    <x v="1"/>
    <n v="18711596"/>
    <x v="1"/>
    <d v="2025-05-27T00:00:00"/>
    <x v="0"/>
    <x v="1"/>
    <x v="2"/>
    <m/>
    <n v="9999"/>
    <n v="333.3"/>
    <n v="0"/>
    <n v="0"/>
    <n v="0"/>
    <x v="1"/>
    <n v="19.794520547945204"/>
    <x v="3"/>
    <n v="1"/>
    <d v="2005-08-15T00:00:00"/>
  </r>
  <r>
    <x v="1"/>
    <n v="18711622"/>
    <x v="0"/>
    <d v="2025-05-27T00:00:00"/>
    <x v="0"/>
    <x v="1"/>
    <x v="2"/>
    <d v="2025-09-17T00:00:00"/>
    <n v="113"/>
    <n v="3.7666666666666666"/>
    <n v="0"/>
    <n v="0"/>
    <n v="1"/>
    <x v="1"/>
    <n v="19.600000000000001"/>
    <x v="3"/>
    <n v="1"/>
    <d v="2005-10-25T00:00:00"/>
  </r>
  <r>
    <x v="1"/>
    <n v="18711629"/>
    <x v="1"/>
    <d v="2025-05-27T00:00:00"/>
    <x v="0"/>
    <x v="1"/>
    <x v="2"/>
    <d v="2025-09-30T00:00:00"/>
    <n v="126"/>
    <n v="4.2"/>
    <n v="0"/>
    <n v="0"/>
    <n v="1"/>
    <x v="1"/>
    <n v="21.961643835616439"/>
    <x v="2"/>
    <n v="2"/>
    <d v="2003-06-16T00:00:00"/>
  </r>
  <r>
    <x v="1"/>
    <n v="18711654"/>
    <x v="1"/>
    <d v="2025-05-27T00:00:00"/>
    <x v="0"/>
    <x v="1"/>
    <x v="2"/>
    <d v="2025-06-10T00:00:00"/>
    <n v="14"/>
    <n v="0.46666666666666667"/>
    <n v="1"/>
    <n v="1"/>
    <n v="1"/>
    <x v="1"/>
    <n v="23.339726027397262"/>
    <x v="2"/>
    <n v="2"/>
    <d v="2002-01-29T00:00:00"/>
  </r>
  <r>
    <x v="1"/>
    <n v="18711685"/>
    <x v="0"/>
    <d v="2025-05-27T00:00:00"/>
    <x v="0"/>
    <x v="1"/>
    <x v="2"/>
    <d v="2026-02-28T00:00:00"/>
    <n v="277"/>
    <n v="9.2333333333333325"/>
    <n v="0"/>
    <n v="0"/>
    <n v="0"/>
    <x v="1"/>
    <n v="20.860273972602741"/>
    <x v="3"/>
    <n v="1"/>
    <d v="2004-07-22T00:00:00"/>
  </r>
  <r>
    <x v="1"/>
    <n v="18711686"/>
    <x v="0"/>
    <d v="2025-05-27T00:00:00"/>
    <x v="0"/>
    <x v="1"/>
    <x v="2"/>
    <d v="2025-06-14T00:00:00"/>
    <n v="18"/>
    <n v="0.6"/>
    <n v="1"/>
    <n v="1"/>
    <n v="1"/>
    <x v="1"/>
    <n v="21.512328767123286"/>
    <x v="2"/>
    <n v="2"/>
    <d v="2003-11-27T00:00:00"/>
  </r>
  <r>
    <x v="1"/>
    <n v="18711705"/>
    <x v="0"/>
    <d v="2025-05-27T00:00:00"/>
    <x v="0"/>
    <x v="1"/>
    <x v="2"/>
    <d v="2025-10-15T00:00:00"/>
    <n v="141"/>
    <n v="4.7"/>
    <n v="0"/>
    <n v="0"/>
    <n v="1"/>
    <x v="1"/>
    <n v="27.454794520547946"/>
    <x v="1"/>
    <n v="3"/>
    <d v="1997-12-19T00:00:00"/>
  </r>
  <r>
    <x v="1"/>
    <n v="18711706"/>
    <x v="0"/>
    <d v="2025-05-27T00:00:00"/>
    <x v="0"/>
    <x v="1"/>
    <x v="2"/>
    <d v="2025-08-01T00:00:00"/>
    <n v="66"/>
    <n v="2.2000000000000002"/>
    <n v="0"/>
    <n v="1"/>
    <n v="1"/>
    <x v="1"/>
    <n v="21.156164383561645"/>
    <x v="2"/>
    <n v="2"/>
    <d v="2004-04-05T00:00:00"/>
  </r>
  <r>
    <x v="1"/>
    <n v="18711707"/>
    <x v="0"/>
    <d v="2025-05-27T00:00:00"/>
    <x v="0"/>
    <x v="1"/>
    <x v="2"/>
    <d v="2025-09-30T00:00:00"/>
    <n v="126"/>
    <n v="4.2"/>
    <n v="0"/>
    <n v="0"/>
    <n v="1"/>
    <x v="1"/>
    <n v="19.652054794520549"/>
    <x v="3"/>
    <n v="1"/>
    <d v="2005-10-06T00:00:00"/>
  </r>
  <r>
    <x v="0"/>
    <n v="18711708"/>
    <x v="0"/>
    <d v="2025-05-27T00:00:00"/>
    <x v="0"/>
    <x v="1"/>
    <x v="2"/>
    <d v="2025-12-31T00:00:00"/>
    <n v="218"/>
    <n v="7.2666666666666666"/>
    <n v="0"/>
    <n v="0"/>
    <n v="0"/>
    <x v="1"/>
    <n v="21.073972602739726"/>
    <x v="2"/>
    <n v="2"/>
    <d v="2004-05-05T00:00:00"/>
  </r>
  <r>
    <x v="1"/>
    <n v="18715266"/>
    <x v="0"/>
    <d v="2025-05-28T00:00:00"/>
    <x v="0"/>
    <x v="1"/>
    <x v="2"/>
    <m/>
    <n v="9999"/>
    <n v="333.3"/>
    <n v="0"/>
    <n v="0"/>
    <n v="0"/>
    <x v="0"/>
    <n v="24.778082191780822"/>
    <x v="2"/>
    <n v="2"/>
    <d v="2000-08-23T00:00:00"/>
  </r>
  <r>
    <x v="1"/>
    <n v="18715294"/>
    <x v="0"/>
    <d v="2025-05-28T00:00:00"/>
    <x v="0"/>
    <x v="1"/>
    <x v="2"/>
    <d v="2025-10-16T00:00:00"/>
    <n v="141"/>
    <n v="4.7"/>
    <n v="0"/>
    <n v="0"/>
    <n v="1"/>
    <x v="0"/>
    <n v="21.632876712328766"/>
    <x v="2"/>
    <n v="2"/>
    <d v="2003-10-15T00:00:00"/>
  </r>
  <r>
    <x v="1"/>
    <n v="18715310"/>
    <x v="0"/>
    <d v="2025-05-28T00:00:00"/>
    <x v="0"/>
    <x v="1"/>
    <x v="2"/>
    <d v="2025-09-03T00:00:00"/>
    <n v="98"/>
    <n v="3.2666666666666666"/>
    <n v="0"/>
    <n v="0"/>
    <n v="1"/>
    <x v="0"/>
    <n v="23.043835616438358"/>
    <x v="2"/>
    <n v="2"/>
    <d v="2002-05-18T00:00:00"/>
  </r>
  <r>
    <x v="1"/>
    <n v="18715384"/>
    <x v="1"/>
    <d v="2025-05-28T00:00:00"/>
    <x v="0"/>
    <x v="1"/>
    <x v="2"/>
    <d v="2025-12-15T00:00:00"/>
    <n v="201"/>
    <n v="6.7"/>
    <n v="0"/>
    <n v="0"/>
    <n v="0"/>
    <x v="1"/>
    <n v="21.358904109589041"/>
    <x v="2"/>
    <n v="2"/>
    <d v="2004-01-23T00:00:00"/>
  </r>
  <r>
    <x v="1"/>
    <n v="18715490"/>
    <x v="1"/>
    <d v="2025-05-28T00:00:00"/>
    <x v="0"/>
    <x v="1"/>
    <x v="2"/>
    <d v="2025-10-01T00:00:00"/>
    <n v="126"/>
    <n v="4.2"/>
    <n v="0"/>
    <n v="0"/>
    <n v="1"/>
    <x v="1"/>
    <n v="21.394520547945206"/>
    <x v="2"/>
    <n v="2"/>
    <d v="2004-01-10T00:00:00"/>
  </r>
  <r>
    <x v="1"/>
    <n v="18717947"/>
    <x v="0"/>
    <d v="2025-05-29T00:00:00"/>
    <x v="0"/>
    <x v="1"/>
    <x v="2"/>
    <m/>
    <n v="9999"/>
    <n v="333.3"/>
    <n v="0"/>
    <n v="0"/>
    <n v="0"/>
    <x v="1"/>
    <n v="22.413698630136988"/>
    <x v="2"/>
    <n v="2"/>
    <d v="2003-01-04T00:00:00"/>
  </r>
  <r>
    <x v="1"/>
    <n v="18717951"/>
    <x v="0"/>
    <d v="2025-05-29T00:00:00"/>
    <x v="0"/>
    <x v="1"/>
    <x v="2"/>
    <d v="2025-10-12T00:00:00"/>
    <n v="136"/>
    <n v="4.5333333333333332"/>
    <n v="0"/>
    <n v="0"/>
    <n v="1"/>
    <x v="1"/>
    <n v="43.684931506849317"/>
    <x v="0"/>
    <n v="4"/>
    <d v="1981-10-02T00:00:00"/>
  </r>
  <r>
    <x v="1"/>
    <n v="18717952"/>
    <x v="0"/>
    <d v="2025-05-29T00:00:00"/>
    <x v="0"/>
    <x v="1"/>
    <x v="2"/>
    <d v="2025-11-04T00:00:00"/>
    <n v="159"/>
    <n v="5.3"/>
    <n v="0"/>
    <n v="0"/>
    <n v="1"/>
    <x v="1"/>
    <n v="29.065753424657533"/>
    <x v="1"/>
    <n v="3"/>
    <d v="1996-05-12T00:00:00"/>
  </r>
  <r>
    <x v="1"/>
    <n v="18717966"/>
    <x v="0"/>
    <d v="2025-05-29T00:00:00"/>
    <x v="0"/>
    <x v="1"/>
    <x v="2"/>
    <d v="2025-12-31T00:00:00"/>
    <n v="216"/>
    <n v="7.2"/>
    <n v="0"/>
    <n v="0"/>
    <n v="0"/>
    <x v="1"/>
    <n v="18.112328767123287"/>
    <x v="3"/>
    <n v="1"/>
    <d v="2007-04-23T00:00:00"/>
  </r>
  <r>
    <x v="1"/>
    <n v="18717987"/>
    <x v="0"/>
    <d v="2025-05-29T00:00:00"/>
    <x v="0"/>
    <x v="1"/>
    <x v="2"/>
    <d v="2026-05-31T00:00:00"/>
    <n v="367"/>
    <n v="12.233333333333333"/>
    <n v="0"/>
    <n v="0"/>
    <n v="0"/>
    <x v="1"/>
    <n v="35.923287671232877"/>
    <x v="0"/>
    <n v="4"/>
    <d v="1989-07-05T00:00:00"/>
  </r>
  <r>
    <x v="1"/>
    <n v="18717994"/>
    <x v="0"/>
    <d v="2025-05-29T00:00:00"/>
    <x v="0"/>
    <x v="1"/>
    <x v="2"/>
    <d v="2025-09-01T00:00:00"/>
    <n v="95"/>
    <n v="3.1666666666666665"/>
    <n v="0"/>
    <n v="0"/>
    <n v="1"/>
    <x v="1"/>
    <n v="18.334246575342465"/>
    <x v="3"/>
    <n v="1"/>
    <d v="2007-02-01T00:00:00"/>
  </r>
  <r>
    <x v="1"/>
    <n v="18718026"/>
    <x v="0"/>
    <d v="2025-05-29T00:00:00"/>
    <x v="0"/>
    <x v="1"/>
    <x v="2"/>
    <d v="2025-08-11T00:00:00"/>
    <n v="74"/>
    <n v="2.4666666666666668"/>
    <n v="0"/>
    <n v="1"/>
    <n v="1"/>
    <x v="1"/>
    <n v="34.846575342465755"/>
    <x v="0"/>
    <n v="4"/>
    <d v="1990-08-02T00:00:00"/>
  </r>
  <r>
    <x v="1"/>
    <n v="18718040"/>
    <x v="0"/>
    <d v="2025-05-29T00:00:00"/>
    <x v="0"/>
    <x v="1"/>
    <x v="2"/>
    <d v="2026-01-31T00:00:00"/>
    <n v="247"/>
    <n v="8.2333333333333325"/>
    <n v="0"/>
    <n v="0"/>
    <n v="0"/>
    <x v="1"/>
    <n v="19.682191780821917"/>
    <x v="3"/>
    <n v="1"/>
    <d v="2005-09-27T00:00:00"/>
  </r>
  <r>
    <x v="1"/>
    <n v="18718151"/>
    <x v="1"/>
    <d v="2025-05-29T00:00:00"/>
    <x v="0"/>
    <x v="1"/>
    <x v="2"/>
    <d v="2025-12-31T00:00:00"/>
    <n v="216"/>
    <n v="7.2"/>
    <n v="0"/>
    <n v="0"/>
    <n v="0"/>
    <x v="1"/>
    <n v="21.06027397260274"/>
    <x v="2"/>
    <n v="2"/>
    <d v="2004-05-12T00:00:00"/>
  </r>
  <r>
    <x v="0"/>
    <n v="18720165"/>
    <x v="0"/>
    <d v="2025-05-30T00:00:00"/>
    <x v="0"/>
    <x v="1"/>
    <x v="2"/>
    <d v="2025-07-10T00:00:00"/>
    <n v="41"/>
    <n v="1.3666666666666667"/>
    <n v="0"/>
    <n v="1"/>
    <n v="1"/>
    <x v="1"/>
    <n v="28.493150684931507"/>
    <x v="1"/>
    <n v="3"/>
    <d v="1996-12-08T00:00:00"/>
  </r>
  <r>
    <x v="1"/>
    <n v="18720170"/>
    <x v="0"/>
    <d v="2025-05-30T00:00:00"/>
    <x v="0"/>
    <x v="1"/>
    <x v="2"/>
    <d v="2025-09-01T00:00:00"/>
    <n v="94"/>
    <n v="3.1333333333333333"/>
    <n v="0"/>
    <n v="0"/>
    <n v="1"/>
    <x v="1"/>
    <n v="23.4"/>
    <x v="2"/>
    <n v="2"/>
    <d v="2002-01-10T00:00:00"/>
  </r>
  <r>
    <x v="1"/>
    <n v="18724803"/>
    <x v="0"/>
    <d v="2025-06-02T00:00:00"/>
    <x v="0"/>
    <x v="11"/>
    <x v="16"/>
    <m/>
    <n v="9999"/>
    <n v="333.3"/>
    <n v="0"/>
    <n v="0"/>
    <n v="0"/>
    <x v="0"/>
    <n v="26.473972602739725"/>
    <x v="1"/>
    <n v="3"/>
    <d v="1998-12-18T00:00:00"/>
  </r>
  <r>
    <x v="1"/>
    <n v="18724860"/>
    <x v="0"/>
    <d v="2025-06-02T00:00:00"/>
    <x v="0"/>
    <x v="11"/>
    <x v="16"/>
    <d v="2025-06-09T00:00:00"/>
    <n v="7"/>
    <n v="0.23333333333333334"/>
    <n v="1"/>
    <n v="1"/>
    <n v="1"/>
    <x v="0"/>
    <n v="24.975342465753425"/>
    <x v="2"/>
    <n v="2"/>
    <d v="2000-06-17T00:00:00"/>
  </r>
  <r>
    <x v="1"/>
    <n v="18725007"/>
    <x v="0"/>
    <d v="2025-09-17T00:00:00"/>
    <x v="0"/>
    <x v="3"/>
    <x v="4"/>
    <m/>
    <n v="9999"/>
    <n v="333.3"/>
    <n v="0"/>
    <n v="0"/>
    <n v="0"/>
    <x v="0"/>
    <n v="22.210958904109589"/>
    <x v="2"/>
    <n v="2"/>
    <d v="2003-07-08T00:00:00"/>
  </r>
  <r>
    <x v="1"/>
    <n v="18725261"/>
    <x v="0"/>
    <d v="2025-06-02T00:00:00"/>
    <x v="0"/>
    <x v="11"/>
    <x v="16"/>
    <d v="2026-04-01T00:00:00"/>
    <n v="303"/>
    <n v="10.1"/>
    <n v="0"/>
    <n v="0"/>
    <n v="0"/>
    <x v="0"/>
    <n v="19.621917808219177"/>
    <x v="3"/>
    <n v="1"/>
    <d v="2005-10-23T00:00:00"/>
  </r>
  <r>
    <x v="1"/>
    <n v="18725262"/>
    <x v="0"/>
    <d v="2025-06-02T00:00:00"/>
    <x v="0"/>
    <x v="11"/>
    <x v="16"/>
    <d v="2025-10-05T00:00:00"/>
    <n v="125"/>
    <n v="4.166666666666667"/>
    <n v="0"/>
    <n v="0"/>
    <n v="1"/>
    <x v="0"/>
    <n v="20.36986301369863"/>
    <x v="3"/>
    <n v="1"/>
    <d v="2005-01-23T00:00:00"/>
  </r>
  <r>
    <x v="1"/>
    <n v="18727900"/>
    <x v="0"/>
    <d v="2025-06-03T00:00:00"/>
    <x v="0"/>
    <x v="11"/>
    <x v="16"/>
    <d v="2025-06-30T00:00:00"/>
    <n v="27"/>
    <n v="0.9"/>
    <n v="1"/>
    <n v="1"/>
    <n v="1"/>
    <x v="0"/>
    <n v="42.487671232876714"/>
    <x v="0"/>
    <n v="4"/>
    <d v="1982-12-18T00:00:00"/>
  </r>
  <r>
    <x v="1"/>
    <n v="18727901"/>
    <x v="0"/>
    <d v="2025-06-03T00:00:00"/>
    <x v="0"/>
    <x v="11"/>
    <x v="16"/>
    <m/>
    <n v="9999"/>
    <n v="333.3"/>
    <n v="0"/>
    <n v="0"/>
    <n v="0"/>
    <x v="0"/>
    <n v="27.909589041095892"/>
    <x v="1"/>
    <n v="3"/>
    <d v="1997-07-13T00:00:00"/>
  </r>
  <r>
    <x v="1"/>
    <n v="18727947"/>
    <x v="0"/>
    <d v="2025-06-03T00:00:00"/>
    <x v="0"/>
    <x v="11"/>
    <x v="16"/>
    <d v="2025-09-08T00:00:00"/>
    <n v="97"/>
    <n v="3.2333333333333334"/>
    <n v="0"/>
    <n v="0"/>
    <n v="1"/>
    <x v="0"/>
    <n v="22.030136986301368"/>
    <x v="2"/>
    <n v="2"/>
    <d v="2003-05-29T00:00:00"/>
  </r>
  <r>
    <x v="1"/>
    <n v="18728098"/>
    <x v="0"/>
    <d v="2025-06-03T00:00:00"/>
    <x v="0"/>
    <x v="11"/>
    <x v="16"/>
    <d v="2025-12-30T00:00:00"/>
    <n v="210"/>
    <n v="7"/>
    <n v="0"/>
    <n v="0"/>
    <n v="0"/>
    <x v="1"/>
    <n v="20.046575342465754"/>
    <x v="3"/>
    <n v="1"/>
    <d v="2005-05-22T00:00:00"/>
  </r>
  <r>
    <x v="1"/>
    <n v="18728100"/>
    <x v="0"/>
    <d v="2025-06-03T00:00:00"/>
    <x v="0"/>
    <x v="11"/>
    <x v="16"/>
    <d v="2025-08-15T00:00:00"/>
    <n v="73"/>
    <n v="2.4333333333333331"/>
    <n v="0"/>
    <n v="1"/>
    <n v="1"/>
    <x v="1"/>
    <n v="18.734246575342464"/>
    <x v="3"/>
    <n v="1"/>
    <d v="2006-09-13T00:00:00"/>
  </r>
  <r>
    <x v="1"/>
    <n v="18728120"/>
    <x v="1"/>
    <d v="2025-06-03T00:00:00"/>
    <x v="0"/>
    <x v="11"/>
    <x v="16"/>
    <d v="2025-09-03T00:00:00"/>
    <n v="92"/>
    <n v="3.0666666666666669"/>
    <n v="0"/>
    <n v="0"/>
    <n v="1"/>
    <x v="1"/>
    <n v="19.82191780821918"/>
    <x v="3"/>
    <n v="1"/>
    <d v="2005-08-12T00:00:00"/>
  </r>
  <r>
    <x v="1"/>
    <n v="18728127"/>
    <x v="0"/>
    <d v="2025-06-03T00:00:00"/>
    <x v="0"/>
    <x v="11"/>
    <x v="16"/>
    <d v="2025-06-30T00:00:00"/>
    <n v="27"/>
    <n v="0.9"/>
    <n v="1"/>
    <n v="1"/>
    <n v="1"/>
    <x v="1"/>
    <n v="21.304109589041097"/>
    <x v="2"/>
    <n v="2"/>
    <d v="2004-02-18T00:00:00"/>
  </r>
  <r>
    <x v="1"/>
    <n v="18728152"/>
    <x v="0"/>
    <d v="2025-06-03T00:00:00"/>
    <x v="0"/>
    <x v="11"/>
    <x v="16"/>
    <d v="2026-02-16T00:00:00"/>
    <n v="258"/>
    <n v="8.6"/>
    <n v="0"/>
    <n v="0"/>
    <n v="0"/>
    <x v="1"/>
    <n v="20.857534246575341"/>
    <x v="3"/>
    <n v="1"/>
    <d v="2004-07-30T00:00:00"/>
  </r>
  <r>
    <x v="1"/>
    <n v="18728153"/>
    <x v="0"/>
    <d v="2025-06-03T00:00:00"/>
    <x v="0"/>
    <x v="11"/>
    <x v="16"/>
    <d v="2025-10-13T00:00:00"/>
    <n v="132"/>
    <n v="4.4000000000000004"/>
    <n v="0"/>
    <n v="0"/>
    <n v="1"/>
    <x v="1"/>
    <n v="20.484931506849314"/>
    <x v="3"/>
    <n v="1"/>
    <d v="2004-12-13T00:00:00"/>
  </r>
  <r>
    <x v="1"/>
    <n v="18728686"/>
    <x v="1"/>
    <d v="2025-06-03T00:00:00"/>
    <x v="0"/>
    <x v="11"/>
    <x v="16"/>
    <d v="2025-09-17T00:00:00"/>
    <n v="106"/>
    <n v="3.5333333333333332"/>
    <n v="0"/>
    <n v="0"/>
    <n v="1"/>
    <x v="0"/>
    <n v="21.002739726027396"/>
    <x v="2"/>
    <n v="2"/>
    <d v="2004-06-07T00:00:00"/>
  </r>
  <r>
    <x v="1"/>
    <n v="18730203"/>
    <x v="0"/>
    <d v="2025-06-04T00:00:00"/>
    <x v="0"/>
    <x v="11"/>
    <x v="16"/>
    <d v="2025-08-03T00:00:00"/>
    <n v="60"/>
    <n v="2"/>
    <n v="0"/>
    <n v="1"/>
    <n v="1"/>
    <x v="1"/>
    <n v="20.827397260273973"/>
    <x v="3"/>
    <n v="1"/>
    <d v="2004-08-11T00:00:00"/>
  </r>
  <r>
    <x v="1"/>
    <n v="18730232"/>
    <x v="0"/>
    <d v="2025-06-04T00:00:00"/>
    <x v="0"/>
    <x v="11"/>
    <x v="16"/>
    <d v="2026-02-28T00:00:00"/>
    <n v="269"/>
    <n v="8.9666666666666668"/>
    <n v="0"/>
    <n v="0"/>
    <n v="0"/>
    <x v="0"/>
    <n v="25.487671232876714"/>
    <x v="2"/>
    <n v="2"/>
    <d v="1999-12-15T00:00:00"/>
  </r>
  <r>
    <x v="1"/>
    <n v="18730237"/>
    <x v="0"/>
    <d v="2025-06-04T00:00:00"/>
    <x v="0"/>
    <x v="11"/>
    <x v="16"/>
    <d v="2025-07-04T00:00:00"/>
    <n v="30"/>
    <n v="1"/>
    <n v="1"/>
    <n v="1"/>
    <n v="1"/>
    <x v="0"/>
    <n v="25.123287671232877"/>
    <x v="2"/>
    <n v="2"/>
    <d v="2000-04-26T00:00:00"/>
  </r>
  <r>
    <x v="0"/>
    <n v="18730243"/>
    <x v="0"/>
    <d v="2025-06-04T00:00:00"/>
    <x v="0"/>
    <x v="11"/>
    <x v="16"/>
    <d v="2025-12-31T00:00:00"/>
    <n v="210"/>
    <n v="7"/>
    <n v="0"/>
    <n v="0"/>
    <n v="0"/>
    <x v="1"/>
    <n v="32.19178082191781"/>
    <x v="0"/>
    <n v="4"/>
    <d v="1993-04-03T00:00:00"/>
  </r>
  <r>
    <x v="1"/>
    <n v="18730244"/>
    <x v="1"/>
    <d v="2025-06-04T00:00:00"/>
    <x v="0"/>
    <x v="11"/>
    <x v="16"/>
    <m/>
    <n v="9999"/>
    <n v="333.3"/>
    <n v="0"/>
    <n v="0"/>
    <n v="0"/>
    <x v="0"/>
    <n v="22.950684931506849"/>
    <x v="2"/>
    <n v="2"/>
    <d v="2002-06-28T00:00:00"/>
  </r>
  <r>
    <x v="1"/>
    <n v="18730256"/>
    <x v="0"/>
    <d v="2025-06-04T00:00:00"/>
    <x v="0"/>
    <x v="11"/>
    <x v="16"/>
    <m/>
    <n v="9999"/>
    <n v="333.3"/>
    <n v="0"/>
    <n v="0"/>
    <n v="0"/>
    <x v="1"/>
    <n v="19.723287671232878"/>
    <x v="3"/>
    <n v="1"/>
    <d v="2005-09-18T00:00:00"/>
  </r>
  <r>
    <x v="1"/>
    <n v="18730257"/>
    <x v="0"/>
    <d v="2025-06-04T00:00:00"/>
    <x v="0"/>
    <x v="11"/>
    <x v="16"/>
    <m/>
    <n v="9999"/>
    <n v="333.3"/>
    <n v="0"/>
    <n v="0"/>
    <n v="0"/>
    <x v="1"/>
    <n v="26.153424657534245"/>
    <x v="1"/>
    <n v="3"/>
    <d v="1999-04-16T00:00:00"/>
  </r>
  <r>
    <x v="1"/>
    <n v="18730258"/>
    <x v="0"/>
    <d v="2025-06-04T00:00:00"/>
    <x v="0"/>
    <x v="11"/>
    <x v="16"/>
    <d v="2025-12-03T00:00:00"/>
    <n v="182"/>
    <n v="6.0666666666666664"/>
    <n v="0"/>
    <n v="0"/>
    <n v="0"/>
    <x v="1"/>
    <n v="20.758904109589039"/>
    <x v="3"/>
    <n v="1"/>
    <d v="2004-09-05T00:00:00"/>
  </r>
  <r>
    <x v="1"/>
    <n v="18730302"/>
    <x v="0"/>
    <d v="2025-06-04T00:00:00"/>
    <x v="0"/>
    <x v="11"/>
    <x v="16"/>
    <d v="2026-01-31T00:00:00"/>
    <n v="241"/>
    <n v="8.0333333333333332"/>
    <n v="0"/>
    <n v="0"/>
    <n v="0"/>
    <x v="0"/>
    <n v="20.210958904109589"/>
    <x v="3"/>
    <n v="1"/>
    <d v="2005-03-24T00:00:00"/>
  </r>
  <r>
    <x v="1"/>
    <n v="18730382"/>
    <x v="0"/>
    <d v="2025-06-04T00:00:00"/>
    <x v="0"/>
    <x v="11"/>
    <x v="16"/>
    <m/>
    <n v="9999"/>
    <n v="333.3"/>
    <n v="0"/>
    <n v="0"/>
    <n v="0"/>
    <x v="0"/>
    <n v="20.052054794520547"/>
    <x v="3"/>
    <n v="1"/>
    <d v="2005-05-21T00:00:00"/>
  </r>
  <r>
    <x v="1"/>
    <n v="18732518"/>
    <x v="1"/>
    <d v="2025-06-05T00:00:00"/>
    <x v="0"/>
    <x v="11"/>
    <x v="16"/>
    <d v="2026-05-14T00:00:00"/>
    <n v="343"/>
    <n v="11.433333333333334"/>
    <n v="0"/>
    <n v="0"/>
    <n v="0"/>
    <x v="0"/>
    <n v="18.378082191780823"/>
    <x v="3"/>
    <n v="1"/>
    <d v="2007-01-23T00:00:00"/>
  </r>
  <r>
    <x v="1"/>
    <n v="18732519"/>
    <x v="0"/>
    <d v="2025-06-05T00:00:00"/>
    <x v="0"/>
    <x v="11"/>
    <x v="16"/>
    <m/>
    <n v="9999"/>
    <n v="333.3"/>
    <n v="0"/>
    <n v="0"/>
    <n v="0"/>
    <x v="0"/>
    <n v="24.969863013698632"/>
    <x v="2"/>
    <n v="2"/>
    <d v="2000-06-22T00:00:00"/>
  </r>
  <r>
    <x v="1"/>
    <n v="18734246"/>
    <x v="0"/>
    <d v="2025-06-06T00:00:00"/>
    <x v="0"/>
    <x v="11"/>
    <x v="16"/>
    <m/>
    <n v="9999"/>
    <n v="333.3"/>
    <n v="0"/>
    <n v="0"/>
    <n v="0"/>
    <x v="0"/>
    <n v="26.632876712328766"/>
    <x v="1"/>
    <n v="3"/>
    <d v="1998-10-25T00:00:00"/>
  </r>
  <r>
    <x v="1"/>
    <n v="18734297"/>
    <x v="1"/>
    <d v="2025-06-06T00:00:00"/>
    <x v="0"/>
    <x v="11"/>
    <x v="16"/>
    <d v="2025-10-01T00:00:00"/>
    <n v="117"/>
    <n v="3.9"/>
    <n v="0"/>
    <n v="0"/>
    <n v="1"/>
    <x v="1"/>
    <n v="20.980821917808218"/>
    <x v="3"/>
    <n v="1"/>
    <d v="2004-06-18T00:00:00"/>
  </r>
  <r>
    <x v="1"/>
    <n v="18740938"/>
    <x v="0"/>
    <d v="2025-06-09T00:00:00"/>
    <x v="0"/>
    <x v="11"/>
    <x v="16"/>
    <m/>
    <n v="9999"/>
    <n v="333.3"/>
    <n v="0"/>
    <n v="0"/>
    <n v="0"/>
    <x v="0"/>
    <n v="20.736986301369864"/>
    <x v="3"/>
    <n v="1"/>
    <d v="2004-09-18T00:00:00"/>
  </r>
  <r>
    <x v="1"/>
    <n v="18741133"/>
    <x v="1"/>
    <d v="2025-06-09T00:00:00"/>
    <x v="0"/>
    <x v="11"/>
    <x v="16"/>
    <d v="2025-10-19T00:00:00"/>
    <n v="132"/>
    <n v="4.4000000000000004"/>
    <n v="0"/>
    <n v="0"/>
    <n v="1"/>
    <x v="1"/>
    <n v="18.087671232876712"/>
    <x v="3"/>
    <n v="1"/>
    <d v="2007-05-13T00:00:00"/>
  </r>
  <r>
    <x v="1"/>
    <n v="18741135"/>
    <x v="1"/>
    <d v="2025-06-09T00:00:00"/>
    <x v="0"/>
    <x v="11"/>
    <x v="16"/>
    <m/>
    <n v="9999"/>
    <n v="333.3"/>
    <n v="0"/>
    <n v="0"/>
    <n v="0"/>
    <x v="1"/>
    <n v="18.164383561643834"/>
    <x v="3"/>
    <n v="1"/>
    <d v="2007-04-15T00:00:00"/>
  </r>
  <r>
    <x v="1"/>
    <n v="18742018"/>
    <x v="0"/>
    <d v="2025-06-09T00:00:00"/>
    <x v="0"/>
    <x v="11"/>
    <x v="16"/>
    <m/>
    <n v="9999"/>
    <n v="333.3"/>
    <n v="0"/>
    <n v="0"/>
    <n v="0"/>
    <x v="0"/>
    <n v="19.041095890410958"/>
    <x v="3"/>
    <n v="1"/>
    <d v="2006-05-30T00:00:00"/>
  </r>
  <r>
    <x v="1"/>
    <n v="18743476"/>
    <x v="0"/>
    <d v="2025-06-10T00:00:00"/>
    <x v="0"/>
    <x v="11"/>
    <x v="16"/>
    <d v="2026-02-05T00:00:00"/>
    <n v="240"/>
    <n v="8"/>
    <n v="0"/>
    <n v="0"/>
    <n v="0"/>
    <x v="0"/>
    <n v="27.775342465753425"/>
    <x v="1"/>
    <n v="3"/>
    <d v="1997-09-07T00:00:00"/>
  </r>
  <r>
    <x v="1"/>
    <n v="18748567"/>
    <x v="0"/>
    <d v="2025-06-12T00:00:00"/>
    <x v="0"/>
    <x v="11"/>
    <x v="16"/>
    <d v="2026-04-01T00:00:00"/>
    <n v="293"/>
    <n v="9.7666666666666675"/>
    <n v="0"/>
    <n v="0"/>
    <n v="0"/>
    <x v="0"/>
    <n v="20.632876712328766"/>
    <x v="3"/>
    <n v="1"/>
    <d v="2004-10-29T00:00:00"/>
  </r>
  <r>
    <x v="1"/>
    <n v="18750470"/>
    <x v="0"/>
    <d v="2025-06-13T00:00:00"/>
    <x v="0"/>
    <x v="11"/>
    <x v="16"/>
    <m/>
    <n v="9999"/>
    <n v="333.3"/>
    <n v="0"/>
    <n v="0"/>
    <n v="0"/>
    <x v="0"/>
    <n v="19.553424657534247"/>
    <x v="3"/>
    <n v="1"/>
    <d v="2005-11-28T00:00:00"/>
  </r>
  <r>
    <x v="1"/>
    <n v="18757220"/>
    <x v="0"/>
    <d v="2026-05-11T00:00:00"/>
    <x v="1"/>
    <x v="1"/>
    <x v="1"/>
    <m/>
    <n v="9999"/>
    <n v="333.3"/>
    <n v="0"/>
    <n v="0"/>
    <n v="0"/>
    <x v="0"/>
    <n v="21.534246575342465"/>
    <x v="2"/>
    <n v="2"/>
    <d v="2004-11-02T00:00:00"/>
  </r>
  <r>
    <x v="1"/>
    <n v="18764109"/>
    <x v="0"/>
    <d v="2025-06-17T00:00:00"/>
    <x v="0"/>
    <x v="11"/>
    <x v="16"/>
    <d v="2025-08-15T00:00:00"/>
    <n v="59"/>
    <n v="1.9666666666666666"/>
    <n v="0"/>
    <n v="1"/>
    <n v="1"/>
    <x v="0"/>
    <n v="18.405479452054795"/>
    <x v="3"/>
    <n v="1"/>
    <d v="2007-01-25T00:00:00"/>
  </r>
  <r>
    <x v="1"/>
    <n v="18764732"/>
    <x v="1"/>
    <d v="2025-07-15T00:00:00"/>
    <x v="0"/>
    <x v="10"/>
    <x v="13"/>
    <m/>
    <n v="9999"/>
    <n v="333.3"/>
    <n v="0"/>
    <n v="0"/>
    <n v="0"/>
    <x v="1"/>
    <n v="19.616438356164384"/>
    <x v="3"/>
    <n v="1"/>
    <d v="2005-12-07T00:00:00"/>
  </r>
  <r>
    <x v="1"/>
    <n v="18774154"/>
    <x v="0"/>
    <d v="2025-06-18T00:00:00"/>
    <x v="0"/>
    <x v="11"/>
    <x v="16"/>
    <d v="2025-07-01T00:00:00"/>
    <n v="13"/>
    <n v="0.43333333333333335"/>
    <n v="1"/>
    <n v="1"/>
    <n v="1"/>
    <x v="1"/>
    <n v="36.821917808219176"/>
    <x v="0"/>
    <n v="4"/>
    <d v="1988-08-31T00:00:00"/>
  </r>
  <r>
    <x v="1"/>
    <n v="18778161"/>
    <x v="1"/>
    <d v="2025-06-19T00:00:00"/>
    <x v="0"/>
    <x v="11"/>
    <x v="16"/>
    <d v="2025-11-18T00:00:00"/>
    <n v="152"/>
    <n v="5.0666666666666664"/>
    <n v="0"/>
    <n v="0"/>
    <n v="1"/>
    <x v="1"/>
    <n v="19.364383561643837"/>
    <x v="3"/>
    <n v="1"/>
    <d v="2006-02-11T00:00:00"/>
  </r>
  <r>
    <x v="1"/>
    <n v="18785883"/>
    <x v="0"/>
    <d v="2025-12-01T00:00:00"/>
    <x v="0"/>
    <x v="5"/>
    <x v="7"/>
    <d v="2026-05-13T00:00:00"/>
    <n v="163"/>
    <n v="5.4333333333333336"/>
    <n v="0"/>
    <n v="0"/>
    <n v="1"/>
    <x v="0"/>
    <n v="20.978082191780821"/>
    <x v="3"/>
    <n v="1"/>
    <d v="2004-12-14T00:00:00"/>
  </r>
  <r>
    <x v="1"/>
    <n v="18787470"/>
    <x v="0"/>
    <d v="2025-06-24T00:00:00"/>
    <x v="0"/>
    <x v="11"/>
    <x v="16"/>
    <d v="2025-07-01T00:00:00"/>
    <n v="7"/>
    <n v="0.23333333333333334"/>
    <n v="1"/>
    <n v="1"/>
    <n v="1"/>
    <x v="0"/>
    <n v="22.167123287671235"/>
    <x v="2"/>
    <n v="2"/>
    <d v="2003-04-30T00:00:00"/>
  </r>
  <r>
    <x v="1"/>
    <n v="18787548"/>
    <x v="0"/>
    <d v="2025-06-24T00:00:00"/>
    <x v="0"/>
    <x v="11"/>
    <x v="16"/>
    <d v="2025-08-01T00:00:00"/>
    <n v="38"/>
    <n v="1.2666666666666666"/>
    <n v="0"/>
    <n v="1"/>
    <n v="1"/>
    <x v="1"/>
    <n v="30.895890410958906"/>
    <x v="1"/>
    <n v="3"/>
    <d v="1994-08-09T00:00:00"/>
  </r>
  <r>
    <x v="1"/>
    <n v="18787707"/>
    <x v="1"/>
    <d v="2025-06-24T00:00:00"/>
    <x v="0"/>
    <x v="11"/>
    <x v="16"/>
    <m/>
    <n v="9999"/>
    <n v="333.3"/>
    <n v="0"/>
    <n v="0"/>
    <n v="0"/>
    <x v="1"/>
    <n v="20.301369863013697"/>
    <x v="3"/>
    <n v="1"/>
    <d v="2005-03-11T00:00:00"/>
  </r>
  <r>
    <x v="1"/>
    <n v="18789310"/>
    <x v="1"/>
    <d v="2025-06-25T00:00:00"/>
    <x v="0"/>
    <x v="11"/>
    <x v="16"/>
    <d v="2025-12-18T00:00:00"/>
    <n v="176"/>
    <n v="5.8666666666666663"/>
    <n v="0"/>
    <n v="0"/>
    <n v="1"/>
    <x v="1"/>
    <n v="18.421917808219177"/>
    <x v="3"/>
    <n v="1"/>
    <d v="2007-01-27T00:00:00"/>
  </r>
  <r>
    <x v="1"/>
    <n v="18789311"/>
    <x v="0"/>
    <d v="2025-06-25T00:00:00"/>
    <x v="0"/>
    <x v="11"/>
    <x v="16"/>
    <d v="2025-07-31T00:00:00"/>
    <n v="36"/>
    <n v="1.2"/>
    <n v="0"/>
    <n v="1"/>
    <n v="1"/>
    <x v="1"/>
    <n v="41.6"/>
    <x v="0"/>
    <n v="4"/>
    <d v="1983-11-29T00:00:00"/>
  </r>
  <r>
    <x v="1"/>
    <n v="18789316"/>
    <x v="0"/>
    <d v="2025-06-25T00:00:00"/>
    <x v="0"/>
    <x v="11"/>
    <x v="16"/>
    <d v="2025-11-15T00:00:00"/>
    <n v="143"/>
    <n v="4.7666666666666666"/>
    <n v="0"/>
    <n v="0"/>
    <n v="1"/>
    <x v="1"/>
    <n v="26.43013698630137"/>
    <x v="1"/>
    <n v="3"/>
    <d v="1999-01-26T00:00:00"/>
  </r>
  <r>
    <x v="1"/>
    <n v="18789329"/>
    <x v="1"/>
    <d v="2025-06-25T00:00:00"/>
    <x v="0"/>
    <x v="11"/>
    <x v="16"/>
    <m/>
    <n v="9999"/>
    <n v="333.3"/>
    <n v="0"/>
    <n v="0"/>
    <n v="0"/>
    <x v="1"/>
    <n v="19.873972602739727"/>
    <x v="3"/>
    <n v="1"/>
    <d v="2005-08-15T00:00:00"/>
  </r>
  <r>
    <x v="1"/>
    <n v="18789330"/>
    <x v="0"/>
    <d v="2025-06-25T00:00:00"/>
    <x v="0"/>
    <x v="11"/>
    <x v="16"/>
    <d v="2025-09-03T00:00:00"/>
    <n v="70"/>
    <n v="2.3333333333333335"/>
    <n v="0"/>
    <n v="1"/>
    <n v="1"/>
    <x v="1"/>
    <n v="19.641095890410959"/>
    <x v="3"/>
    <n v="1"/>
    <d v="2005-11-08T00:00:00"/>
  </r>
  <r>
    <x v="1"/>
    <n v="18789356"/>
    <x v="0"/>
    <d v="2025-06-25T00:00:00"/>
    <x v="0"/>
    <x v="11"/>
    <x v="16"/>
    <d v="2025-11-30T00:00:00"/>
    <n v="158"/>
    <n v="5.2666666666666666"/>
    <n v="0"/>
    <n v="0"/>
    <n v="1"/>
    <x v="1"/>
    <n v="27.545205479452054"/>
    <x v="1"/>
    <n v="3"/>
    <d v="1997-12-15T00:00:00"/>
  </r>
  <r>
    <x v="1"/>
    <n v="18800365"/>
    <x v="0"/>
    <d v="2025-07-01T00:00:00"/>
    <x v="0"/>
    <x v="10"/>
    <x v="13"/>
    <m/>
    <n v="9999"/>
    <n v="333.3"/>
    <n v="0"/>
    <n v="0"/>
    <n v="0"/>
    <x v="1"/>
    <n v="25.169863013698631"/>
    <x v="2"/>
    <n v="2"/>
    <d v="2000-05-06T00:00:00"/>
  </r>
  <r>
    <x v="1"/>
    <n v="18800378"/>
    <x v="0"/>
    <d v="2025-07-01T00:00:00"/>
    <x v="0"/>
    <x v="10"/>
    <x v="13"/>
    <d v="2026-03-31T00:00:00"/>
    <n v="273"/>
    <n v="9.1"/>
    <n v="0"/>
    <n v="0"/>
    <n v="0"/>
    <x v="1"/>
    <n v="24.534246575342465"/>
    <x v="2"/>
    <n v="2"/>
    <d v="2000-12-24T00:00:00"/>
  </r>
  <r>
    <x v="1"/>
    <n v="18800386"/>
    <x v="1"/>
    <d v="2025-07-01T00:00:00"/>
    <x v="0"/>
    <x v="10"/>
    <x v="13"/>
    <d v="2025-09-01T00:00:00"/>
    <n v="62"/>
    <n v="2.0666666666666669"/>
    <n v="0"/>
    <n v="1"/>
    <n v="1"/>
    <x v="1"/>
    <n v="18.534246575342465"/>
    <x v="3"/>
    <n v="1"/>
    <d v="2006-12-23T00:00:00"/>
  </r>
  <r>
    <x v="1"/>
    <n v="18800387"/>
    <x v="1"/>
    <d v="2025-07-01T00:00:00"/>
    <x v="0"/>
    <x v="10"/>
    <x v="13"/>
    <d v="2025-08-01T00:00:00"/>
    <n v="31"/>
    <n v="1.0333333333333334"/>
    <n v="0"/>
    <n v="1"/>
    <n v="1"/>
    <x v="1"/>
    <n v="21.671232876712327"/>
    <x v="2"/>
    <n v="2"/>
    <d v="2003-11-04T00:00:00"/>
  </r>
  <r>
    <x v="1"/>
    <n v="18800397"/>
    <x v="0"/>
    <d v="2025-07-01T00:00:00"/>
    <x v="0"/>
    <x v="10"/>
    <x v="13"/>
    <d v="2025-08-04T00:00:00"/>
    <n v="34"/>
    <n v="1.1333333333333333"/>
    <n v="0"/>
    <n v="1"/>
    <n v="1"/>
    <x v="1"/>
    <n v="32.134246575342466"/>
    <x v="0"/>
    <n v="4"/>
    <d v="1993-05-21T00:00:00"/>
  </r>
  <r>
    <x v="1"/>
    <n v="18800404"/>
    <x v="1"/>
    <d v="2025-07-01T00:00:00"/>
    <x v="0"/>
    <x v="10"/>
    <x v="13"/>
    <d v="2025-12-15T00:00:00"/>
    <n v="167"/>
    <n v="5.5666666666666664"/>
    <n v="0"/>
    <n v="0"/>
    <n v="1"/>
    <x v="1"/>
    <n v="20.331506849315069"/>
    <x v="3"/>
    <n v="1"/>
    <d v="2005-03-07T00:00:00"/>
  </r>
  <r>
    <x v="1"/>
    <n v="18800411"/>
    <x v="0"/>
    <d v="2025-07-01T00:00:00"/>
    <x v="0"/>
    <x v="10"/>
    <x v="13"/>
    <d v="2025-10-04T00:00:00"/>
    <n v="95"/>
    <n v="3.1666666666666665"/>
    <n v="0"/>
    <n v="0"/>
    <n v="1"/>
    <x v="1"/>
    <n v="25.205479452054796"/>
    <x v="2"/>
    <n v="2"/>
    <d v="2000-04-23T00:00:00"/>
  </r>
  <r>
    <x v="1"/>
    <n v="18800418"/>
    <x v="0"/>
    <d v="2025-07-01T00:00:00"/>
    <x v="0"/>
    <x v="10"/>
    <x v="13"/>
    <d v="2025-12-31T00:00:00"/>
    <n v="183"/>
    <n v="6.1"/>
    <n v="0"/>
    <n v="0"/>
    <n v="0"/>
    <x v="0"/>
    <n v="26.093150684931508"/>
    <x v="1"/>
    <n v="3"/>
    <d v="1999-06-04T00:00:00"/>
  </r>
  <r>
    <x v="1"/>
    <n v="18800433"/>
    <x v="0"/>
    <d v="2025-07-01T00:00:00"/>
    <x v="0"/>
    <x v="10"/>
    <x v="13"/>
    <d v="2026-01-31T00:00:00"/>
    <n v="214"/>
    <n v="7.1333333333333337"/>
    <n v="0"/>
    <n v="0"/>
    <n v="0"/>
    <x v="1"/>
    <n v="21.36986301369863"/>
    <x v="2"/>
    <n v="2"/>
    <d v="2004-02-22T00:00:00"/>
  </r>
  <r>
    <x v="1"/>
    <n v="18803400"/>
    <x v="0"/>
    <d v="2025-07-01T00:00:00"/>
    <x v="0"/>
    <x v="10"/>
    <x v="13"/>
    <m/>
    <n v="9999"/>
    <n v="333.3"/>
    <n v="0"/>
    <n v="0"/>
    <n v="0"/>
    <x v="1"/>
    <n v="21.290410958904111"/>
    <x v="2"/>
    <n v="2"/>
    <d v="2004-03-22T00:00:00"/>
  </r>
  <r>
    <x v="1"/>
    <n v="18803465"/>
    <x v="1"/>
    <d v="2025-07-01T00:00:00"/>
    <x v="0"/>
    <x v="10"/>
    <x v="13"/>
    <d v="2025-08-17T00:00:00"/>
    <n v="47"/>
    <n v="1.5666666666666667"/>
    <n v="0"/>
    <n v="1"/>
    <n v="1"/>
    <x v="1"/>
    <n v="21.86849315068493"/>
    <x v="2"/>
    <n v="2"/>
    <d v="2003-08-24T00:00:00"/>
  </r>
  <r>
    <x v="1"/>
    <n v="18806921"/>
    <x v="0"/>
    <d v="2025-07-03T00:00:00"/>
    <x v="0"/>
    <x v="10"/>
    <x v="13"/>
    <d v="2025-07-15T00:00:00"/>
    <n v="12"/>
    <n v="0.4"/>
    <n v="1"/>
    <n v="1"/>
    <n v="1"/>
    <x v="0"/>
    <n v="23.736986301369864"/>
    <x v="2"/>
    <n v="2"/>
    <d v="2001-10-13T00:00:00"/>
  </r>
  <r>
    <x v="1"/>
    <n v="18807061"/>
    <x v="1"/>
    <d v="2025-07-03T00:00:00"/>
    <x v="0"/>
    <x v="10"/>
    <x v="13"/>
    <m/>
    <n v="9999"/>
    <n v="333.3"/>
    <n v="0"/>
    <n v="0"/>
    <n v="0"/>
    <x v="1"/>
    <n v="24.731506849315068"/>
    <x v="2"/>
    <n v="2"/>
    <d v="2000-10-15T00:00:00"/>
  </r>
  <r>
    <x v="1"/>
    <n v="18807109"/>
    <x v="1"/>
    <d v="2025-07-03T00:00:00"/>
    <x v="0"/>
    <x v="10"/>
    <x v="13"/>
    <m/>
    <n v="9999"/>
    <n v="333.3"/>
    <n v="0"/>
    <n v="0"/>
    <n v="0"/>
    <x v="1"/>
    <n v="18.624657534246577"/>
    <x v="3"/>
    <n v="1"/>
    <d v="2006-11-22T00:00:00"/>
  </r>
  <r>
    <x v="1"/>
    <n v="18807126"/>
    <x v="1"/>
    <d v="2025-07-03T00:00:00"/>
    <x v="0"/>
    <x v="10"/>
    <x v="13"/>
    <d v="2025-10-15T00:00:00"/>
    <n v="104"/>
    <n v="3.4666666666666668"/>
    <n v="0"/>
    <n v="0"/>
    <n v="1"/>
    <x v="1"/>
    <n v="18.315068493150687"/>
    <x v="3"/>
    <n v="1"/>
    <d v="2007-03-15T00:00:00"/>
  </r>
  <r>
    <x v="1"/>
    <n v="18807464"/>
    <x v="1"/>
    <d v="2025-07-03T00:00:00"/>
    <x v="0"/>
    <x v="10"/>
    <x v="13"/>
    <d v="2025-12-31T00:00:00"/>
    <n v="181"/>
    <n v="6.0333333333333332"/>
    <n v="0"/>
    <n v="0"/>
    <n v="0"/>
    <x v="1"/>
    <n v="20.032876712328768"/>
    <x v="3"/>
    <n v="1"/>
    <d v="2005-06-26T00:00:00"/>
  </r>
  <r>
    <x v="1"/>
    <n v="18808564"/>
    <x v="0"/>
    <d v="2025-07-03T00:00:00"/>
    <x v="0"/>
    <x v="10"/>
    <x v="13"/>
    <d v="2026-02-28T00:00:00"/>
    <n v="240"/>
    <n v="8"/>
    <n v="0"/>
    <n v="0"/>
    <n v="0"/>
    <x v="1"/>
    <n v="19.953424657534246"/>
    <x v="3"/>
    <n v="1"/>
    <d v="2005-07-25T00:00:00"/>
  </r>
  <r>
    <x v="1"/>
    <n v="18808694"/>
    <x v="0"/>
    <d v="2025-07-03T00:00:00"/>
    <x v="0"/>
    <x v="10"/>
    <x v="13"/>
    <d v="2026-05-05T00:00:00"/>
    <n v="306"/>
    <n v="10.199999999999999"/>
    <n v="0"/>
    <n v="0"/>
    <n v="0"/>
    <x v="0"/>
    <n v="18.17808219178082"/>
    <x v="3"/>
    <n v="1"/>
    <d v="2007-05-04T00:00:00"/>
  </r>
  <r>
    <x v="1"/>
    <n v="18808908"/>
    <x v="1"/>
    <d v="2025-07-03T00:00:00"/>
    <x v="0"/>
    <x v="10"/>
    <x v="13"/>
    <m/>
    <n v="9999"/>
    <n v="333.3"/>
    <n v="0"/>
    <n v="0"/>
    <n v="0"/>
    <x v="0"/>
    <n v="20.227397260273971"/>
    <x v="3"/>
    <n v="1"/>
    <d v="2005-04-16T00:00:00"/>
  </r>
  <r>
    <x v="1"/>
    <n v="18808909"/>
    <x v="0"/>
    <d v="2025-07-03T00:00:00"/>
    <x v="0"/>
    <x v="10"/>
    <x v="13"/>
    <d v="2025-07-31T00:00:00"/>
    <n v="28"/>
    <n v="0.93333333333333335"/>
    <n v="1"/>
    <n v="1"/>
    <n v="1"/>
    <x v="0"/>
    <n v="25.75068493150685"/>
    <x v="2"/>
    <n v="2"/>
    <d v="1999-10-09T00:00:00"/>
  </r>
  <r>
    <x v="1"/>
    <n v="18812768"/>
    <x v="0"/>
    <d v="2025-07-04T00:00:00"/>
    <x v="0"/>
    <x v="10"/>
    <x v="13"/>
    <m/>
    <n v="9999"/>
    <n v="333.3"/>
    <n v="0"/>
    <n v="0"/>
    <n v="0"/>
    <x v="1"/>
    <n v="36.035616438356165"/>
    <x v="0"/>
    <n v="4"/>
    <d v="1989-06-30T00:00:00"/>
  </r>
  <r>
    <x v="1"/>
    <n v="18812800"/>
    <x v="1"/>
    <d v="2025-07-04T00:00:00"/>
    <x v="0"/>
    <x v="10"/>
    <x v="13"/>
    <m/>
    <n v="9999"/>
    <n v="333.3"/>
    <n v="0"/>
    <n v="0"/>
    <n v="0"/>
    <x v="0"/>
    <n v="18.13150684931507"/>
    <x v="3"/>
    <n v="1"/>
    <d v="2007-05-22T00:00:00"/>
  </r>
  <r>
    <x v="1"/>
    <n v="18812801"/>
    <x v="0"/>
    <d v="2025-07-04T00:00:00"/>
    <x v="0"/>
    <x v="10"/>
    <x v="13"/>
    <d v="2026-04-30T00:00:00"/>
    <n v="300"/>
    <n v="10"/>
    <n v="0"/>
    <n v="0"/>
    <n v="0"/>
    <x v="0"/>
    <n v="22.712328767123289"/>
    <x v="2"/>
    <n v="2"/>
    <d v="2002-10-23T00:00:00"/>
  </r>
  <r>
    <x v="0"/>
    <n v="18812805"/>
    <x v="0"/>
    <d v="2025-07-04T00:00:00"/>
    <x v="0"/>
    <x v="10"/>
    <x v="13"/>
    <d v="2025-10-31T00:00:00"/>
    <n v="119"/>
    <n v="3.9666666666666668"/>
    <n v="0"/>
    <n v="0"/>
    <n v="1"/>
    <x v="1"/>
    <n v="20.797260273972604"/>
    <x v="3"/>
    <n v="1"/>
    <d v="2004-09-21T00:00:00"/>
  </r>
  <r>
    <x v="1"/>
    <n v="18812813"/>
    <x v="0"/>
    <d v="2025-07-04T00:00:00"/>
    <x v="0"/>
    <x v="10"/>
    <x v="13"/>
    <d v="2025-08-31T00:00:00"/>
    <n v="58"/>
    <n v="1.9333333333333333"/>
    <n v="0"/>
    <n v="1"/>
    <n v="1"/>
    <x v="1"/>
    <n v="20.882191780821916"/>
    <x v="3"/>
    <n v="1"/>
    <d v="2004-08-21T00:00:00"/>
  </r>
  <r>
    <x v="1"/>
    <n v="18812829"/>
    <x v="1"/>
    <d v="2025-07-04T00:00:00"/>
    <x v="0"/>
    <x v="10"/>
    <x v="13"/>
    <d v="2026-02-28T00:00:00"/>
    <n v="239"/>
    <n v="7.9666666666666668"/>
    <n v="0"/>
    <n v="0"/>
    <n v="0"/>
    <x v="1"/>
    <n v="36.084931506849315"/>
    <x v="0"/>
    <n v="4"/>
    <d v="1989-06-12T00:00:00"/>
  </r>
  <r>
    <x v="1"/>
    <n v="18812873"/>
    <x v="0"/>
    <d v="2025-07-04T00:00:00"/>
    <x v="0"/>
    <x v="10"/>
    <x v="13"/>
    <d v="2026-02-15T00:00:00"/>
    <n v="226"/>
    <n v="7.5333333333333332"/>
    <n v="0"/>
    <n v="0"/>
    <n v="0"/>
    <x v="1"/>
    <n v="21.213698630136985"/>
    <x v="2"/>
    <n v="2"/>
    <d v="2004-04-22T00:00:00"/>
  </r>
  <r>
    <x v="1"/>
    <n v="18812874"/>
    <x v="1"/>
    <d v="2025-07-04T00:00:00"/>
    <x v="0"/>
    <x v="10"/>
    <x v="13"/>
    <d v="2025-10-31T00:00:00"/>
    <n v="119"/>
    <n v="3.9666666666666668"/>
    <n v="0"/>
    <n v="0"/>
    <n v="1"/>
    <x v="1"/>
    <n v="19.024657534246575"/>
    <x v="3"/>
    <n v="1"/>
    <d v="2006-06-30T00:00:00"/>
  </r>
  <r>
    <x v="1"/>
    <n v="18812875"/>
    <x v="0"/>
    <d v="2025-07-04T00:00:00"/>
    <x v="0"/>
    <x v="10"/>
    <x v="13"/>
    <d v="2025-08-01T00:00:00"/>
    <n v="28"/>
    <n v="0.93333333333333335"/>
    <n v="1"/>
    <n v="1"/>
    <n v="1"/>
    <x v="1"/>
    <n v="18.882191780821916"/>
    <x v="3"/>
    <n v="1"/>
    <d v="2006-08-21T00:00:00"/>
  </r>
  <r>
    <x v="1"/>
    <n v="18812920"/>
    <x v="0"/>
    <d v="2025-07-04T00:00:00"/>
    <x v="0"/>
    <x v="10"/>
    <x v="13"/>
    <m/>
    <n v="9999"/>
    <n v="333.3"/>
    <n v="0"/>
    <n v="0"/>
    <n v="0"/>
    <x v="1"/>
    <n v="47.936986301369863"/>
    <x v="0"/>
    <n v="4"/>
    <d v="1977-08-08T00:00:00"/>
  </r>
  <r>
    <x v="0"/>
    <n v="18812924"/>
    <x v="0"/>
    <d v="2025-07-04T00:00:00"/>
    <x v="0"/>
    <x v="10"/>
    <x v="13"/>
    <m/>
    <n v="9999"/>
    <n v="333.3"/>
    <n v="0"/>
    <n v="0"/>
    <n v="0"/>
    <x v="1"/>
    <n v="20.158904109589042"/>
    <x v="3"/>
    <n v="1"/>
    <d v="2005-05-12T00:00:00"/>
  </r>
  <r>
    <x v="1"/>
    <n v="18812931"/>
    <x v="0"/>
    <d v="2025-07-04T00:00:00"/>
    <x v="0"/>
    <x v="10"/>
    <x v="13"/>
    <d v="2025-12-31T00:00:00"/>
    <n v="180"/>
    <n v="6"/>
    <n v="0"/>
    <n v="0"/>
    <n v="1"/>
    <x v="1"/>
    <n v="22.076712328767123"/>
    <x v="2"/>
    <n v="2"/>
    <d v="2003-06-12T00:00:00"/>
  </r>
  <r>
    <x v="1"/>
    <n v="18812932"/>
    <x v="1"/>
    <d v="2025-07-04T00:00:00"/>
    <x v="0"/>
    <x v="10"/>
    <x v="13"/>
    <d v="2026-05-31T00:00:00"/>
    <n v="331"/>
    <n v="11.033333333333333"/>
    <n v="0"/>
    <n v="0"/>
    <n v="0"/>
    <x v="1"/>
    <n v="18.687671232876713"/>
    <x v="3"/>
    <n v="1"/>
    <d v="2006-10-31T00:00:00"/>
  </r>
  <r>
    <x v="1"/>
    <n v="18812936"/>
    <x v="0"/>
    <d v="2025-07-04T00:00:00"/>
    <x v="0"/>
    <x v="10"/>
    <x v="13"/>
    <m/>
    <n v="9999"/>
    <n v="333.3"/>
    <n v="0"/>
    <n v="0"/>
    <n v="0"/>
    <x v="1"/>
    <n v="22.534246575342465"/>
    <x v="2"/>
    <n v="2"/>
    <d v="2002-12-27T00:00:00"/>
  </r>
  <r>
    <x v="1"/>
    <n v="18813182"/>
    <x v="1"/>
    <d v="2025-07-04T00:00:00"/>
    <x v="0"/>
    <x v="10"/>
    <x v="13"/>
    <m/>
    <n v="9999"/>
    <n v="333.3"/>
    <n v="0"/>
    <n v="0"/>
    <n v="0"/>
    <x v="0"/>
    <n v="21.5013698630137"/>
    <x v="2"/>
    <n v="2"/>
    <d v="2004-01-08T00:00:00"/>
  </r>
  <r>
    <x v="1"/>
    <n v="18818842"/>
    <x v="0"/>
    <d v="2025-07-07T00:00:00"/>
    <x v="0"/>
    <x v="10"/>
    <x v="13"/>
    <d v="2025-12-21T00:00:00"/>
    <n v="167"/>
    <n v="5.5666666666666664"/>
    <n v="0"/>
    <n v="0"/>
    <n v="1"/>
    <x v="1"/>
    <n v="18.150684931506849"/>
    <x v="3"/>
    <n v="1"/>
    <d v="2007-05-18T00:00:00"/>
  </r>
  <r>
    <x v="1"/>
    <n v="18818892"/>
    <x v="0"/>
    <d v="2025-07-07T00:00:00"/>
    <x v="0"/>
    <x v="10"/>
    <x v="13"/>
    <d v="2026-05-31T00:00:00"/>
    <n v="328"/>
    <n v="10.933333333333334"/>
    <n v="0"/>
    <n v="0"/>
    <n v="0"/>
    <x v="0"/>
    <n v="20.405479452054795"/>
    <x v="3"/>
    <n v="1"/>
    <d v="2005-02-14T00:00:00"/>
  </r>
  <r>
    <x v="1"/>
    <n v="18819022"/>
    <x v="0"/>
    <d v="2025-07-07T00:00:00"/>
    <x v="0"/>
    <x v="10"/>
    <x v="13"/>
    <m/>
    <n v="9999"/>
    <n v="333.3"/>
    <n v="0"/>
    <n v="0"/>
    <n v="0"/>
    <x v="1"/>
    <n v="20.254794520547946"/>
    <x v="3"/>
    <n v="1"/>
    <d v="2005-04-10T00:00:00"/>
  </r>
  <r>
    <x v="1"/>
    <n v="18819936"/>
    <x v="0"/>
    <d v="2025-07-07T00:00:00"/>
    <x v="0"/>
    <x v="10"/>
    <x v="13"/>
    <m/>
    <n v="9999"/>
    <n v="333.3"/>
    <n v="0"/>
    <n v="0"/>
    <n v="0"/>
    <x v="1"/>
    <n v="20.564383561643837"/>
    <x v="3"/>
    <n v="1"/>
    <d v="2004-12-18T00:00:00"/>
  </r>
  <r>
    <x v="1"/>
    <n v="18827061"/>
    <x v="0"/>
    <d v="2025-07-08T00:00:00"/>
    <x v="0"/>
    <x v="10"/>
    <x v="13"/>
    <m/>
    <n v="9999"/>
    <n v="333.3"/>
    <n v="0"/>
    <n v="0"/>
    <n v="0"/>
    <x v="0"/>
    <n v="25.123287671232877"/>
    <x v="2"/>
    <n v="2"/>
    <d v="2000-05-30T00:00:00"/>
  </r>
  <r>
    <x v="1"/>
    <n v="18827334"/>
    <x v="0"/>
    <d v="2025-07-08T00:00:00"/>
    <x v="0"/>
    <x v="10"/>
    <x v="13"/>
    <d v="2025-08-18T00:00:00"/>
    <n v="41"/>
    <n v="1.3666666666666667"/>
    <n v="0"/>
    <n v="1"/>
    <n v="1"/>
    <x v="1"/>
    <n v="19.536986301369861"/>
    <x v="3"/>
    <n v="1"/>
    <d v="2005-12-29T00:00:00"/>
  </r>
  <r>
    <x v="1"/>
    <n v="18833642"/>
    <x v="1"/>
    <d v="2025-07-09T00:00:00"/>
    <x v="0"/>
    <x v="10"/>
    <x v="13"/>
    <m/>
    <n v="9999"/>
    <n v="333.3"/>
    <n v="0"/>
    <n v="0"/>
    <n v="0"/>
    <x v="0"/>
    <n v="18.452054794520549"/>
    <x v="3"/>
    <n v="1"/>
    <d v="2007-01-30T00:00:00"/>
  </r>
  <r>
    <x v="1"/>
    <n v="18833709"/>
    <x v="0"/>
    <d v="2025-07-09T00:00:00"/>
    <x v="0"/>
    <x v="10"/>
    <x v="13"/>
    <m/>
    <n v="9999"/>
    <n v="333.3"/>
    <n v="0"/>
    <n v="0"/>
    <n v="0"/>
    <x v="0"/>
    <n v="30.835616438356166"/>
    <x v="1"/>
    <n v="3"/>
    <d v="1994-09-15T00:00:00"/>
  </r>
  <r>
    <x v="1"/>
    <n v="18833846"/>
    <x v="0"/>
    <d v="2025-07-09T00:00:00"/>
    <x v="0"/>
    <x v="10"/>
    <x v="13"/>
    <d v="2026-04-30T00:00:00"/>
    <n v="295"/>
    <n v="9.8333333333333339"/>
    <n v="0"/>
    <n v="0"/>
    <n v="0"/>
    <x v="1"/>
    <n v="22.61917808219178"/>
    <x v="2"/>
    <n v="2"/>
    <d v="2002-12-01T00:00:00"/>
  </r>
  <r>
    <x v="0"/>
    <n v="18834430"/>
    <x v="0"/>
    <d v="2025-07-09T00:00:00"/>
    <x v="0"/>
    <x v="10"/>
    <x v="13"/>
    <d v="2025-10-20T00:00:00"/>
    <n v="103"/>
    <n v="3.4333333333333331"/>
    <n v="0"/>
    <n v="0"/>
    <n v="1"/>
    <x v="1"/>
    <n v="18.528767123287672"/>
    <x v="3"/>
    <n v="1"/>
    <d v="2007-01-02T00:00:00"/>
  </r>
  <r>
    <x v="1"/>
    <n v="18834431"/>
    <x v="0"/>
    <d v="2025-07-09T00:00:00"/>
    <x v="0"/>
    <x v="10"/>
    <x v="13"/>
    <d v="2025-09-12T00:00:00"/>
    <n v="65"/>
    <n v="2.1666666666666665"/>
    <n v="0"/>
    <n v="1"/>
    <n v="1"/>
    <x v="1"/>
    <n v="21.476712328767125"/>
    <x v="2"/>
    <n v="2"/>
    <d v="2004-01-22T00:00:00"/>
  </r>
  <r>
    <x v="1"/>
    <n v="18836214"/>
    <x v="0"/>
    <d v="2025-07-10T00:00:00"/>
    <x v="0"/>
    <x v="10"/>
    <x v="13"/>
    <d v="2025-08-01T00:00:00"/>
    <n v="22"/>
    <n v="0.73333333333333328"/>
    <n v="1"/>
    <n v="1"/>
    <n v="1"/>
    <x v="1"/>
    <n v="19.084931506849315"/>
    <x v="3"/>
    <n v="1"/>
    <d v="2006-06-14T00:00:00"/>
  </r>
  <r>
    <x v="1"/>
    <n v="18836220"/>
    <x v="0"/>
    <d v="2025-07-10T00:00:00"/>
    <x v="0"/>
    <x v="10"/>
    <x v="13"/>
    <m/>
    <n v="9999"/>
    <n v="333.3"/>
    <n v="0"/>
    <n v="0"/>
    <n v="0"/>
    <x v="0"/>
    <n v="27.482191780821918"/>
    <x v="1"/>
    <n v="3"/>
    <d v="1998-01-22T00:00:00"/>
  </r>
  <r>
    <x v="1"/>
    <n v="18837973"/>
    <x v="0"/>
    <d v="2025-07-11T00:00:00"/>
    <x v="0"/>
    <x v="10"/>
    <x v="13"/>
    <d v="2026-03-15T00:00:00"/>
    <n v="247"/>
    <n v="8.2333333333333325"/>
    <n v="0"/>
    <n v="0"/>
    <n v="0"/>
    <x v="0"/>
    <n v="23.230136986301371"/>
    <x v="2"/>
    <n v="2"/>
    <d v="2002-04-24T00:00:00"/>
  </r>
  <r>
    <x v="1"/>
    <n v="18837980"/>
    <x v="0"/>
    <d v="2025-07-11T00:00:00"/>
    <x v="0"/>
    <x v="10"/>
    <x v="13"/>
    <d v="2026-02-02T00:00:00"/>
    <n v="206"/>
    <n v="6.8666666666666663"/>
    <n v="0"/>
    <n v="0"/>
    <n v="0"/>
    <x v="0"/>
    <n v="33.443835616438356"/>
    <x v="0"/>
    <n v="4"/>
    <d v="1992-02-08T00:00:00"/>
  </r>
  <r>
    <x v="1"/>
    <n v="18846123"/>
    <x v="0"/>
    <d v="2025-07-14T00:00:00"/>
    <x v="0"/>
    <x v="10"/>
    <x v="13"/>
    <d v="2026-05-18T00:00:00"/>
    <n v="308"/>
    <n v="10.266666666666667"/>
    <n v="0"/>
    <n v="0"/>
    <n v="0"/>
    <x v="0"/>
    <n v="27.575342465753426"/>
    <x v="1"/>
    <n v="3"/>
    <d v="1997-12-23T00:00:00"/>
  </r>
  <r>
    <x v="1"/>
    <n v="18850091"/>
    <x v="1"/>
    <d v="2025-07-14T00:00:00"/>
    <x v="0"/>
    <x v="10"/>
    <x v="13"/>
    <m/>
    <n v="9999"/>
    <n v="333.3"/>
    <n v="0"/>
    <n v="0"/>
    <n v="0"/>
    <x v="0"/>
    <n v="21.835616438356166"/>
    <x v="2"/>
    <n v="2"/>
    <d v="2003-09-18T00:00:00"/>
  </r>
  <r>
    <x v="1"/>
    <n v="18850092"/>
    <x v="0"/>
    <d v="2025-07-14T00:00:00"/>
    <x v="0"/>
    <x v="10"/>
    <x v="13"/>
    <m/>
    <n v="9999"/>
    <n v="333.3"/>
    <n v="0"/>
    <n v="0"/>
    <n v="0"/>
    <x v="0"/>
    <n v="24.761643835616439"/>
    <x v="2"/>
    <n v="2"/>
    <d v="2000-10-15T00:00:00"/>
  </r>
  <r>
    <x v="1"/>
    <n v="18850205"/>
    <x v="1"/>
    <d v="2025-07-14T00:00:00"/>
    <x v="0"/>
    <x v="10"/>
    <x v="13"/>
    <d v="2025-10-01T00:00:00"/>
    <n v="79"/>
    <n v="2.6333333333333333"/>
    <n v="0"/>
    <n v="1"/>
    <n v="1"/>
    <x v="0"/>
    <n v="23.698630136986303"/>
    <x v="2"/>
    <n v="2"/>
    <d v="2001-11-07T00:00:00"/>
  </r>
  <r>
    <x v="1"/>
    <n v="18853896"/>
    <x v="0"/>
    <d v="2025-07-14T00:00:00"/>
    <x v="0"/>
    <x v="10"/>
    <x v="13"/>
    <d v="2026-05-15T00:00:00"/>
    <n v="305"/>
    <n v="10.166666666666666"/>
    <n v="0"/>
    <n v="0"/>
    <n v="0"/>
    <x v="0"/>
    <n v="18.495890410958904"/>
    <x v="3"/>
    <n v="1"/>
    <d v="2007-01-19T00:00:00"/>
  </r>
  <r>
    <x v="1"/>
    <n v="18870579"/>
    <x v="0"/>
    <d v="2025-07-15T00:00:00"/>
    <x v="0"/>
    <x v="10"/>
    <x v="13"/>
    <m/>
    <n v="9999"/>
    <n v="333.3"/>
    <n v="0"/>
    <n v="0"/>
    <n v="0"/>
    <x v="1"/>
    <n v="23.246575342465754"/>
    <x v="2"/>
    <n v="2"/>
    <d v="2002-04-22T00:00:00"/>
  </r>
  <r>
    <x v="1"/>
    <n v="18870580"/>
    <x v="0"/>
    <d v="2025-07-15T00:00:00"/>
    <x v="0"/>
    <x v="10"/>
    <x v="13"/>
    <m/>
    <n v="9999"/>
    <n v="333.3"/>
    <n v="0"/>
    <n v="0"/>
    <n v="0"/>
    <x v="1"/>
    <n v="54.835616438356162"/>
    <x v="0"/>
    <n v="4"/>
    <d v="1970-09-27T00:00:00"/>
  </r>
  <r>
    <x v="1"/>
    <n v="18870581"/>
    <x v="0"/>
    <d v="2025-07-15T00:00:00"/>
    <x v="0"/>
    <x v="10"/>
    <x v="13"/>
    <d v="2026-05-08T00:00:00"/>
    <n v="297"/>
    <n v="9.9"/>
    <n v="0"/>
    <n v="0"/>
    <n v="0"/>
    <x v="1"/>
    <n v="21.931506849315067"/>
    <x v="2"/>
    <n v="2"/>
    <d v="2003-08-15T00:00:00"/>
  </r>
  <r>
    <x v="1"/>
    <n v="18870582"/>
    <x v="0"/>
    <d v="2025-07-15T00:00:00"/>
    <x v="0"/>
    <x v="10"/>
    <x v="13"/>
    <d v="2025-10-20T00:00:00"/>
    <n v="97"/>
    <n v="3.2333333333333334"/>
    <n v="0"/>
    <n v="0"/>
    <n v="1"/>
    <x v="1"/>
    <n v="21.361643835616437"/>
    <x v="2"/>
    <n v="2"/>
    <d v="2004-03-10T00:00:00"/>
  </r>
  <r>
    <x v="1"/>
    <n v="18870591"/>
    <x v="1"/>
    <d v="2025-07-15T00:00:00"/>
    <x v="0"/>
    <x v="10"/>
    <x v="13"/>
    <d v="2025-09-13T00:00:00"/>
    <n v="60"/>
    <n v="2"/>
    <n v="0"/>
    <n v="1"/>
    <n v="1"/>
    <x v="0"/>
    <n v="18.654794520547945"/>
    <x v="3"/>
    <n v="1"/>
    <d v="2006-11-23T00:00:00"/>
  </r>
  <r>
    <x v="1"/>
    <n v="18870595"/>
    <x v="1"/>
    <d v="2025-07-15T00:00:00"/>
    <x v="0"/>
    <x v="10"/>
    <x v="13"/>
    <m/>
    <n v="9999"/>
    <n v="333.3"/>
    <n v="0"/>
    <n v="0"/>
    <n v="0"/>
    <x v="1"/>
    <n v="18.956164383561642"/>
    <x v="3"/>
    <n v="1"/>
    <d v="2006-08-05T00:00:00"/>
  </r>
  <r>
    <x v="1"/>
    <n v="18870619"/>
    <x v="0"/>
    <d v="2025-07-15T00:00:00"/>
    <x v="0"/>
    <x v="10"/>
    <x v="13"/>
    <m/>
    <n v="9999"/>
    <n v="333.3"/>
    <n v="0"/>
    <n v="0"/>
    <n v="0"/>
    <x v="1"/>
    <n v="19.038356164383561"/>
    <x v="3"/>
    <n v="1"/>
    <d v="2006-07-06T00:00:00"/>
  </r>
  <r>
    <x v="1"/>
    <n v="18870703"/>
    <x v="1"/>
    <d v="2025-07-15T00:00:00"/>
    <x v="0"/>
    <x v="10"/>
    <x v="13"/>
    <d v="2026-01-05T00:00:00"/>
    <n v="174"/>
    <n v="5.8"/>
    <n v="0"/>
    <n v="0"/>
    <n v="1"/>
    <x v="1"/>
    <n v="19.764383561643836"/>
    <x v="3"/>
    <n v="1"/>
    <d v="2005-10-14T00:00:00"/>
  </r>
  <r>
    <x v="0"/>
    <n v="18870704"/>
    <x v="0"/>
    <d v="2025-07-15T00:00:00"/>
    <x v="0"/>
    <x v="10"/>
    <x v="13"/>
    <d v="2025-08-31T00:00:00"/>
    <n v="47"/>
    <n v="1.5666666666666667"/>
    <n v="0"/>
    <n v="1"/>
    <n v="1"/>
    <x v="1"/>
    <n v="21.449315068493149"/>
    <x v="2"/>
    <n v="2"/>
    <d v="2004-02-07T00:00:00"/>
  </r>
  <r>
    <x v="1"/>
    <n v="18870752"/>
    <x v="0"/>
    <d v="2025-07-15T00:00:00"/>
    <x v="0"/>
    <x v="10"/>
    <x v="13"/>
    <d v="2025-08-05T00:00:00"/>
    <n v="21"/>
    <n v="0.7"/>
    <n v="1"/>
    <n v="1"/>
    <n v="1"/>
    <x v="1"/>
    <n v="19.194520547945206"/>
    <x v="3"/>
    <n v="1"/>
    <d v="2006-05-10T00:00:00"/>
  </r>
  <r>
    <x v="1"/>
    <n v="18872323"/>
    <x v="0"/>
    <d v="2025-07-16T00:00:00"/>
    <x v="0"/>
    <x v="10"/>
    <x v="13"/>
    <d v="2025-08-05T00:00:00"/>
    <n v="20"/>
    <n v="0.66666666666666663"/>
    <n v="1"/>
    <n v="1"/>
    <n v="1"/>
    <x v="1"/>
    <n v="18.909589041095892"/>
    <x v="3"/>
    <n v="1"/>
    <d v="2006-08-23T00:00:00"/>
  </r>
  <r>
    <x v="1"/>
    <n v="18872327"/>
    <x v="1"/>
    <d v="2025-07-16T00:00:00"/>
    <x v="0"/>
    <x v="10"/>
    <x v="13"/>
    <m/>
    <n v="9999"/>
    <n v="333.3"/>
    <n v="0"/>
    <n v="0"/>
    <n v="0"/>
    <x v="1"/>
    <n v="19.528767123287672"/>
    <x v="3"/>
    <n v="1"/>
    <d v="2006-01-09T00:00:00"/>
  </r>
  <r>
    <x v="1"/>
    <n v="18872339"/>
    <x v="0"/>
    <d v="2025-07-16T00:00:00"/>
    <x v="0"/>
    <x v="10"/>
    <x v="13"/>
    <d v="2026-03-16T00:00:00"/>
    <n v="243"/>
    <n v="8.1"/>
    <n v="0"/>
    <n v="0"/>
    <n v="0"/>
    <x v="1"/>
    <n v="25.169863013698631"/>
    <x v="2"/>
    <n v="2"/>
    <d v="2000-05-21T00:00:00"/>
  </r>
  <r>
    <x v="1"/>
    <n v="18872424"/>
    <x v="0"/>
    <d v="2025-07-16T00:00:00"/>
    <x v="0"/>
    <x v="10"/>
    <x v="13"/>
    <m/>
    <n v="9999"/>
    <n v="333.3"/>
    <n v="0"/>
    <n v="0"/>
    <n v="0"/>
    <x v="1"/>
    <n v="21.024657534246575"/>
    <x v="2"/>
    <n v="2"/>
    <d v="2004-07-12T00:00:00"/>
  </r>
  <r>
    <x v="1"/>
    <n v="18872427"/>
    <x v="0"/>
    <d v="2025-07-16T00:00:00"/>
    <x v="0"/>
    <x v="10"/>
    <x v="13"/>
    <d v="2026-01-31T00:00:00"/>
    <n v="199"/>
    <n v="6.6333333333333337"/>
    <n v="0"/>
    <n v="0"/>
    <n v="0"/>
    <x v="1"/>
    <n v="18.306849315068494"/>
    <x v="3"/>
    <n v="1"/>
    <d v="2007-03-31T00:00:00"/>
  </r>
  <r>
    <x v="1"/>
    <n v="18872484"/>
    <x v="0"/>
    <d v="2025-07-16T00:00:00"/>
    <x v="0"/>
    <x v="10"/>
    <x v="13"/>
    <d v="2026-01-31T00:00:00"/>
    <n v="199"/>
    <n v="6.6333333333333337"/>
    <n v="0"/>
    <n v="0"/>
    <n v="0"/>
    <x v="1"/>
    <n v="18.104109589041094"/>
    <x v="3"/>
    <n v="1"/>
    <d v="2007-06-13T00:00:00"/>
  </r>
  <r>
    <x v="1"/>
    <n v="18872855"/>
    <x v="0"/>
    <d v="2025-07-16T00:00:00"/>
    <x v="0"/>
    <x v="10"/>
    <x v="13"/>
    <d v="2026-03-31T00:00:00"/>
    <n v="258"/>
    <n v="8.6"/>
    <n v="0"/>
    <n v="0"/>
    <n v="0"/>
    <x v="0"/>
    <n v="26.791780821917808"/>
    <x v="1"/>
    <n v="3"/>
    <d v="1998-10-07T00:00:00"/>
  </r>
  <r>
    <x v="1"/>
    <n v="18872886"/>
    <x v="0"/>
    <d v="2025-07-16T00:00:00"/>
    <x v="0"/>
    <x v="10"/>
    <x v="13"/>
    <m/>
    <n v="9999"/>
    <n v="333.3"/>
    <n v="0"/>
    <n v="0"/>
    <n v="0"/>
    <x v="0"/>
    <n v="27.742465753424657"/>
    <x v="1"/>
    <n v="3"/>
    <d v="1997-10-25T00:00:00"/>
  </r>
  <r>
    <x v="1"/>
    <n v="18873030"/>
    <x v="0"/>
    <d v="2025-07-17T00:00:00"/>
    <x v="0"/>
    <x v="10"/>
    <x v="13"/>
    <d v="2026-05-03T00:00:00"/>
    <n v="290"/>
    <n v="9.6666666666666661"/>
    <n v="0"/>
    <n v="0"/>
    <n v="0"/>
    <x v="1"/>
    <n v="19.764383561643836"/>
    <x v="3"/>
    <n v="1"/>
    <d v="2005-10-16T00:00:00"/>
  </r>
  <r>
    <x v="1"/>
    <n v="18873088"/>
    <x v="0"/>
    <d v="2025-07-17T00:00:00"/>
    <x v="0"/>
    <x v="10"/>
    <x v="13"/>
    <m/>
    <n v="9999"/>
    <n v="333.3"/>
    <n v="0"/>
    <n v="0"/>
    <n v="0"/>
    <x v="0"/>
    <n v="19.106849315068494"/>
    <x v="3"/>
    <n v="1"/>
    <d v="2006-06-13T00:00:00"/>
  </r>
  <r>
    <x v="1"/>
    <n v="18873090"/>
    <x v="0"/>
    <d v="2025-07-17T00:00:00"/>
    <x v="0"/>
    <x v="10"/>
    <x v="13"/>
    <m/>
    <n v="9999"/>
    <n v="333.3"/>
    <n v="0"/>
    <n v="0"/>
    <n v="0"/>
    <x v="0"/>
    <n v="33.490410958904107"/>
    <x v="0"/>
    <n v="4"/>
    <d v="1992-01-28T00:00:00"/>
  </r>
  <r>
    <x v="1"/>
    <n v="18873099"/>
    <x v="0"/>
    <d v="2025-07-17T00:00:00"/>
    <x v="0"/>
    <x v="10"/>
    <x v="13"/>
    <d v="2025-08-01T00:00:00"/>
    <n v="15"/>
    <n v="0.5"/>
    <n v="1"/>
    <n v="1"/>
    <n v="1"/>
    <x v="1"/>
    <n v="43.953424657534249"/>
    <x v="0"/>
    <n v="4"/>
    <d v="1981-08-14T00:00:00"/>
  </r>
  <r>
    <x v="1"/>
    <n v="18873100"/>
    <x v="0"/>
    <d v="2025-07-17T00:00:00"/>
    <x v="0"/>
    <x v="10"/>
    <x v="13"/>
    <d v="2025-08-15T00:00:00"/>
    <n v="29"/>
    <n v="0.96666666666666667"/>
    <n v="1"/>
    <n v="1"/>
    <n v="1"/>
    <x v="1"/>
    <n v="21.090410958904108"/>
    <x v="2"/>
    <n v="2"/>
    <d v="2004-06-19T00:00:00"/>
  </r>
  <r>
    <x v="1"/>
    <n v="18874878"/>
    <x v="0"/>
    <d v="2025-07-18T00:00:00"/>
    <x v="0"/>
    <x v="10"/>
    <x v="13"/>
    <d v="2025-11-11T00:00:00"/>
    <n v="116"/>
    <n v="3.8666666666666667"/>
    <n v="0"/>
    <n v="0"/>
    <n v="1"/>
    <x v="0"/>
    <n v="22.049315068493151"/>
    <x v="2"/>
    <n v="2"/>
    <d v="2003-07-06T00:00:00"/>
  </r>
  <r>
    <x v="1"/>
    <n v="18874954"/>
    <x v="0"/>
    <d v="2025-07-18T00:00:00"/>
    <x v="0"/>
    <x v="10"/>
    <x v="13"/>
    <m/>
    <n v="9999"/>
    <n v="333.3"/>
    <n v="0"/>
    <n v="0"/>
    <n v="0"/>
    <x v="0"/>
    <n v="21.986301369863014"/>
    <x v="2"/>
    <n v="2"/>
    <d v="2003-07-29T00:00:00"/>
  </r>
  <r>
    <x v="1"/>
    <n v="18875115"/>
    <x v="0"/>
    <d v="2025-07-18T00:00:00"/>
    <x v="0"/>
    <x v="10"/>
    <x v="13"/>
    <d v="2025-11-30T00:00:00"/>
    <n v="135"/>
    <n v="4.5"/>
    <n v="0"/>
    <n v="0"/>
    <n v="1"/>
    <x v="0"/>
    <n v="18.742465753424657"/>
    <x v="3"/>
    <n v="1"/>
    <d v="2006-10-25T00:00:00"/>
  </r>
  <r>
    <x v="1"/>
    <n v="18875126"/>
    <x v="0"/>
    <d v="2025-07-18T00:00:00"/>
    <x v="0"/>
    <x v="10"/>
    <x v="13"/>
    <d v="2026-03-31T00:00:00"/>
    <n v="256"/>
    <n v="8.5333333333333332"/>
    <n v="0"/>
    <n v="0"/>
    <n v="0"/>
    <x v="1"/>
    <n v="18.594520547945205"/>
    <x v="3"/>
    <n v="1"/>
    <d v="2006-12-18T00:00:00"/>
  </r>
  <r>
    <x v="1"/>
    <n v="18875151"/>
    <x v="0"/>
    <d v="2025-07-18T00:00:00"/>
    <x v="0"/>
    <x v="10"/>
    <x v="13"/>
    <d v="2026-04-30T00:00:00"/>
    <n v="286"/>
    <n v="9.5333333333333332"/>
    <n v="0"/>
    <n v="0"/>
    <n v="0"/>
    <x v="1"/>
    <n v="19.252054794520546"/>
    <x v="3"/>
    <n v="1"/>
    <d v="2006-04-22T00:00:00"/>
  </r>
  <r>
    <x v="1"/>
    <n v="18875155"/>
    <x v="0"/>
    <d v="2025-07-18T00:00:00"/>
    <x v="0"/>
    <x v="10"/>
    <x v="13"/>
    <m/>
    <n v="9999"/>
    <n v="333.3"/>
    <n v="0"/>
    <n v="0"/>
    <n v="0"/>
    <x v="1"/>
    <n v="32.241095890410961"/>
    <x v="0"/>
    <n v="4"/>
    <d v="1993-04-29T00:00:00"/>
  </r>
  <r>
    <x v="1"/>
    <n v="18902685"/>
    <x v="0"/>
    <d v="2025-07-18T00:00:00"/>
    <x v="0"/>
    <x v="10"/>
    <x v="13"/>
    <m/>
    <n v="9999"/>
    <n v="333.3"/>
    <n v="0"/>
    <n v="0"/>
    <n v="0"/>
    <x v="1"/>
    <n v="20.353424657534248"/>
    <x v="3"/>
    <n v="1"/>
    <d v="2005-03-16T00:00:00"/>
  </r>
  <r>
    <x v="1"/>
    <n v="18902686"/>
    <x v="1"/>
    <d v="2025-07-18T00:00:00"/>
    <x v="0"/>
    <x v="10"/>
    <x v="13"/>
    <d v="2026-04-30T00:00:00"/>
    <n v="286"/>
    <n v="9.5333333333333332"/>
    <n v="0"/>
    <n v="0"/>
    <n v="0"/>
    <x v="1"/>
    <n v="18.756164383561643"/>
    <x v="3"/>
    <n v="1"/>
    <d v="2006-10-20T00:00:00"/>
  </r>
  <r>
    <x v="1"/>
    <n v="18904966"/>
    <x v="1"/>
    <d v="2025-07-22T00:00:00"/>
    <x v="0"/>
    <x v="10"/>
    <x v="13"/>
    <d v="2026-05-01T00:00:00"/>
    <n v="283"/>
    <n v="9.4333333333333336"/>
    <n v="0"/>
    <n v="0"/>
    <n v="0"/>
    <x v="1"/>
    <n v="26.098630136986301"/>
    <x v="1"/>
    <n v="3"/>
    <d v="1999-06-23T00:00:00"/>
  </r>
  <r>
    <x v="1"/>
    <n v="18904968"/>
    <x v="1"/>
    <d v="2025-07-22T00:00:00"/>
    <x v="0"/>
    <x v="10"/>
    <x v="13"/>
    <m/>
    <n v="9999"/>
    <n v="333.3"/>
    <n v="0"/>
    <n v="0"/>
    <n v="0"/>
    <x v="1"/>
    <n v="18.276712328767122"/>
    <x v="3"/>
    <n v="1"/>
    <d v="2007-04-17T00:00:00"/>
  </r>
  <r>
    <x v="1"/>
    <n v="18904969"/>
    <x v="0"/>
    <d v="2025-07-22T00:00:00"/>
    <x v="0"/>
    <x v="10"/>
    <x v="13"/>
    <d v="2025-09-03T00:00:00"/>
    <n v="43"/>
    <n v="1.4333333333333333"/>
    <n v="0"/>
    <n v="1"/>
    <n v="1"/>
    <x v="1"/>
    <n v="21.443835616438356"/>
    <x v="2"/>
    <n v="2"/>
    <d v="2004-02-16T00:00:00"/>
  </r>
  <r>
    <x v="1"/>
    <n v="18904970"/>
    <x v="0"/>
    <d v="2025-07-22T00:00:00"/>
    <x v="0"/>
    <x v="10"/>
    <x v="13"/>
    <d v="2026-05-31T00:00:00"/>
    <n v="313"/>
    <n v="10.433333333333334"/>
    <n v="0"/>
    <n v="0"/>
    <n v="0"/>
    <x v="1"/>
    <n v="18.136986301369863"/>
    <x v="3"/>
    <n v="1"/>
    <d v="2007-06-07T00:00:00"/>
  </r>
  <r>
    <x v="1"/>
    <n v="18904974"/>
    <x v="0"/>
    <d v="2025-07-22T00:00:00"/>
    <x v="0"/>
    <x v="10"/>
    <x v="13"/>
    <d v="2025-11-30T00:00:00"/>
    <n v="131"/>
    <n v="4.3666666666666663"/>
    <n v="0"/>
    <n v="0"/>
    <n v="1"/>
    <x v="1"/>
    <n v="20.917808219178081"/>
    <x v="3"/>
    <n v="1"/>
    <d v="2004-08-26T00:00:00"/>
  </r>
  <r>
    <x v="1"/>
    <n v="18904976"/>
    <x v="0"/>
    <d v="2025-07-22T00:00:00"/>
    <x v="0"/>
    <x v="10"/>
    <x v="13"/>
    <d v="2026-02-28T00:00:00"/>
    <n v="221"/>
    <n v="7.3666666666666663"/>
    <n v="0"/>
    <n v="0"/>
    <n v="0"/>
    <x v="1"/>
    <n v="18.145205479452056"/>
    <x v="3"/>
    <n v="1"/>
    <d v="2007-06-04T00:00:00"/>
  </r>
  <r>
    <x v="1"/>
    <n v="18904977"/>
    <x v="1"/>
    <d v="2025-07-22T00:00:00"/>
    <x v="0"/>
    <x v="10"/>
    <x v="13"/>
    <d v="2025-08-01T00:00:00"/>
    <n v="10"/>
    <n v="0.33333333333333331"/>
    <n v="1"/>
    <n v="1"/>
    <n v="1"/>
    <x v="1"/>
    <n v="19.643835616438356"/>
    <x v="3"/>
    <n v="1"/>
    <d v="2005-12-04T00:00:00"/>
  </r>
  <r>
    <x v="1"/>
    <n v="18904978"/>
    <x v="0"/>
    <d v="2025-07-22T00:00:00"/>
    <x v="0"/>
    <x v="10"/>
    <x v="13"/>
    <m/>
    <n v="9999"/>
    <n v="333.3"/>
    <n v="0"/>
    <n v="0"/>
    <n v="0"/>
    <x v="1"/>
    <n v="23.728767123287671"/>
    <x v="2"/>
    <n v="2"/>
    <d v="2001-11-04T00:00:00"/>
  </r>
  <r>
    <x v="1"/>
    <n v="18904980"/>
    <x v="0"/>
    <d v="2025-07-22T00:00:00"/>
    <x v="0"/>
    <x v="10"/>
    <x v="13"/>
    <d v="2026-02-01T00:00:00"/>
    <n v="194"/>
    <n v="6.4666666666666668"/>
    <n v="0"/>
    <n v="0"/>
    <n v="0"/>
    <x v="1"/>
    <n v="20.224657534246575"/>
    <x v="3"/>
    <n v="1"/>
    <d v="2005-05-06T00:00:00"/>
  </r>
  <r>
    <x v="1"/>
    <n v="18904981"/>
    <x v="0"/>
    <d v="2025-07-22T00:00:00"/>
    <x v="0"/>
    <x v="10"/>
    <x v="13"/>
    <d v="2026-03-08T00:00:00"/>
    <n v="229"/>
    <n v="7.6333333333333337"/>
    <n v="0"/>
    <n v="0"/>
    <n v="0"/>
    <x v="1"/>
    <n v="20.134246575342466"/>
    <x v="3"/>
    <n v="1"/>
    <d v="2005-06-08T00:00:00"/>
  </r>
  <r>
    <x v="1"/>
    <n v="18904982"/>
    <x v="0"/>
    <d v="2025-07-22T00:00:00"/>
    <x v="0"/>
    <x v="10"/>
    <x v="13"/>
    <d v="2025-10-17T00:00:00"/>
    <n v="87"/>
    <n v="2.9"/>
    <n v="0"/>
    <n v="1"/>
    <n v="1"/>
    <x v="1"/>
    <n v="22.221917808219178"/>
    <x v="2"/>
    <n v="2"/>
    <d v="2003-05-08T00:00:00"/>
  </r>
  <r>
    <x v="1"/>
    <n v="18904983"/>
    <x v="0"/>
    <d v="2025-07-22T00:00:00"/>
    <x v="0"/>
    <x v="10"/>
    <x v="13"/>
    <m/>
    <n v="9999"/>
    <n v="333.3"/>
    <n v="0"/>
    <n v="0"/>
    <n v="0"/>
    <x v="1"/>
    <n v="18.147945205479452"/>
    <x v="3"/>
    <n v="1"/>
    <d v="2007-06-03T00:00:00"/>
  </r>
  <r>
    <x v="1"/>
    <n v="18904984"/>
    <x v="1"/>
    <d v="2025-07-22T00:00:00"/>
    <x v="0"/>
    <x v="10"/>
    <x v="13"/>
    <d v="2025-08-01T00:00:00"/>
    <n v="10"/>
    <n v="0.33333333333333331"/>
    <n v="1"/>
    <n v="1"/>
    <n v="1"/>
    <x v="1"/>
    <n v="21.210958904109589"/>
    <x v="2"/>
    <n v="2"/>
    <d v="2004-05-11T00:00:00"/>
  </r>
  <r>
    <x v="1"/>
    <n v="18904988"/>
    <x v="1"/>
    <d v="2025-07-22T00:00:00"/>
    <x v="0"/>
    <x v="10"/>
    <x v="13"/>
    <d v="2026-01-01T00:00:00"/>
    <n v="163"/>
    <n v="5.4333333333333336"/>
    <n v="0"/>
    <n v="0"/>
    <n v="1"/>
    <x v="1"/>
    <n v="19.068493150684933"/>
    <x v="3"/>
    <n v="1"/>
    <d v="2006-07-02T00:00:00"/>
  </r>
  <r>
    <x v="1"/>
    <n v="18904990"/>
    <x v="0"/>
    <d v="2025-07-22T00:00:00"/>
    <x v="0"/>
    <x v="10"/>
    <x v="13"/>
    <d v="2025-08-01T00:00:00"/>
    <n v="10"/>
    <n v="0.33333333333333331"/>
    <n v="1"/>
    <n v="1"/>
    <n v="1"/>
    <x v="1"/>
    <n v="26.528767123287672"/>
    <x v="1"/>
    <n v="3"/>
    <d v="1999-01-17T00:00:00"/>
  </r>
  <r>
    <x v="1"/>
    <n v="18904993"/>
    <x v="0"/>
    <d v="2025-07-22T00:00:00"/>
    <x v="0"/>
    <x v="10"/>
    <x v="13"/>
    <m/>
    <n v="9999"/>
    <n v="333.3"/>
    <n v="0"/>
    <n v="0"/>
    <n v="0"/>
    <x v="1"/>
    <n v="20.252054794520546"/>
    <x v="3"/>
    <n v="1"/>
    <d v="2005-04-26T00:00:00"/>
  </r>
  <r>
    <x v="1"/>
    <n v="18904994"/>
    <x v="0"/>
    <d v="2025-07-22T00:00:00"/>
    <x v="0"/>
    <x v="10"/>
    <x v="13"/>
    <d v="2025-08-16T00:00:00"/>
    <n v="25"/>
    <n v="0.83333333333333337"/>
    <n v="1"/>
    <n v="1"/>
    <n v="1"/>
    <x v="1"/>
    <n v="20.336986301369862"/>
    <x v="3"/>
    <n v="1"/>
    <d v="2005-03-26T00:00:00"/>
  </r>
  <r>
    <x v="1"/>
    <n v="18904997"/>
    <x v="1"/>
    <d v="2025-07-22T00:00:00"/>
    <x v="0"/>
    <x v="10"/>
    <x v="13"/>
    <d v="2026-01-31T00:00:00"/>
    <n v="193"/>
    <n v="6.4333333333333336"/>
    <n v="0"/>
    <n v="0"/>
    <n v="0"/>
    <x v="1"/>
    <n v="18.169863013698631"/>
    <x v="3"/>
    <n v="1"/>
    <d v="2007-05-26T00:00:00"/>
  </r>
  <r>
    <x v="1"/>
    <n v="18905029"/>
    <x v="0"/>
    <d v="2025-07-24T00:00:00"/>
    <x v="0"/>
    <x v="10"/>
    <x v="13"/>
    <d v="2026-02-28T00:00:00"/>
    <n v="219"/>
    <n v="7.3"/>
    <n v="0"/>
    <n v="0"/>
    <n v="0"/>
    <x v="1"/>
    <n v="19.241095890410961"/>
    <x v="3"/>
    <n v="1"/>
    <d v="2006-05-02T00:00:00"/>
  </r>
  <r>
    <x v="1"/>
    <n v="18905030"/>
    <x v="1"/>
    <d v="2025-07-24T00:00:00"/>
    <x v="0"/>
    <x v="10"/>
    <x v="13"/>
    <d v="2026-05-01T00:00:00"/>
    <n v="281"/>
    <n v="9.3666666666666671"/>
    <n v="0"/>
    <n v="0"/>
    <n v="0"/>
    <x v="1"/>
    <n v="19.747945205479454"/>
    <x v="3"/>
    <n v="1"/>
    <d v="2005-10-29T00:00:00"/>
  </r>
  <r>
    <x v="1"/>
    <n v="18905031"/>
    <x v="0"/>
    <d v="2025-07-24T00:00:00"/>
    <x v="0"/>
    <x v="10"/>
    <x v="13"/>
    <m/>
    <n v="9999"/>
    <n v="333.3"/>
    <n v="0"/>
    <n v="0"/>
    <n v="0"/>
    <x v="1"/>
    <n v="18.621917808219177"/>
    <x v="3"/>
    <n v="1"/>
    <d v="2006-12-14T00:00:00"/>
  </r>
  <r>
    <x v="1"/>
    <n v="18905043"/>
    <x v="1"/>
    <d v="2025-07-24T00:00:00"/>
    <x v="0"/>
    <x v="10"/>
    <x v="13"/>
    <d v="2025-10-15T00:00:00"/>
    <n v="83"/>
    <n v="2.7666666666666666"/>
    <n v="0"/>
    <n v="1"/>
    <n v="1"/>
    <x v="1"/>
    <n v="19.917808219178081"/>
    <x v="3"/>
    <n v="1"/>
    <d v="2005-08-28T00:00:00"/>
  </r>
  <r>
    <x v="1"/>
    <n v="18905044"/>
    <x v="1"/>
    <d v="2025-07-24T00:00:00"/>
    <x v="0"/>
    <x v="10"/>
    <x v="13"/>
    <d v="2026-02-01T00:00:00"/>
    <n v="192"/>
    <n v="6.4"/>
    <n v="0"/>
    <n v="0"/>
    <n v="0"/>
    <x v="1"/>
    <n v="18.515068493150686"/>
    <x v="3"/>
    <n v="1"/>
    <d v="2007-01-22T00:00:00"/>
  </r>
  <r>
    <x v="1"/>
    <n v="18905045"/>
    <x v="0"/>
    <d v="2025-07-24T00:00:00"/>
    <x v="0"/>
    <x v="10"/>
    <x v="13"/>
    <d v="2026-01-15T00:00:00"/>
    <n v="175"/>
    <n v="5.833333333333333"/>
    <n v="0"/>
    <n v="0"/>
    <n v="1"/>
    <x v="1"/>
    <n v="22.846575342465755"/>
    <x v="2"/>
    <n v="2"/>
    <d v="2002-09-24T00:00:00"/>
  </r>
  <r>
    <x v="1"/>
    <n v="18905046"/>
    <x v="0"/>
    <d v="2025-07-24T00:00:00"/>
    <x v="0"/>
    <x v="10"/>
    <x v="13"/>
    <d v="2026-03-09T00:00:00"/>
    <n v="228"/>
    <n v="7.6"/>
    <n v="0"/>
    <n v="0"/>
    <n v="0"/>
    <x v="1"/>
    <n v="20.742465753424657"/>
    <x v="3"/>
    <n v="1"/>
    <d v="2004-10-31T00:00:00"/>
  </r>
  <r>
    <x v="1"/>
    <n v="18905047"/>
    <x v="0"/>
    <d v="2025-07-24T00:00:00"/>
    <x v="0"/>
    <x v="10"/>
    <x v="13"/>
    <d v="2025-08-01T00:00:00"/>
    <n v="8"/>
    <n v="0.26666666666666666"/>
    <n v="1"/>
    <n v="1"/>
    <n v="1"/>
    <x v="1"/>
    <n v="18.687671232876713"/>
    <x v="3"/>
    <n v="1"/>
    <d v="2006-11-20T00:00:00"/>
  </r>
  <r>
    <x v="1"/>
    <n v="18905051"/>
    <x v="0"/>
    <d v="2025-07-24T00:00:00"/>
    <x v="0"/>
    <x v="10"/>
    <x v="13"/>
    <m/>
    <n v="9999"/>
    <n v="333.3"/>
    <n v="0"/>
    <n v="0"/>
    <n v="0"/>
    <x v="0"/>
    <n v="23.312328767123287"/>
    <x v="2"/>
    <n v="2"/>
    <d v="2002-04-07T00:00:00"/>
  </r>
  <r>
    <x v="1"/>
    <n v="18905055"/>
    <x v="0"/>
    <d v="2025-07-24T00:00:00"/>
    <x v="0"/>
    <x v="10"/>
    <x v="13"/>
    <d v="2025-08-17T00:00:00"/>
    <n v="24"/>
    <n v="0.8"/>
    <n v="1"/>
    <n v="1"/>
    <n v="1"/>
    <x v="1"/>
    <n v="20.728767123287671"/>
    <x v="3"/>
    <n v="1"/>
    <d v="2004-11-05T00:00:00"/>
  </r>
  <r>
    <x v="1"/>
    <n v="18905056"/>
    <x v="0"/>
    <d v="2025-07-24T00:00:00"/>
    <x v="0"/>
    <x v="10"/>
    <x v="13"/>
    <d v="2025-09-10T00:00:00"/>
    <n v="48"/>
    <n v="1.6"/>
    <n v="0"/>
    <n v="1"/>
    <n v="1"/>
    <x v="1"/>
    <n v="20.56986301369863"/>
    <x v="3"/>
    <n v="1"/>
    <d v="2005-01-02T00:00:00"/>
  </r>
  <r>
    <x v="1"/>
    <n v="18905064"/>
    <x v="1"/>
    <d v="2025-07-24T00:00:00"/>
    <x v="0"/>
    <x v="10"/>
    <x v="13"/>
    <d v="2025-12-07T00:00:00"/>
    <n v="136"/>
    <n v="4.5333333333333332"/>
    <n v="0"/>
    <n v="0"/>
    <n v="1"/>
    <x v="1"/>
    <n v="23.12054794520548"/>
    <x v="2"/>
    <n v="2"/>
    <d v="2002-06-16T00:00:00"/>
  </r>
  <r>
    <x v="1"/>
    <n v="18905065"/>
    <x v="0"/>
    <d v="2025-07-24T00:00:00"/>
    <x v="0"/>
    <x v="10"/>
    <x v="13"/>
    <d v="2025-09-01T00:00:00"/>
    <n v="39"/>
    <n v="1.3"/>
    <n v="0"/>
    <n v="1"/>
    <n v="1"/>
    <x v="1"/>
    <n v="19.093150684931508"/>
    <x v="3"/>
    <n v="1"/>
    <d v="2006-06-25T00:00:00"/>
  </r>
  <r>
    <x v="1"/>
    <n v="18906579"/>
    <x v="1"/>
    <d v="2025-07-25T00:00:00"/>
    <x v="0"/>
    <x v="10"/>
    <x v="13"/>
    <d v="2025-09-30T00:00:00"/>
    <n v="67"/>
    <n v="2.2333333333333334"/>
    <n v="0"/>
    <n v="1"/>
    <n v="1"/>
    <x v="1"/>
    <n v="18.81917808219178"/>
    <x v="3"/>
    <n v="1"/>
    <d v="2006-10-04T00:00:00"/>
  </r>
  <r>
    <x v="1"/>
    <n v="18906580"/>
    <x v="1"/>
    <d v="2025-07-25T00:00:00"/>
    <x v="0"/>
    <x v="10"/>
    <x v="13"/>
    <d v="2025-10-20T00:00:00"/>
    <n v="87"/>
    <n v="2.9"/>
    <n v="0"/>
    <n v="1"/>
    <n v="1"/>
    <x v="1"/>
    <n v="23.578082191780823"/>
    <x v="2"/>
    <n v="2"/>
    <d v="2002-01-01T00:00:00"/>
  </r>
  <r>
    <x v="1"/>
    <n v="18906585"/>
    <x v="0"/>
    <d v="2025-07-25T00:00:00"/>
    <x v="0"/>
    <x v="10"/>
    <x v="13"/>
    <d v="2026-05-31T00:00:00"/>
    <n v="310"/>
    <n v="10.333333333333334"/>
    <n v="0"/>
    <n v="0"/>
    <n v="0"/>
    <x v="1"/>
    <n v="30.698630136986303"/>
    <x v="1"/>
    <n v="3"/>
    <d v="1994-11-20T00:00:00"/>
  </r>
  <r>
    <x v="1"/>
    <n v="18906631"/>
    <x v="0"/>
    <d v="2025-07-25T00:00:00"/>
    <x v="0"/>
    <x v="10"/>
    <x v="13"/>
    <d v="2025-09-28T00:00:00"/>
    <n v="65"/>
    <n v="2.1666666666666665"/>
    <n v="0"/>
    <n v="1"/>
    <n v="1"/>
    <x v="1"/>
    <n v="30.454794520547946"/>
    <x v="1"/>
    <n v="3"/>
    <d v="1995-02-17T00:00:00"/>
  </r>
  <r>
    <x v="1"/>
    <n v="18906698"/>
    <x v="0"/>
    <d v="2025-07-25T00:00:00"/>
    <x v="0"/>
    <x v="10"/>
    <x v="13"/>
    <m/>
    <n v="9999"/>
    <n v="333.3"/>
    <n v="0"/>
    <n v="0"/>
    <n v="0"/>
    <x v="1"/>
    <n v="19.397260273972602"/>
    <x v="3"/>
    <n v="1"/>
    <d v="2006-03-07T00:00:00"/>
  </r>
  <r>
    <x v="1"/>
    <n v="18906875"/>
    <x v="0"/>
    <d v="2025-07-30T00:00:00"/>
    <x v="0"/>
    <x v="10"/>
    <x v="13"/>
    <m/>
    <n v="9999"/>
    <n v="333.3"/>
    <n v="0"/>
    <n v="0"/>
    <n v="0"/>
    <x v="1"/>
    <n v="18.150684931506849"/>
    <x v="3"/>
    <n v="1"/>
    <d v="2007-06-10T00:00:00"/>
  </r>
  <r>
    <x v="1"/>
    <n v="18908311"/>
    <x v="1"/>
    <d v="2025-08-01T00:00:00"/>
    <x v="0"/>
    <x v="9"/>
    <x v="12"/>
    <d v="2026-01-31T00:00:00"/>
    <n v="183"/>
    <n v="6.1"/>
    <n v="0"/>
    <n v="0"/>
    <n v="0"/>
    <x v="1"/>
    <n v="19.282191780821918"/>
    <x v="3"/>
    <n v="1"/>
    <d v="2006-04-25T00:00:00"/>
  </r>
  <r>
    <x v="1"/>
    <n v="18908314"/>
    <x v="0"/>
    <d v="2025-08-01T00:00:00"/>
    <x v="0"/>
    <x v="9"/>
    <x v="12"/>
    <m/>
    <n v="9999"/>
    <n v="333.3"/>
    <n v="0"/>
    <n v="0"/>
    <n v="0"/>
    <x v="1"/>
    <n v="18.986301369863014"/>
    <x v="3"/>
    <n v="1"/>
    <d v="2006-08-11T00:00:00"/>
  </r>
  <r>
    <x v="1"/>
    <n v="18908317"/>
    <x v="0"/>
    <d v="2025-08-01T00:00:00"/>
    <x v="0"/>
    <x v="9"/>
    <x v="12"/>
    <d v="2025-12-31T00:00:00"/>
    <n v="152"/>
    <n v="5.0666666666666664"/>
    <n v="0"/>
    <n v="0"/>
    <n v="1"/>
    <x v="1"/>
    <n v="24.18082191780822"/>
    <x v="2"/>
    <n v="2"/>
    <d v="2001-06-02T00:00:00"/>
  </r>
  <r>
    <x v="1"/>
    <n v="18908327"/>
    <x v="1"/>
    <d v="2025-08-01T00:00:00"/>
    <x v="0"/>
    <x v="9"/>
    <x v="12"/>
    <d v="2025-12-31T00:00:00"/>
    <n v="152"/>
    <n v="5.0666666666666664"/>
    <n v="0"/>
    <n v="0"/>
    <n v="1"/>
    <x v="1"/>
    <n v="19.293150684931508"/>
    <x v="3"/>
    <n v="1"/>
    <d v="2006-04-21T00:00:00"/>
  </r>
  <r>
    <x v="1"/>
    <n v="18908330"/>
    <x v="0"/>
    <d v="2025-08-01T00:00:00"/>
    <x v="0"/>
    <x v="9"/>
    <x v="12"/>
    <d v="2026-01-01T00:00:00"/>
    <n v="153"/>
    <n v="5.0999999999999996"/>
    <n v="0"/>
    <n v="0"/>
    <n v="1"/>
    <x v="1"/>
    <n v="25.616438356164384"/>
    <x v="2"/>
    <n v="2"/>
    <d v="1999-12-26T00:00:00"/>
  </r>
  <r>
    <x v="1"/>
    <n v="18908332"/>
    <x v="0"/>
    <d v="2025-08-01T00:00:00"/>
    <x v="0"/>
    <x v="9"/>
    <x v="12"/>
    <d v="2025-08-05T00:00:00"/>
    <n v="4"/>
    <n v="0.13333333333333333"/>
    <n v="1"/>
    <n v="1"/>
    <n v="1"/>
    <x v="1"/>
    <n v="24.372602739726027"/>
    <x v="2"/>
    <n v="2"/>
    <d v="2001-03-24T00:00:00"/>
  </r>
  <r>
    <x v="1"/>
    <n v="18908333"/>
    <x v="0"/>
    <d v="2025-08-01T00:00:00"/>
    <x v="0"/>
    <x v="9"/>
    <x v="12"/>
    <d v="2025-08-12T00:00:00"/>
    <n v="11"/>
    <n v="0.36666666666666664"/>
    <n v="1"/>
    <n v="1"/>
    <n v="1"/>
    <x v="0"/>
    <n v="23.238356164383561"/>
    <x v="2"/>
    <n v="2"/>
    <d v="2002-05-12T00:00:00"/>
  </r>
  <r>
    <x v="1"/>
    <n v="18908334"/>
    <x v="0"/>
    <d v="2025-08-01T00:00:00"/>
    <x v="0"/>
    <x v="9"/>
    <x v="12"/>
    <m/>
    <n v="9999"/>
    <n v="333.3"/>
    <n v="0"/>
    <n v="0"/>
    <n v="0"/>
    <x v="0"/>
    <n v="25.816438356164383"/>
    <x v="2"/>
    <n v="2"/>
    <d v="1999-10-14T00:00:00"/>
  </r>
  <r>
    <x v="1"/>
    <n v="18908335"/>
    <x v="0"/>
    <d v="2025-08-01T00:00:00"/>
    <x v="0"/>
    <x v="9"/>
    <x v="12"/>
    <m/>
    <n v="9999"/>
    <n v="333.3"/>
    <n v="0"/>
    <n v="0"/>
    <n v="0"/>
    <x v="0"/>
    <n v="33.098630136986301"/>
    <x v="0"/>
    <n v="4"/>
    <d v="1992-07-04T00:00:00"/>
  </r>
  <r>
    <x v="1"/>
    <n v="18908336"/>
    <x v="0"/>
    <d v="2025-08-01T00:00:00"/>
    <x v="0"/>
    <x v="9"/>
    <x v="12"/>
    <d v="2025-09-04T00:00:00"/>
    <n v="34"/>
    <n v="1.1333333333333333"/>
    <n v="0"/>
    <n v="1"/>
    <n v="1"/>
    <x v="0"/>
    <n v="21.635616438356163"/>
    <x v="2"/>
    <n v="2"/>
    <d v="2003-12-18T00:00:00"/>
  </r>
  <r>
    <x v="1"/>
    <n v="18908337"/>
    <x v="0"/>
    <d v="2025-08-01T00:00:00"/>
    <x v="0"/>
    <x v="9"/>
    <x v="12"/>
    <d v="2025-10-31T00:00:00"/>
    <n v="91"/>
    <n v="3.0333333333333332"/>
    <n v="0"/>
    <n v="0"/>
    <n v="1"/>
    <x v="0"/>
    <n v="25.416438356164385"/>
    <x v="2"/>
    <n v="2"/>
    <d v="2000-03-08T00:00:00"/>
  </r>
  <r>
    <x v="1"/>
    <n v="18908339"/>
    <x v="1"/>
    <d v="2025-08-01T00:00:00"/>
    <x v="0"/>
    <x v="9"/>
    <x v="12"/>
    <m/>
    <n v="9999"/>
    <n v="333.3"/>
    <n v="0"/>
    <n v="0"/>
    <n v="0"/>
    <x v="0"/>
    <n v="21.523287671232875"/>
    <x v="2"/>
    <n v="2"/>
    <d v="2004-01-28T00:00:00"/>
  </r>
  <r>
    <x v="1"/>
    <n v="18908341"/>
    <x v="0"/>
    <d v="2025-08-01T00:00:00"/>
    <x v="0"/>
    <x v="9"/>
    <x v="12"/>
    <d v="2025-08-19T00:00:00"/>
    <n v="18"/>
    <n v="0.6"/>
    <n v="1"/>
    <n v="1"/>
    <n v="1"/>
    <x v="1"/>
    <n v="22.446575342465753"/>
    <x v="2"/>
    <n v="2"/>
    <d v="2003-02-25T00:00:00"/>
  </r>
  <r>
    <x v="1"/>
    <n v="18908347"/>
    <x v="0"/>
    <d v="2025-08-01T00:00:00"/>
    <x v="0"/>
    <x v="9"/>
    <x v="12"/>
    <d v="2025-08-11T00:00:00"/>
    <n v="10"/>
    <n v="0.33333333333333331"/>
    <n v="1"/>
    <n v="1"/>
    <n v="1"/>
    <x v="1"/>
    <n v="33.794520547945204"/>
    <x v="0"/>
    <n v="4"/>
    <d v="1991-10-24T00:00:00"/>
  </r>
  <r>
    <x v="1"/>
    <n v="18908348"/>
    <x v="0"/>
    <d v="2025-08-01T00:00:00"/>
    <x v="0"/>
    <x v="9"/>
    <x v="12"/>
    <m/>
    <n v="9999"/>
    <n v="333.3"/>
    <n v="0"/>
    <n v="0"/>
    <n v="0"/>
    <x v="1"/>
    <n v="20.786301369863015"/>
    <x v="3"/>
    <n v="1"/>
    <d v="2004-10-23T00:00:00"/>
  </r>
  <r>
    <x v="1"/>
    <n v="18908349"/>
    <x v="0"/>
    <d v="2025-08-01T00:00:00"/>
    <x v="0"/>
    <x v="9"/>
    <x v="12"/>
    <d v="2025-09-08T00:00:00"/>
    <n v="38"/>
    <n v="1.2666666666666666"/>
    <n v="0"/>
    <n v="1"/>
    <n v="1"/>
    <x v="1"/>
    <n v="21.654794520547945"/>
    <x v="2"/>
    <n v="2"/>
    <d v="2003-12-11T00:00:00"/>
  </r>
  <r>
    <x v="1"/>
    <n v="18908350"/>
    <x v="0"/>
    <d v="2025-08-01T00:00:00"/>
    <x v="0"/>
    <x v="9"/>
    <x v="12"/>
    <d v="2026-02-02T00:00:00"/>
    <n v="185"/>
    <n v="6.166666666666667"/>
    <n v="0"/>
    <n v="0"/>
    <n v="0"/>
    <x v="1"/>
    <n v="25.164383561643834"/>
    <x v="2"/>
    <n v="2"/>
    <d v="2000-06-08T00:00:00"/>
  </r>
  <r>
    <x v="1"/>
    <n v="18908351"/>
    <x v="0"/>
    <d v="2025-08-01T00:00:00"/>
    <x v="0"/>
    <x v="9"/>
    <x v="12"/>
    <d v="2025-12-15T00:00:00"/>
    <n v="136"/>
    <n v="4.5333333333333332"/>
    <n v="0"/>
    <n v="0"/>
    <n v="1"/>
    <x v="1"/>
    <n v="20.364383561643837"/>
    <x v="3"/>
    <n v="1"/>
    <d v="2005-03-26T00:00:00"/>
  </r>
  <r>
    <x v="1"/>
    <n v="18908352"/>
    <x v="0"/>
    <d v="2025-08-01T00:00:00"/>
    <x v="0"/>
    <x v="9"/>
    <x v="12"/>
    <d v="2026-05-31T00:00:00"/>
    <n v="303"/>
    <n v="10.1"/>
    <n v="0"/>
    <n v="0"/>
    <n v="0"/>
    <x v="1"/>
    <n v="38.353424657534248"/>
    <x v="0"/>
    <n v="4"/>
    <d v="1987-04-04T00:00:00"/>
  </r>
  <r>
    <x v="1"/>
    <n v="18908355"/>
    <x v="1"/>
    <d v="2025-08-01T00:00:00"/>
    <x v="0"/>
    <x v="9"/>
    <x v="12"/>
    <d v="2026-05-31T00:00:00"/>
    <n v="303"/>
    <n v="10.1"/>
    <n v="0"/>
    <n v="0"/>
    <n v="0"/>
    <x v="1"/>
    <n v="20.975342465753425"/>
    <x v="3"/>
    <n v="1"/>
    <d v="2004-08-15T00:00:00"/>
  </r>
  <r>
    <x v="1"/>
    <n v="18908357"/>
    <x v="0"/>
    <d v="2025-08-01T00:00:00"/>
    <x v="0"/>
    <x v="9"/>
    <x v="12"/>
    <d v="2025-10-01T00:00:00"/>
    <n v="61"/>
    <n v="2.0333333333333332"/>
    <n v="0"/>
    <n v="1"/>
    <n v="1"/>
    <x v="1"/>
    <n v="20.61917808219178"/>
    <x v="3"/>
    <n v="1"/>
    <d v="2004-12-23T00:00:00"/>
  </r>
  <r>
    <x v="1"/>
    <n v="18908358"/>
    <x v="0"/>
    <d v="2025-08-01T00:00:00"/>
    <x v="0"/>
    <x v="9"/>
    <x v="12"/>
    <m/>
    <n v="9999"/>
    <n v="333.3"/>
    <n v="0"/>
    <n v="0"/>
    <n v="0"/>
    <x v="1"/>
    <n v="19.583561643835615"/>
    <x v="3"/>
    <n v="1"/>
    <d v="2006-01-05T00:00:00"/>
  </r>
  <r>
    <x v="1"/>
    <n v="18908364"/>
    <x v="1"/>
    <d v="2025-08-01T00:00:00"/>
    <x v="0"/>
    <x v="9"/>
    <x v="12"/>
    <m/>
    <n v="9999"/>
    <n v="333.3"/>
    <n v="0"/>
    <n v="0"/>
    <n v="0"/>
    <x v="0"/>
    <n v="25.465753424657535"/>
    <x v="2"/>
    <n v="2"/>
    <d v="2000-02-19T00:00:00"/>
  </r>
  <r>
    <x v="1"/>
    <n v="18908365"/>
    <x v="1"/>
    <d v="2025-08-01T00:00:00"/>
    <x v="0"/>
    <x v="9"/>
    <x v="12"/>
    <d v="2025-08-15T00:00:00"/>
    <n v="14"/>
    <n v="0.46666666666666667"/>
    <n v="1"/>
    <n v="1"/>
    <n v="1"/>
    <x v="1"/>
    <n v="22.542465753424658"/>
    <x v="2"/>
    <n v="2"/>
    <d v="2003-01-21T00:00:00"/>
  </r>
  <r>
    <x v="1"/>
    <n v="18908366"/>
    <x v="0"/>
    <d v="2025-08-01T00:00:00"/>
    <x v="0"/>
    <x v="9"/>
    <x v="12"/>
    <d v="2025-10-01T00:00:00"/>
    <n v="61"/>
    <n v="2.0333333333333332"/>
    <n v="0"/>
    <n v="1"/>
    <n v="1"/>
    <x v="1"/>
    <n v="19.399999999999999"/>
    <x v="3"/>
    <n v="1"/>
    <d v="2006-03-13T00:00:00"/>
  </r>
  <r>
    <x v="1"/>
    <n v="18908372"/>
    <x v="1"/>
    <d v="2025-08-01T00:00:00"/>
    <x v="0"/>
    <x v="9"/>
    <x v="12"/>
    <d v="2025-11-15T00:00:00"/>
    <n v="106"/>
    <n v="3.5333333333333332"/>
    <n v="0"/>
    <n v="0"/>
    <n v="1"/>
    <x v="1"/>
    <n v="18.068493150684933"/>
    <x v="3"/>
    <n v="1"/>
    <d v="2007-07-12T00:00:00"/>
  </r>
  <r>
    <x v="1"/>
    <n v="18908373"/>
    <x v="0"/>
    <d v="2025-08-01T00:00:00"/>
    <x v="0"/>
    <x v="9"/>
    <x v="12"/>
    <d v="2026-02-06T00:00:00"/>
    <n v="189"/>
    <n v="6.3"/>
    <n v="0"/>
    <n v="0"/>
    <n v="0"/>
    <x v="0"/>
    <n v="26.315068493150687"/>
    <x v="1"/>
    <n v="3"/>
    <d v="1999-04-15T00:00:00"/>
  </r>
  <r>
    <x v="1"/>
    <n v="18908374"/>
    <x v="1"/>
    <d v="2025-08-01T00:00:00"/>
    <x v="0"/>
    <x v="9"/>
    <x v="12"/>
    <d v="2025-11-30T00:00:00"/>
    <n v="121"/>
    <n v="4.0333333333333332"/>
    <n v="0"/>
    <n v="0"/>
    <n v="1"/>
    <x v="1"/>
    <n v="23.142465753424659"/>
    <x v="2"/>
    <n v="2"/>
    <d v="2002-06-16T00:00:00"/>
  </r>
  <r>
    <x v="0"/>
    <n v="18908377"/>
    <x v="1"/>
    <d v="2025-08-01T00:00:00"/>
    <x v="0"/>
    <x v="9"/>
    <x v="12"/>
    <m/>
    <n v="9999"/>
    <n v="333.3"/>
    <n v="0"/>
    <n v="0"/>
    <n v="0"/>
    <x v="1"/>
    <n v="19.849315068493151"/>
    <x v="3"/>
    <n v="1"/>
    <d v="2005-09-30T00:00:00"/>
  </r>
  <r>
    <x v="1"/>
    <n v="18908381"/>
    <x v="0"/>
    <d v="2025-08-01T00:00:00"/>
    <x v="0"/>
    <x v="9"/>
    <x v="12"/>
    <d v="2026-01-01T00:00:00"/>
    <n v="153"/>
    <n v="5.0999999999999996"/>
    <n v="0"/>
    <n v="0"/>
    <n v="1"/>
    <x v="1"/>
    <n v="18.076712328767123"/>
    <x v="3"/>
    <n v="1"/>
    <d v="2007-07-09T00:00:00"/>
  </r>
  <r>
    <x v="1"/>
    <n v="18908383"/>
    <x v="0"/>
    <d v="2025-08-01T00:00:00"/>
    <x v="0"/>
    <x v="9"/>
    <x v="12"/>
    <d v="2025-08-31T00:00:00"/>
    <n v="30"/>
    <n v="1"/>
    <n v="1"/>
    <n v="1"/>
    <n v="1"/>
    <x v="1"/>
    <n v="18.219178082191782"/>
    <x v="3"/>
    <n v="1"/>
    <d v="2007-05-18T00:00:00"/>
  </r>
  <r>
    <x v="1"/>
    <n v="18908386"/>
    <x v="0"/>
    <d v="2025-08-01T00:00:00"/>
    <x v="0"/>
    <x v="9"/>
    <x v="12"/>
    <m/>
    <n v="9999"/>
    <n v="333.3"/>
    <n v="0"/>
    <n v="0"/>
    <n v="0"/>
    <x v="1"/>
    <n v="19.18904109589041"/>
    <x v="3"/>
    <n v="1"/>
    <d v="2006-05-29T00:00:00"/>
  </r>
  <r>
    <x v="1"/>
    <n v="18908387"/>
    <x v="1"/>
    <d v="2025-08-01T00:00:00"/>
    <x v="0"/>
    <x v="9"/>
    <x v="12"/>
    <d v="2026-02-01T00:00:00"/>
    <n v="184"/>
    <n v="6.1333333333333337"/>
    <n v="0"/>
    <n v="0"/>
    <n v="0"/>
    <x v="1"/>
    <n v="21.794520547945204"/>
    <x v="2"/>
    <n v="2"/>
    <d v="2003-10-21T00:00:00"/>
  </r>
  <r>
    <x v="1"/>
    <n v="18908397"/>
    <x v="0"/>
    <d v="2025-08-01T00:00:00"/>
    <x v="0"/>
    <x v="9"/>
    <x v="12"/>
    <d v="2026-02-01T00:00:00"/>
    <n v="184"/>
    <n v="6.1333333333333337"/>
    <n v="0"/>
    <n v="0"/>
    <n v="0"/>
    <x v="0"/>
    <n v="27.55890410958904"/>
    <x v="1"/>
    <n v="3"/>
    <d v="1998-01-16T00:00:00"/>
  </r>
  <r>
    <x v="1"/>
    <n v="18908465"/>
    <x v="0"/>
    <d v="2025-08-01T00:00:00"/>
    <x v="0"/>
    <x v="9"/>
    <x v="12"/>
    <m/>
    <n v="9999"/>
    <n v="333.3"/>
    <n v="0"/>
    <n v="0"/>
    <n v="0"/>
    <x v="1"/>
    <n v="18.61917808219178"/>
    <x v="3"/>
    <n v="1"/>
    <d v="2006-12-23T00:00:00"/>
  </r>
  <r>
    <x v="1"/>
    <n v="18924429"/>
    <x v="1"/>
    <d v="2025-08-04T00:00:00"/>
    <x v="0"/>
    <x v="9"/>
    <x v="12"/>
    <m/>
    <n v="9999"/>
    <n v="333.3"/>
    <n v="0"/>
    <n v="0"/>
    <n v="0"/>
    <x v="0"/>
    <n v="19.36986301369863"/>
    <x v="3"/>
    <n v="1"/>
    <d v="2006-03-27T00:00:00"/>
  </r>
  <r>
    <x v="1"/>
    <n v="18924488"/>
    <x v="1"/>
    <d v="2025-08-04T00:00:00"/>
    <x v="0"/>
    <x v="9"/>
    <x v="12"/>
    <d v="2025-11-15T00:00:00"/>
    <n v="103"/>
    <n v="3.4333333333333331"/>
    <n v="0"/>
    <n v="0"/>
    <n v="1"/>
    <x v="0"/>
    <n v="18.073972602739726"/>
    <x v="3"/>
    <n v="1"/>
    <d v="2007-07-13T00:00:00"/>
  </r>
  <r>
    <x v="1"/>
    <n v="18925350"/>
    <x v="0"/>
    <d v="2025-08-04T00:00:00"/>
    <x v="0"/>
    <x v="9"/>
    <x v="12"/>
    <d v="2025-09-04T00:00:00"/>
    <n v="31"/>
    <n v="1.0333333333333334"/>
    <n v="0"/>
    <n v="1"/>
    <n v="1"/>
    <x v="0"/>
    <n v="20.849315068493151"/>
    <x v="3"/>
    <n v="1"/>
    <d v="2004-10-03T00:00:00"/>
  </r>
  <r>
    <x v="1"/>
    <n v="18925999"/>
    <x v="0"/>
    <d v="2025-08-04T00:00:00"/>
    <x v="0"/>
    <x v="9"/>
    <x v="12"/>
    <d v="2025-09-12T00:00:00"/>
    <n v="39"/>
    <n v="1.3"/>
    <n v="0"/>
    <n v="1"/>
    <n v="1"/>
    <x v="0"/>
    <n v="22.610958904109587"/>
    <x v="2"/>
    <n v="2"/>
    <d v="2002-12-30T00:00:00"/>
  </r>
  <r>
    <x v="1"/>
    <n v="18933580"/>
    <x v="0"/>
    <d v="2025-08-05T00:00:00"/>
    <x v="0"/>
    <x v="9"/>
    <x v="12"/>
    <d v="2026-03-06T00:00:00"/>
    <n v="213"/>
    <n v="7.1"/>
    <n v="0"/>
    <n v="0"/>
    <n v="0"/>
    <x v="0"/>
    <n v="26.241095890410961"/>
    <x v="1"/>
    <n v="3"/>
    <d v="1999-05-16T00:00:00"/>
  </r>
  <r>
    <x v="1"/>
    <n v="18934151"/>
    <x v="1"/>
    <d v="2025-08-05T00:00:00"/>
    <x v="0"/>
    <x v="9"/>
    <x v="12"/>
    <m/>
    <n v="9999"/>
    <n v="333.3"/>
    <n v="0"/>
    <n v="0"/>
    <n v="0"/>
    <x v="1"/>
    <n v="19.695890410958903"/>
    <x v="3"/>
    <n v="1"/>
    <d v="2005-11-29T00:00:00"/>
  </r>
  <r>
    <x v="1"/>
    <n v="18934152"/>
    <x v="0"/>
    <d v="2025-08-05T00:00:00"/>
    <x v="0"/>
    <x v="9"/>
    <x v="12"/>
    <m/>
    <n v="9999"/>
    <n v="333.3"/>
    <n v="0"/>
    <n v="0"/>
    <n v="0"/>
    <x v="0"/>
    <n v="19.632876712328766"/>
    <x v="3"/>
    <n v="1"/>
    <d v="2005-12-22T00:00:00"/>
  </r>
  <r>
    <x v="1"/>
    <n v="18934153"/>
    <x v="0"/>
    <d v="2025-08-05T00:00:00"/>
    <x v="0"/>
    <x v="9"/>
    <x v="12"/>
    <m/>
    <n v="9999"/>
    <n v="333.3"/>
    <n v="0"/>
    <n v="0"/>
    <n v="0"/>
    <x v="1"/>
    <n v="33.254794520547946"/>
    <x v="0"/>
    <n v="4"/>
    <d v="1992-05-12T00:00:00"/>
  </r>
  <r>
    <x v="1"/>
    <n v="18934154"/>
    <x v="0"/>
    <d v="2025-08-05T00:00:00"/>
    <x v="0"/>
    <x v="9"/>
    <x v="12"/>
    <d v="2025-12-03T00:00:00"/>
    <n v="120"/>
    <n v="4"/>
    <n v="0"/>
    <n v="0"/>
    <n v="1"/>
    <x v="1"/>
    <n v="34.909589041095892"/>
    <x v="0"/>
    <n v="4"/>
    <d v="1990-09-16T00:00:00"/>
  </r>
  <r>
    <x v="1"/>
    <n v="18934156"/>
    <x v="0"/>
    <d v="2025-08-05T00:00:00"/>
    <x v="0"/>
    <x v="9"/>
    <x v="12"/>
    <d v="2025-09-04T00:00:00"/>
    <n v="30"/>
    <n v="1"/>
    <n v="1"/>
    <n v="1"/>
    <n v="1"/>
    <x v="0"/>
    <n v="18.232876712328768"/>
    <x v="3"/>
    <n v="1"/>
    <d v="2007-05-17T00:00:00"/>
  </r>
  <r>
    <x v="1"/>
    <n v="18934157"/>
    <x v="0"/>
    <d v="2025-08-05T00:00:00"/>
    <x v="0"/>
    <x v="9"/>
    <x v="12"/>
    <m/>
    <n v="9999"/>
    <n v="333.3"/>
    <n v="0"/>
    <n v="0"/>
    <n v="0"/>
    <x v="0"/>
    <n v="28.835616438356166"/>
    <x v="1"/>
    <n v="3"/>
    <d v="1996-10-11T00:00:00"/>
  </r>
  <r>
    <x v="1"/>
    <n v="18934161"/>
    <x v="1"/>
    <d v="2025-08-05T00:00:00"/>
    <x v="0"/>
    <x v="9"/>
    <x v="12"/>
    <m/>
    <n v="9999"/>
    <n v="333.3"/>
    <n v="0"/>
    <n v="0"/>
    <n v="0"/>
    <x v="1"/>
    <n v="19.260273972602739"/>
    <x v="3"/>
    <n v="1"/>
    <d v="2006-05-07T00:00:00"/>
  </r>
  <r>
    <x v="1"/>
    <n v="18934164"/>
    <x v="0"/>
    <d v="2025-08-05T00:00:00"/>
    <x v="0"/>
    <x v="9"/>
    <x v="12"/>
    <d v="2025-11-05T00:00:00"/>
    <n v="92"/>
    <n v="3.0666666666666669"/>
    <n v="0"/>
    <n v="0"/>
    <n v="1"/>
    <x v="0"/>
    <n v="22.734246575342464"/>
    <x v="2"/>
    <n v="2"/>
    <d v="2002-11-16T00:00:00"/>
  </r>
  <r>
    <x v="1"/>
    <n v="18934165"/>
    <x v="1"/>
    <d v="2025-08-05T00:00:00"/>
    <x v="0"/>
    <x v="9"/>
    <x v="12"/>
    <m/>
    <n v="9999"/>
    <n v="333.3"/>
    <n v="0"/>
    <n v="0"/>
    <n v="0"/>
    <x v="1"/>
    <n v="19.443835616438356"/>
    <x v="3"/>
    <n v="1"/>
    <d v="2006-03-01T00:00:00"/>
  </r>
  <r>
    <x v="1"/>
    <n v="18934166"/>
    <x v="1"/>
    <d v="2025-08-05T00:00:00"/>
    <x v="0"/>
    <x v="9"/>
    <x v="12"/>
    <d v="2026-03-15T00:00:00"/>
    <n v="222"/>
    <n v="7.4"/>
    <n v="0"/>
    <n v="0"/>
    <n v="0"/>
    <x v="1"/>
    <n v="20.663013698630138"/>
    <x v="3"/>
    <n v="1"/>
    <d v="2004-12-11T00:00:00"/>
  </r>
  <r>
    <x v="1"/>
    <n v="18934168"/>
    <x v="0"/>
    <d v="2025-08-05T00:00:00"/>
    <x v="0"/>
    <x v="9"/>
    <x v="12"/>
    <d v="2025-09-05T00:00:00"/>
    <n v="31"/>
    <n v="1.0333333333333334"/>
    <n v="0"/>
    <n v="1"/>
    <n v="1"/>
    <x v="0"/>
    <n v="22.6"/>
    <x v="2"/>
    <n v="2"/>
    <d v="2003-01-04T00:00:00"/>
  </r>
  <r>
    <x v="1"/>
    <n v="18934171"/>
    <x v="0"/>
    <d v="2025-08-05T00:00:00"/>
    <x v="0"/>
    <x v="9"/>
    <x v="12"/>
    <m/>
    <n v="9999"/>
    <n v="333.3"/>
    <n v="0"/>
    <n v="0"/>
    <n v="0"/>
    <x v="1"/>
    <n v="21.756164383561643"/>
    <x v="2"/>
    <n v="2"/>
    <d v="2003-11-08T00:00:00"/>
  </r>
  <r>
    <x v="1"/>
    <n v="18934174"/>
    <x v="1"/>
    <d v="2025-08-05T00:00:00"/>
    <x v="0"/>
    <x v="9"/>
    <x v="12"/>
    <m/>
    <n v="9999"/>
    <n v="333.3"/>
    <n v="0"/>
    <n v="0"/>
    <n v="0"/>
    <x v="1"/>
    <n v="18.446575342465753"/>
    <x v="3"/>
    <n v="1"/>
    <d v="2007-02-28T00:00:00"/>
  </r>
  <r>
    <x v="1"/>
    <n v="18934175"/>
    <x v="0"/>
    <d v="2025-08-05T00:00:00"/>
    <x v="0"/>
    <x v="9"/>
    <x v="12"/>
    <d v="2025-08-07T00:00:00"/>
    <n v="2"/>
    <n v="6.6666666666666666E-2"/>
    <n v="1"/>
    <n v="1"/>
    <n v="1"/>
    <x v="1"/>
    <n v="19.358904109589041"/>
    <x v="3"/>
    <n v="1"/>
    <d v="2006-04-01T00:00:00"/>
  </r>
  <r>
    <x v="1"/>
    <n v="18934178"/>
    <x v="0"/>
    <d v="2025-08-05T00:00:00"/>
    <x v="0"/>
    <x v="9"/>
    <x v="12"/>
    <d v="2025-09-08T00:00:00"/>
    <n v="34"/>
    <n v="1.1333333333333333"/>
    <n v="0"/>
    <n v="1"/>
    <n v="1"/>
    <x v="1"/>
    <n v="19.693150684931506"/>
    <x v="3"/>
    <n v="1"/>
    <d v="2005-11-30T00:00:00"/>
  </r>
  <r>
    <x v="1"/>
    <n v="18934188"/>
    <x v="1"/>
    <d v="2025-08-05T00:00:00"/>
    <x v="0"/>
    <x v="9"/>
    <x v="12"/>
    <d v="2025-09-15T00:00:00"/>
    <n v="41"/>
    <n v="1.3666666666666667"/>
    <n v="0"/>
    <n v="1"/>
    <n v="1"/>
    <x v="1"/>
    <n v="20.87945205479452"/>
    <x v="3"/>
    <n v="1"/>
    <d v="2004-09-23T00:00:00"/>
  </r>
  <r>
    <x v="1"/>
    <n v="18934190"/>
    <x v="0"/>
    <d v="2025-08-05T00:00:00"/>
    <x v="0"/>
    <x v="9"/>
    <x v="12"/>
    <d v="2026-01-01T00:00:00"/>
    <n v="149"/>
    <n v="4.9666666666666668"/>
    <n v="0"/>
    <n v="0"/>
    <n v="1"/>
    <x v="1"/>
    <n v="19.210958904109589"/>
    <x v="3"/>
    <n v="1"/>
    <d v="2006-05-25T00:00:00"/>
  </r>
  <r>
    <x v="1"/>
    <n v="18951948"/>
    <x v="0"/>
    <d v="2026-04-13T00:00:00"/>
    <x v="1"/>
    <x v="2"/>
    <x v="11"/>
    <m/>
    <n v="9999"/>
    <n v="333.3"/>
    <n v="0"/>
    <n v="0"/>
    <n v="0"/>
    <x v="0"/>
    <n v="21.632876712328766"/>
    <x v="2"/>
    <n v="2"/>
    <d v="2004-08-30T00:00:00"/>
  </r>
  <r>
    <x v="1"/>
    <n v="18954038"/>
    <x v="0"/>
    <d v="2025-10-16T00:00:00"/>
    <x v="0"/>
    <x v="8"/>
    <x v="10"/>
    <d v="2026-02-03T00:00:00"/>
    <n v="110"/>
    <n v="3.6666666666666665"/>
    <n v="0"/>
    <n v="0"/>
    <n v="1"/>
    <x v="1"/>
    <n v="18.660273972602738"/>
    <x v="3"/>
    <n v="1"/>
    <d v="2007-02-22T00:00:00"/>
  </r>
  <r>
    <x v="1"/>
    <n v="18954136"/>
    <x v="0"/>
    <d v="2025-08-08T00:00:00"/>
    <x v="0"/>
    <x v="9"/>
    <x v="12"/>
    <d v="2026-02-28T00:00:00"/>
    <n v="204"/>
    <n v="6.8"/>
    <n v="0"/>
    <n v="0"/>
    <n v="0"/>
    <x v="1"/>
    <n v="25.93972602739726"/>
    <x v="2"/>
    <n v="2"/>
    <d v="1999-09-06T00:00:00"/>
  </r>
  <r>
    <x v="1"/>
    <n v="18954264"/>
    <x v="0"/>
    <d v="2025-08-08T00:00:00"/>
    <x v="0"/>
    <x v="9"/>
    <x v="12"/>
    <d v="2026-02-01T00:00:00"/>
    <n v="177"/>
    <n v="5.9"/>
    <n v="0"/>
    <n v="0"/>
    <n v="1"/>
    <x v="0"/>
    <n v="22.276712328767122"/>
    <x v="2"/>
    <n v="2"/>
    <d v="2003-05-05T00:00:00"/>
  </r>
  <r>
    <x v="1"/>
    <n v="18954272"/>
    <x v="0"/>
    <d v="2025-08-07T00:00:00"/>
    <x v="0"/>
    <x v="9"/>
    <x v="12"/>
    <m/>
    <n v="9999"/>
    <n v="333.3"/>
    <n v="0"/>
    <n v="0"/>
    <n v="0"/>
    <x v="0"/>
    <n v="19.506849315068493"/>
    <x v="3"/>
    <n v="1"/>
    <d v="2006-02-08T00:00:00"/>
  </r>
  <r>
    <x v="1"/>
    <n v="18954558"/>
    <x v="1"/>
    <d v="2025-08-11T00:00:00"/>
    <x v="0"/>
    <x v="9"/>
    <x v="12"/>
    <d v="2026-01-30T00:00:00"/>
    <n v="172"/>
    <n v="5.7333333333333334"/>
    <n v="0"/>
    <n v="0"/>
    <n v="1"/>
    <x v="1"/>
    <n v="20.139726027397259"/>
    <x v="3"/>
    <n v="1"/>
    <d v="2005-06-26T00:00:00"/>
  </r>
  <r>
    <x v="1"/>
    <n v="18954602"/>
    <x v="0"/>
    <d v="2025-08-08T00:00:00"/>
    <x v="0"/>
    <x v="9"/>
    <x v="12"/>
    <m/>
    <n v="9999"/>
    <n v="333.3"/>
    <n v="0"/>
    <n v="0"/>
    <n v="0"/>
    <x v="0"/>
    <n v="24.482191780821918"/>
    <x v="2"/>
    <n v="2"/>
    <d v="2001-02-19T00:00:00"/>
  </r>
  <r>
    <x v="1"/>
    <n v="18954935"/>
    <x v="1"/>
    <d v="2025-08-11T00:00:00"/>
    <x v="0"/>
    <x v="9"/>
    <x v="12"/>
    <m/>
    <n v="9999"/>
    <n v="333.3"/>
    <n v="0"/>
    <n v="0"/>
    <n v="0"/>
    <x v="0"/>
    <n v="23.671232876712327"/>
    <x v="2"/>
    <n v="2"/>
    <d v="2001-12-15T00:00:00"/>
  </r>
  <r>
    <x v="1"/>
    <n v="18955204"/>
    <x v="1"/>
    <d v="2025-08-12T00:00:00"/>
    <x v="0"/>
    <x v="9"/>
    <x v="12"/>
    <m/>
    <n v="9999"/>
    <n v="333.3"/>
    <n v="0"/>
    <n v="0"/>
    <n v="0"/>
    <x v="0"/>
    <n v="18.391780821917809"/>
    <x v="3"/>
    <n v="1"/>
    <d v="2007-03-27T00:00:00"/>
  </r>
  <r>
    <x v="1"/>
    <n v="18955239"/>
    <x v="0"/>
    <d v="2025-08-12T00:00:00"/>
    <x v="0"/>
    <x v="9"/>
    <x v="12"/>
    <d v="2026-01-18T00:00:00"/>
    <n v="159"/>
    <n v="5.3"/>
    <n v="0"/>
    <n v="0"/>
    <n v="1"/>
    <x v="0"/>
    <n v="23.24931506849315"/>
    <x v="2"/>
    <n v="2"/>
    <d v="2002-05-19T00:00:00"/>
  </r>
  <r>
    <x v="1"/>
    <n v="18955240"/>
    <x v="0"/>
    <d v="2025-08-12T00:00:00"/>
    <x v="0"/>
    <x v="9"/>
    <x v="12"/>
    <m/>
    <n v="9999"/>
    <n v="333.3"/>
    <n v="0"/>
    <n v="0"/>
    <n v="0"/>
    <x v="0"/>
    <n v="20.665753424657535"/>
    <x v="3"/>
    <n v="1"/>
    <d v="2004-12-17T00:00:00"/>
  </r>
  <r>
    <x v="1"/>
    <n v="18955241"/>
    <x v="0"/>
    <d v="2025-08-12T00:00:00"/>
    <x v="0"/>
    <x v="9"/>
    <x v="12"/>
    <m/>
    <n v="9999"/>
    <n v="333.3"/>
    <n v="0"/>
    <n v="0"/>
    <n v="0"/>
    <x v="0"/>
    <n v="18.468493150684932"/>
    <x v="3"/>
    <n v="1"/>
    <d v="2007-02-27T00:00:00"/>
  </r>
  <r>
    <x v="1"/>
    <n v="18955243"/>
    <x v="0"/>
    <d v="2025-08-12T00:00:00"/>
    <x v="0"/>
    <x v="9"/>
    <x v="12"/>
    <m/>
    <n v="9999"/>
    <n v="333.3"/>
    <n v="0"/>
    <n v="0"/>
    <n v="0"/>
    <x v="0"/>
    <n v="25.767123287671232"/>
    <x v="2"/>
    <n v="2"/>
    <d v="1999-11-12T00:00:00"/>
  </r>
  <r>
    <x v="1"/>
    <n v="18955250"/>
    <x v="1"/>
    <d v="2025-08-12T00:00:00"/>
    <x v="0"/>
    <x v="9"/>
    <x v="12"/>
    <m/>
    <n v="9999"/>
    <n v="333.3"/>
    <n v="0"/>
    <n v="0"/>
    <n v="0"/>
    <x v="1"/>
    <n v="19.109589041095891"/>
    <x v="3"/>
    <n v="1"/>
    <d v="2006-07-08T00:00:00"/>
  </r>
  <r>
    <x v="1"/>
    <n v="18955278"/>
    <x v="0"/>
    <d v="2025-08-12T00:00:00"/>
    <x v="0"/>
    <x v="9"/>
    <x v="12"/>
    <m/>
    <n v="9999"/>
    <n v="333.3"/>
    <n v="0"/>
    <n v="0"/>
    <n v="0"/>
    <x v="0"/>
    <n v="25.923287671232877"/>
    <x v="2"/>
    <n v="2"/>
    <d v="1999-09-16T00:00:00"/>
  </r>
  <r>
    <x v="1"/>
    <n v="18955299"/>
    <x v="1"/>
    <d v="2025-08-11T00:00:00"/>
    <x v="0"/>
    <x v="9"/>
    <x v="12"/>
    <d v="2026-03-25T00:00:00"/>
    <n v="226"/>
    <n v="7.5333333333333332"/>
    <n v="0"/>
    <n v="0"/>
    <n v="0"/>
    <x v="1"/>
    <n v="19.964383561643835"/>
    <x v="3"/>
    <n v="1"/>
    <d v="2005-08-29T00:00:00"/>
  </r>
  <r>
    <x v="1"/>
    <n v="18955300"/>
    <x v="0"/>
    <d v="2025-08-11T00:00:00"/>
    <x v="0"/>
    <x v="9"/>
    <x v="12"/>
    <m/>
    <n v="9999"/>
    <n v="333.3"/>
    <n v="0"/>
    <n v="0"/>
    <n v="0"/>
    <x v="1"/>
    <n v="22.479452054794521"/>
    <x v="2"/>
    <n v="2"/>
    <d v="2003-02-23T00:00:00"/>
  </r>
  <r>
    <x v="1"/>
    <n v="18955559"/>
    <x v="0"/>
    <d v="2025-08-13T00:00:00"/>
    <x v="0"/>
    <x v="9"/>
    <x v="12"/>
    <m/>
    <n v="9999"/>
    <n v="333.3"/>
    <n v="0"/>
    <n v="0"/>
    <n v="0"/>
    <x v="0"/>
    <n v="21.82191780821918"/>
    <x v="2"/>
    <n v="2"/>
    <d v="2003-10-23T00:00:00"/>
  </r>
  <r>
    <x v="1"/>
    <n v="18955576"/>
    <x v="0"/>
    <d v="2025-08-13T00:00:00"/>
    <x v="0"/>
    <x v="9"/>
    <x v="12"/>
    <m/>
    <n v="9999"/>
    <n v="333.3"/>
    <n v="0"/>
    <n v="0"/>
    <n v="0"/>
    <x v="0"/>
    <n v="27.169863013698631"/>
    <x v="1"/>
    <n v="3"/>
    <d v="1998-06-19T00:00:00"/>
  </r>
  <r>
    <x v="1"/>
    <n v="18955645"/>
    <x v="0"/>
    <d v="2025-08-13T00:00:00"/>
    <x v="0"/>
    <x v="9"/>
    <x v="12"/>
    <d v="2026-03-31T00:00:00"/>
    <n v="230"/>
    <n v="7.666666666666667"/>
    <n v="0"/>
    <n v="0"/>
    <n v="0"/>
    <x v="0"/>
    <n v="28.936986301369863"/>
    <x v="1"/>
    <n v="3"/>
    <d v="1996-09-12T00:00:00"/>
  </r>
  <r>
    <x v="1"/>
    <n v="18955647"/>
    <x v="0"/>
    <d v="2025-08-13T00:00:00"/>
    <x v="0"/>
    <x v="9"/>
    <x v="12"/>
    <d v="2025-08-31T00:00:00"/>
    <n v="18"/>
    <n v="0.6"/>
    <n v="1"/>
    <n v="1"/>
    <n v="1"/>
    <x v="0"/>
    <n v="32.953424657534249"/>
    <x v="0"/>
    <n v="4"/>
    <d v="1992-09-07T00:00:00"/>
  </r>
  <r>
    <x v="1"/>
    <n v="18955648"/>
    <x v="0"/>
    <d v="2025-08-13T00:00:00"/>
    <x v="0"/>
    <x v="9"/>
    <x v="12"/>
    <m/>
    <n v="9999"/>
    <n v="333.3"/>
    <n v="0"/>
    <n v="0"/>
    <n v="0"/>
    <x v="0"/>
    <n v="22.739726027397261"/>
    <x v="2"/>
    <n v="2"/>
    <d v="2002-11-22T00:00:00"/>
  </r>
  <r>
    <x v="1"/>
    <n v="18955712"/>
    <x v="0"/>
    <d v="2025-08-13T00:00:00"/>
    <x v="0"/>
    <x v="9"/>
    <x v="12"/>
    <m/>
    <n v="9999"/>
    <n v="333.3"/>
    <n v="0"/>
    <n v="0"/>
    <n v="0"/>
    <x v="0"/>
    <n v="21.717808219178082"/>
    <x v="2"/>
    <n v="2"/>
    <d v="2003-11-30T00:00:00"/>
  </r>
  <r>
    <x v="1"/>
    <n v="18955945"/>
    <x v="0"/>
    <d v="2025-08-13T00:00:00"/>
    <x v="0"/>
    <x v="9"/>
    <x v="12"/>
    <m/>
    <n v="9999"/>
    <n v="333.3"/>
    <n v="0"/>
    <n v="0"/>
    <n v="0"/>
    <x v="0"/>
    <n v="18.920547945205481"/>
    <x v="3"/>
    <n v="1"/>
    <d v="2006-09-16T00:00:00"/>
  </r>
  <r>
    <x v="1"/>
    <n v="18956047"/>
    <x v="0"/>
    <d v="2025-08-14T00:00:00"/>
    <x v="0"/>
    <x v="9"/>
    <x v="12"/>
    <d v="2025-08-19T00:00:00"/>
    <n v="5"/>
    <n v="0.16666666666666666"/>
    <n v="1"/>
    <n v="1"/>
    <n v="1"/>
    <x v="1"/>
    <n v="23.602739726027398"/>
    <x v="2"/>
    <n v="2"/>
    <d v="2002-01-12T00:00:00"/>
  </r>
  <r>
    <x v="1"/>
    <n v="18956144"/>
    <x v="0"/>
    <d v="2025-08-13T00:00:00"/>
    <x v="0"/>
    <x v="9"/>
    <x v="12"/>
    <m/>
    <n v="9999"/>
    <n v="333.3"/>
    <n v="0"/>
    <n v="0"/>
    <n v="0"/>
    <x v="0"/>
    <n v="23.969863013698632"/>
    <x v="2"/>
    <n v="2"/>
    <d v="2001-08-30T00:00:00"/>
  </r>
  <r>
    <x v="1"/>
    <n v="18956271"/>
    <x v="0"/>
    <d v="2025-08-15T00:00:00"/>
    <x v="0"/>
    <x v="9"/>
    <x v="12"/>
    <d v="2026-03-15T00:00:00"/>
    <n v="212"/>
    <n v="7.0666666666666664"/>
    <n v="0"/>
    <n v="0"/>
    <n v="0"/>
    <x v="0"/>
    <n v="20.608219178082191"/>
    <x v="3"/>
    <n v="1"/>
    <d v="2005-01-10T00:00:00"/>
  </r>
  <r>
    <x v="1"/>
    <n v="18956275"/>
    <x v="0"/>
    <d v="2025-08-15T00:00:00"/>
    <x v="0"/>
    <x v="9"/>
    <x v="12"/>
    <m/>
    <n v="9999"/>
    <n v="333.3"/>
    <n v="0"/>
    <n v="0"/>
    <n v="0"/>
    <x v="0"/>
    <n v="22.438356164383563"/>
    <x v="2"/>
    <n v="2"/>
    <d v="2003-03-14T00:00:00"/>
  </r>
  <r>
    <x v="1"/>
    <n v="18956388"/>
    <x v="0"/>
    <d v="2025-08-15T00:00:00"/>
    <x v="0"/>
    <x v="9"/>
    <x v="12"/>
    <d v="2026-01-05T00:00:00"/>
    <n v="143"/>
    <n v="4.7666666666666666"/>
    <n v="0"/>
    <n v="0"/>
    <n v="1"/>
    <x v="1"/>
    <n v="20.238356164383561"/>
    <x v="3"/>
    <n v="1"/>
    <d v="2005-05-25T00:00:00"/>
  </r>
  <r>
    <x v="1"/>
    <n v="18956747"/>
    <x v="0"/>
    <d v="2025-08-18T00:00:00"/>
    <x v="0"/>
    <x v="9"/>
    <x v="12"/>
    <d v="2025-10-31T00:00:00"/>
    <n v="74"/>
    <n v="2.4666666666666668"/>
    <n v="0"/>
    <n v="1"/>
    <n v="1"/>
    <x v="0"/>
    <n v="23.068493150684933"/>
    <x v="2"/>
    <n v="2"/>
    <d v="2002-07-30T00:00:00"/>
  </r>
  <r>
    <x v="1"/>
    <n v="18956748"/>
    <x v="0"/>
    <d v="2025-08-18T00:00:00"/>
    <x v="0"/>
    <x v="9"/>
    <x v="12"/>
    <d v="2026-01-02T00:00:00"/>
    <n v="137"/>
    <n v="4.5666666666666664"/>
    <n v="0"/>
    <n v="0"/>
    <n v="1"/>
    <x v="0"/>
    <n v="18.589041095890412"/>
    <x v="3"/>
    <n v="1"/>
    <d v="2007-01-20T00:00:00"/>
  </r>
  <r>
    <x v="1"/>
    <n v="18957271"/>
    <x v="0"/>
    <d v="2025-08-19T00:00:00"/>
    <x v="0"/>
    <x v="9"/>
    <x v="12"/>
    <d v="2025-09-08T00:00:00"/>
    <n v="20"/>
    <n v="0.66666666666666663"/>
    <n v="1"/>
    <n v="1"/>
    <n v="1"/>
    <x v="1"/>
    <n v="18.802739726027397"/>
    <x v="3"/>
    <n v="1"/>
    <d v="2006-11-04T00:00:00"/>
  </r>
  <r>
    <x v="1"/>
    <n v="18957272"/>
    <x v="0"/>
    <d v="2025-08-19T00:00:00"/>
    <x v="0"/>
    <x v="9"/>
    <x v="12"/>
    <d v="2025-12-15T00:00:00"/>
    <n v="118"/>
    <n v="3.9333333333333331"/>
    <n v="0"/>
    <n v="0"/>
    <n v="1"/>
    <x v="1"/>
    <n v="18.5013698630137"/>
    <x v="3"/>
    <n v="1"/>
    <d v="2007-02-22T00:00:00"/>
  </r>
  <r>
    <x v="1"/>
    <n v="18957283"/>
    <x v="1"/>
    <d v="2025-08-19T00:00:00"/>
    <x v="0"/>
    <x v="9"/>
    <x v="12"/>
    <m/>
    <n v="9999"/>
    <n v="333.3"/>
    <n v="0"/>
    <n v="0"/>
    <n v="0"/>
    <x v="0"/>
    <n v="22.452054794520549"/>
    <x v="2"/>
    <n v="2"/>
    <d v="2003-03-13T00:00:00"/>
  </r>
  <r>
    <x v="1"/>
    <n v="18957408"/>
    <x v="1"/>
    <d v="2025-08-19T00:00:00"/>
    <x v="0"/>
    <x v="9"/>
    <x v="12"/>
    <d v="2025-10-31T00:00:00"/>
    <n v="73"/>
    <n v="2.4333333333333331"/>
    <n v="0"/>
    <n v="1"/>
    <n v="1"/>
    <x v="0"/>
    <n v="20.010958904109589"/>
    <x v="3"/>
    <n v="1"/>
    <d v="2005-08-20T00:00:00"/>
  </r>
  <r>
    <x v="1"/>
    <n v="18957412"/>
    <x v="0"/>
    <d v="2025-08-19T00:00:00"/>
    <x v="0"/>
    <x v="9"/>
    <x v="12"/>
    <d v="2025-09-30T00:00:00"/>
    <n v="42"/>
    <n v="1.4"/>
    <n v="0"/>
    <n v="1"/>
    <n v="1"/>
    <x v="0"/>
    <n v="22.854794520547944"/>
    <x v="2"/>
    <n v="2"/>
    <d v="2002-10-17T00:00:00"/>
  </r>
  <r>
    <x v="1"/>
    <n v="18957549"/>
    <x v="1"/>
    <d v="2025-08-19T00:00:00"/>
    <x v="0"/>
    <x v="9"/>
    <x v="12"/>
    <d v="2025-10-01T00:00:00"/>
    <n v="43"/>
    <n v="1.4333333333333333"/>
    <n v="0"/>
    <n v="1"/>
    <n v="1"/>
    <x v="0"/>
    <n v="18.671232876712327"/>
    <x v="3"/>
    <n v="1"/>
    <d v="2006-12-22T00:00:00"/>
  </r>
  <r>
    <x v="1"/>
    <n v="18957592"/>
    <x v="1"/>
    <d v="2025-08-20T00:00:00"/>
    <x v="0"/>
    <x v="9"/>
    <x v="12"/>
    <m/>
    <n v="9999"/>
    <n v="333.3"/>
    <n v="0"/>
    <n v="0"/>
    <n v="0"/>
    <x v="1"/>
    <n v="27.230136986301371"/>
    <x v="1"/>
    <n v="3"/>
    <d v="1998-06-04T00:00:00"/>
  </r>
  <r>
    <x v="1"/>
    <n v="18957600"/>
    <x v="0"/>
    <d v="2025-08-20T00:00:00"/>
    <x v="0"/>
    <x v="9"/>
    <x v="12"/>
    <d v="2026-06-01T00:00:00"/>
    <n v="285"/>
    <n v="9.5"/>
    <n v="0"/>
    <n v="0"/>
    <n v="0"/>
    <x v="1"/>
    <n v="20.476712328767125"/>
    <x v="3"/>
    <n v="1"/>
    <d v="2005-03-04T00:00:00"/>
  </r>
  <r>
    <x v="1"/>
    <n v="18957601"/>
    <x v="0"/>
    <d v="2025-08-20T00:00:00"/>
    <x v="0"/>
    <x v="9"/>
    <x v="12"/>
    <m/>
    <n v="9999"/>
    <n v="333.3"/>
    <n v="0"/>
    <n v="0"/>
    <n v="0"/>
    <x v="1"/>
    <n v="23.232876712328768"/>
    <x v="2"/>
    <n v="2"/>
    <d v="2002-06-02T00:00:00"/>
  </r>
  <r>
    <x v="1"/>
    <n v="18957602"/>
    <x v="0"/>
    <d v="2025-08-20T00:00:00"/>
    <x v="0"/>
    <x v="9"/>
    <x v="12"/>
    <d v="2025-09-09T00:00:00"/>
    <n v="20"/>
    <n v="0.66666666666666663"/>
    <n v="1"/>
    <n v="1"/>
    <n v="1"/>
    <x v="1"/>
    <n v="23.186301369863013"/>
    <x v="2"/>
    <n v="2"/>
    <d v="2002-06-19T00:00:00"/>
  </r>
  <r>
    <x v="1"/>
    <n v="18957666"/>
    <x v="0"/>
    <d v="2025-08-20T00:00:00"/>
    <x v="0"/>
    <x v="9"/>
    <x v="12"/>
    <d v="2025-09-01T00:00:00"/>
    <n v="12"/>
    <n v="0.4"/>
    <n v="1"/>
    <n v="1"/>
    <n v="1"/>
    <x v="1"/>
    <n v="23.331506849315069"/>
    <x v="2"/>
    <n v="2"/>
    <d v="2002-04-27T00:00:00"/>
  </r>
  <r>
    <x v="1"/>
    <n v="18957671"/>
    <x v="1"/>
    <d v="2025-08-20T00:00:00"/>
    <x v="0"/>
    <x v="9"/>
    <x v="12"/>
    <d v="2026-02-28T00:00:00"/>
    <n v="192"/>
    <n v="6.4"/>
    <n v="0"/>
    <n v="0"/>
    <n v="0"/>
    <x v="1"/>
    <n v="23.846575342465755"/>
    <x v="2"/>
    <n v="2"/>
    <d v="2001-10-21T00:00:00"/>
  </r>
  <r>
    <x v="1"/>
    <n v="18957673"/>
    <x v="1"/>
    <d v="2025-08-20T00:00:00"/>
    <x v="0"/>
    <x v="9"/>
    <x v="12"/>
    <m/>
    <n v="9999"/>
    <n v="333.3"/>
    <n v="0"/>
    <n v="0"/>
    <n v="0"/>
    <x v="1"/>
    <n v="22.528767123287672"/>
    <x v="2"/>
    <n v="2"/>
    <d v="2003-02-14T00:00:00"/>
  </r>
  <r>
    <x v="1"/>
    <n v="18957701"/>
    <x v="0"/>
    <d v="2025-08-20T00:00:00"/>
    <x v="0"/>
    <x v="9"/>
    <x v="12"/>
    <d v="2025-11-04T00:00:00"/>
    <n v="76"/>
    <n v="2.5333333333333332"/>
    <n v="0"/>
    <n v="1"/>
    <n v="1"/>
    <x v="0"/>
    <n v="22.931506849315067"/>
    <x v="2"/>
    <n v="2"/>
    <d v="2002-09-20T00:00:00"/>
  </r>
  <r>
    <x v="1"/>
    <n v="18957743"/>
    <x v="1"/>
    <d v="2025-08-20T00:00:00"/>
    <x v="0"/>
    <x v="9"/>
    <x v="12"/>
    <m/>
    <n v="9999"/>
    <n v="333.3"/>
    <n v="0"/>
    <n v="0"/>
    <n v="0"/>
    <x v="0"/>
    <n v="19.347945205479451"/>
    <x v="3"/>
    <n v="1"/>
    <d v="2006-04-20T00:00:00"/>
  </r>
  <r>
    <x v="1"/>
    <n v="18957799"/>
    <x v="0"/>
    <d v="2025-08-20T00:00:00"/>
    <x v="0"/>
    <x v="9"/>
    <x v="12"/>
    <m/>
    <n v="9999"/>
    <n v="333.3"/>
    <n v="0"/>
    <n v="0"/>
    <n v="0"/>
    <x v="1"/>
    <n v="20.876712328767123"/>
    <x v="3"/>
    <n v="1"/>
    <d v="2004-10-09T00:00:00"/>
  </r>
  <r>
    <x v="1"/>
    <n v="18958036"/>
    <x v="0"/>
    <d v="2025-08-21T00:00:00"/>
    <x v="0"/>
    <x v="9"/>
    <x v="12"/>
    <m/>
    <n v="9999"/>
    <n v="333.3"/>
    <n v="0"/>
    <n v="0"/>
    <n v="0"/>
    <x v="1"/>
    <n v="18.323287671232876"/>
    <x v="3"/>
    <n v="1"/>
    <d v="2007-04-30T00:00:00"/>
  </r>
  <r>
    <x v="1"/>
    <n v="18958081"/>
    <x v="1"/>
    <d v="2025-08-21T00:00:00"/>
    <x v="0"/>
    <x v="9"/>
    <x v="12"/>
    <d v="2026-06-01T00:00:00"/>
    <n v="284"/>
    <n v="9.4666666666666668"/>
    <n v="0"/>
    <n v="0"/>
    <n v="0"/>
    <x v="1"/>
    <n v="22.331506849315069"/>
    <x v="2"/>
    <n v="2"/>
    <d v="2003-04-28T00:00:00"/>
  </r>
  <r>
    <x v="1"/>
    <n v="18958105"/>
    <x v="1"/>
    <d v="2025-08-21T00:00:00"/>
    <x v="0"/>
    <x v="9"/>
    <x v="12"/>
    <m/>
    <n v="9999"/>
    <n v="333.3"/>
    <n v="0"/>
    <n v="0"/>
    <n v="0"/>
    <x v="0"/>
    <n v="22.005479452054793"/>
    <x v="2"/>
    <n v="2"/>
    <d v="2003-08-25T00:00:00"/>
  </r>
  <r>
    <x v="1"/>
    <n v="18958110"/>
    <x v="0"/>
    <d v="2025-08-21T00:00:00"/>
    <x v="0"/>
    <x v="9"/>
    <x v="12"/>
    <m/>
    <n v="9999"/>
    <n v="333.3"/>
    <n v="0"/>
    <n v="0"/>
    <n v="0"/>
    <x v="0"/>
    <n v="25.597260273972601"/>
    <x v="2"/>
    <n v="2"/>
    <d v="2000-01-22T00:00:00"/>
  </r>
  <r>
    <x v="1"/>
    <n v="18958318"/>
    <x v="0"/>
    <d v="2025-08-21T00:00:00"/>
    <x v="0"/>
    <x v="9"/>
    <x v="12"/>
    <d v="2025-11-30T00:00:00"/>
    <n v="101"/>
    <n v="3.3666666666666667"/>
    <n v="0"/>
    <n v="0"/>
    <n v="1"/>
    <x v="1"/>
    <n v="25.019178082191782"/>
    <x v="2"/>
    <n v="2"/>
    <d v="2000-08-20T00:00:00"/>
  </r>
  <r>
    <x v="1"/>
    <n v="18958319"/>
    <x v="1"/>
    <d v="2025-08-21T00:00:00"/>
    <x v="0"/>
    <x v="9"/>
    <x v="12"/>
    <d v="2026-02-28T00:00:00"/>
    <n v="191"/>
    <n v="6.3666666666666663"/>
    <n v="0"/>
    <n v="0"/>
    <n v="0"/>
    <x v="1"/>
    <n v="22.084931506849315"/>
    <x v="2"/>
    <n v="2"/>
    <d v="2003-07-27T00:00:00"/>
  </r>
  <r>
    <x v="1"/>
    <n v="18958439"/>
    <x v="1"/>
    <d v="2025-08-22T00:00:00"/>
    <x v="0"/>
    <x v="9"/>
    <x v="12"/>
    <m/>
    <n v="9999"/>
    <n v="333.3"/>
    <n v="0"/>
    <n v="0"/>
    <n v="0"/>
    <x v="1"/>
    <n v="22.090410958904108"/>
    <x v="2"/>
    <n v="2"/>
    <d v="2003-07-26T00:00:00"/>
  </r>
  <r>
    <x v="0"/>
    <n v="18958472"/>
    <x v="0"/>
    <d v="2025-08-22T00:00:00"/>
    <x v="0"/>
    <x v="9"/>
    <x v="12"/>
    <d v="2026-04-01T00:00:00"/>
    <n v="222"/>
    <n v="7.4"/>
    <n v="0"/>
    <n v="0"/>
    <n v="0"/>
    <x v="1"/>
    <n v="18.049315068493151"/>
    <x v="3"/>
    <n v="1"/>
    <d v="2007-08-09T00:00:00"/>
  </r>
  <r>
    <x v="1"/>
    <n v="18958475"/>
    <x v="0"/>
    <d v="2025-08-22T00:00:00"/>
    <x v="0"/>
    <x v="9"/>
    <x v="12"/>
    <d v="2026-01-05T00:00:00"/>
    <n v="136"/>
    <n v="4.5333333333333332"/>
    <n v="0"/>
    <n v="0"/>
    <n v="1"/>
    <x v="1"/>
    <n v="25.991780821917807"/>
    <x v="2"/>
    <n v="2"/>
    <d v="1999-09-01T00:00:00"/>
  </r>
  <r>
    <x v="1"/>
    <n v="18958476"/>
    <x v="0"/>
    <d v="2025-08-22T00:00:00"/>
    <x v="0"/>
    <x v="9"/>
    <x v="12"/>
    <m/>
    <n v="9999"/>
    <n v="333.3"/>
    <n v="0"/>
    <n v="0"/>
    <n v="0"/>
    <x v="1"/>
    <n v="18.208219178082192"/>
    <x v="3"/>
    <n v="1"/>
    <d v="2007-06-12T00:00:00"/>
  </r>
  <r>
    <x v="1"/>
    <n v="18958499"/>
    <x v="0"/>
    <d v="2025-08-22T00:00:00"/>
    <x v="0"/>
    <x v="9"/>
    <x v="12"/>
    <d v="2026-01-31T00:00:00"/>
    <n v="162"/>
    <n v="5.4"/>
    <n v="0"/>
    <n v="0"/>
    <n v="1"/>
    <x v="1"/>
    <n v="19.646575342465752"/>
    <x v="3"/>
    <n v="1"/>
    <d v="2006-01-03T00:00:00"/>
  </r>
  <r>
    <x v="1"/>
    <n v="18958502"/>
    <x v="1"/>
    <d v="2025-08-22T00:00:00"/>
    <x v="0"/>
    <x v="9"/>
    <x v="12"/>
    <d v="2026-02-01T00:00:00"/>
    <n v="163"/>
    <n v="5.4333333333333336"/>
    <n v="0"/>
    <n v="0"/>
    <n v="1"/>
    <x v="1"/>
    <n v="18.682191780821917"/>
    <x v="3"/>
    <n v="1"/>
    <d v="2006-12-21T00:00:00"/>
  </r>
  <r>
    <x v="1"/>
    <n v="18958559"/>
    <x v="0"/>
    <d v="2025-08-22T00:00:00"/>
    <x v="0"/>
    <x v="9"/>
    <x v="12"/>
    <m/>
    <n v="9999"/>
    <n v="333.3"/>
    <n v="0"/>
    <n v="0"/>
    <n v="0"/>
    <x v="0"/>
    <n v="32.391780821917806"/>
    <x v="0"/>
    <n v="4"/>
    <d v="1993-04-09T00:00:00"/>
  </r>
  <r>
    <x v="1"/>
    <n v="18958582"/>
    <x v="1"/>
    <d v="2025-08-22T00:00:00"/>
    <x v="0"/>
    <x v="9"/>
    <x v="12"/>
    <m/>
    <n v="9999"/>
    <n v="333.3"/>
    <n v="0"/>
    <n v="0"/>
    <n v="0"/>
    <x v="1"/>
    <n v="18.44109589041096"/>
    <x v="3"/>
    <n v="1"/>
    <d v="2007-03-19T00:00:00"/>
  </r>
  <r>
    <x v="1"/>
    <n v="18958583"/>
    <x v="0"/>
    <d v="2025-08-22T00:00:00"/>
    <x v="0"/>
    <x v="9"/>
    <x v="12"/>
    <d v="2025-11-30T00:00:00"/>
    <n v="100"/>
    <n v="3.3333333333333335"/>
    <n v="0"/>
    <n v="0"/>
    <n v="1"/>
    <x v="1"/>
    <n v="20.528767123287672"/>
    <x v="3"/>
    <n v="1"/>
    <d v="2005-02-15T00:00:00"/>
  </r>
  <r>
    <x v="0"/>
    <n v="18958585"/>
    <x v="0"/>
    <d v="2025-08-22T00:00:00"/>
    <x v="0"/>
    <x v="9"/>
    <x v="12"/>
    <d v="2025-10-17T00:00:00"/>
    <n v="56"/>
    <n v="1.8666666666666667"/>
    <n v="0"/>
    <n v="1"/>
    <n v="1"/>
    <x v="1"/>
    <n v="28.002739726027396"/>
    <x v="1"/>
    <n v="3"/>
    <d v="1997-08-28T00:00:00"/>
  </r>
  <r>
    <x v="1"/>
    <n v="18958586"/>
    <x v="0"/>
    <d v="2025-08-22T00:00:00"/>
    <x v="0"/>
    <x v="9"/>
    <x v="12"/>
    <m/>
    <n v="9999"/>
    <n v="333.3"/>
    <n v="0"/>
    <n v="0"/>
    <n v="0"/>
    <x v="1"/>
    <n v="20.079452054794519"/>
    <x v="3"/>
    <n v="1"/>
    <d v="2005-07-29T00:00:00"/>
  </r>
  <r>
    <x v="1"/>
    <n v="18958635"/>
    <x v="0"/>
    <d v="2025-08-22T00:00:00"/>
    <x v="0"/>
    <x v="9"/>
    <x v="12"/>
    <m/>
    <n v="9999"/>
    <n v="333.3"/>
    <n v="0"/>
    <n v="0"/>
    <n v="0"/>
    <x v="1"/>
    <n v="23.484931506849314"/>
    <x v="2"/>
    <n v="2"/>
    <d v="2002-03-04T00:00:00"/>
  </r>
  <r>
    <x v="1"/>
    <n v="18958637"/>
    <x v="1"/>
    <d v="2025-08-22T00:00:00"/>
    <x v="0"/>
    <x v="9"/>
    <x v="12"/>
    <d v="2025-12-15T00:00:00"/>
    <n v="115"/>
    <n v="3.8333333333333335"/>
    <n v="0"/>
    <n v="0"/>
    <n v="1"/>
    <x v="1"/>
    <n v="23.104109589041094"/>
    <x v="2"/>
    <n v="2"/>
    <d v="2002-07-21T00:00:00"/>
  </r>
  <r>
    <x v="1"/>
    <n v="18958638"/>
    <x v="0"/>
    <d v="2025-08-22T00:00:00"/>
    <x v="0"/>
    <x v="9"/>
    <x v="12"/>
    <m/>
    <n v="9999"/>
    <n v="333.3"/>
    <n v="0"/>
    <n v="0"/>
    <n v="0"/>
    <x v="1"/>
    <n v="22.906849315068492"/>
    <x v="2"/>
    <n v="2"/>
    <d v="2002-10-01T00:00:00"/>
  </r>
  <r>
    <x v="1"/>
    <n v="18958641"/>
    <x v="1"/>
    <d v="2025-08-22T00:00:00"/>
    <x v="0"/>
    <x v="9"/>
    <x v="12"/>
    <d v="2025-11-30T00:00:00"/>
    <n v="100"/>
    <n v="3.3333333333333335"/>
    <n v="0"/>
    <n v="0"/>
    <n v="1"/>
    <x v="1"/>
    <n v="19.589041095890412"/>
    <x v="3"/>
    <n v="1"/>
    <d v="2006-01-24T00:00:00"/>
  </r>
  <r>
    <x v="1"/>
    <n v="18958642"/>
    <x v="0"/>
    <d v="2025-08-22T00:00:00"/>
    <x v="0"/>
    <x v="9"/>
    <x v="12"/>
    <m/>
    <n v="9999"/>
    <n v="333.3"/>
    <n v="0"/>
    <n v="0"/>
    <n v="0"/>
    <x v="1"/>
    <n v="18.260273972602739"/>
    <x v="3"/>
    <n v="1"/>
    <d v="2007-05-24T00:00:00"/>
  </r>
  <r>
    <x v="0"/>
    <n v="18958671"/>
    <x v="0"/>
    <d v="2025-08-22T00:00:00"/>
    <x v="0"/>
    <x v="9"/>
    <x v="12"/>
    <d v="2025-12-31T00:00:00"/>
    <n v="131"/>
    <n v="4.3666666666666663"/>
    <n v="0"/>
    <n v="0"/>
    <n v="1"/>
    <x v="1"/>
    <n v="27.372602739726027"/>
    <x v="1"/>
    <n v="3"/>
    <d v="1998-04-15T00:00:00"/>
  </r>
  <r>
    <x v="1"/>
    <n v="18958671"/>
    <x v="0"/>
    <d v="2026-01-01T00:00:00"/>
    <x v="1"/>
    <x v="6"/>
    <x v="8"/>
    <d v="2026-02-15T00:00:00"/>
    <n v="45"/>
    <n v="1.5"/>
    <n v="0"/>
    <n v="1"/>
    <n v="1"/>
    <x v="1"/>
    <n v="27.734246575342464"/>
    <x v="1"/>
    <n v="3"/>
    <d v="1998-04-15T00:00:00"/>
  </r>
  <r>
    <x v="1"/>
    <n v="18958806"/>
    <x v="1"/>
    <d v="2025-08-22T00:00:00"/>
    <x v="0"/>
    <x v="9"/>
    <x v="12"/>
    <d v="2025-12-01T00:00:00"/>
    <n v="101"/>
    <n v="3.3666666666666667"/>
    <n v="0"/>
    <n v="0"/>
    <n v="1"/>
    <x v="0"/>
    <n v="27.5013698630137"/>
    <x v="1"/>
    <n v="3"/>
    <d v="1998-02-27T00:00:00"/>
  </r>
  <r>
    <x v="1"/>
    <n v="18958815"/>
    <x v="0"/>
    <d v="2025-09-15T00:00:00"/>
    <x v="0"/>
    <x v="3"/>
    <x v="4"/>
    <d v="2026-02-28T00:00:00"/>
    <n v="166"/>
    <n v="5.5333333333333332"/>
    <n v="0"/>
    <n v="0"/>
    <n v="1"/>
    <x v="0"/>
    <n v="20.893150684931506"/>
    <x v="3"/>
    <n v="1"/>
    <d v="2004-10-29T00:00:00"/>
  </r>
  <r>
    <x v="1"/>
    <n v="18958821"/>
    <x v="0"/>
    <d v="2025-08-22T00:00:00"/>
    <x v="0"/>
    <x v="9"/>
    <x v="12"/>
    <d v="2025-09-02T00:00:00"/>
    <n v="11"/>
    <n v="0.36666666666666664"/>
    <n v="1"/>
    <n v="1"/>
    <n v="1"/>
    <x v="0"/>
    <n v="20.290410958904111"/>
    <x v="3"/>
    <n v="1"/>
    <d v="2005-05-13T00:00:00"/>
  </r>
  <r>
    <x v="1"/>
    <n v="18958987"/>
    <x v="0"/>
    <d v="2025-08-25T00:00:00"/>
    <x v="0"/>
    <x v="9"/>
    <x v="12"/>
    <d v="2026-04-30T00:00:00"/>
    <n v="248"/>
    <n v="8.2666666666666675"/>
    <n v="0"/>
    <n v="0"/>
    <n v="0"/>
    <x v="0"/>
    <n v="18.372602739726027"/>
    <x v="3"/>
    <n v="1"/>
    <d v="2007-04-16T00:00:00"/>
  </r>
  <r>
    <x v="1"/>
    <n v="18959087"/>
    <x v="1"/>
    <d v="2025-08-25T00:00:00"/>
    <x v="0"/>
    <x v="9"/>
    <x v="12"/>
    <d v="2026-03-31T00:00:00"/>
    <n v="218"/>
    <n v="7.2666666666666666"/>
    <n v="0"/>
    <n v="0"/>
    <n v="0"/>
    <x v="1"/>
    <n v="23.43013698630137"/>
    <x v="2"/>
    <n v="2"/>
    <d v="2002-03-27T00:00:00"/>
  </r>
  <r>
    <x v="0"/>
    <n v="18959104"/>
    <x v="0"/>
    <d v="2025-08-25T00:00:00"/>
    <x v="0"/>
    <x v="9"/>
    <x v="12"/>
    <m/>
    <n v="9999"/>
    <n v="333.3"/>
    <n v="0"/>
    <n v="0"/>
    <n v="0"/>
    <x v="1"/>
    <n v="42.452054794520549"/>
    <x v="0"/>
    <n v="4"/>
    <d v="1983-03-24T00:00:00"/>
  </r>
  <r>
    <x v="0"/>
    <n v="18959126"/>
    <x v="1"/>
    <d v="2025-08-22T00:00:00"/>
    <x v="0"/>
    <x v="9"/>
    <x v="12"/>
    <m/>
    <n v="9999"/>
    <n v="333.3"/>
    <n v="0"/>
    <n v="0"/>
    <n v="0"/>
    <x v="1"/>
    <n v="19.043835616438358"/>
    <x v="3"/>
    <n v="1"/>
    <d v="2006-08-11T00:00:00"/>
  </r>
  <r>
    <x v="0"/>
    <n v="18959138"/>
    <x v="0"/>
    <d v="2025-08-22T00:00:00"/>
    <x v="0"/>
    <x v="9"/>
    <x v="12"/>
    <d v="2026-01-20T00:00:00"/>
    <n v="151"/>
    <n v="5.0333333333333332"/>
    <n v="0"/>
    <n v="0"/>
    <n v="1"/>
    <x v="1"/>
    <n v="26.326027397260273"/>
    <x v="1"/>
    <n v="3"/>
    <d v="1999-05-02T00:00:00"/>
  </r>
  <r>
    <x v="1"/>
    <n v="18959678"/>
    <x v="0"/>
    <d v="2025-08-26T00:00:00"/>
    <x v="0"/>
    <x v="9"/>
    <x v="12"/>
    <m/>
    <n v="9999"/>
    <n v="333.3"/>
    <n v="0"/>
    <n v="0"/>
    <n v="0"/>
    <x v="0"/>
    <n v="22.347945205479451"/>
    <x v="2"/>
    <n v="2"/>
    <d v="2003-04-27T00:00:00"/>
  </r>
  <r>
    <x v="1"/>
    <n v="18959885"/>
    <x v="0"/>
    <d v="2025-08-27T00:00:00"/>
    <x v="0"/>
    <x v="9"/>
    <x v="12"/>
    <m/>
    <n v="9999"/>
    <n v="333.3"/>
    <n v="0"/>
    <n v="0"/>
    <n v="0"/>
    <x v="1"/>
    <n v="19.56986301369863"/>
    <x v="3"/>
    <n v="1"/>
    <d v="2006-02-05T00:00:00"/>
  </r>
  <r>
    <x v="1"/>
    <n v="18959886"/>
    <x v="1"/>
    <d v="2025-08-27T00:00:00"/>
    <x v="0"/>
    <x v="9"/>
    <x v="12"/>
    <m/>
    <n v="9999"/>
    <n v="333.3"/>
    <n v="0"/>
    <n v="0"/>
    <n v="0"/>
    <x v="1"/>
    <n v="18.139726027397259"/>
    <x v="3"/>
    <n v="1"/>
    <d v="2007-07-12T00:00:00"/>
  </r>
  <r>
    <x v="1"/>
    <n v="18959901"/>
    <x v="0"/>
    <d v="2025-08-27T00:00:00"/>
    <x v="0"/>
    <x v="9"/>
    <x v="12"/>
    <d v="2025-10-01T00:00:00"/>
    <n v="35"/>
    <n v="1.1666666666666667"/>
    <n v="0"/>
    <n v="1"/>
    <n v="1"/>
    <x v="0"/>
    <n v="22.002739726027396"/>
    <x v="2"/>
    <n v="2"/>
    <d v="2003-09-01T00:00:00"/>
  </r>
  <r>
    <x v="1"/>
    <n v="18959905"/>
    <x v="0"/>
    <d v="2025-08-27T00:00:00"/>
    <x v="0"/>
    <x v="9"/>
    <x v="12"/>
    <m/>
    <n v="9999"/>
    <n v="333.3"/>
    <n v="0"/>
    <n v="0"/>
    <n v="0"/>
    <x v="0"/>
    <n v="20.443835616438356"/>
    <x v="3"/>
    <n v="1"/>
    <d v="2005-03-23T00:00:00"/>
  </r>
  <r>
    <x v="1"/>
    <n v="18959906"/>
    <x v="0"/>
    <d v="2025-08-27T00:00:00"/>
    <x v="0"/>
    <x v="9"/>
    <x v="12"/>
    <m/>
    <n v="9999"/>
    <n v="333.3"/>
    <n v="0"/>
    <n v="0"/>
    <n v="0"/>
    <x v="0"/>
    <n v="36.794520547945204"/>
    <x v="0"/>
    <n v="4"/>
    <d v="1988-11-19T00:00:00"/>
  </r>
  <r>
    <x v="1"/>
    <n v="18959907"/>
    <x v="0"/>
    <d v="2025-08-27T00:00:00"/>
    <x v="0"/>
    <x v="9"/>
    <x v="12"/>
    <m/>
    <n v="9999"/>
    <n v="333.3"/>
    <n v="0"/>
    <n v="0"/>
    <n v="0"/>
    <x v="0"/>
    <n v="18.739726027397261"/>
    <x v="3"/>
    <n v="1"/>
    <d v="2006-12-05T00:00:00"/>
  </r>
  <r>
    <x v="1"/>
    <n v="18959920"/>
    <x v="0"/>
    <d v="2025-08-27T00:00:00"/>
    <x v="0"/>
    <x v="9"/>
    <x v="12"/>
    <d v="2025-09-03T00:00:00"/>
    <n v="7"/>
    <n v="0.23333333333333334"/>
    <n v="1"/>
    <n v="1"/>
    <n v="1"/>
    <x v="1"/>
    <n v="26.12876712328767"/>
    <x v="1"/>
    <n v="3"/>
    <d v="1999-07-18T00:00:00"/>
  </r>
  <r>
    <x v="1"/>
    <n v="18959957"/>
    <x v="0"/>
    <d v="2025-08-26T00:00:00"/>
    <x v="0"/>
    <x v="9"/>
    <x v="12"/>
    <d v="2025-11-11T00:00:00"/>
    <n v="77"/>
    <n v="2.5666666666666669"/>
    <n v="0"/>
    <n v="1"/>
    <n v="1"/>
    <x v="0"/>
    <n v="24.052054794520547"/>
    <x v="2"/>
    <n v="2"/>
    <d v="2001-08-13T00:00:00"/>
  </r>
  <r>
    <x v="1"/>
    <n v="18960319"/>
    <x v="1"/>
    <d v="2025-08-28T00:00:00"/>
    <x v="0"/>
    <x v="9"/>
    <x v="12"/>
    <m/>
    <n v="9999"/>
    <n v="333.3"/>
    <n v="0"/>
    <n v="0"/>
    <n v="0"/>
    <x v="0"/>
    <n v="21.246575342465754"/>
    <x v="2"/>
    <n v="2"/>
    <d v="2004-06-04T00:00:00"/>
  </r>
  <r>
    <x v="1"/>
    <n v="18960331"/>
    <x v="1"/>
    <d v="2025-08-28T00:00:00"/>
    <x v="0"/>
    <x v="9"/>
    <x v="12"/>
    <m/>
    <n v="9999"/>
    <n v="333.3"/>
    <n v="0"/>
    <n v="0"/>
    <n v="0"/>
    <x v="1"/>
    <n v="28.463013698630139"/>
    <x v="1"/>
    <n v="3"/>
    <d v="1997-03-19T00:00:00"/>
  </r>
  <r>
    <x v="1"/>
    <n v="18960345"/>
    <x v="0"/>
    <d v="2025-08-28T00:00:00"/>
    <x v="0"/>
    <x v="9"/>
    <x v="12"/>
    <m/>
    <n v="9999"/>
    <n v="333.3"/>
    <n v="0"/>
    <n v="0"/>
    <n v="0"/>
    <x v="1"/>
    <n v="18.304109589041097"/>
    <x v="3"/>
    <n v="1"/>
    <d v="2007-05-14T00:00:00"/>
  </r>
  <r>
    <x v="1"/>
    <n v="18960504"/>
    <x v="0"/>
    <d v="2025-08-28T00:00:00"/>
    <x v="0"/>
    <x v="9"/>
    <x v="12"/>
    <m/>
    <n v="9999"/>
    <n v="333.3"/>
    <n v="0"/>
    <n v="0"/>
    <n v="0"/>
    <x v="1"/>
    <n v="29.802739726027397"/>
    <x v="1"/>
    <n v="3"/>
    <d v="1995-11-16T00:00:00"/>
  </r>
  <r>
    <x v="1"/>
    <n v="18960505"/>
    <x v="1"/>
    <d v="2025-08-28T00:00:00"/>
    <x v="0"/>
    <x v="9"/>
    <x v="12"/>
    <m/>
    <n v="9999"/>
    <n v="333.3"/>
    <n v="0"/>
    <n v="0"/>
    <n v="0"/>
    <x v="1"/>
    <n v="18.254794520547946"/>
    <x v="3"/>
    <n v="1"/>
    <d v="2007-06-01T00:00:00"/>
  </r>
  <r>
    <x v="1"/>
    <n v="18960506"/>
    <x v="0"/>
    <d v="2025-08-28T00:00:00"/>
    <x v="0"/>
    <x v="9"/>
    <x v="12"/>
    <m/>
    <n v="9999"/>
    <n v="333.3"/>
    <n v="0"/>
    <n v="0"/>
    <n v="0"/>
    <x v="1"/>
    <n v="41.778082191780825"/>
    <x v="0"/>
    <n v="4"/>
    <d v="1983-11-28T00:00:00"/>
  </r>
  <r>
    <x v="1"/>
    <n v="18960519"/>
    <x v="1"/>
    <d v="2025-08-29T00:00:00"/>
    <x v="0"/>
    <x v="9"/>
    <x v="12"/>
    <d v="2026-05-01T00:00:00"/>
    <n v="245"/>
    <n v="8.1666666666666661"/>
    <n v="0"/>
    <n v="0"/>
    <n v="0"/>
    <x v="1"/>
    <n v="19.123287671232877"/>
    <x v="3"/>
    <n v="1"/>
    <d v="2006-07-20T00:00:00"/>
  </r>
  <r>
    <x v="1"/>
    <n v="18960548"/>
    <x v="0"/>
    <d v="2025-08-29T00:00:00"/>
    <x v="0"/>
    <x v="9"/>
    <x v="12"/>
    <m/>
    <n v="9999"/>
    <n v="333.3"/>
    <n v="0"/>
    <n v="0"/>
    <n v="0"/>
    <x v="0"/>
    <n v="22.613698630136987"/>
    <x v="2"/>
    <n v="2"/>
    <d v="2003-01-23T00:00:00"/>
  </r>
  <r>
    <x v="1"/>
    <n v="18960549"/>
    <x v="0"/>
    <d v="2025-08-29T00:00:00"/>
    <x v="0"/>
    <x v="9"/>
    <x v="12"/>
    <m/>
    <n v="9999"/>
    <n v="333.3"/>
    <n v="0"/>
    <n v="0"/>
    <n v="0"/>
    <x v="0"/>
    <n v="29.435616438356163"/>
    <x v="1"/>
    <n v="3"/>
    <d v="1996-03-30T00:00:00"/>
  </r>
  <r>
    <x v="1"/>
    <n v="18960553"/>
    <x v="1"/>
    <d v="2025-08-29T00:00:00"/>
    <x v="0"/>
    <x v="9"/>
    <x v="12"/>
    <m/>
    <n v="9999"/>
    <n v="333.3"/>
    <n v="0"/>
    <n v="0"/>
    <n v="0"/>
    <x v="0"/>
    <n v="19.838356164383562"/>
    <x v="3"/>
    <n v="1"/>
    <d v="2005-11-01T00:00:00"/>
  </r>
  <r>
    <x v="1"/>
    <n v="18960564"/>
    <x v="0"/>
    <d v="2025-08-29T00:00:00"/>
    <x v="0"/>
    <x v="9"/>
    <x v="12"/>
    <m/>
    <n v="9999"/>
    <n v="333.3"/>
    <n v="0"/>
    <n v="0"/>
    <n v="0"/>
    <x v="0"/>
    <n v="21.734246575342464"/>
    <x v="2"/>
    <n v="2"/>
    <d v="2003-12-10T00:00:00"/>
  </r>
  <r>
    <x v="1"/>
    <n v="18960565"/>
    <x v="0"/>
    <d v="2025-08-29T00:00:00"/>
    <x v="0"/>
    <x v="9"/>
    <x v="12"/>
    <d v="2026-03-01T00:00:00"/>
    <n v="184"/>
    <n v="6.1333333333333337"/>
    <n v="0"/>
    <n v="0"/>
    <n v="0"/>
    <x v="0"/>
    <n v="22.81095890410959"/>
    <x v="2"/>
    <n v="2"/>
    <d v="2002-11-12T00:00:00"/>
  </r>
  <r>
    <x v="1"/>
    <n v="18960662"/>
    <x v="0"/>
    <d v="2025-08-29T00:00:00"/>
    <x v="0"/>
    <x v="9"/>
    <x v="12"/>
    <m/>
    <n v="9999"/>
    <n v="333.3"/>
    <n v="0"/>
    <n v="0"/>
    <n v="0"/>
    <x v="0"/>
    <n v="29.479452054794521"/>
    <x v="1"/>
    <n v="3"/>
    <d v="1996-03-14T00:00:00"/>
  </r>
  <r>
    <x v="1"/>
    <n v="18960663"/>
    <x v="0"/>
    <d v="2025-08-29T00:00:00"/>
    <x v="0"/>
    <x v="9"/>
    <x v="12"/>
    <d v="2025-09-05T00:00:00"/>
    <n v="7"/>
    <n v="0.23333333333333334"/>
    <n v="1"/>
    <n v="1"/>
    <n v="1"/>
    <x v="0"/>
    <n v="29.038356164383561"/>
    <x v="1"/>
    <n v="3"/>
    <d v="1996-08-22T00:00:00"/>
  </r>
  <r>
    <x v="1"/>
    <n v="18960826"/>
    <x v="0"/>
    <d v="2025-09-01T00:00:00"/>
    <x v="0"/>
    <x v="3"/>
    <x v="4"/>
    <m/>
    <n v="9999"/>
    <n v="333.3"/>
    <n v="0"/>
    <n v="0"/>
    <n v="0"/>
    <x v="1"/>
    <n v="18.964383561643835"/>
    <x v="3"/>
    <n v="1"/>
    <d v="2006-09-19T00:00:00"/>
  </r>
  <r>
    <x v="1"/>
    <n v="18960830"/>
    <x v="0"/>
    <d v="2025-09-01T00:00:00"/>
    <x v="0"/>
    <x v="3"/>
    <x v="4"/>
    <d v="2025-09-09T00:00:00"/>
    <n v="8"/>
    <n v="0.26666666666666666"/>
    <n v="1"/>
    <n v="1"/>
    <n v="1"/>
    <x v="1"/>
    <n v="27.252054794520546"/>
    <x v="1"/>
    <n v="3"/>
    <d v="1998-06-08T00:00:00"/>
  </r>
  <r>
    <x v="0"/>
    <n v="18960833"/>
    <x v="0"/>
    <d v="2025-09-01T00:00:00"/>
    <x v="0"/>
    <x v="3"/>
    <x v="4"/>
    <d v="2026-01-01T00:00:00"/>
    <n v="122"/>
    <n v="4.0666666666666664"/>
    <n v="0"/>
    <n v="0"/>
    <n v="1"/>
    <x v="1"/>
    <n v="21.158904109589042"/>
    <x v="2"/>
    <n v="2"/>
    <d v="2004-07-10T00:00:00"/>
  </r>
  <r>
    <x v="0"/>
    <n v="18960834"/>
    <x v="0"/>
    <d v="2025-09-01T00:00:00"/>
    <x v="0"/>
    <x v="3"/>
    <x v="4"/>
    <d v="2026-01-31T00:00:00"/>
    <n v="152"/>
    <n v="5.0666666666666664"/>
    <n v="0"/>
    <n v="0"/>
    <n v="1"/>
    <x v="1"/>
    <n v="24.276712328767122"/>
    <x v="2"/>
    <n v="2"/>
    <d v="2001-05-29T00:00:00"/>
  </r>
  <r>
    <x v="1"/>
    <n v="18960836"/>
    <x v="0"/>
    <d v="2025-09-01T00:00:00"/>
    <x v="0"/>
    <x v="3"/>
    <x v="4"/>
    <d v="2025-10-31T00:00:00"/>
    <n v="60"/>
    <n v="2"/>
    <n v="0"/>
    <n v="1"/>
    <n v="1"/>
    <x v="1"/>
    <n v="21.093150684931508"/>
    <x v="2"/>
    <n v="2"/>
    <d v="2004-08-03T00:00:00"/>
  </r>
  <r>
    <x v="1"/>
    <n v="18960838"/>
    <x v="0"/>
    <d v="2025-09-01T00:00:00"/>
    <x v="0"/>
    <x v="3"/>
    <x v="4"/>
    <d v="2025-10-31T00:00:00"/>
    <n v="60"/>
    <n v="2"/>
    <n v="0"/>
    <n v="1"/>
    <n v="1"/>
    <x v="1"/>
    <n v="22.69041095890411"/>
    <x v="2"/>
    <n v="2"/>
    <d v="2002-12-29T00:00:00"/>
  </r>
  <r>
    <x v="1"/>
    <n v="18960868"/>
    <x v="0"/>
    <d v="2025-09-01T00:00:00"/>
    <x v="0"/>
    <x v="3"/>
    <x v="4"/>
    <d v="2026-03-04T00:00:00"/>
    <n v="184"/>
    <n v="6.1333333333333337"/>
    <n v="0"/>
    <n v="0"/>
    <n v="0"/>
    <x v="1"/>
    <n v="22.627397260273973"/>
    <x v="2"/>
    <n v="2"/>
    <d v="2003-01-21T00:00:00"/>
  </r>
  <r>
    <x v="1"/>
    <n v="18960871"/>
    <x v="1"/>
    <d v="2026-05-13T00:00:00"/>
    <x v="1"/>
    <x v="1"/>
    <x v="1"/>
    <m/>
    <n v="9999"/>
    <n v="333.3"/>
    <n v="0"/>
    <n v="0"/>
    <n v="0"/>
    <x v="1"/>
    <n v="18.769863013698629"/>
    <x v="3"/>
    <n v="1"/>
    <d v="2007-08-10T00:00:00"/>
  </r>
  <r>
    <x v="1"/>
    <n v="18960887"/>
    <x v="1"/>
    <d v="2025-09-01T00:00:00"/>
    <x v="0"/>
    <x v="3"/>
    <x v="4"/>
    <d v="2025-10-31T00:00:00"/>
    <n v="60"/>
    <n v="2"/>
    <n v="0"/>
    <n v="1"/>
    <n v="1"/>
    <x v="0"/>
    <n v="19.490410958904111"/>
    <x v="3"/>
    <n v="1"/>
    <d v="2006-03-11T00:00:00"/>
  </r>
  <r>
    <x v="1"/>
    <n v="18960889"/>
    <x v="0"/>
    <d v="2025-09-01T00:00:00"/>
    <x v="0"/>
    <x v="3"/>
    <x v="4"/>
    <m/>
    <n v="9999"/>
    <n v="333.3"/>
    <n v="0"/>
    <n v="0"/>
    <n v="0"/>
    <x v="1"/>
    <n v="18.473972602739725"/>
    <x v="3"/>
    <n v="1"/>
    <d v="2007-03-17T00:00:00"/>
  </r>
  <r>
    <x v="1"/>
    <n v="18960892"/>
    <x v="0"/>
    <d v="2025-09-01T00:00:00"/>
    <x v="0"/>
    <x v="3"/>
    <x v="4"/>
    <d v="2026-01-25T00:00:00"/>
    <n v="146"/>
    <n v="4.8666666666666663"/>
    <n v="0"/>
    <n v="0"/>
    <n v="1"/>
    <x v="1"/>
    <n v="18.495890410958904"/>
    <x v="3"/>
    <n v="1"/>
    <d v="2007-03-09T00:00:00"/>
  </r>
  <r>
    <x v="0"/>
    <n v="18961452"/>
    <x v="1"/>
    <d v="2025-09-02T00:00:00"/>
    <x v="0"/>
    <x v="3"/>
    <x v="4"/>
    <d v="2026-04-26T00:00:00"/>
    <n v="236"/>
    <n v="7.8666666666666663"/>
    <n v="0"/>
    <n v="0"/>
    <n v="0"/>
    <x v="1"/>
    <n v="20.854794520547944"/>
    <x v="3"/>
    <n v="1"/>
    <d v="2004-10-30T00:00:00"/>
  </r>
  <r>
    <x v="1"/>
    <n v="18961464"/>
    <x v="0"/>
    <d v="2025-09-02T00:00:00"/>
    <x v="0"/>
    <x v="3"/>
    <x v="4"/>
    <d v="2026-01-01T00:00:00"/>
    <n v="121"/>
    <n v="4.0333333333333332"/>
    <n v="0"/>
    <n v="0"/>
    <n v="1"/>
    <x v="0"/>
    <n v="21.961643835616439"/>
    <x v="2"/>
    <n v="2"/>
    <d v="2003-09-22T00:00:00"/>
  </r>
  <r>
    <x v="1"/>
    <n v="18961477"/>
    <x v="1"/>
    <d v="2025-09-02T00:00:00"/>
    <x v="0"/>
    <x v="3"/>
    <x v="4"/>
    <d v="2025-10-01T00:00:00"/>
    <n v="29"/>
    <n v="0.96666666666666667"/>
    <n v="1"/>
    <n v="1"/>
    <n v="1"/>
    <x v="0"/>
    <n v="21.024657534246575"/>
    <x v="2"/>
    <n v="2"/>
    <d v="2004-08-29T00:00:00"/>
  </r>
  <r>
    <x v="0"/>
    <n v="18961478"/>
    <x v="0"/>
    <d v="2025-09-02T00:00:00"/>
    <x v="0"/>
    <x v="3"/>
    <x v="4"/>
    <m/>
    <n v="9999"/>
    <n v="333.3"/>
    <n v="0"/>
    <n v="0"/>
    <n v="0"/>
    <x v="1"/>
    <n v="48.021917808219179"/>
    <x v="0"/>
    <n v="4"/>
    <d v="1977-09-06T00:00:00"/>
  </r>
  <r>
    <x v="1"/>
    <n v="18961508"/>
    <x v="1"/>
    <d v="2025-09-02T00:00:00"/>
    <x v="0"/>
    <x v="3"/>
    <x v="4"/>
    <d v="2025-10-02T00:00:00"/>
    <n v="30"/>
    <n v="1"/>
    <n v="1"/>
    <n v="1"/>
    <n v="1"/>
    <x v="1"/>
    <n v="18.758904109589039"/>
    <x v="3"/>
    <n v="1"/>
    <d v="2006-12-04T00:00:00"/>
  </r>
  <r>
    <x v="1"/>
    <n v="18961509"/>
    <x v="0"/>
    <d v="2025-09-02T00:00:00"/>
    <x v="0"/>
    <x v="3"/>
    <x v="4"/>
    <d v="2025-10-02T00:00:00"/>
    <n v="30"/>
    <n v="1"/>
    <n v="1"/>
    <n v="1"/>
    <n v="1"/>
    <x v="1"/>
    <n v="19.391780821917809"/>
    <x v="3"/>
    <n v="1"/>
    <d v="2006-04-17T00:00:00"/>
  </r>
  <r>
    <x v="1"/>
    <n v="18961510"/>
    <x v="0"/>
    <d v="2025-09-02T00:00:00"/>
    <x v="0"/>
    <x v="3"/>
    <x v="4"/>
    <m/>
    <n v="9999"/>
    <n v="333.3"/>
    <n v="0"/>
    <n v="0"/>
    <n v="0"/>
    <x v="1"/>
    <n v="23.002739726027396"/>
    <x v="2"/>
    <n v="2"/>
    <d v="2002-09-07T00:00:00"/>
  </r>
  <r>
    <x v="1"/>
    <n v="18961511"/>
    <x v="1"/>
    <d v="2025-09-02T00:00:00"/>
    <x v="0"/>
    <x v="3"/>
    <x v="4"/>
    <m/>
    <n v="9999"/>
    <n v="333.3"/>
    <n v="0"/>
    <n v="0"/>
    <n v="0"/>
    <x v="1"/>
    <n v="20.597260273972601"/>
    <x v="3"/>
    <n v="1"/>
    <d v="2005-02-01T00:00:00"/>
  </r>
  <r>
    <x v="1"/>
    <n v="18961512"/>
    <x v="0"/>
    <d v="2025-09-02T00:00:00"/>
    <x v="0"/>
    <x v="3"/>
    <x v="4"/>
    <d v="2025-09-09T00:00:00"/>
    <n v="7"/>
    <n v="0.23333333333333334"/>
    <n v="1"/>
    <n v="1"/>
    <n v="1"/>
    <x v="1"/>
    <n v="22.865753424657534"/>
    <x v="2"/>
    <n v="2"/>
    <d v="2002-10-27T00:00:00"/>
  </r>
  <r>
    <x v="1"/>
    <n v="18961513"/>
    <x v="1"/>
    <d v="2025-09-02T00:00:00"/>
    <x v="0"/>
    <x v="3"/>
    <x v="4"/>
    <d v="2026-03-15T00:00:00"/>
    <n v="194"/>
    <n v="6.4666666666666668"/>
    <n v="0"/>
    <n v="0"/>
    <n v="0"/>
    <x v="1"/>
    <n v="22.019178082191782"/>
    <x v="2"/>
    <n v="2"/>
    <d v="2003-09-01T00:00:00"/>
  </r>
  <r>
    <x v="1"/>
    <n v="18961579"/>
    <x v="1"/>
    <d v="2025-09-02T00:00:00"/>
    <x v="0"/>
    <x v="3"/>
    <x v="4"/>
    <d v="2025-12-05T00:00:00"/>
    <n v="94"/>
    <n v="3.1333333333333333"/>
    <n v="0"/>
    <n v="0"/>
    <n v="1"/>
    <x v="1"/>
    <n v="18.254794520547946"/>
    <x v="3"/>
    <n v="1"/>
    <d v="2007-06-06T00:00:00"/>
  </r>
  <r>
    <x v="1"/>
    <n v="18961608"/>
    <x v="0"/>
    <d v="2026-05-09T00:00:00"/>
    <x v="1"/>
    <x v="1"/>
    <x v="1"/>
    <d v="2026-05-15T00:00:00"/>
    <n v="6"/>
    <n v="0.2"/>
    <n v="1"/>
    <n v="1"/>
    <n v="1"/>
    <x v="1"/>
    <n v="28.93972602739726"/>
    <x v="1"/>
    <n v="3"/>
    <d v="1997-06-07T00:00:00"/>
  </r>
  <r>
    <x v="1"/>
    <n v="18961665"/>
    <x v="0"/>
    <d v="2025-09-03T00:00:00"/>
    <x v="0"/>
    <x v="3"/>
    <x v="4"/>
    <m/>
    <n v="9999"/>
    <n v="333.3"/>
    <n v="0"/>
    <n v="0"/>
    <n v="0"/>
    <x v="0"/>
    <n v="24.523287671232875"/>
    <x v="2"/>
    <n v="2"/>
    <d v="2001-03-02T00:00:00"/>
  </r>
  <r>
    <x v="1"/>
    <n v="18961670"/>
    <x v="1"/>
    <d v="2025-09-03T00:00:00"/>
    <x v="0"/>
    <x v="3"/>
    <x v="4"/>
    <m/>
    <n v="9999"/>
    <n v="333.3"/>
    <n v="0"/>
    <n v="0"/>
    <n v="0"/>
    <x v="0"/>
    <n v="18.104109589041094"/>
    <x v="3"/>
    <n v="1"/>
    <d v="2007-08-01T00:00:00"/>
  </r>
  <r>
    <x v="1"/>
    <n v="18961723"/>
    <x v="0"/>
    <d v="2025-09-03T00:00:00"/>
    <x v="0"/>
    <x v="3"/>
    <x v="4"/>
    <m/>
    <n v="9999"/>
    <n v="333.3"/>
    <n v="0"/>
    <n v="0"/>
    <n v="0"/>
    <x v="0"/>
    <n v="20.956164383561642"/>
    <x v="3"/>
    <n v="1"/>
    <d v="2004-09-24T00:00:00"/>
  </r>
  <r>
    <x v="1"/>
    <n v="18961726"/>
    <x v="0"/>
    <d v="2025-09-03T00:00:00"/>
    <x v="0"/>
    <x v="3"/>
    <x v="4"/>
    <d v="2026-02-15T00:00:00"/>
    <n v="165"/>
    <n v="5.5"/>
    <n v="0"/>
    <n v="0"/>
    <n v="1"/>
    <x v="0"/>
    <n v="20.315068493150687"/>
    <x v="3"/>
    <n v="1"/>
    <d v="2005-05-16T00:00:00"/>
  </r>
  <r>
    <x v="1"/>
    <n v="18961727"/>
    <x v="1"/>
    <d v="2025-09-03T00:00:00"/>
    <x v="0"/>
    <x v="3"/>
    <x v="4"/>
    <d v="2026-04-01T00:00:00"/>
    <n v="210"/>
    <n v="7"/>
    <n v="0"/>
    <n v="0"/>
    <n v="0"/>
    <x v="0"/>
    <n v="18.964383561643835"/>
    <x v="3"/>
    <n v="1"/>
    <d v="2006-09-21T00:00:00"/>
  </r>
  <r>
    <x v="1"/>
    <n v="18961748"/>
    <x v="0"/>
    <d v="2025-09-03T00:00:00"/>
    <x v="0"/>
    <x v="3"/>
    <x v="4"/>
    <d v="2025-12-31T00:00:00"/>
    <n v="119"/>
    <n v="3.9666666666666668"/>
    <n v="0"/>
    <n v="0"/>
    <n v="1"/>
    <x v="0"/>
    <n v="21.301369863013697"/>
    <x v="2"/>
    <n v="2"/>
    <d v="2004-05-21T00:00:00"/>
  </r>
  <r>
    <x v="1"/>
    <n v="18961749"/>
    <x v="0"/>
    <d v="2025-09-03T00:00:00"/>
    <x v="0"/>
    <x v="3"/>
    <x v="4"/>
    <d v="2026-03-05T00:00:00"/>
    <n v="183"/>
    <n v="6.1"/>
    <n v="0"/>
    <n v="0"/>
    <n v="0"/>
    <x v="0"/>
    <n v="22.246575342465754"/>
    <x v="2"/>
    <n v="2"/>
    <d v="2003-06-11T00:00:00"/>
  </r>
  <r>
    <x v="1"/>
    <n v="18961750"/>
    <x v="1"/>
    <d v="2025-09-03T00:00:00"/>
    <x v="0"/>
    <x v="3"/>
    <x v="4"/>
    <d v="2025-09-09T00:00:00"/>
    <n v="6"/>
    <n v="0.2"/>
    <n v="1"/>
    <n v="1"/>
    <n v="1"/>
    <x v="0"/>
    <n v="23.090410958904108"/>
    <x v="2"/>
    <n v="2"/>
    <d v="2002-08-07T00:00:00"/>
  </r>
  <r>
    <x v="1"/>
    <n v="18961751"/>
    <x v="0"/>
    <d v="2025-09-03T00:00:00"/>
    <x v="0"/>
    <x v="3"/>
    <x v="4"/>
    <d v="2026-01-11T00:00:00"/>
    <n v="130"/>
    <n v="4.333333333333333"/>
    <n v="0"/>
    <n v="0"/>
    <n v="1"/>
    <x v="1"/>
    <n v="19.054794520547944"/>
    <x v="3"/>
    <n v="1"/>
    <d v="2006-08-19T00:00:00"/>
  </r>
  <r>
    <x v="1"/>
    <n v="18961753"/>
    <x v="1"/>
    <d v="2025-09-03T00:00:00"/>
    <x v="0"/>
    <x v="3"/>
    <x v="4"/>
    <d v="2026-03-08T00:00:00"/>
    <n v="186"/>
    <n v="6.2"/>
    <n v="0"/>
    <n v="0"/>
    <n v="0"/>
    <x v="1"/>
    <n v="20.273972602739725"/>
    <x v="3"/>
    <n v="1"/>
    <d v="2005-05-31T00:00:00"/>
  </r>
  <r>
    <x v="1"/>
    <n v="18961754"/>
    <x v="1"/>
    <d v="2025-09-03T00:00:00"/>
    <x v="0"/>
    <x v="3"/>
    <x v="4"/>
    <d v="2026-01-01T00:00:00"/>
    <n v="120"/>
    <n v="4"/>
    <n v="0"/>
    <n v="0"/>
    <n v="1"/>
    <x v="0"/>
    <n v="20.350684931506848"/>
    <x v="3"/>
    <n v="1"/>
    <d v="2005-05-03T00:00:00"/>
  </r>
  <r>
    <x v="1"/>
    <n v="18961755"/>
    <x v="1"/>
    <d v="2025-09-03T00:00:00"/>
    <x v="0"/>
    <x v="3"/>
    <x v="4"/>
    <m/>
    <n v="9999"/>
    <n v="333.3"/>
    <n v="0"/>
    <n v="0"/>
    <n v="0"/>
    <x v="1"/>
    <n v="21.079452054794519"/>
    <x v="2"/>
    <n v="2"/>
    <d v="2004-08-10T00:00:00"/>
  </r>
  <r>
    <x v="1"/>
    <n v="18961756"/>
    <x v="0"/>
    <d v="2025-09-03T00:00:00"/>
    <x v="0"/>
    <x v="3"/>
    <x v="4"/>
    <m/>
    <n v="9999"/>
    <n v="333.3"/>
    <n v="0"/>
    <n v="0"/>
    <n v="0"/>
    <x v="1"/>
    <n v="23.413698630136988"/>
    <x v="2"/>
    <n v="2"/>
    <d v="2002-04-11T00:00:00"/>
  </r>
  <r>
    <x v="1"/>
    <n v="18961758"/>
    <x v="0"/>
    <d v="2025-09-03T00:00:00"/>
    <x v="0"/>
    <x v="3"/>
    <x v="4"/>
    <d v="2025-09-30T00:00:00"/>
    <n v="27"/>
    <n v="0.9"/>
    <n v="1"/>
    <n v="1"/>
    <n v="1"/>
    <x v="1"/>
    <n v="21.55890410958904"/>
    <x v="2"/>
    <n v="2"/>
    <d v="2004-02-17T00:00:00"/>
  </r>
  <r>
    <x v="1"/>
    <n v="18961764"/>
    <x v="0"/>
    <d v="2025-09-03T00:00:00"/>
    <x v="0"/>
    <x v="3"/>
    <x v="4"/>
    <d v="2026-01-05T00:00:00"/>
    <n v="124"/>
    <n v="4.1333333333333337"/>
    <n v="0"/>
    <n v="0"/>
    <n v="1"/>
    <x v="1"/>
    <n v="24.334246575342465"/>
    <x v="2"/>
    <n v="2"/>
    <d v="2001-05-10T00:00:00"/>
  </r>
  <r>
    <x v="1"/>
    <n v="18961765"/>
    <x v="0"/>
    <d v="2025-09-03T00:00:00"/>
    <x v="0"/>
    <x v="3"/>
    <x v="4"/>
    <d v="2025-10-31T00:00:00"/>
    <n v="58"/>
    <n v="1.9333333333333333"/>
    <n v="0"/>
    <n v="1"/>
    <n v="1"/>
    <x v="1"/>
    <n v="18.81917808219178"/>
    <x v="3"/>
    <n v="1"/>
    <d v="2006-11-13T00:00:00"/>
  </r>
  <r>
    <x v="1"/>
    <n v="18961772"/>
    <x v="0"/>
    <d v="2025-09-03T00:00:00"/>
    <x v="0"/>
    <x v="3"/>
    <x v="4"/>
    <d v="2025-10-15T00:00:00"/>
    <n v="42"/>
    <n v="1.4"/>
    <n v="0"/>
    <n v="1"/>
    <n v="1"/>
    <x v="1"/>
    <n v="21.087671232876712"/>
    <x v="2"/>
    <n v="2"/>
    <d v="2004-08-07T00:00:00"/>
  </r>
  <r>
    <x v="1"/>
    <n v="18961773"/>
    <x v="0"/>
    <d v="2025-09-03T00:00:00"/>
    <x v="0"/>
    <x v="3"/>
    <x v="4"/>
    <m/>
    <n v="9999"/>
    <n v="333.3"/>
    <n v="0"/>
    <n v="0"/>
    <n v="0"/>
    <x v="1"/>
    <n v="18.586301369863012"/>
    <x v="3"/>
    <n v="1"/>
    <d v="2007-02-06T00:00:00"/>
  </r>
  <r>
    <x v="1"/>
    <n v="18961774"/>
    <x v="0"/>
    <d v="2025-09-03T00:00:00"/>
    <x v="0"/>
    <x v="3"/>
    <x v="4"/>
    <m/>
    <n v="9999"/>
    <n v="333.3"/>
    <n v="0"/>
    <n v="0"/>
    <n v="0"/>
    <x v="1"/>
    <n v="26.786301369863015"/>
    <x v="1"/>
    <n v="3"/>
    <d v="1998-11-27T00:00:00"/>
  </r>
  <r>
    <x v="1"/>
    <n v="18961776"/>
    <x v="0"/>
    <d v="2025-09-03T00:00:00"/>
    <x v="0"/>
    <x v="3"/>
    <x v="4"/>
    <d v="2026-01-01T00:00:00"/>
    <n v="120"/>
    <n v="4"/>
    <n v="0"/>
    <n v="0"/>
    <n v="1"/>
    <x v="1"/>
    <n v="18.539726027397261"/>
    <x v="3"/>
    <n v="1"/>
    <d v="2007-02-23T00:00:00"/>
  </r>
  <r>
    <x v="1"/>
    <n v="18961777"/>
    <x v="1"/>
    <d v="2025-09-03T00:00:00"/>
    <x v="0"/>
    <x v="3"/>
    <x v="4"/>
    <d v="2026-01-01T00:00:00"/>
    <n v="120"/>
    <n v="4"/>
    <n v="0"/>
    <n v="0"/>
    <n v="1"/>
    <x v="1"/>
    <n v="21.115068493150684"/>
    <x v="2"/>
    <n v="2"/>
    <d v="2004-07-28T00:00:00"/>
  </r>
  <r>
    <x v="1"/>
    <n v="18961794"/>
    <x v="0"/>
    <d v="2025-09-03T00:00:00"/>
    <x v="0"/>
    <x v="3"/>
    <x v="4"/>
    <d v="2025-11-06T00:00:00"/>
    <n v="64"/>
    <n v="2.1333333333333333"/>
    <n v="0"/>
    <n v="1"/>
    <n v="1"/>
    <x v="0"/>
    <n v="22.019178082191782"/>
    <x v="2"/>
    <n v="2"/>
    <d v="2003-09-02T00:00:00"/>
  </r>
  <r>
    <x v="1"/>
    <n v="18961827"/>
    <x v="0"/>
    <d v="2025-09-03T00:00:00"/>
    <x v="0"/>
    <x v="3"/>
    <x v="4"/>
    <d v="2025-11-03T00:00:00"/>
    <n v="61"/>
    <n v="2.0333333333333332"/>
    <n v="0"/>
    <n v="1"/>
    <n v="1"/>
    <x v="0"/>
    <n v="19.038356164383561"/>
    <x v="3"/>
    <n v="1"/>
    <d v="2006-08-25T00:00:00"/>
  </r>
  <r>
    <x v="1"/>
    <n v="18962082"/>
    <x v="0"/>
    <d v="2025-09-03T00:00:00"/>
    <x v="0"/>
    <x v="3"/>
    <x v="4"/>
    <d v="2026-02-14T00:00:00"/>
    <n v="164"/>
    <n v="5.4666666666666668"/>
    <n v="0"/>
    <n v="0"/>
    <n v="1"/>
    <x v="0"/>
    <n v="19.671232876712327"/>
    <x v="3"/>
    <n v="1"/>
    <d v="2006-01-06T00:00:00"/>
  </r>
  <r>
    <x v="1"/>
    <n v="18962083"/>
    <x v="1"/>
    <d v="2025-09-03T00:00:00"/>
    <x v="0"/>
    <x v="3"/>
    <x v="4"/>
    <d v="2026-02-28T00:00:00"/>
    <n v="178"/>
    <n v="5.9333333333333336"/>
    <n v="0"/>
    <n v="0"/>
    <n v="1"/>
    <x v="1"/>
    <n v="18.526027397260275"/>
    <x v="3"/>
    <n v="1"/>
    <d v="2007-02-28T00:00:00"/>
  </r>
  <r>
    <x v="1"/>
    <n v="18962090"/>
    <x v="1"/>
    <d v="2025-09-03T00:00:00"/>
    <x v="0"/>
    <x v="3"/>
    <x v="4"/>
    <d v="2026-05-31T00:00:00"/>
    <n v="270"/>
    <n v="9"/>
    <n v="0"/>
    <n v="0"/>
    <n v="0"/>
    <x v="1"/>
    <n v="23.342465753424658"/>
    <x v="2"/>
    <n v="2"/>
    <d v="2002-05-07T00:00:00"/>
  </r>
  <r>
    <x v="1"/>
    <n v="18962120"/>
    <x v="1"/>
    <d v="2025-09-04T00:00:00"/>
    <x v="0"/>
    <x v="3"/>
    <x v="4"/>
    <m/>
    <n v="9999"/>
    <n v="333.3"/>
    <n v="0"/>
    <n v="0"/>
    <n v="0"/>
    <x v="0"/>
    <n v="20.717808219178082"/>
    <x v="3"/>
    <n v="1"/>
    <d v="2004-12-21T00:00:00"/>
  </r>
  <r>
    <x v="1"/>
    <n v="18962121"/>
    <x v="0"/>
    <d v="2025-09-04T00:00:00"/>
    <x v="0"/>
    <x v="3"/>
    <x v="4"/>
    <d v="2026-04-15T00:00:00"/>
    <n v="223"/>
    <n v="7.4333333333333336"/>
    <n v="0"/>
    <n v="0"/>
    <n v="0"/>
    <x v="0"/>
    <n v="19.416438356164385"/>
    <x v="3"/>
    <n v="1"/>
    <d v="2006-04-10T00:00:00"/>
  </r>
  <r>
    <x v="1"/>
    <n v="18962130"/>
    <x v="0"/>
    <d v="2025-09-04T00:00:00"/>
    <x v="0"/>
    <x v="3"/>
    <x v="4"/>
    <m/>
    <n v="9999"/>
    <n v="333.3"/>
    <n v="0"/>
    <n v="0"/>
    <n v="0"/>
    <x v="0"/>
    <n v="20.13150684931507"/>
    <x v="3"/>
    <n v="1"/>
    <d v="2005-07-23T00:00:00"/>
  </r>
  <r>
    <x v="1"/>
    <n v="18962217"/>
    <x v="0"/>
    <d v="2025-09-04T00:00:00"/>
    <x v="0"/>
    <x v="3"/>
    <x v="4"/>
    <d v="2026-05-11T00:00:00"/>
    <n v="249"/>
    <n v="8.3000000000000007"/>
    <n v="0"/>
    <n v="0"/>
    <n v="0"/>
    <x v="1"/>
    <n v="28.024657534246575"/>
    <x v="1"/>
    <n v="3"/>
    <d v="1997-09-02T00:00:00"/>
  </r>
  <r>
    <x v="1"/>
    <n v="18962450"/>
    <x v="0"/>
    <d v="2025-09-05T00:00:00"/>
    <x v="0"/>
    <x v="3"/>
    <x v="4"/>
    <d v="2025-12-21T00:00:00"/>
    <n v="107"/>
    <n v="3.5666666666666669"/>
    <n v="0"/>
    <n v="0"/>
    <n v="1"/>
    <x v="1"/>
    <n v="22.783561643835615"/>
    <x v="2"/>
    <n v="2"/>
    <d v="2002-11-29T00:00:00"/>
  </r>
  <r>
    <x v="1"/>
    <n v="18962451"/>
    <x v="0"/>
    <d v="2025-09-05T00:00:00"/>
    <x v="0"/>
    <x v="3"/>
    <x v="4"/>
    <m/>
    <n v="9999"/>
    <n v="333.3"/>
    <n v="0"/>
    <n v="0"/>
    <n v="0"/>
    <x v="1"/>
    <n v="46.479452054794521"/>
    <x v="0"/>
    <n v="4"/>
    <d v="1979-03-26T00:00:00"/>
  </r>
  <r>
    <x v="1"/>
    <n v="18962475"/>
    <x v="0"/>
    <d v="2025-09-05T00:00:00"/>
    <x v="0"/>
    <x v="3"/>
    <x v="4"/>
    <d v="2026-02-28T00:00:00"/>
    <n v="176"/>
    <n v="5.8666666666666663"/>
    <n v="0"/>
    <n v="0"/>
    <n v="1"/>
    <x v="1"/>
    <n v="29.010958904109589"/>
    <x v="1"/>
    <n v="3"/>
    <d v="1996-09-08T00:00:00"/>
  </r>
  <r>
    <x v="1"/>
    <n v="18962529"/>
    <x v="1"/>
    <d v="2025-09-05T00:00:00"/>
    <x v="0"/>
    <x v="3"/>
    <x v="4"/>
    <m/>
    <n v="9999"/>
    <n v="333.3"/>
    <n v="0"/>
    <n v="0"/>
    <n v="0"/>
    <x v="0"/>
    <n v="21.13150684931507"/>
    <x v="2"/>
    <n v="2"/>
    <d v="2004-07-24T00:00:00"/>
  </r>
  <r>
    <x v="1"/>
    <n v="18962763"/>
    <x v="1"/>
    <d v="2025-09-05T00:00:00"/>
    <x v="0"/>
    <x v="3"/>
    <x v="4"/>
    <m/>
    <n v="9999"/>
    <n v="333.3"/>
    <n v="0"/>
    <n v="0"/>
    <n v="0"/>
    <x v="0"/>
    <n v="21.701369863013699"/>
    <x v="2"/>
    <n v="2"/>
    <d v="2003-12-29T00:00:00"/>
  </r>
  <r>
    <x v="1"/>
    <n v="18962797"/>
    <x v="0"/>
    <d v="2025-09-06T00:00:00"/>
    <x v="0"/>
    <x v="3"/>
    <x v="4"/>
    <d v="2025-09-12T00:00:00"/>
    <n v="6"/>
    <n v="0.2"/>
    <n v="1"/>
    <n v="1"/>
    <n v="1"/>
    <x v="1"/>
    <n v="22.254794520547946"/>
    <x v="2"/>
    <n v="2"/>
    <d v="2003-06-11T00:00:00"/>
  </r>
  <r>
    <x v="1"/>
    <n v="18962871"/>
    <x v="1"/>
    <d v="2025-09-05T00:00:00"/>
    <x v="0"/>
    <x v="3"/>
    <x v="4"/>
    <m/>
    <n v="9999"/>
    <n v="333.3"/>
    <n v="0"/>
    <n v="0"/>
    <n v="0"/>
    <x v="0"/>
    <n v="20.490410958904111"/>
    <x v="3"/>
    <n v="1"/>
    <d v="2005-03-15T00:00:00"/>
  </r>
  <r>
    <x v="1"/>
    <n v="18962872"/>
    <x v="0"/>
    <d v="2025-09-05T00:00:00"/>
    <x v="0"/>
    <x v="3"/>
    <x v="4"/>
    <d v="2026-04-30T00:00:00"/>
    <n v="237"/>
    <n v="7.9"/>
    <n v="0"/>
    <n v="0"/>
    <n v="0"/>
    <x v="0"/>
    <n v="26.304109589041097"/>
    <x v="1"/>
    <n v="3"/>
    <d v="1999-05-24T00:00:00"/>
  </r>
  <r>
    <x v="1"/>
    <n v="18962895"/>
    <x v="0"/>
    <d v="2025-09-05T00:00:00"/>
    <x v="0"/>
    <x v="3"/>
    <x v="4"/>
    <d v="2026-05-03T00:00:00"/>
    <n v="240"/>
    <n v="8"/>
    <n v="0"/>
    <n v="0"/>
    <n v="0"/>
    <x v="0"/>
    <n v="21.175342465753424"/>
    <x v="2"/>
    <n v="2"/>
    <d v="2004-07-08T00:00:00"/>
  </r>
  <r>
    <x v="1"/>
    <n v="18962987"/>
    <x v="1"/>
    <d v="2025-09-05T00:00:00"/>
    <x v="0"/>
    <x v="3"/>
    <x v="4"/>
    <m/>
    <n v="9999"/>
    <n v="333.3"/>
    <n v="0"/>
    <n v="0"/>
    <n v="0"/>
    <x v="1"/>
    <n v="20.145205479452056"/>
    <x v="3"/>
    <n v="1"/>
    <d v="2005-07-19T00:00:00"/>
  </r>
  <r>
    <x v="1"/>
    <n v="18962990"/>
    <x v="0"/>
    <d v="2025-09-05T00:00:00"/>
    <x v="0"/>
    <x v="3"/>
    <x v="4"/>
    <d v="2025-09-12T00:00:00"/>
    <n v="7"/>
    <n v="0.23333333333333334"/>
    <n v="1"/>
    <n v="1"/>
    <n v="1"/>
    <x v="1"/>
    <n v="20.328767123287673"/>
    <x v="3"/>
    <n v="1"/>
    <d v="2005-05-13T00:00:00"/>
  </r>
  <r>
    <x v="1"/>
    <n v="18962996"/>
    <x v="0"/>
    <d v="2025-09-05T00:00:00"/>
    <x v="0"/>
    <x v="3"/>
    <x v="4"/>
    <d v="2026-01-02T00:00:00"/>
    <n v="119"/>
    <n v="3.9666666666666668"/>
    <n v="0"/>
    <n v="0"/>
    <n v="1"/>
    <x v="1"/>
    <n v="22.246575342465754"/>
    <x v="2"/>
    <n v="2"/>
    <d v="2003-06-13T00:00:00"/>
  </r>
  <r>
    <x v="1"/>
    <n v="18963001"/>
    <x v="0"/>
    <d v="2025-09-05T00:00:00"/>
    <x v="0"/>
    <x v="3"/>
    <x v="4"/>
    <m/>
    <n v="9999"/>
    <n v="333.3"/>
    <n v="0"/>
    <n v="0"/>
    <n v="0"/>
    <x v="1"/>
    <n v="19.942465753424656"/>
    <x v="3"/>
    <n v="1"/>
    <d v="2005-10-01T00:00:00"/>
  </r>
  <r>
    <x v="1"/>
    <n v="18963005"/>
    <x v="1"/>
    <d v="2025-09-06T00:00:00"/>
    <x v="0"/>
    <x v="3"/>
    <x v="4"/>
    <m/>
    <n v="9999"/>
    <n v="333.3"/>
    <n v="0"/>
    <n v="0"/>
    <n v="0"/>
    <x v="1"/>
    <n v="20.967123287671232"/>
    <x v="3"/>
    <n v="1"/>
    <d v="2004-09-23T00:00:00"/>
  </r>
  <r>
    <x v="1"/>
    <n v="18963089"/>
    <x v="0"/>
    <d v="2025-09-08T00:00:00"/>
    <x v="0"/>
    <x v="3"/>
    <x v="4"/>
    <d v="2026-01-16T00:00:00"/>
    <n v="130"/>
    <n v="4.333333333333333"/>
    <n v="0"/>
    <n v="0"/>
    <n v="1"/>
    <x v="1"/>
    <n v="18.235616438356164"/>
    <x v="3"/>
    <n v="1"/>
    <d v="2007-06-19T00:00:00"/>
  </r>
  <r>
    <x v="1"/>
    <n v="18963828"/>
    <x v="0"/>
    <d v="2025-09-09T00:00:00"/>
    <x v="0"/>
    <x v="3"/>
    <x v="4"/>
    <d v="2026-02-01T00:00:00"/>
    <n v="145"/>
    <n v="4.833333333333333"/>
    <n v="0"/>
    <n v="0"/>
    <n v="1"/>
    <x v="1"/>
    <n v="19.279452054794522"/>
    <x v="3"/>
    <n v="1"/>
    <d v="2006-06-04T00:00:00"/>
  </r>
  <r>
    <x v="1"/>
    <n v="18963867"/>
    <x v="1"/>
    <d v="2025-09-09T00:00:00"/>
    <x v="0"/>
    <x v="3"/>
    <x v="4"/>
    <d v="2026-01-01T00:00:00"/>
    <n v="114"/>
    <n v="3.8"/>
    <n v="0"/>
    <n v="0"/>
    <n v="1"/>
    <x v="1"/>
    <n v="18.775342465753425"/>
    <x v="3"/>
    <n v="1"/>
    <d v="2006-12-05T00:00:00"/>
  </r>
  <r>
    <x v="1"/>
    <n v="18963883"/>
    <x v="0"/>
    <d v="2025-09-09T00:00:00"/>
    <x v="0"/>
    <x v="3"/>
    <x v="4"/>
    <d v="2026-01-26T00:00:00"/>
    <n v="139"/>
    <n v="4.6333333333333337"/>
    <n v="0"/>
    <n v="0"/>
    <n v="1"/>
    <x v="1"/>
    <n v="19.534246575342465"/>
    <x v="3"/>
    <n v="1"/>
    <d v="2006-03-03T00:00:00"/>
  </r>
  <r>
    <x v="1"/>
    <n v="18963884"/>
    <x v="1"/>
    <d v="2025-09-09T00:00:00"/>
    <x v="0"/>
    <x v="3"/>
    <x v="4"/>
    <d v="2026-02-28T00:00:00"/>
    <n v="172"/>
    <n v="5.7333333333333334"/>
    <n v="0"/>
    <n v="0"/>
    <n v="1"/>
    <x v="1"/>
    <n v="19.421917808219177"/>
    <x v="3"/>
    <n v="1"/>
    <d v="2006-04-13T00:00:00"/>
  </r>
  <r>
    <x v="1"/>
    <n v="18963886"/>
    <x v="0"/>
    <d v="2025-09-09T00:00:00"/>
    <x v="0"/>
    <x v="3"/>
    <x v="4"/>
    <d v="2025-09-30T00:00:00"/>
    <n v="21"/>
    <n v="0.7"/>
    <n v="1"/>
    <n v="1"/>
    <n v="1"/>
    <x v="1"/>
    <n v="24.331506849315069"/>
    <x v="2"/>
    <n v="2"/>
    <d v="2001-05-17T00:00:00"/>
  </r>
  <r>
    <x v="1"/>
    <n v="18963893"/>
    <x v="0"/>
    <d v="2025-09-09T00:00:00"/>
    <x v="0"/>
    <x v="3"/>
    <x v="4"/>
    <d v="2026-01-01T00:00:00"/>
    <n v="114"/>
    <n v="3.8"/>
    <n v="0"/>
    <n v="0"/>
    <n v="1"/>
    <x v="1"/>
    <n v="25.049315068493151"/>
    <x v="2"/>
    <n v="2"/>
    <d v="2000-08-28T00:00:00"/>
  </r>
  <r>
    <x v="0"/>
    <n v="18963894"/>
    <x v="1"/>
    <d v="2025-09-09T00:00:00"/>
    <x v="0"/>
    <x v="3"/>
    <x v="4"/>
    <m/>
    <n v="9999"/>
    <n v="333.3"/>
    <n v="0"/>
    <n v="0"/>
    <n v="0"/>
    <x v="1"/>
    <n v="20.098630136986301"/>
    <x v="3"/>
    <n v="1"/>
    <d v="2005-08-09T00:00:00"/>
  </r>
  <r>
    <x v="1"/>
    <n v="18963901"/>
    <x v="0"/>
    <d v="2025-09-09T00:00:00"/>
    <x v="0"/>
    <x v="3"/>
    <x v="4"/>
    <m/>
    <n v="9999"/>
    <n v="333.3"/>
    <n v="0"/>
    <n v="0"/>
    <n v="0"/>
    <x v="1"/>
    <n v="18.964383561643835"/>
    <x v="3"/>
    <n v="1"/>
    <d v="2006-09-27T00:00:00"/>
  </r>
  <r>
    <x v="0"/>
    <n v="18963902"/>
    <x v="0"/>
    <d v="2025-09-09T00:00:00"/>
    <x v="0"/>
    <x v="3"/>
    <x v="4"/>
    <d v="2026-02-28T00:00:00"/>
    <n v="172"/>
    <n v="5.7333333333333334"/>
    <n v="0"/>
    <n v="0"/>
    <n v="1"/>
    <x v="1"/>
    <n v="20.468493150684932"/>
    <x v="3"/>
    <n v="1"/>
    <d v="2005-03-27T00:00:00"/>
  </r>
  <r>
    <x v="1"/>
    <n v="18963904"/>
    <x v="1"/>
    <d v="2025-09-09T00:00:00"/>
    <x v="0"/>
    <x v="3"/>
    <x v="4"/>
    <m/>
    <n v="9999"/>
    <n v="333.3"/>
    <n v="0"/>
    <n v="0"/>
    <n v="0"/>
    <x v="1"/>
    <n v="22.279452054794522"/>
    <x v="2"/>
    <n v="2"/>
    <d v="2003-06-05T00:00:00"/>
  </r>
  <r>
    <x v="1"/>
    <n v="18963905"/>
    <x v="1"/>
    <d v="2025-09-09T00:00:00"/>
    <x v="0"/>
    <x v="3"/>
    <x v="4"/>
    <d v="2025-11-30T00:00:00"/>
    <n v="82"/>
    <n v="2.7333333333333334"/>
    <n v="0"/>
    <n v="1"/>
    <n v="1"/>
    <x v="1"/>
    <n v="34.843835616438355"/>
    <x v="0"/>
    <n v="4"/>
    <d v="1990-11-14T00:00:00"/>
  </r>
  <r>
    <x v="1"/>
    <n v="18963929"/>
    <x v="0"/>
    <d v="2025-09-09T00:00:00"/>
    <x v="0"/>
    <x v="3"/>
    <x v="4"/>
    <d v="2026-01-31T00:00:00"/>
    <n v="144"/>
    <n v="4.8"/>
    <n v="0"/>
    <n v="0"/>
    <n v="1"/>
    <x v="1"/>
    <n v="18.512328767123286"/>
    <x v="3"/>
    <n v="1"/>
    <d v="2007-03-11T00:00:00"/>
  </r>
  <r>
    <x v="1"/>
    <n v="18963966"/>
    <x v="1"/>
    <d v="2025-09-09T00:00:00"/>
    <x v="0"/>
    <x v="3"/>
    <x v="4"/>
    <m/>
    <n v="9999"/>
    <n v="333.3"/>
    <n v="0"/>
    <n v="0"/>
    <n v="0"/>
    <x v="1"/>
    <n v="22.860273972602741"/>
    <x v="2"/>
    <n v="2"/>
    <d v="2002-11-05T00:00:00"/>
  </r>
  <r>
    <x v="1"/>
    <n v="18963982"/>
    <x v="0"/>
    <d v="2025-09-09T00:00:00"/>
    <x v="0"/>
    <x v="3"/>
    <x v="4"/>
    <m/>
    <n v="9999"/>
    <n v="333.3"/>
    <n v="0"/>
    <n v="0"/>
    <n v="0"/>
    <x v="1"/>
    <n v="21.117808219178084"/>
    <x v="2"/>
    <n v="2"/>
    <d v="2004-08-02T00:00:00"/>
  </r>
  <r>
    <x v="1"/>
    <n v="18964006"/>
    <x v="1"/>
    <d v="2025-09-09T00:00:00"/>
    <x v="0"/>
    <x v="3"/>
    <x v="4"/>
    <d v="2025-12-15T00:00:00"/>
    <n v="97"/>
    <n v="3.2333333333333334"/>
    <n v="0"/>
    <n v="0"/>
    <n v="1"/>
    <x v="1"/>
    <n v="23.208219178082192"/>
    <x v="2"/>
    <n v="2"/>
    <d v="2002-07-01T00:00:00"/>
  </r>
  <r>
    <x v="0"/>
    <n v="18964009"/>
    <x v="1"/>
    <d v="2025-09-09T00:00:00"/>
    <x v="0"/>
    <x v="3"/>
    <x v="4"/>
    <d v="2026-02-28T00:00:00"/>
    <n v="172"/>
    <n v="5.7333333333333334"/>
    <n v="0"/>
    <n v="0"/>
    <n v="1"/>
    <x v="1"/>
    <n v="23.328767123287673"/>
    <x v="2"/>
    <n v="2"/>
    <d v="2002-05-18T00:00:00"/>
  </r>
  <r>
    <x v="1"/>
    <n v="18964024"/>
    <x v="0"/>
    <d v="2025-09-09T00:00:00"/>
    <x v="0"/>
    <x v="3"/>
    <x v="4"/>
    <m/>
    <n v="9999"/>
    <n v="333.3"/>
    <n v="0"/>
    <n v="0"/>
    <n v="0"/>
    <x v="0"/>
    <n v="33.369863013698627"/>
    <x v="0"/>
    <n v="4"/>
    <d v="1992-05-05T00:00:00"/>
  </r>
  <r>
    <x v="1"/>
    <n v="18964037"/>
    <x v="0"/>
    <d v="2025-09-09T00:00:00"/>
    <x v="0"/>
    <x v="3"/>
    <x v="4"/>
    <m/>
    <n v="9999"/>
    <n v="333.3"/>
    <n v="0"/>
    <n v="0"/>
    <n v="0"/>
    <x v="0"/>
    <n v="22.161643835616438"/>
    <x v="2"/>
    <n v="2"/>
    <d v="2003-07-18T00:00:00"/>
  </r>
  <r>
    <x v="1"/>
    <n v="18964038"/>
    <x v="0"/>
    <d v="2025-09-09T00:00:00"/>
    <x v="0"/>
    <x v="3"/>
    <x v="4"/>
    <d v="2025-09-12T00:00:00"/>
    <n v="3"/>
    <n v="0.1"/>
    <n v="1"/>
    <n v="1"/>
    <n v="1"/>
    <x v="0"/>
    <n v="20.843835616438355"/>
    <x v="3"/>
    <n v="1"/>
    <d v="2004-11-10T00:00:00"/>
  </r>
  <r>
    <x v="1"/>
    <n v="18964110"/>
    <x v="0"/>
    <d v="2025-09-09T00:00:00"/>
    <x v="0"/>
    <x v="3"/>
    <x v="4"/>
    <m/>
    <n v="9999"/>
    <n v="333.3"/>
    <n v="0"/>
    <n v="0"/>
    <n v="0"/>
    <x v="1"/>
    <n v="18.652054794520549"/>
    <x v="3"/>
    <n v="1"/>
    <d v="2007-01-19T00:00:00"/>
  </r>
  <r>
    <x v="1"/>
    <n v="18964114"/>
    <x v="1"/>
    <d v="2025-09-09T00:00:00"/>
    <x v="0"/>
    <x v="3"/>
    <x v="4"/>
    <d v="2025-12-01T00:00:00"/>
    <n v="83"/>
    <n v="2.7666666666666666"/>
    <n v="0"/>
    <n v="1"/>
    <n v="1"/>
    <x v="1"/>
    <n v="19.063013698630137"/>
    <x v="3"/>
    <n v="1"/>
    <d v="2006-08-22T00:00:00"/>
  </r>
  <r>
    <x v="1"/>
    <n v="18964117"/>
    <x v="0"/>
    <d v="2025-09-09T00:00:00"/>
    <x v="0"/>
    <x v="3"/>
    <x v="4"/>
    <m/>
    <n v="9999"/>
    <n v="333.3"/>
    <n v="0"/>
    <n v="0"/>
    <n v="0"/>
    <x v="1"/>
    <n v="18.153424657534245"/>
    <x v="3"/>
    <n v="1"/>
    <d v="2007-07-20T00:00:00"/>
  </r>
  <r>
    <x v="1"/>
    <n v="18964121"/>
    <x v="0"/>
    <d v="2025-09-09T00:00:00"/>
    <x v="0"/>
    <x v="3"/>
    <x v="4"/>
    <d v="2026-01-11T00:00:00"/>
    <n v="124"/>
    <n v="4.1333333333333337"/>
    <n v="0"/>
    <n v="0"/>
    <n v="1"/>
    <x v="1"/>
    <n v="20.712328767123289"/>
    <x v="3"/>
    <n v="1"/>
    <d v="2004-12-28T00:00:00"/>
  </r>
  <r>
    <x v="1"/>
    <n v="18964128"/>
    <x v="0"/>
    <d v="2025-09-09T00:00:00"/>
    <x v="0"/>
    <x v="3"/>
    <x v="4"/>
    <d v="2025-12-31T00:00:00"/>
    <n v="113"/>
    <n v="3.7666666666666666"/>
    <n v="0"/>
    <n v="0"/>
    <n v="1"/>
    <x v="1"/>
    <n v="25.87123287671233"/>
    <x v="2"/>
    <n v="2"/>
    <d v="1999-11-02T00:00:00"/>
  </r>
  <r>
    <x v="1"/>
    <n v="18964133"/>
    <x v="0"/>
    <d v="2025-09-09T00:00:00"/>
    <x v="0"/>
    <x v="3"/>
    <x v="4"/>
    <m/>
    <n v="9999"/>
    <n v="333.3"/>
    <n v="0"/>
    <n v="0"/>
    <n v="0"/>
    <x v="1"/>
    <n v="18.586301369863012"/>
    <x v="3"/>
    <n v="1"/>
    <d v="2007-02-12T00:00:00"/>
  </r>
  <r>
    <x v="1"/>
    <n v="18964367"/>
    <x v="0"/>
    <d v="2025-09-10T00:00:00"/>
    <x v="0"/>
    <x v="3"/>
    <x v="4"/>
    <m/>
    <n v="9999"/>
    <n v="333.3"/>
    <n v="0"/>
    <n v="0"/>
    <n v="0"/>
    <x v="1"/>
    <n v="19.328767123287673"/>
    <x v="3"/>
    <n v="1"/>
    <d v="2006-05-18T00:00:00"/>
  </r>
  <r>
    <x v="1"/>
    <n v="18964368"/>
    <x v="1"/>
    <d v="2025-09-10T00:00:00"/>
    <x v="0"/>
    <x v="3"/>
    <x v="4"/>
    <d v="2026-05-31T00:00:00"/>
    <n v="263"/>
    <n v="8.7666666666666675"/>
    <n v="0"/>
    <n v="0"/>
    <n v="0"/>
    <x v="1"/>
    <n v="20.232876712328768"/>
    <x v="3"/>
    <n v="1"/>
    <d v="2005-06-22T00:00:00"/>
  </r>
  <r>
    <x v="1"/>
    <n v="18964369"/>
    <x v="0"/>
    <d v="2025-09-10T00:00:00"/>
    <x v="0"/>
    <x v="3"/>
    <x v="4"/>
    <d v="2026-04-06T00:00:00"/>
    <n v="208"/>
    <n v="6.9333333333333336"/>
    <n v="0"/>
    <n v="0"/>
    <n v="0"/>
    <x v="1"/>
    <n v="20.852054794520548"/>
    <x v="3"/>
    <n v="1"/>
    <d v="2004-11-08T00:00:00"/>
  </r>
  <r>
    <x v="1"/>
    <n v="18964370"/>
    <x v="1"/>
    <d v="2025-09-10T00:00:00"/>
    <x v="0"/>
    <x v="3"/>
    <x v="4"/>
    <d v="2026-05-17T00:00:00"/>
    <n v="249"/>
    <n v="8.3000000000000007"/>
    <n v="0"/>
    <n v="0"/>
    <n v="0"/>
    <x v="1"/>
    <n v="20.517808219178082"/>
    <x v="3"/>
    <n v="1"/>
    <d v="2005-03-10T00:00:00"/>
  </r>
  <r>
    <x v="1"/>
    <n v="18964393"/>
    <x v="1"/>
    <d v="2025-09-10T00:00:00"/>
    <x v="0"/>
    <x v="3"/>
    <x v="4"/>
    <d v="2025-12-01T00:00:00"/>
    <n v="82"/>
    <n v="2.7333333333333334"/>
    <n v="0"/>
    <n v="1"/>
    <n v="1"/>
    <x v="1"/>
    <n v="19.556164383561644"/>
    <x v="3"/>
    <n v="1"/>
    <d v="2006-02-24T00:00:00"/>
  </r>
  <r>
    <x v="1"/>
    <n v="18964394"/>
    <x v="0"/>
    <d v="2025-09-10T00:00:00"/>
    <x v="0"/>
    <x v="3"/>
    <x v="4"/>
    <m/>
    <n v="9999"/>
    <n v="333.3"/>
    <n v="0"/>
    <n v="0"/>
    <n v="0"/>
    <x v="1"/>
    <n v="19.860273972602741"/>
    <x v="3"/>
    <n v="1"/>
    <d v="2005-11-05T00:00:00"/>
  </r>
  <r>
    <x v="1"/>
    <n v="18964397"/>
    <x v="0"/>
    <d v="2025-09-10T00:00:00"/>
    <x v="0"/>
    <x v="3"/>
    <x v="4"/>
    <d v="2026-03-31T00:00:00"/>
    <n v="202"/>
    <n v="6.7333333333333334"/>
    <n v="0"/>
    <n v="0"/>
    <n v="0"/>
    <x v="1"/>
    <n v="20.912328767123288"/>
    <x v="3"/>
    <n v="1"/>
    <d v="2004-10-17T00:00:00"/>
  </r>
  <r>
    <x v="1"/>
    <n v="18964401"/>
    <x v="1"/>
    <d v="2025-09-10T00:00:00"/>
    <x v="0"/>
    <x v="3"/>
    <x v="4"/>
    <d v="2026-01-01T00:00:00"/>
    <n v="113"/>
    <n v="3.7666666666666666"/>
    <n v="0"/>
    <n v="0"/>
    <n v="1"/>
    <x v="0"/>
    <n v="22.81095890410959"/>
    <x v="2"/>
    <n v="2"/>
    <d v="2002-11-24T00:00:00"/>
  </r>
  <r>
    <x v="1"/>
    <n v="18964450"/>
    <x v="1"/>
    <d v="2025-09-10T00:00:00"/>
    <x v="0"/>
    <x v="3"/>
    <x v="4"/>
    <d v="2026-01-01T00:00:00"/>
    <n v="113"/>
    <n v="3.7666666666666666"/>
    <n v="0"/>
    <n v="0"/>
    <n v="1"/>
    <x v="1"/>
    <n v="26.852054794520548"/>
    <x v="1"/>
    <n v="3"/>
    <d v="1998-11-10T00:00:00"/>
  </r>
  <r>
    <x v="1"/>
    <n v="18964451"/>
    <x v="1"/>
    <d v="2025-09-10T00:00:00"/>
    <x v="0"/>
    <x v="3"/>
    <x v="4"/>
    <d v="2026-04-08T00:00:00"/>
    <n v="210"/>
    <n v="7"/>
    <n v="0"/>
    <n v="0"/>
    <n v="0"/>
    <x v="1"/>
    <n v="21.4"/>
    <x v="2"/>
    <n v="2"/>
    <d v="2004-04-22T00:00:00"/>
  </r>
  <r>
    <x v="1"/>
    <n v="18964452"/>
    <x v="0"/>
    <d v="2025-09-10T00:00:00"/>
    <x v="0"/>
    <x v="3"/>
    <x v="4"/>
    <m/>
    <n v="9999"/>
    <n v="333.3"/>
    <n v="0"/>
    <n v="0"/>
    <n v="0"/>
    <x v="1"/>
    <n v="19.139726027397259"/>
    <x v="3"/>
    <n v="1"/>
    <d v="2006-07-26T00:00:00"/>
  </r>
  <r>
    <x v="1"/>
    <n v="18964535"/>
    <x v="0"/>
    <d v="2025-09-10T00:00:00"/>
    <x v="0"/>
    <x v="3"/>
    <x v="4"/>
    <m/>
    <n v="9999"/>
    <n v="333.3"/>
    <n v="0"/>
    <n v="0"/>
    <n v="0"/>
    <x v="1"/>
    <n v="19.978082191780821"/>
    <x v="3"/>
    <n v="1"/>
    <d v="2005-09-23T00:00:00"/>
  </r>
  <r>
    <x v="1"/>
    <n v="18964542"/>
    <x v="1"/>
    <d v="2025-09-10T00:00:00"/>
    <x v="0"/>
    <x v="3"/>
    <x v="4"/>
    <d v="2026-02-01T00:00:00"/>
    <n v="144"/>
    <n v="4.8"/>
    <n v="0"/>
    <n v="0"/>
    <n v="1"/>
    <x v="1"/>
    <n v="24.12054794520548"/>
    <x v="2"/>
    <n v="2"/>
    <d v="2001-08-03T00:00:00"/>
  </r>
  <r>
    <x v="1"/>
    <n v="18964560"/>
    <x v="1"/>
    <d v="2025-09-10T00:00:00"/>
    <x v="0"/>
    <x v="3"/>
    <x v="4"/>
    <d v="2026-01-31T00:00:00"/>
    <n v="143"/>
    <n v="4.7666666666666666"/>
    <n v="0"/>
    <n v="0"/>
    <n v="1"/>
    <x v="1"/>
    <n v="23.553424657534247"/>
    <x v="2"/>
    <n v="2"/>
    <d v="2002-02-26T00:00:00"/>
  </r>
  <r>
    <x v="1"/>
    <n v="18964572"/>
    <x v="1"/>
    <d v="2025-09-10T00:00:00"/>
    <x v="0"/>
    <x v="3"/>
    <x v="4"/>
    <m/>
    <n v="9999"/>
    <n v="333.3"/>
    <n v="0"/>
    <n v="0"/>
    <n v="0"/>
    <x v="1"/>
    <n v="18.887671232876713"/>
    <x v="3"/>
    <n v="1"/>
    <d v="2006-10-26T00:00:00"/>
  </r>
  <r>
    <x v="1"/>
    <n v="18964573"/>
    <x v="1"/>
    <d v="2025-09-10T00:00:00"/>
    <x v="0"/>
    <x v="3"/>
    <x v="4"/>
    <m/>
    <n v="9999"/>
    <n v="333.3"/>
    <n v="0"/>
    <n v="0"/>
    <n v="0"/>
    <x v="1"/>
    <n v="19.465753424657535"/>
    <x v="3"/>
    <n v="1"/>
    <d v="2006-03-29T00:00:00"/>
  </r>
  <r>
    <x v="1"/>
    <n v="18964574"/>
    <x v="1"/>
    <d v="2025-09-10T00:00:00"/>
    <x v="0"/>
    <x v="3"/>
    <x v="4"/>
    <d v="2026-03-31T00:00:00"/>
    <n v="202"/>
    <n v="6.7333333333333334"/>
    <n v="0"/>
    <n v="0"/>
    <n v="0"/>
    <x v="0"/>
    <n v="23.542465753424658"/>
    <x v="2"/>
    <n v="2"/>
    <d v="2002-03-02T00:00:00"/>
  </r>
  <r>
    <x v="1"/>
    <n v="18964609"/>
    <x v="0"/>
    <d v="2025-09-10T00:00:00"/>
    <x v="0"/>
    <x v="3"/>
    <x v="4"/>
    <d v="2025-09-12T00:00:00"/>
    <n v="2"/>
    <n v="6.6666666666666666E-2"/>
    <n v="1"/>
    <n v="1"/>
    <n v="1"/>
    <x v="1"/>
    <n v="18.986301369863014"/>
    <x v="3"/>
    <n v="1"/>
    <d v="2006-09-20T00:00:00"/>
  </r>
  <r>
    <x v="1"/>
    <n v="18964614"/>
    <x v="0"/>
    <d v="2025-09-10T00:00:00"/>
    <x v="0"/>
    <x v="3"/>
    <x v="4"/>
    <d v="2025-09-18T00:00:00"/>
    <n v="8"/>
    <n v="0.26666666666666666"/>
    <n v="1"/>
    <n v="1"/>
    <n v="1"/>
    <x v="1"/>
    <n v="23.794520547945204"/>
    <x v="2"/>
    <n v="2"/>
    <d v="2001-11-30T00:00:00"/>
  </r>
  <r>
    <x v="1"/>
    <n v="18964842"/>
    <x v="0"/>
    <d v="2026-03-23T00:00:00"/>
    <x v="1"/>
    <x v="0"/>
    <x v="5"/>
    <d v="2026-05-29T00:00:00"/>
    <n v="67"/>
    <n v="2.2333333333333334"/>
    <n v="0"/>
    <n v="1"/>
    <n v="1"/>
    <x v="1"/>
    <n v="21.345205479452055"/>
    <x v="2"/>
    <n v="2"/>
    <d v="2004-11-22T00:00:00"/>
  </r>
  <r>
    <x v="1"/>
    <n v="18964873"/>
    <x v="0"/>
    <d v="2025-09-10T00:00:00"/>
    <x v="0"/>
    <x v="3"/>
    <x v="4"/>
    <d v="2025-09-12T00:00:00"/>
    <n v="2"/>
    <n v="6.6666666666666666E-2"/>
    <n v="1"/>
    <n v="1"/>
    <n v="1"/>
    <x v="1"/>
    <n v="45.443835616438356"/>
    <x v="0"/>
    <n v="4"/>
    <d v="1980-04-12T00:00:00"/>
  </r>
  <r>
    <x v="1"/>
    <n v="18964874"/>
    <x v="0"/>
    <d v="2025-09-10T00:00:00"/>
    <x v="0"/>
    <x v="3"/>
    <x v="4"/>
    <m/>
    <n v="9999"/>
    <n v="333.3"/>
    <n v="0"/>
    <n v="0"/>
    <n v="0"/>
    <x v="1"/>
    <n v="18.923287671232877"/>
    <x v="3"/>
    <n v="1"/>
    <d v="2006-10-13T00:00:00"/>
  </r>
  <r>
    <x v="1"/>
    <n v="18964889"/>
    <x v="0"/>
    <d v="2025-09-11T00:00:00"/>
    <x v="0"/>
    <x v="3"/>
    <x v="4"/>
    <d v="2026-01-18T00:00:00"/>
    <n v="129"/>
    <n v="4.3"/>
    <n v="0"/>
    <n v="0"/>
    <n v="1"/>
    <x v="0"/>
    <n v="24.030136986301368"/>
    <x v="2"/>
    <n v="2"/>
    <d v="2001-09-06T00:00:00"/>
  </r>
  <r>
    <x v="1"/>
    <n v="18964898"/>
    <x v="0"/>
    <d v="2025-09-11T00:00:00"/>
    <x v="0"/>
    <x v="3"/>
    <x v="4"/>
    <m/>
    <n v="9999"/>
    <n v="333.3"/>
    <n v="0"/>
    <n v="0"/>
    <n v="0"/>
    <x v="0"/>
    <n v="19.972602739726028"/>
    <x v="3"/>
    <n v="1"/>
    <d v="2005-09-26T00:00:00"/>
  </r>
  <r>
    <x v="1"/>
    <n v="18965155"/>
    <x v="0"/>
    <d v="2025-09-12T00:00:00"/>
    <x v="0"/>
    <x v="3"/>
    <x v="4"/>
    <m/>
    <n v="9999"/>
    <n v="333.3"/>
    <n v="0"/>
    <n v="0"/>
    <n v="0"/>
    <x v="1"/>
    <n v="22.942465753424656"/>
    <x v="2"/>
    <n v="2"/>
    <d v="2002-10-09T00:00:00"/>
  </r>
  <r>
    <x v="1"/>
    <n v="18965169"/>
    <x v="0"/>
    <d v="2025-09-12T00:00:00"/>
    <x v="0"/>
    <x v="3"/>
    <x v="4"/>
    <d v="2026-01-31T00:00:00"/>
    <n v="141"/>
    <n v="4.7"/>
    <n v="0"/>
    <n v="0"/>
    <n v="1"/>
    <x v="1"/>
    <n v="25.186301369863013"/>
    <x v="2"/>
    <n v="2"/>
    <d v="2000-07-12T00:00:00"/>
  </r>
  <r>
    <x v="1"/>
    <n v="18965170"/>
    <x v="1"/>
    <d v="2025-09-12T00:00:00"/>
    <x v="0"/>
    <x v="3"/>
    <x v="4"/>
    <d v="2025-09-16T00:00:00"/>
    <n v="4"/>
    <n v="0.13333333333333333"/>
    <n v="1"/>
    <n v="1"/>
    <n v="1"/>
    <x v="1"/>
    <n v="20.531506849315068"/>
    <x v="3"/>
    <n v="1"/>
    <d v="2005-03-07T00:00:00"/>
  </r>
  <r>
    <x v="1"/>
    <n v="18965289"/>
    <x v="0"/>
    <d v="2025-09-12T00:00:00"/>
    <x v="0"/>
    <x v="3"/>
    <x v="4"/>
    <d v="2026-01-01T00:00:00"/>
    <n v="111"/>
    <n v="3.7"/>
    <n v="0"/>
    <n v="0"/>
    <n v="1"/>
    <x v="1"/>
    <n v="20.046575342465754"/>
    <x v="3"/>
    <n v="1"/>
    <d v="2005-08-31T00:00:00"/>
  </r>
  <r>
    <x v="1"/>
    <n v="18965349"/>
    <x v="1"/>
    <d v="2025-09-15T00:00:00"/>
    <x v="0"/>
    <x v="3"/>
    <x v="4"/>
    <d v="2026-01-02T00:00:00"/>
    <n v="109"/>
    <n v="3.6333333333333333"/>
    <n v="0"/>
    <n v="0"/>
    <n v="1"/>
    <x v="0"/>
    <n v="22.468493150684932"/>
    <x v="2"/>
    <n v="2"/>
    <d v="2003-04-03T00:00:00"/>
  </r>
  <r>
    <x v="1"/>
    <n v="18965473"/>
    <x v="0"/>
    <d v="2025-09-15T00:00:00"/>
    <x v="0"/>
    <x v="3"/>
    <x v="4"/>
    <m/>
    <n v="9999"/>
    <n v="333.3"/>
    <n v="0"/>
    <n v="0"/>
    <n v="0"/>
    <x v="0"/>
    <n v="20.846575342465755"/>
    <x v="3"/>
    <n v="1"/>
    <d v="2004-11-15T00:00:00"/>
  </r>
  <r>
    <x v="1"/>
    <n v="18965476"/>
    <x v="0"/>
    <d v="2025-09-15T00:00:00"/>
    <x v="0"/>
    <x v="3"/>
    <x v="4"/>
    <d v="2026-02-07T00:00:00"/>
    <n v="145"/>
    <n v="4.833333333333333"/>
    <n v="0"/>
    <n v="0"/>
    <n v="1"/>
    <x v="1"/>
    <n v="19.084931506849315"/>
    <x v="3"/>
    <n v="1"/>
    <d v="2006-08-20T00:00:00"/>
  </r>
  <r>
    <x v="1"/>
    <n v="18965477"/>
    <x v="0"/>
    <d v="2025-09-15T00:00:00"/>
    <x v="0"/>
    <x v="3"/>
    <x v="4"/>
    <m/>
    <n v="9999"/>
    <n v="333.3"/>
    <n v="0"/>
    <n v="0"/>
    <n v="0"/>
    <x v="1"/>
    <n v="38.408219178082192"/>
    <x v="0"/>
    <n v="4"/>
    <d v="1987-04-29T00:00:00"/>
  </r>
  <r>
    <x v="1"/>
    <n v="18965507"/>
    <x v="0"/>
    <d v="2025-09-15T00:00:00"/>
    <x v="0"/>
    <x v="3"/>
    <x v="4"/>
    <d v="2025-11-30T00:00:00"/>
    <n v="76"/>
    <n v="2.5333333333333332"/>
    <n v="0"/>
    <n v="1"/>
    <n v="1"/>
    <x v="1"/>
    <n v="18.068493150684933"/>
    <x v="3"/>
    <n v="1"/>
    <d v="2007-08-26T00:00:00"/>
  </r>
  <r>
    <x v="1"/>
    <n v="18965508"/>
    <x v="0"/>
    <d v="2025-09-15T00:00:00"/>
    <x v="0"/>
    <x v="3"/>
    <x v="4"/>
    <m/>
    <n v="9999"/>
    <n v="333.3"/>
    <n v="0"/>
    <n v="0"/>
    <n v="0"/>
    <x v="0"/>
    <n v="28.471232876712328"/>
    <x v="1"/>
    <n v="3"/>
    <d v="1997-04-03T00:00:00"/>
  </r>
  <r>
    <x v="1"/>
    <n v="18965591"/>
    <x v="0"/>
    <d v="2025-09-15T00:00:00"/>
    <x v="0"/>
    <x v="3"/>
    <x v="4"/>
    <d v="2026-01-02T00:00:00"/>
    <n v="109"/>
    <n v="3.6333333333333333"/>
    <n v="0"/>
    <n v="0"/>
    <n v="1"/>
    <x v="1"/>
    <n v="33.339726027397262"/>
    <x v="0"/>
    <n v="4"/>
    <d v="1992-05-22T00:00:00"/>
  </r>
  <r>
    <x v="1"/>
    <n v="18965592"/>
    <x v="0"/>
    <d v="2025-09-15T00:00:00"/>
    <x v="0"/>
    <x v="3"/>
    <x v="4"/>
    <m/>
    <n v="9999"/>
    <n v="333.3"/>
    <n v="0"/>
    <n v="0"/>
    <n v="0"/>
    <x v="1"/>
    <n v="18.589041095890412"/>
    <x v="3"/>
    <n v="1"/>
    <d v="2007-02-17T00:00:00"/>
  </r>
  <r>
    <x v="1"/>
    <n v="18965742"/>
    <x v="1"/>
    <d v="2025-09-12T00:00:00"/>
    <x v="0"/>
    <x v="3"/>
    <x v="4"/>
    <d v="2025-11-01T00:00:00"/>
    <n v="50"/>
    <n v="1.6666666666666667"/>
    <n v="0"/>
    <n v="1"/>
    <n v="1"/>
    <x v="0"/>
    <n v="19.315068493150687"/>
    <x v="3"/>
    <n v="1"/>
    <d v="2006-05-25T00:00:00"/>
  </r>
  <r>
    <x v="1"/>
    <n v="18965743"/>
    <x v="0"/>
    <d v="2025-09-12T00:00:00"/>
    <x v="0"/>
    <x v="3"/>
    <x v="4"/>
    <d v="2026-02-28T00:00:00"/>
    <n v="169"/>
    <n v="5.6333333333333337"/>
    <n v="0"/>
    <n v="0"/>
    <n v="1"/>
    <x v="0"/>
    <n v="29.326027397260273"/>
    <x v="1"/>
    <n v="3"/>
    <d v="1996-05-23T00:00:00"/>
  </r>
  <r>
    <x v="1"/>
    <n v="18965744"/>
    <x v="0"/>
    <d v="2025-09-12T00:00:00"/>
    <x v="0"/>
    <x v="3"/>
    <x v="4"/>
    <d v="2025-11-30T00:00:00"/>
    <n v="79"/>
    <n v="2.6333333333333333"/>
    <n v="0"/>
    <n v="1"/>
    <n v="1"/>
    <x v="0"/>
    <n v="20.715068493150685"/>
    <x v="3"/>
    <n v="1"/>
    <d v="2004-12-30T00:00:00"/>
  </r>
  <r>
    <x v="1"/>
    <n v="18965749"/>
    <x v="0"/>
    <d v="2025-09-15T00:00:00"/>
    <x v="0"/>
    <x v="3"/>
    <x v="4"/>
    <d v="2025-11-06T00:00:00"/>
    <n v="52"/>
    <n v="1.7333333333333334"/>
    <n v="0"/>
    <n v="1"/>
    <n v="1"/>
    <x v="0"/>
    <n v="21.057534246575344"/>
    <x v="2"/>
    <n v="2"/>
    <d v="2004-08-30T00:00:00"/>
  </r>
  <r>
    <x v="1"/>
    <n v="18966184"/>
    <x v="0"/>
    <d v="2025-09-16T00:00:00"/>
    <x v="0"/>
    <x v="3"/>
    <x v="4"/>
    <d v="2026-01-01T00:00:00"/>
    <n v="107"/>
    <n v="3.5666666666666669"/>
    <n v="0"/>
    <n v="0"/>
    <n v="1"/>
    <x v="1"/>
    <n v="25.958904109589042"/>
    <x v="2"/>
    <n v="2"/>
    <d v="1999-10-08T00:00:00"/>
  </r>
  <r>
    <x v="1"/>
    <n v="18966185"/>
    <x v="1"/>
    <d v="2025-09-16T00:00:00"/>
    <x v="0"/>
    <x v="3"/>
    <x v="4"/>
    <m/>
    <n v="9999"/>
    <n v="333.3"/>
    <n v="0"/>
    <n v="0"/>
    <n v="0"/>
    <x v="1"/>
    <n v="18.509589041095889"/>
    <x v="3"/>
    <n v="1"/>
    <d v="2007-03-19T00:00:00"/>
  </r>
  <r>
    <x v="1"/>
    <n v="18966188"/>
    <x v="0"/>
    <d v="2025-09-16T00:00:00"/>
    <x v="0"/>
    <x v="3"/>
    <x v="4"/>
    <d v="2026-03-01T00:00:00"/>
    <n v="166"/>
    <n v="5.5333333333333332"/>
    <n v="0"/>
    <n v="0"/>
    <n v="1"/>
    <x v="1"/>
    <n v="24.512328767123286"/>
    <x v="2"/>
    <n v="2"/>
    <d v="2001-03-19T00:00:00"/>
  </r>
  <r>
    <x v="1"/>
    <n v="18966192"/>
    <x v="0"/>
    <d v="2025-09-16T00:00:00"/>
    <x v="0"/>
    <x v="3"/>
    <x v="4"/>
    <m/>
    <n v="9999"/>
    <n v="333.3"/>
    <n v="0"/>
    <n v="0"/>
    <n v="0"/>
    <x v="1"/>
    <n v="20.534246575342465"/>
    <x v="3"/>
    <n v="1"/>
    <d v="2005-03-10T00:00:00"/>
  </r>
  <r>
    <x v="1"/>
    <n v="18966212"/>
    <x v="0"/>
    <d v="2025-09-16T00:00:00"/>
    <x v="0"/>
    <x v="3"/>
    <x v="4"/>
    <d v="2026-01-01T00:00:00"/>
    <n v="107"/>
    <n v="3.5666666666666669"/>
    <n v="0"/>
    <n v="0"/>
    <n v="1"/>
    <x v="1"/>
    <n v="19.484931506849314"/>
    <x v="3"/>
    <n v="1"/>
    <d v="2006-03-28T00:00:00"/>
  </r>
  <r>
    <x v="1"/>
    <n v="18966213"/>
    <x v="1"/>
    <d v="2025-09-16T00:00:00"/>
    <x v="0"/>
    <x v="3"/>
    <x v="4"/>
    <m/>
    <n v="9999"/>
    <n v="333.3"/>
    <n v="0"/>
    <n v="0"/>
    <n v="0"/>
    <x v="1"/>
    <n v="19.838356164383562"/>
    <x v="3"/>
    <n v="1"/>
    <d v="2005-11-19T00:00:00"/>
  </r>
  <r>
    <x v="1"/>
    <n v="18966219"/>
    <x v="1"/>
    <d v="2025-09-16T00:00:00"/>
    <x v="0"/>
    <x v="3"/>
    <x v="4"/>
    <m/>
    <n v="9999"/>
    <n v="333.3"/>
    <n v="0"/>
    <n v="0"/>
    <n v="0"/>
    <x v="1"/>
    <n v="19.553424657534247"/>
    <x v="3"/>
    <n v="1"/>
    <d v="2006-03-03T00:00:00"/>
  </r>
  <r>
    <x v="1"/>
    <n v="18966220"/>
    <x v="0"/>
    <d v="2025-09-16T00:00:00"/>
    <x v="0"/>
    <x v="3"/>
    <x v="4"/>
    <m/>
    <n v="9999"/>
    <n v="333.3"/>
    <n v="0"/>
    <n v="0"/>
    <n v="0"/>
    <x v="1"/>
    <n v="24.18904109589041"/>
    <x v="2"/>
    <n v="2"/>
    <d v="2001-07-15T00:00:00"/>
  </r>
  <r>
    <x v="1"/>
    <n v="18966221"/>
    <x v="0"/>
    <d v="2025-09-16T00:00:00"/>
    <x v="0"/>
    <x v="3"/>
    <x v="4"/>
    <m/>
    <n v="9999"/>
    <n v="333.3"/>
    <n v="0"/>
    <n v="0"/>
    <n v="0"/>
    <x v="1"/>
    <n v="19.657534246575342"/>
    <x v="3"/>
    <n v="1"/>
    <d v="2006-01-24T00:00:00"/>
  </r>
  <r>
    <x v="1"/>
    <n v="18966277"/>
    <x v="0"/>
    <d v="2025-09-16T00:00:00"/>
    <x v="0"/>
    <x v="3"/>
    <x v="4"/>
    <m/>
    <n v="9999"/>
    <n v="333.3"/>
    <n v="0"/>
    <n v="0"/>
    <n v="0"/>
    <x v="1"/>
    <n v="18.832876712328765"/>
    <x v="3"/>
    <n v="1"/>
    <d v="2006-11-21T00:00:00"/>
  </r>
  <r>
    <x v="1"/>
    <n v="18966326"/>
    <x v="1"/>
    <d v="2025-09-16T00:00:00"/>
    <x v="0"/>
    <x v="3"/>
    <x v="4"/>
    <m/>
    <n v="9999"/>
    <n v="333.3"/>
    <n v="0"/>
    <n v="0"/>
    <n v="0"/>
    <x v="1"/>
    <n v="42.731506849315068"/>
    <x v="0"/>
    <n v="4"/>
    <d v="1983-01-03T00:00:00"/>
  </r>
  <r>
    <x v="1"/>
    <n v="18966336"/>
    <x v="0"/>
    <d v="2025-09-15T00:00:00"/>
    <x v="0"/>
    <x v="3"/>
    <x v="4"/>
    <d v="2025-12-11T00:00:00"/>
    <n v="87"/>
    <n v="2.9"/>
    <n v="0"/>
    <n v="1"/>
    <n v="1"/>
    <x v="0"/>
    <n v="38.389041095890413"/>
    <x v="0"/>
    <n v="4"/>
    <d v="1987-05-06T00:00:00"/>
  </r>
  <r>
    <x v="1"/>
    <n v="18966341"/>
    <x v="0"/>
    <d v="2025-09-16T00:00:00"/>
    <x v="0"/>
    <x v="3"/>
    <x v="4"/>
    <m/>
    <n v="9999"/>
    <n v="333.3"/>
    <n v="0"/>
    <n v="0"/>
    <n v="0"/>
    <x v="1"/>
    <n v="23.671232876712327"/>
    <x v="2"/>
    <n v="2"/>
    <d v="2002-01-20T00:00:00"/>
  </r>
  <r>
    <x v="1"/>
    <n v="18966344"/>
    <x v="0"/>
    <d v="2025-09-15T00:00:00"/>
    <x v="0"/>
    <x v="3"/>
    <x v="4"/>
    <m/>
    <n v="9999"/>
    <n v="333.3"/>
    <n v="0"/>
    <n v="0"/>
    <n v="0"/>
    <x v="0"/>
    <n v="19.663013698630138"/>
    <x v="3"/>
    <n v="1"/>
    <d v="2006-01-21T00:00:00"/>
  </r>
  <r>
    <x v="1"/>
    <n v="18966346"/>
    <x v="0"/>
    <d v="2025-09-15T00:00:00"/>
    <x v="0"/>
    <x v="3"/>
    <x v="4"/>
    <m/>
    <n v="9999"/>
    <n v="333.3"/>
    <n v="0"/>
    <n v="0"/>
    <n v="0"/>
    <x v="0"/>
    <n v="30.857534246575341"/>
    <x v="1"/>
    <n v="3"/>
    <d v="1994-11-14T00:00:00"/>
  </r>
  <r>
    <x v="1"/>
    <n v="18966352"/>
    <x v="0"/>
    <d v="2025-09-15T00:00:00"/>
    <x v="0"/>
    <x v="3"/>
    <x v="4"/>
    <d v="2025-10-07T00:00:00"/>
    <n v="22"/>
    <n v="0.73333333333333328"/>
    <n v="1"/>
    <n v="1"/>
    <n v="1"/>
    <x v="0"/>
    <n v="23.041095890410958"/>
    <x v="2"/>
    <n v="2"/>
    <d v="2002-09-06T00:00:00"/>
  </r>
  <r>
    <x v="1"/>
    <n v="18966356"/>
    <x v="0"/>
    <d v="2025-09-15T00:00:00"/>
    <x v="0"/>
    <x v="3"/>
    <x v="4"/>
    <m/>
    <n v="9999"/>
    <n v="333.3"/>
    <n v="0"/>
    <n v="0"/>
    <n v="0"/>
    <x v="0"/>
    <n v="40.438356164383563"/>
    <x v="0"/>
    <n v="4"/>
    <d v="1985-04-18T00:00:00"/>
  </r>
  <r>
    <x v="1"/>
    <n v="18966358"/>
    <x v="0"/>
    <d v="2025-09-15T00:00:00"/>
    <x v="0"/>
    <x v="3"/>
    <x v="4"/>
    <m/>
    <n v="9999"/>
    <n v="333.3"/>
    <n v="0"/>
    <n v="0"/>
    <n v="0"/>
    <x v="0"/>
    <n v="22.701369863013699"/>
    <x v="2"/>
    <n v="2"/>
    <d v="2003-01-08T00:00:00"/>
  </r>
  <r>
    <x v="1"/>
    <n v="18966361"/>
    <x v="0"/>
    <d v="2025-09-15T00:00:00"/>
    <x v="0"/>
    <x v="3"/>
    <x v="4"/>
    <d v="2026-04-30T00:00:00"/>
    <n v="227"/>
    <n v="7.5666666666666664"/>
    <n v="0"/>
    <n v="0"/>
    <n v="0"/>
    <x v="0"/>
    <n v="21.526027397260275"/>
    <x v="2"/>
    <n v="2"/>
    <d v="2004-03-12T00:00:00"/>
  </r>
  <r>
    <x v="1"/>
    <n v="18966367"/>
    <x v="1"/>
    <d v="2025-09-15T00:00:00"/>
    <x v="0"/>
    <x v="3"/>
    <x v="4"/>
    <d v="2025-10-31T00:00:00"/>
    <n v="46"/>
    <n v="1.5333333333333334"/>
    <n v="0"/>
    <n v="1"/>
    <n v="1"/>
    <x v="0"/>
    <n v="32.756164383561647"/>
    <x v="0"/>
    <n v="4"/>
    <d v="1992-12-21T00:00:00"/>
  </r>
  <r>
    <x v="1"/>
    <n v="18966370"/>
    <x v="0"/>
    <d v="2025-09-15T00:00:00"/>
    <x v="0"/>
    <x v="3"/>
    <x v="4"/>
    <d v="2026-03-31T00:00:00"/>
    <n v="197"/>
    <n v="6.5666666666666664"/>
    <n v="0"/>
    <n v="0"/>
    <n v="0"/>
    <x v="0"/>
    <n v="20.065753424657533"/>
    <x v="3"/>
    <n v="1"/>
    <d v="2005-08-27T00:00:00"/>
  </r>
  <r>
    <x v="1"/>
    <n v="18966376"/>
    <x v="1"/>
    <d v="2025-09-15T00:00:00"/>
    <x v="0"/>
    <x v="3"/>
    <x v="4"/>
    <m/>
    <n v="9999"/>
    <n v="333.3"/>
    <n v="0"/>
    <n v="0"/>
    <n v="0"/>
    <x v="0"/>
    <n v="20.136986301369863"/>
    <x v="3"/>
    <n v="1"/>
    <d v="2005-08-01T00:00:00"/>
  </r>
  <r>
    <x v="1"/>
    <n v="18966377"/>
    <x v="1"/>
    <d v="2025-09-15T00:00:00"/>
    <x v="0"/>
    <x v="3"/>
    <x v="4"/>
    <d v="2026-02-02T00:00:00"/>
    <n v="140"/>
    <n v="4.666666666666667"/>
    <n v="0"/>
    <n v="0"/>
    <n v="1"/>
    <x v="0"/>
    <n v="24.295890410958904"/>
    <x v="2"/>
    <n v="2"/>
    <d v="2001-06-05T00:00:00"/>
  </r>
  <r>
    <x v="1"/>
    <n v="18966378"/>
    <x v="0"/>
    <d v="2025-09-15T00:00:00"/>
    <x v="0"/>
    <x v="3"/>
    <x v="4"/>
    <d v="2026-01-02T00:00:00"/>
    <n v="109"/>
    <n v="3.6333333333333333"/>
    <n v="0"/>
    <n v="0"/>
    <n v="1"/>
    <x v="0"/>
    <n v="28.504109589041096"/>
    <x v="1"/>
    <n v="3"/>
    <d v="1997-03-22T00:00:00"/>
  </r>
  <r>
    <x v="1"/>
    <n v="18966379"/>
    <x v="0"/>
    <d v="2025-09-15T00:00:00"/>
    <x v="0"/>
    <x v="3"/>
    <x v="4"/>
    <d v="2025-09-16T00:00:00"/>
    <n v="1"/>
    <n v="3.3333333333333333E-2"/>
    <n v="1"/>
    <n v="1"/>
    <n v="1"/>
    <x v="0"/>
    <n v="26.301369863013697"/>
    <x v="1"/>
    <n v="3"/>
    <d v="1999-06-04T00:00:00"/>
  </r>
  <r>
    <x v="1"/>
    <n v="18966381"/>
    <x v="0"/>
    <d v="2025-09-15T00:00:00"/>
    <x v="0"/>
    <x v="3"/>
    <x v="4"/>
    <m/>
    <n v="9999"/>
    <n v="333.3"/>
    <n v="0"/>
    <n v="0"/>
    <n v="0"/>
    <x v="0"/>
    <n v="23.515068493150686"/>
    <x v="2"/>
    <n v="2"/>
    <d v="2002-03-17T00:00:00"/>
  </r>
  <r>
    <x v="1"/>
    <n v="18966383"/>
    <x v="0"/>
    <d v="2025-09-15T00:00:00"/>
    <x v="0"/>
    <x v="3"/>
    <x v="4"/>
    <d v="2025-09-30T00:00:00"/>
    <n v="15"/>
    <n v="0.5"/>
    <n v="1"/>
    <n v="1"/>
    <n v="1"/>
    <x v="0"/>
    <n v="26.375342465753423"/>
    <x v="1"/>
    <n v="3"/>
    <d v="1999-05-08T00:00:00"/>
  </r>
  <r>
    <x v="1"/>
    <n v="18966384"/>
    <x v="1"/>
    <d v="2025-09-15T00:00:00"/>
    <x v="0"/>
    <x v="3"/>
    <x v="4"/>
    <d v="2026-05-31T00:00:00"/>
    <n v="258"/>
    <n v="8.6"/>
    <n v="0"/>
    <n v="0"/>
    <n v="0"/>
    <x v="0"/>
    <n v="31.246575342465754"/>
    <x v="0"/>
    <n v="4"/>
    <d v="1994-06-25T00:00:00"/>
  </r>
  <r>
    <x v="1"/>
    <n v="18966385"/>
    <x v="0"/>
    <d v="2025-09-15T00:00:00"/>
    <x v="0"/>
    <x v="3"/>
    <x v="4"/>
    <m/>
    <n v="9999"/>
    <n v="333.3"/>
    <n v="0"/>
    <n v="0"/>
    <n v="0"/>
    <x v="0"/>
    <n v="25.580821917808219"/>
    <x v="2"/>
    <n v="2"/>
    <d v="2000-02-22T00:00:00"/>
  </r>
  <r>
    <x v="1"/>
    <n v="18966387"/>
    <x v="0"/>
    <d v="2025-09-15T00:00:00"/>
    <x v="0"/>
    <x v="3"/>
    <x v="4"/>
    <d v="2025-09-30T00:00:00"/>
    <n v="15"/>
    <n v="0.5"/>
    <n v="1"/>
    <n v="1"/>
    <n v="1"/>
    <x v="0"/>
    <n v="23.835616438356166"/>
    <x v="2"/>
    <n v="2"/>
    <d v="2001-11-20T00:00:00"/>
  </r>
  <r>
    <x v="1"/>
    <n v="18966388"/>
    <x v="0"/>
    <d v="2025-09-15T00:00:00"/>
    <x v="0"/>
    <x v="3"/>
    <x v="4"/>
    <m/>
    <n v="9999"/>
    <n v="333.3"/>
    <n v="0"/>
    <n v="0"/>
    <n v="0"/>
    <x v="0"/>
    <n v="25.654794520547945"/>
    <x v="2"/>
    <n v="2"/>
    <d v="2000-01-26T00:00:00"/>
  </r>
  <r>
    <x v="1"/>
    <n v="18966390"/>
    <x v="0"/>
    <d v="2025-09-15T00:00:00"/>
    <x v="0"/>
    <x v="3"/>
    <x v="4"/>
    <d v="2025-12-01T00:00:00"/>
    <n v="77"/>
    <n v="2.5666666666666669"/>
    <n v="0"/>
    <n v="1"/>
    <n v="1"/>
    <x v="0"/>
    <n v="21.504109589041096"/>
    <x v="2"/>
    <n v="2"/>
    <d v="2004-03-20T00:00:00"/>
  </r>
  <r>
    <x v="1"/>
    <n v="18966391"/>
    <x v="0"/>
    <d v="2025-09-15T00:00:00"/>
    <x v="0"/>
    <x v="3"/>
    <x v="4"/>
    <d v="2026-01-08T00:00:00"/>
    <n v="115"/>
    <n v="3.8333333333333335"/>
    <n v="0"/>
    <n v="0"/>
    <n v="1"/>
    <x v="0"/>
    <n v="22.720547945205478"/>
    <x v="2"/>
    <n v="2"/>
    <d v="2003-01-01T00:00:00"/>
  </r>
  <r>
    <x v="1"/>
    <n v="18966395"/>
    <x v="0"/>
    <d v="2025-09-15T00:00:00"/>
    <x v="0"/>
    <x v="3"/>
    <x v="4"/>
    <m/>
    <n v="9999"/>
    <n v="333.3"/>
    <n v="0"/>
    <n v="0"/>
    <n v="0"/>
    <x v="0"/>
    <n v="25.671232876712327"/>
    <x v="2"/>
    <n v="2"/>
    <d v="2000-01-20T00:00:00"/>
  </r>
  <r>
    <x v="1"/>
    <n v="18966396"/>
    <x v="0"/>
    <d v="2025-09-15T00:00:00"/>
    <x v="0"/>
    <x v="3"/>
    <x v="4"/>
    <m/>
    <n v="9999"/>
    <n v="333.3"/>
    <n v="0"/>
    <n v="0"/>
    <n v="0"/>
    <x v="0"/>
    <n v="25.410958904109588"/>
    <x v="2"/>
    <n v="2"/>
    <d v="2000-04-24T00:00:00"/>
  </r>
  <r>
    <x v="1"/>
    <n v="18966398"/>
    <x v="1"/>
    <d v="2025-09-15T00:00:00"/>
    <x v="0"/>
    <x v="3"/>
    <x v="4"/>
    <d v="2025-10-01T00:00:00"/>
    <n v="16"/>
    <n v="0.53333333333333333"/>
    <n v="1"/>
    <n v="1"/>
    <n v="1"/>
    <x v="0"/>
    <n v="27.660273972602738"/>
    <x v="1"/>
    <n v="3"/>
    <d v="1998-01-24T00:00:00"/>
  </r>
  <r>
    <x v="1"/>
    <n v="18966399"/>
    <x v="0"/>
    <d v="2025-09-15T00:00:00"/>
    <x v="0"/>
    <x v="3"/>
    <x v="4"/>
    <m/>
    <n v="9999"/>
    <n v="333.3"/>
    <n v="0"/>
    <n v="0"/>
    <n v="0"/>
    <x v="0"/>
    <n v="34.219178082191782"/>
    <x v="0"/>
    <n v="4"/>
    <d v="1991-07-06T00:00:00"/>
  </r>
  <r>
    <x v="1"/>
    <n v="18966400"/>
    <x v="0"/>
    <d v="2025-09-15T00:00:00"/>
    <x v="0"/>
    <x v="3"/>
    <x v="4"/>
    <d v="2026-04-01T00:00:00"/>
    <n v="198"/>
    <n v="6.6"/>
    <n v="0"/>
    <n v="0"/>
    <n v="0"/>
    <x v="0"/>
    <n v="33.630136986301373"/>
    <x v="0"/>
    <n v="4"/>
    <d v="1992-02-06T00:00:00"/>
  </r>
  <r>
    <x v="1"/>
    <n v="18966403"/>
    <x v="0"/>
    <d v="2025-09-15T00:00:00"/>
    <x v="0"/>
    <x v="3"/>
    <x v="4"/>
    <m/>
    <n v="9999"/>
    <n v="333.3"/>
    <n v="0"/>
    <n v="0"/>
    <n v="0"/>
    <x v="0"/>
    <n v="34.509589041095893"/>
    <x v="0"/>
    <n v="4"/>
    <d v="1991-03-22T00:00:00"/>
  </r>
  <r>
    <x v="1"/>
    <n v="18966406"/>
    <x v="0"/>
    <d v="2025-09-15T00:00:00"/>
    <x v="0"/>
    <x v="3"/>
    <x v="4"/>
    <d v="2026-01-31T00:00:00"/>
    <n v="138"/>
    <n v="4.5999999999999996"/>
    <n v="0"/>
    <n v="0"/>
    <n v="1"/>
    <x v="0"/>
    <n v="29.739726027397261"/>
    <x v="1"/>
    <n v="3"/>
    <d v="1995-12-27T00:00:00"/>
  </r>
  <r>
    <x v="1"/>
    <n v="18966411"/>
    <x v="1"/>
    <d v="2025-09-15T00:00:00"/>
    <x v="0"/>
    <x v="3"/>
    <x v="4"/>
    <d v="2025-12-12T00:00:00"/>
    <n v="88"/>
    <n v="2.9333333333333331"/>
    <n v="0"/>
    <n v="1"/>
    <n v="1"/>
    <x v="0"/>
    <n v="24.780821917808218"/>
    <x v="2"/>
    <n v="2"/>
    <d v="2000-12-10T00:00:00"/>
  </r>
  <r>
    <x v="1"/>
    <n v="18966414"/>
    <x v="0"/>
    <d v="2025-09-15T00:00:00"/>
    <x v="0"/>
    <x v="3"/>
    <x v="4"/>
    <d v="2025-12-12T00:00:00"/>
    <n v="88"/>
    <n v="2.9333333333333331"/>
    <n v="0"/>
    <n v="1"/>
    <n v="1"/>
    <x v="0"/>
    <n v="26.553424657534247"/>
    <x v="1"/>
    <n v="3"/>
    <d v="1999-03-04T00:00:00"/>
  </r>
  <r>
    <x v="1"/>
    <n v="18966418"/>
    <x v="0"/>
    <d v="2025-09-15T00:00:00"/>
    <x v="0"/>
    <x v="3"/>
    <x v="4"/>
    <d v="2026-01-31T00:00:00"/>
    <n v="138"/>
    <n v="4.5999999999999996"/>
    <n v="0"/>
    <n v="0"/>
    <n v="1"/>
    <x v="0"/>
    <n v="31.117808219178084"/>
    <x v="0"/>
    <n v="4"/>
    <d v="1994-08-11T00:00:00"/>
  </r>
  <r>
    <x v="1"/>
    <n v="18966476"/>
    <x v="0"/>
    <d v="2025-09-15T00:00:00"/>
    <x v="0"/>
    <x v="3"/>
    <x v="4"/>
    <m/>
    <n v="9999"/>
    <n v="333.3"/>
    <n v="0"/>
    <n v="0"/>
    <n v="0"/>
    <x v="0"/>
    <n v="18.30958904109589"/>
    <x v="3"/>
    <n v="1"/>
    <d v="2007-05-30T00:00:00"/>
  </r>
  <r>
    <x v="1"/>
    <n v="18966477"/>
    <x v="0"/>
    <d v="2025-09-15T00:00:00"/>
    <x v="0"/>
    <x v="3"/>
    <x v="4"/>
    <m/>
    <n v="9999"/>
    <n v="333.3"/>
    <n v="0"/>
    <n v="0"/>
    <n v="0"/>
    <x v="0"/>
    <n v="28.791780821917808"/>
    <x v="1"/>
    <n v="3"/>
    <d v="1996-12-07T00:00:00"/>
  </r>
  <r>
    <x v="1"/>
    <n v="18966478"/>
    <x v="1"/>
    <d v="2025-09-15T00:00:00"/>
    <x v="0"/>
    <x v="3"/>
    <x v="4"/>
    <m/>
    <n v="9999"/>
    <n v="333.3"/>
    <n v="0"/>
    <n v="0"/>
    <n v="0"/>
    <x v="0"/>
    <n v="19.663013698630138"/>
    <x v="3"/>
    <n v="1"/>
    <d v="2006-01-21T00:00:00"/>
  </r>
  <r>
    <x v="1"/>
    <n v="18966479"/>
    <x v="0"/>
    <d v="2025-09-15T00:00:00"/>
    <x v="0"/>
    <x v="3"/>
    <x v="4"/>
    <m/>
    <n v="9999"/>
    <n v="333.3"/>
    <n v="0"/>
    <n v="0"/>
    <n v="0"/>
    <x v="0"/>
    <n v="20.81917808219178"/>
    <x v="3"/>
    <n v="1"/>
    <d v="2004-11-25T00:00:00"/>
  </r>
  <r>
    <x v="1"/>
    <n v="18966481"/>
    <x v="0"/>
    <d v="2025-09-15T00:00:00"/>
    <x v="0"/>
    <x v="3"/>
    <x v="4"/>
    <d v="2026-03-10T00:00:00"/>
    <n v="176"/>
    <n v="5.8666666666666663"/>
    <n v="0"/>
    <n v="0"/>
    <n v="1"/>
    <x v="0"/>
    <n v="29.210958904109589"/>
    <x v="1"/>
    <n v="3"/>
    <d v="1996-07-07T00:00:00"/>
  </r>
  <r>
    <x v="1"/>
    <n v="18966501"/>
    <x v="0"/>
    <d v="2025-09-16T00:00:00"/>
    <x v="0"/>
    <x v="3"/>
    <x v="4"/>
    <d v="2026-05-31T00:00:00"/>
    <n v="257"/>
    <n v="8.5666666666666664"/>
    <n v="0"/>
    <n v="0"/>
    <n v="0"/>
    <x v="1"/>
    <n v="22.016438356164382"/>
    <x v="2"/>
    <n v="2"/>
    <d v="2003-09-16T00:00:00"/>
  </r>
  <r>
    <x v="1"/>
    <n v="18966631"/>
    <x v="1"/>
    <d v="2025-09-17T00:00:00"/>
    <x v="0"/>
    <x v="3"/>
    <x v="4"/>
    <d v="2026-03-31T00:00:00"/>
    <n v="195"/>
    <n v="6.5"/>
    <n v="0"/>
    <n v="0"/>
    <n v="0"/>
    <x v="0"/>
    <n v="21.268493150684932"/>
    <x v="2"/>
    <n v="2"/>
    <d v="2004-06-16T00:00:00"/>
  </r>
  <r>
    <x v="1"/>
    <n v="18966633"/>
    <x v="1"/>
    <d v="2025-09-17T00:00:00"/>
    <x v="0"/>
    <x v="3"/>
    <x v="4"/>
    <m/>
    <n v="9999"/>
    <n v="333.3"/>
    <n v="0"/>
    <n v="0"/>
    <n v="0"/>
    <x v="0"/>
    <n v="20.791780821917808"/>
    <x v="3"/>
    <n v="1"/>
    <d v="2004-12-07T00:00:00"/>
  </r>
  <r>
    <x v="1"/>
    <n v="18966663"/>
    <x v="0"/>
    <d v="2025-09-17T00:00:00"/>
    <x v="0"/>
    <x v="3"/>
    <x v="4"/>
    <m/>
    <n v="9999"/>
    <n v="333.3"/>
    <n v="0"/>
    <n v="0"/>
    <n v="0"/>
    <x v="0"/>
    <n v="18.361643835616437"/>
    <x v="3"/>
    <n v="1"/>
    <d v="2007-05-13T00:00:00"/>
  </r>
  <r>
    <x v="1"/>
    <n v="18966734"/>
    <x v="0"/>
    <d v="2025-09-17T00:00:00"/>
    <x v="0"/>
    <x v="3"/>
    <x v="4"/>
    <d v="2026-03-31T00:00:00"/>
    <n v="195"/>
    <n v="6.5"/>
    <n v="0"/>
    <n v="0"/>
    <n v="0"/>
    <x v="0"/>
    <n v="25.736986301369864"/>
    <x v="2"/>
    <n v="2"/>
    <d v="1999-12-29T00:00:00"/>
  </r>
  <r>
    <x v="1"/>
    <n v="18966735"/>
    <x v="1"/>
    <d v="2025-09-16T00:00:00"/>
    <x v="0"/>
    <x v="3"/>
    <x v="4"/>
    <m/>
    <n v="9999"/>
    <n v="333.3"/>
    <n v="0"/>
    <n v="0"/>
    <n v="0"/>
    <x v="1"/>
    <n v="18.654794520547945"/>
    <x v="3"/>
    <n v="1"/>
    <d v="2007-01-25T00:00:00"/>
  </r>
  <r>
    <x v="1"/>
    <n v="18966737"/>
    <x v="1"/>
    <d v="2025-09-17T00:00:00"/>
    <x v="0"/>
    <x v="3"/>
    <x v="4"/>
    <m/>
    <n v="9999"/>
    <n v="333.3"/>
    <n v="0"/>
    <n v="0"/>
    <n v="0"/>
    <x v="0"/>
    <n v="18.394520547945206"/>
    <x v="3"/>
    <n v="1"/>
    <d v="2007-05-01T00:00:00"/>
  </r>
  <r>
    <x v="1"/>
    <n v="18966783"/>
    <x v="0"/>
    <d v="2025-09-17T00:00:00"/>
    <x v="0"/>
    <x v="3"/>
    <x v="4"/>
    <d v="2026-05-31T00:00:00"/>
    <n v="256"/>
    <n v="8.5333333333333332"/>
    <n v="0"/>
    <n v="0"/>
    <n v="0"/>
    <x v="1"/>
    <n v="24.789041095890411"/>
    <x v="2"/>
    <n v="2"/>
    <d v="2000-12-09T00:00:00"/>
  </r>
  <r>
    <x v="1"/>
    <n v="18967200"/>
    <x v="0"/>
    <d v="2025-09-19T00:00:00"/>
    <x v="0"/>
    <x v="3"/>
    <x v="4"/>
    <d v="2026-04-19T00:00:00"/>
    <n v="212"/>
    <n v="7.0666666666666664"/>
    <n v="0"/>
    <n v="0"/>
    <n v="0"/>
    <x v="1"/>
    <n v="20.756164383561643"/>
    <x v="3"/>
    <n v="1"/>
    <d v="2004-12-22T00:00:00"/>
  </r>
  <r>
    <x v="1"/>
    <n v="18967213"/>
    <x v="0"/>
    <d v="2025-09-19T00:00:00"/>
    <x v="0"/>
    <x v="3"/>
    <x v="4"/>
    <d v="2025-11-15T00:00:00"/>
    <n v="57"/>
    <n v="1.9"/>
    <n v="0"/>
    <n v="1"/>
    <n v="1"/>
    <x v="1"/>
    <n v="21.778082191780822"/>
    <x v="2"/>
    <n v="2"/>
    <d v="2003-12-15T00:00:00"/>
  </r>
  <r>
    <x v="1"/>
    <n v="18967247"/>
    <x v="0"/>
    <d v="2025-09-19T00:00:00"/>
    <x v="0"/>
    <x v="3"/>
    <x v="4"/>
    <m/>
    <n v="9999"/>
    <n v="333.3"/>
    <n v="0"/>
    <n v="0"/>
    <n v="0"/>
    <x v="0"/>
    <n v="24.043835616438358"/>
    <x v="2"/>
    <n v="2"/>
    <d v="2001-09-09T00:00:00"/>
  </r>
  <r>
    <x v="1"/>
    <n v="18967248"/>
    <x v="0"/>
    <d v="2025-09-19T00:00:00"/>
    <x v="0"/>
    <x v="3"/>
    <x v="4"/>
    <d v="2026-04-30T00:00:00"/>
    <n v="223"/>
    <n v="7.4333333333333336"/>
    <n v="0"/>
    <n v="0"/>
    <n v="0"/>
    <x v="1"/>
    <n v="28.75068493150685"/>
    <x v="1"/>
    <n v="3"/>
    <d v="1996-12-26T00:00:00"/>
  </r>
  <r>
    <x v="1"/>
    <n v="18967352"/>
    <x v="1"/>
    <d v="2025-09-19T00:00:00"/>
    <x v="0"/>
    <x v="3"/>
    <x v="4"/>
    <m/>
    <n v="9999"/>
    <n v="333.3"/>
    <n v="0"/>
    <n v="0"/>
    <n v="0"/>
    <x v="1"/>
    <n v="20.813698630136987"/>
    <x v="3"/>
    <n v="1"/>
    <d v="2004-12-01T00:00:00"/>
  </r>
  <r>
    <x v="1"/>
    <n v="18967353"/>
    <x v="0"/>
    <d v="2025-09-19T00:00:00"/>
    <x v="0"/>
    <x v="3"/>
    <x v="4"/>
    <d v="2026-03-22T00:00:00"/>
    <n v="184"/>
    <n v="6.1333333333333337"/>
    <n v="0"/>
    <n v="0"/>
    <n v="0"/>
    <x v="1"/>
    <n v="19.550684931506851"/>
    <x v="3"/>
    <n v="1"/>
    <d v="2006-03-07T00:00:00"/>
  </r>
  <r>
    <x v="1"/>
    <n v="18967355"/>
    <x v="0"/>
    <d v="2025-09-19T00:00:00"/>
    <x v="0"/>
    <x v="3"/>
    <x v="4"/>
    <m/>
    <n v="9999"/>
    <n v="333.3"/>
    <n v="0"/>
    <n v="0"/>
    <n v="0"/>
    <x v="1"/>
    <n v="20.416438356164385"/>
    <x v="3"/>
    <n v="1"/>
    <d v="2005-04-25T00:00:00"/>
  </r>
  <r>
    <x v="1"/>
    <n v="18967356"/>
    <x v="0"/>
    <d v="2026-04-01T00:00:00"/>
    <x v="1"/>
    <x v="2"/>
    <x v="11"/>
    <d v="2026-04-06T00:00:00"/>
    <n v="5"/>
    <n v="0.16666666666666666"/>
    <n v="1"/>
    <n v="1"/>
    <n v="1"/>
    <x v="1"/>
    <n v="18.794520547945204"/>
    <x v="3"/>
    <n v="1"/>
    <d v="2007-06-20T00:00:00"/>
  </r>
  <r>
    <x v="1"/>
    <n v="18967360"/>
    <x v="1"/>
    <d v="2025-09-19T00:00:00"/>
    <x v="0"/>
    <x v="3"/>
    <x v="4"/>
    <d v="2025-11-17T00:00:00"/>
    <n v="59"/>
    <n v="1.9666666666666666"/>
    <n v="0"/>
    <n v="1"/>
    <n v="1"/>
    <x v="1"/>
    <n v="19.950684931506849"/>
    <x v="3"/>
    <n v="1"/>
    <d v="2005-10-12T00:00:00"/>
  </r>
  <r>
    <x v="1"/>
    <n v="18967361"/>
    <x v="0"/>
    <d v="2025-09-19T00:00:00"/>
    <x v="0"/>
    <x v="3"/>
    <x v="4"/>
    <m/>
    <n v="9999"/>
    <n v="333.3"/>
    <n v="0"/>
    <n v="0"/>
    <n v="0"/>
    <x v="1"/>
    <n v="34.772602739726025"/>
    <x v="0"/>
    <n v="4"/>
    <d v="1990-12-20T00:00:00"/>
  </r>
  <r>
    <x v="1"/>
    <n v="18967364"/>
    <x v="0"/>
    <d v="2025-09-19T00:00:00"/>
    <x v="0"/>
    <x v="3"/>
    <x v="4"/>
    <m/>
    <n v="9999"/>
    <n v="333.3"/>
    <n v="0"/>
    <n v="0"/>
    <n v="0"/>
    <x v="1"/>
    <n v="21.827397260273973"/>
    <x v="2"/>
    <n v="2"/>
    <d v="2003-11-27T00:00:00"/>
  </r>
  <r>
    <x v="1"/>
    <n v="18967367"/>
    <x v="0"/>
    <d v="2025-09-19T00:00:00"/>
    <x v="0"/>
    <x v="3"/>
    <x v="4"/>
    <d v="2025-10-31T00:00:00"/>
    <n v="42"/>
    <n v="1.4"/>
    <n v="0"/>
    <n v="1"/>
    <n v="1"/>
    <x v="1"/>
    <n v="34.665753424657531"/>
    <x v="0"/>
    <n v="4"/>
    <d v="1991-01-28T00:00:00"/>
  </r>
  <r>
    <x v="1"/>
    <n v="18967430"/>
    <x v="0"/>
    <d v="2025-09-19T00:00:00"/>
    <x v="0"/>
    <x v="3"/>
    <x v="4"/>
    <m/>
    <n v="9999"/>
    <n v="333.3"/>
    <n v="0"/>
    <n v="0"/>
    <n v="0"/>
    <x v="1"/>
    <n v="18.67945205479452"/>
    <x v="3"/>
    <n v="1"/>
    <d v="2007-01-19T00:00:00"/>
  </r>
  <r>
    <x v="1"/>
    <n v="18967469"/>
    <x v="0"/>
    <d v="2025-09-19T00:00:00"/>
    <x v="0"/>
    <x v="3"/>
    <x v="4"/>
    <d v="2026-04-30T00:00:00"/>
    <n v="223"/>
    <n v="7.4333333333333336"/>
    <n v="0"/>
    <n v="0"/>
    <n v="0"/>
    <x v="0"/>
    <n v="24.958904109589042"/>
    <x v="2"/>
    <n v="2"/>
    <d v="2000-10-10T00:00:00"/>
  </r>
  <r>
    <x v="1"/>
    <n v="18967470"/>
    <x v="1"/>
    <d v="2025-09-19T00:00:00"/>
    <x v="0"/>
    <x v="3"/>
    <x v="4"/>
    <d v="2026-03-20T00:00:00"/>
    <n v="182"/>
    <n v="6.0666666666666664"/>
    <n v="0"/>
    <n v="0"/>
    <n v="0"/>
    <x v="1"/>
    <n v="22.575342465753426"/>
    <x v="2"/>
    <n v="2"/>
    <d v="2003-02-27T00:00:00"/>
  </r>
  <r>
    <x v="1"/>
    <n v="18967471"/>
    <x v="0"/>
    <d v="2025-09-19T00:00:00"/>
    <x v="0"/>
    <x v="3"/>
    <x v="4"/>
    <d v="2026-03-19T00:00:00"/>
    <n v="181"/>
    <n v="6.0333333333333332"/>
    <n v="0"/>
    <n v="0"/>
    <n v="0"/>
    <x v="1"/>
    <n v="20.210958904109589"/>
    <x v="3"/>
    <n v="1"/>
    <d v="2005-07-09T00:00:00"/>
  </r>
  <r>
    <x v="1"/>
    <n v="18967472"/>
    <x v="1"/>
    <d v="2025-09-19T00:00:00"/>
    <x v="0"/>
    <x v="3"/>
    <x v="4"/>
    <m/>
    <n v="9999"/>
    <n v="333.3"/>
    <n v="0"/>
    <n v="0"/>
    <n v="0"/>
    <x v="1"/>
    <n v="45.131506849315066"/>
    <x v="0"/>
    <n v="4"/>
    <d v="1980-08-13T00:00:00"/>
  </r>
  <r>
    <x v="1"/>
    <n v="18967473"/>
    <x v="0"/>
    <d v="2025-09-19T00:00:00"/>
    <x v="0"/>
    <x v="3"/>
    <x v="4"/>
    <d v="2026-02-16T00:00:00"/>
    <n v="150"/>
    <n v="5"/>
    <n v="0"/>
    <n v="0"/>
    <n v="1"/>
    <x v="1"/>
    <n v="18.55890410958904"/>
    <x v="3"/>
    <n v="1"/>
    <d v="2007-03-04T00:00:00"/>
  </r>
  <r>
    <x v="1"/>
    <n v="18967474"/>
    <x v="0"/>
    <d v="2025-09-19T00:00:00"/>
    <x v="0"/>
    <x v="3"/>
    <x v="4"/>
    <d v="2025-11-30T00:00:00"/>
    <n v="72"/>
    <n v="2.4"/>
    <n v="0"/>
    <n v="1"/>
    <n v="1"/>
    <x v="1"/>
    <n v="19.539726027397261"/>
    <x v="3"/>
    <n v="1"/>
    <d v="2006-03-11T00:00:00"/>
  </r>
  <r>
    <x v="1"/>
    <n v="18967475"/>
    <x v="0"/>
    <d v="2025-09-19T00:00:00"/>
    <x v="0"/>
    <x v="3"/>
    <x v="4"/>
    <d v="2025-10-20T00:00:00"/>
    <n v="31"/>
    <n v="1.0333333333333334"/>
    <n v="0"/>
    <n v="1"/>
    <n v="1"/>
    <x v="1"/>
    <n v="23.147945205479452"/>
    <x v="2"/>
    <n v="2"/>
    <d v="2002-08-02T00:00:00"/>
  </r>
  <r>
    <x v="1"/>
    <n v="18967487"/>
    <x v="0"/>
    <d v="2025-09-19T00:00:00"/>
    <x v="0"/>
    <x v="3"/>
    <x v="4"/>
    <d v="2026-03-05T00:00:00"/>
    <n v="167"/>
    <n v="5.5666666666666664"/>
    <n v="0"/>
    <n v="0"/>
    <n v="1"/>
    <x v="1"/>
    <n v="47.682191780821917"/>
    <x v="0"/>
    <n v="4"/>
    <d v="1978-01-25T00:00:00"/>
  </r>
  <r>
    <x v="1"/>
    <n v="18967496"/>
    <x v="0"/>
    <d v="2025-09-19T00:00:00"/>
    <x v="0"/>
    <x v="3"/>
    <x v="4"/>
    <d v="2025-12-31T00:00:00"/>
    <n v="103"/>
    <n v="3.4333333333333331"/>
    <n v="0"/>
    <n v="0"/>
    <n v="1"/>
    <x v="1"/>
    <n v="23.186301369863013"/>
    <x v="2"/>
    <n v="2"/>
    <d v="2002-07-19T00:00:00"/>
  </r>
  <r>
    <x v="1"/>
    <n v="18967497"/>
    <x v="0"/>
    <d v="2025-09-19T00:00:00"/>
    <x v="0"/>
    <x v="3"/>
    <x v="4"/>
    <m/>
    <n v="9999"/>
    <n v="333.3"/>
    <n v="0"/>
    <n v="0"/>
    <n v="0"/>
    <x v="1"/>
    <n v="53.506849315068493"/>
    <x v="0"/>
    <n v="4"/>
    <d v="1972-03-31T00:00:00"/>
  </r>
  <r>
    <x v="1"/>
    <n v="18967544"/>
    <x v="1"/>
    <d v="2025-09-19T00:00:00"/>
    <x v="0"/>
    <x v="3"/>
    <x v="4"/>
    <m/>
    <n v="9999"/>
    <n v="333.3"/>
    <n v="0"/>
    <n v="0"/>
    <n v="0"/>
    <x v="0"/>
    <n v="26.282191780821918"/>
    <x v="1"/>
    <n v="3"/>
    <d v="1999-06-15T00:00:00"/>
  </r>
  <r>
    <x v="1"/>
    <n v="18967593"/>
    <x v="0"/>
    <d v="2025-09-19T00:00:00"/>
    <x v="0"/>
    <x v="3"/>
    <x v="4"/>
    <d v="2025-10-09T00:00:00"/>
    <n v="20"/>
    <n v="0.66666666666666663"/>
    <n v="1"/>
    <n v="1"/>
    <n v="1"/>
    <x v="1"/>
    <n v="23.158904109589042"/>
    <x v="2"/>
    <n v="2"/>
    <d v="2002-07-29T00:00:00"/>
  </r>
  <r>
    <x v="1"/>
    <n v="18967594"/>
    <x v="1"/>
    <d v="2025-09-19T00:00:00"/>
    <x v="0"/>
    <x v="3"/>
    <x v="4"/>
    <d v="2026-03-15T00:00:00"/>
    <n v="177"/>
    <n v="5.9"/>
    <n v="0"/>
    <n v="0"/>
    <n v="1"/>
    <x v="1"/>
    <n v="18.731506849315068"/>
    <x v="3"/>
    <n v="1"/>
    <d v="2006-12-31T00:00:00"/>
  </r>
  <r>
    <x v="1"/>
    <n v="18967595"/>
    <x v="0"/>
    <d v="2025-09-19T00:00:00"/>
    <x v="0"/>
    <x v="3"/>
    <x v="4"/>
    <d v="2026-02-04T00:00:00"/>
    <n v="138"/>
    <n v="4.5999999999999996"/>
    <n v="0"/>
    <n v="0"/>
    <n v="1"/>
    <x v="1"/>
    <n v="22.586301369863012"/>
    <x v="2"/>
    <n v="2"/>
    <d v="2003-02-23T00:00:00"/>
  </r>
  <r>
    <x v="1"/>
    <n v="18967658"/>
    <x v="0"/>
    <d v="2025-09-19T00:00:00"/>
    <x v="0"/>
    <x v="3"/>
    <x v="4"/>
    <m/>
    <n v="9999"/>
    <n v="333.3"/>
    <n v="0"/>
    <n v="0"/>
    <n v="0"/>
    <x v="0"/>
    <n v="24.052054794520547"/>
    <x v="2"/>
    <n v="2"/>
    <d v="2001-09-06T00:00:00"/>
  </r>
  <r>
    <x v="1"/>
    <n v="18967659"/>
    <x v="0"/>
    <d v="2025-09-19T00:00:00"/>
    <x v="0"/>
    <x v="3"/>
    <x v="4"/>
    <m/>
    <n v="9999"/>
    <n v="333.3"/>
    <n v="0"/>
    <n v="0"/>
    <n v="0"/>
    <x v="1"/>
    <n v="32.271232876712325"/>
    <x v="0"/>
    <n v="4"/>
    <d v="1993-06-20T00:00:00"/>
  </r>
  <r>
    <x v="1"/>
    <n v="18967660"/>
    <x v="0"/>
    <d v="2025-09-19T00:00:00"/>
    <x v="0"/>
    <x v="3"/>
    <x v="4"/>
    <d v="2026-04-30T00:00:00"/>
    <n v="223"/>
    <n v="7.4333333333333336"/>
    <n v="0"/>
    <n v="0"/>
    <n v="0"/>
    <x v="1"/>
    <n v="19.317808219178083"/>
    <x v="3"/>
    <n v="1"/>
    <d v="2006-05-31T00:00:00"/>
  </r>
  <r>
    <x v="1"/>
    <n v="18967666"/>
    <x v="0"/>
    <d v="2025-09-19T00:00:00"/>
    <x v="0"/>
    <x v="3"/>
    <x v="4"/>
    <m/>
    <n v="9999"/>
    <n v="333.3"/>
    <n v="0"/>
    <n v="0"/>
    <n v="0"/>
    <x v="1"/>
    <n v="21.279452054794522"/>
    <x v="2"/>
    <n v="2"/>
    <d v="2004-06-14T00:00:00"/>
  </r>
  <r>
    <x v="1"/>
    <n v="18967715"/>
    <x v="1"/>
    <d v="2025-09-22T00:00:00"/>
    <x v="0"/>
    <x v="3"/>
    <x v="4"/>
    <d v="2025-12-10T00:00:00"/>
    <n v="79"/>
    <n v="2.6333333333333333"/>
    <n v="0"/>
    <n v="1"/>
    <n v="1"/>
    <x v="0"/>
    <n v="21.863013698630137"/>
    <x v="2"/>
    <n v="2"/>
    <d v="2003-11-17T00:00:00"/>
  </r>
  <r>
    <x v="1"/>
    <n v="18967721"/>
    <x v="0"/>
    <d v="2025-09-22T00:00:00"/>
    <x v="0"/>
    <x v="3"/>
    <x v="4"/>
    <d v="2026-01-05T00:00:00"/>
    <n v="105"/>
    <n v="3.5"/>
    <n v="0"/>
    <n v="0"/>
    <n v="1"/>
    <x v="0"/>
    <n v="19.772602739726029"/>
    <x v="3"/>
    <n v="1"/>
    <d v="2005-12-19T00:00:00"/>
  </r>
  <r>
    <x v="1"/>
    <n v="18967818"/>
    <x v="0"/>
    <d v="2025-09-22T00:00:00"/>
    <x v="0"/>
    <x v="3"/>
    <x v="4"/>
    <m/>
    <n v="9999"/>
    <n v="333.3"/>
    <n v="0"/>
    <n v="0"/>
    <n v="0"/>
    <x v="0"/>
    <n v="33.156164383561645"/>
    <x v="0"/>
    <n v="4"/>
    <d v="1992-08-04T00:00:00"/>
  </r>
  <r>
    <x v="1"/>
    <n v="18967844"/>
    <x v="0"/>
    <d v="2025-09-22T00:00:00"/>
    <x v="0"/>
    <x v="3"/>
    <x v="4"/>
    <m/>
    <n v="9999"/>
    <n v="333.3"/>
    <n v="0"/>
    <n v="0"/>
    <n v="0"/>
    <x v="0"/>
    <n v="32.62191780821918"/>
    <x v="0"/>
    <n v="4"/>
    <d v="1993-02-15T00:00:00"/>
  </r>
  <r>
    <x v="1"/>
    <n v="18967905"/>
    <x v="0"/>
    <d v="2025-09-22T00:00:00"/>
    <x v="0"/>
    <x v="3"/>
    <x v="4"/>
    <d v="2025-11-14T00:00:00"/>
    <n v="53"/>
    <n v="1.7666666666666666"/>
    <n v="0"/>
    <n v="1"/>
    <n v="1"/>
    <x v="0"/>
    <n v="19.054794520547944"/>
    <x v="3"/>
    <n v="1"/>
    <d v="2006-09-07T00:00:00"/>
  </r>
  <r>
    <x v="1"/>
    <n v="18967939"/>
    <x v="0"/>
    <d v="2025-09-22T00:00:00"/>
    <x v="0"/>
    <x v="3"/>
    <x v="4"/>
    <d v="2026-06-07T00:00:00"/>
    <n v="258"/>
    <n v="8.6"/>
    <n v="0"/>
    <n v="0"/>
    <n v="0"/>
    <x v="1"/>
    <n v="22.87945205479452"/>
    <x v="2"/>
    <n v="2"/>
    <d v="2002-11-11T00:00:00"/>
  </r>
  <r>
    <x v="1"/>
    <n v="18968136"/>
    <x v="0"/>
    <d v="2025-09-22T00:00:00"/>
    <x v="0"/>
    <x v="3"/>
    <x v="4"/>
    <m/>
    <n v="9999"/>
    <n v="333.3"/>
    <n v="0"/>
    <n v="0"/>
    <n v="0"/>
    <x v="1"/>
    <n v="20.391780821917809"/>
    <x v="3"/>
    <n v="1"/>
    <d v="2005-05-07T00:00:00"/>
  </r>
  <r>
    <x v="1"/>
    <n v="18968377"/>
    <x v="1"/>
    <d v="2025-09-23T00:00:00"/>
    <x v="0"/>
    <x v="3"/>
    <x v="4"/>
    <d v="2025-10-13T00:00:00"/>
    <n v="20"/>
    <n v="0.66666666666666663"/>
    <n v="1"/>
    <n v="1"/>
    <n v="1"/>
    <x v="0"/>
    <n v="21.676712328767124"/>
    <x v="2"/>
    <n v="2"/>
    <d v="2004-01-25T00:00:00"/>
  </r>
  <r>
    <x v="1"/>
    <n v="18968385"/>
    <x v="0"/>
    <d v="2025-09-23T00:00:00"/>
    <x v="0"/>
    <x v="3"/>
    <x v="4"/>
    <d v="2026-02-28T00:00:00"/>
    <n v="158"/>
    <n v="5.2666666666666666"/>
    <n v="0"/>
    <n v="0"/>
    <n v="1"/>
    <x v="1"/>
    <n v="23.682191780821917"/>
    <x v="2"/>
    <n v="2"/>
    <d v="2002-01-23T00:00:00"/>
  </r>
  <r>
    <x v="1"/>
    <n v="18968397"/>
    <x v="0"/>
    <d v="2025-09-23T00:00:00"/>
    <x v="0"/>
    <x v="3"/>
    <x v="4"/>
    <m/>
    <n v="9999"/>
    <n v="333.3"/>
    <n v="0"/>
    <n v="0"/>
    <n v="0"/>
    <x v="1"/>
    <n v="26.265753424657536"/>
    <x v="1"/>
    <n v="3"/>
    <d v="1999-06-25T00:00:00"/>
  </r>
  <r>
    <x v="1"/>
    <n v="18968398"/>
    <x v="1"/>
    <d v="2025-09-23T00:00:00"/>
    <x v="0"/>
    <x v="3"/>
    <x v="4"/>
    <d v="2025-11-15T00:00:00"/>
    <n v="53"/>
    <n v="1.7666666666666666"/>
    <n v="0"/>
    <n v="1"/>
    <n v="1"/>
    <x v="1"/>
    <n v="21.772602739726029"/>
    <x v="2"/>
    <n v="2"/>
    <d v="2003-12-21T00:00:00"/>
  </r>
  <r>
    <x v="1"/>
    <n v="18968399"/>
    <x v="0"/>
    <d v="2025-09-23T00:00:00"/>
    <x v="0"/>
    <x v="3"/>
    <x v="4"/>
    <d v="2026-03-16T00:00:00"/>
    <n v="174"/>
    <n v="5.8"/>
    <n v="0"/>
    <n v="0"/>
    <n v="1"/>
    <x v="1"/>
    <n v="42.213698630136989"/>
    <x v="0"/>
    <n v="4"/>
    <d v="1983-07-18T00:00:00"/>
  </r>
  <r>
    <x v="1"/>
    <n v="18968401"/>
    <x v="0"/>
    <d v="2025-09-23T00:00:00"/>
    <x v="0"/>
    <x v="3"/>
    <x v="4"/>
    <m/>
    <n v="9999"/>
    <n v="333.3"/>
    <n v="0"/>
    <n v="0"/>
    <n v="0"/>
    <x v="1"/>
    <n v="18.079452054794519"/>
    <x v="3"/>
    <n v="1"/>
    <d v="2007-08-30T00:00:00"/>
  </r>
  <r>
    <x v="1"/>
    <n v="18968408"/>
    <x v="0"/>
    <d v="2025-09-23T00:00:00"/>
    <x v="0"/>
    <x v="3"/>
    <x v="4"/>
    <d v="2025-10-31T00:00:00"/>
    <n v="38"/>
    <n v="1.2666666666666666"/>
    <n v="0"/>
    <n v="1"/>
    <n v="1"/>
    <x v="1"/>
    <n v="20.791780821917808"/>
    <x v="3"/>
    <n v="1"/>
    <d v="2004-12-13T00:00:00"/>
  </r>
  <r>
    <x v="1"/>
    <n v="18968485"/>
    <x v="0"/>
    <d v="2026-03-11T00:00:00"/>
    <x v="1"/>
    <x v="0"/>
    <x v="5"/>
    <m/>
    <n v="9999"/>
    <n v="333.3"/>
    <n v="0"/>
    <n v="0"/>
    <n v="0"/>
    <x v="0"/>
    <n v="22.241095890410961"/>
    <x v="2"/>
    <n v="2"/>
    <d v="2003-12-19T00:00:00"/>
  </r>
  <r>
    <x v="1"/>
    <n v="18968502"/>
    <x v="1"/>
    <d v="2025-09-23T00:00:00"/>
    <x v="0"/>
    <x v="3"/>
    <x v="4"/>
    <m/>
    <n v="9999"/>
    <n v="333.3"/>
    <n v="0"/>
    <n v="0"/>
    <n v="0"/>
    <x v="1"/>
    <n v="21.065753424657533"/>
    <x v="2"/>
    <n v="2"/>
    <d v="2004-09-04T00:00:00"/>
  </r>
  <r>
    <x v="1"/>
    <n v="18968548"/>
    <x v="0"/>
    <d v="2025-09-23T00:00:00"/>
    <x v="0"/>
    <x v="3"/>
    <x v="4"/>
    <d v="2025-10-31T00:00:00"/>
    <n v="38"/>
    <n v="1.2666666666666666"/>
    <n v="0"/>
    <n v="1"/>
    <n v="1"/>
    <x v="0"/>
    <n v="36.805479452054797"/>
    <x v="0"/>
    <n v="4"/>
    <d v="1988-12-12T00:00:00"/>
  </r>
  <r>
    <x v="1"/>
    <n v="18968579"/>
    <x v="0"/>
    <d v="2025-09-23T00:00:00"/>
    <x v="0"/>
    <x v="3"/>
    <x v="4"/>
    <d v="2026-01-01T00:00:00"/>
    <n v="100"/>
    <n v="3.3333333333333335"/>
    <n v="0"/>
    <n v="0"/>
    <n v="1"/>
    <x v="1"/>
    <n v="22.024657534246575"/>
    <x v="2"/>
    <n v="2"/>
    <d v="2003-09-20T00:00:00"/>
  </r>
  <r>
    <x v="1"/>
    <n v="18968675"/>
    <x v="0"/>
    <d v="2025-09-24T00:00:00"/>
    <x v="0"/>
    <x v="3"/>
    <x v="4"/>
    <d v="2026-01-01T00:00:00"/>
    <n v="99"/>
    <n v="3.3"/>
    <n v="0"/>
    <n v="0"/>
    <n v="1"/>
    <x v="0"/>
    <n v="20.895890410958906"/>
    <x v="3"/>
    <n v="1"/>
    <d v="2004-11-06T00:00:00"/>
  </r>
  <r>
    <x v="1"/>
    <n v="18968726"/>
    <x v="1"/>
    <d v="2025-09-24T00:00:00"/>
    <x v="0"/>
    <x v="3"/>
    <x v="4"/>
    <d v="2025-10-04T00:00:00"/>
    <n v="10"/>
    <n v="0.33333333333333331"/>
    <n v="1"/>
    <n v="1"/>
    <n v="1"/>
    <x v="0"/>
    <n v="29.80821917808219"/>
    <x v="1"/>
    <n v="3"/>
    <d v="1995-12-11T00:00:00"/>
  </r>
  <r>
    <x v="1"/>
    <n v="18969190"/>
    <x v="1"/>
    <d v="2025-09-25T00:00:00"/>
    <x v="0"/>
    <x v="3"/>
    <x v="4"/>
    <d v="2026-03-31T00:00:00"/>
    <n v="187"/>
    <n v="6.2333333333333334"/>
    <n v="0"/>
    <n v="0"/>
    <n v="0"/>
    <x v="1"/>
    <n v="20.701369863013699"/>
    <x v="3"/>
    <n v="1"/>
    <d v="2005-01-17T00:00:00"/>
  </r>
  <r>
    <x v="1"/>
    <n v="18969191"/>
    <x v="0"/>
    <d v="2025-09-25T00:00:00"/>
    <x v="0"/>
    <x v="3"/>
    <x v="4"/>
    <d v="2026-03-01T00:00:00"/>
    <n v="157"/>
    <n v="5.2333333333333334"/>
    <n v="0"/>
    <n v="0"/>
    <n v="1"/>
    <x v="1"/>
    <n v="19.156164383561645"/>
    <x v="3"/>
    <n v="1"/>
    <d v="2006-08-04T00:00:00"/>
  </r>
  <r>
    <x v="1"/>
    <n v="18969214"/>
    <x v="1"/>
    <d v="2025-09-25T00:00:00"/>
    <x v="0"/>
    <x v="3"/>
    <x v="4"/>
    <m/>
    <n v="9999"/>
    <n v="333.3"/>
    <n v="0"/>
    <n v="0"/>
    <n v="0"/>
    <x v="0"/>
    <n v="18.175342465753424"/>
    <x v="3"/>
    <n v="1"/>
    <d v="2007-07-28T00:00:00"/>
  </r>
  <r>
    <x v="1"/>
    <n v="18969216"/>
    <x v="0"/>
    <d v="2025-09-25T00:00:00"/>
    <x v="0"/>
    <x v="3"/>
    <x v="4"/>
    <d v="2026-02-09T00:00:00"/>
    <n v="137"/>
    <n v="4.5666666666666664"/>
    <n v="0"/>
    <n v="0"/>
    <n v="1"/>
    <x v="1"/>
    <n v="29.386301369863013"/>
    <x v="1"/>
    <n v="3"/>
    <d v="1996-05-14T00:00:00"/>
  </r>
  <r>
    <x v="1"/>
    <n v="18969320"/>
    <x v="0"/>
    <d v="2025-09-25T00:00:00"/>
    <x v="0"/>
    <x v="3"/>
    <x v="4"/>
    <m/>
    <n v="9999"/>
    <n v="333.3"/>
    <n v="0"/>
    <n v="0"/>
    <n v="0"/>
    <x v="1"/>
    <n v="33.43013698630137"/>
    <x v="0"/>
    <n v="4"/>
    <d v="1992-04-29T00:00:00"/>
  </r>
  <r>
    <x v="1"/>
    <n v="18969390"/>
    <x v="0"/>
    <d v="2025-09-25T00:00:00"/>
    <x v="0"/>
    <x v="3"/>
    <x v="4"/>
    <d v="2025-11-07T00:00:00"/>
    <n v="43"/>
    <n v="1.4333333333333333"/>
    <n v="0"/>
    <n v="1"/>
    <n v="1"/>
    <x v="1"/>
    <n v="19.849315068493151"/>
    <x v="3"/>
    <n v="1"/>
    <d v="2005-11-24T00:00:00"/>
  </r>
  <r>
    <x v="1"/>
    <n v="18969461"/>
    <x v="0"/>
    <d v="2025-09-26T00:00:00"/>
    <x v="0"/>
    <x v="3"/>
    <x v="4"/>
    <d v="2026-04-01T00:00:00"/>
    <n v="187"/>
    <n v="6.2333333333333334"/>
    <n v="0"/>
    <n v="0"/>
    <n v="0"/>
    <x v="0"/>
    <n v="19.627397260273973"/>
    <x v="3"/>
    <n v="1"/>
    <d v="2006-02-14T00:00:00"/>
  </r>
  <r>
    <x v="1"/>
    <n v="18969507"/>
    <x v="1"/>
    <d v="2025-09-26T00:00:00"/>
    <x v="0"/>
    <x v="3"/>
    <x v="4"/>
    <d v="2025-10-06T00:00:00"/>
    <n v="10"/>
    <n v="0.33333333333333331"/>
    <n v="1"/>
    <n v="1"/>
    <n v="1"/>
    <x v="1"/>
    <n v="23.736986301369864"/>
    <x v="2"/>
    <n v="2"/>
    <d v="2002-01-06T00:00:00"/>
  </r>
  <r>
    <x v="1"/>
    <n v="18969520"/>
    <x v="0"/>
    <d v="2025-09-26T00:00:00"/>
    <x v="0"/>
    <x v="3"/>
    <x v="4"/>
    <d v="2026-02-15T00:00:00"/>
    <n v="142"/>
    <n v="4.7333333333333334"/>
    <n v="0"/>
    <n v="0"/>
    <n v="1"/>
    <x v="1"/>
    <n v="27.772602739726029"/>
    <x v="1"/>
    <n v="3"/>
    <d v="1997-12-25T00:00:00"/>
  </r>
  <r>
    <x v="1"/>
    <n v="18969526"/>
    <x v="0"/>
    <d v="2025-09-26T00:00:00"/>
    <x v="0"/>
    <x v="3"/>
    <x v="4"/>
    <d v="2026-02-15T00:00:00"/>
    <n v="142"/>
    <n v="4.7333333333333334"/>
    <n v="0"/>
    <n v="0"/>
    <n v="1"/>
    <x v="1"/>
    <n v="28.646575342465752"/>
    <x v="1"/>
    <n v="3"/>
    <d v="1997-02-09T00:00:00"/>
  </r>
  <r>
    <x v="1"/>
    <n v="18969568"/>
    <x v="0"/>
    <d v="2025-09-26T00:00:00"/>
    <x v="0"/>
    <x v="3"/>
    <x v="4"/>
    <m/>
    <n v="9999"/>
    <n v="333.3"/>
    <n v="0"/>
    <n v="0"/>
    <n v="0"/>
    <x v="1"/>
    <n v="22.531506849315068"/>
    <x v="2"/>
    <n v="2"/>
    <d v="2003-03-22T00:00:00"/>
  </r>
  <r>
    <x v="1"/>
    <n v="18969569"/>
    <x v="1"/>
    <d v="2025-09-26T00:00:00"/>
    <x v="0"/>
    <x v="3"/>
    <x v="4"/>
    <d v="2025-10-01T00:00:00"/>
    <n v="5"/>
    <n v="0.16666666666666666"/>
    <n v="1"/>
    <n v="1"/>
    <n v="1"/>
    <x v="1"/>
    <n v="31.098630136986301"/>
    <x v="0"/>
    <n v="4"/>
    <d v="1994-08-29T00:00:00"/>
  </r>
  <r>
    <x v="1"/>
    <n v="18969588"/>
    <x v="0"/>
    <d v="2025-09-26T00:00:00"/>
    <x v="0"/>
    <x v="3"/>
    <x v="4"/>
    <d v="2026-01-01T00:00:00"/>
    <n v="97"/>
    <n v="3.2333333333333334"/>
    <n v="0"/>
    <n v="0"/>
    <n v="1"/>
    <x v="1"/>
    <n v="20.161643835616438"/>
    <x v="3"/>
    <n v="1"/>
    <d v="2005-08-03T00:00:00"/>
  </r>
  <r>
    <x v="1"/>
    <n v="18969604"/>
    <x v="0"/>
    <d v="2025-09-26T00:00:00"/>
    <x v="0"/>
    <x v="3"/>
    <x v="4"/>
    <m/>
    <n v="9999"/>
    <n v="333.3"/>
    <n v="0"/>
    <n v="0"/>
    <n v="0"/>
    <x v="1"/>
    <n v="20.019178082191782"/>
    <x v="3"/>
    <n v="1"/>
    <d v="2005-09-24T00:00:00"/>
  </r>
  <r>
    <x v="1"/>
    <n v="18969605"/>
    <x v="0"/>
    <d v="2025-09-26T00:00:00"/>
    <x v="0"/>
    <x v="3"/>
    <x v="4"/>
    <d v="2026-04-01T00:00:00"/>
    <n v="187"/>
    <n v="6.2333333333333334"/>
    <n v="0"/>
    <n v="0"/>
    <n v="0"/>
    <x v="1"/>
    <n v="23.443835616438356"/>
    <x v="2"/>
    <n v="2"/>
    <d v="2002-04-23T00:00:00"/>
  </r>
  <r>
    <x v="1"/>
    <n v="18969641"/>
    <x v="1"/>
    <d v="2025-09-26T00:00:00"/>
    <x v="0"/>
    <x v="3"/>
    <x v="4"/>
    <m/>
    <n v="9999"/>
    <n v="333.3"/>
    <n v="0"/>
    <n v="0"/>
    <n v="0"/>
    <x v="1"/>
    <n v="34.320547945205476"/>
    <x v="0"/>
    <n v="4"/>
    <d v="1991-06-10T00:00:00"/>
  </r>
  <r>
    <x v="1"/>
    <n v="18969643"/>
    <x v="1"/>
    <d v="2025-09-26T00:00:00"/>
    <x v="0"/>
    <x v="3"/>
    <x v="4"/>
    <d v="2026-03-08T00:00:00"/>
    <n v="163"/>
    <n v="5.4333333333333336"/>
    <n v="0"/>
    <n v="0"/>
    <n v="1"/>
    <x v="0"/>
    <n v="30.142465753424659"/>
    <x v="1"/>
    <n v="3"/>
    <d v="1995-08-13T00:00:00"/>
  </r>
  <r>
    <x v="1"/>
    <n v="18969653"/>
    <x v="0"/>
    <d v="2025-09-26T00:00:00"/>
    <x v="0"/>
    <x v="3"/>
    <x v="4"/>
    <d v="2026-03-12T00:00:00"/>
    <n v="167"/>
    <n v="5.5666666666666664"/>
    <n v="0"/>
    <n v="0"/>
    <n v="1"/>
    <x v="0"/>
    <n v="18.671232876712327"/>
    <x v="3"/>
    <n v="1"/>
    <d v="2007-01-29T00:00:00"/>
  </r>
  <r>
    <x v="1"/>
    <n v="18969674"/>
    <x v="0"/>
    <d v="2025-09-26T00:00:00"/>
    <x v="0"/>
    <x v="3"/>
    <x v="4"/>
    <d v="2026-01-01T00:00:00"/>
    <n v="97"/>
    <n v="3.2333333333333334"/>
    <n v="0"/>
    <n v="0"/>
    <n v="1"/>
    <x v="0"/>
    <n v="19.473972602739725"/>
    <x v="3"/>
    <n v="1"/>
    <d v="2006-04-11T00:00:00"/>
  </r>
  <r>
    <x v="1"/>
    <n v="18969676"/>
    <x v="0"/>
    <d v="2025-09-26T00:00:00"/>
    <x v="0"/>
    <x v="3"/>
    <x v="4"/>
    <d v="2026-03-01T00:00:00"/>
    <n v="156"/>
    <n v="5.2"/>
    <n v="0"/>
    <n v="0"/>
    <n v="1"/>
    <x v="0"/>
    <n v="22.917808219178081"/>
    <x v="2"/>
    <n v="2"/>
    <d v="2002-11-01T00:00:00"/>
  </r>
  <r>
    <x v="1"/>
    <n v="18969695"/>
    <x v="1"/>
    <d v="2025-09-26T00:00:00"/>
    <x v="0"/>
    <x v="3"/>
    <x v="4"/>
    <d v="2026-03-31T00:00:00"/>
    <n v="186"/>
    <n v="6.2"/>
    <n v="0"/>
    <n v="0"/>
    <n v="0"/>
    <x v="0"/>
    <n v="31.087671232876712"/>
    <x v="0"/>
    <n v="4"/>
    <d v="1994-09-02T00:00:00"/>
  </r>
  <r>
    <x v="1"/>
    <n v="18969745"/>
    <x v="0"/>
    <d v="2025-09-26T00:00:00"/>
    <x v="0"/>
    <x v="3"/>
    <x v="4"/>
    <m/>
    <n v="9999"/>
    <n v="333.3"/>
    <n v="0"/>
    <n v="0"/>
    <n v="0"/>
    <x v="0"/>
    <n v="18.145205479452056"/>
    <x v="3"/>
    <n v="1"/>
    <d v="2007-08-09T00:00:00"/>
  </r>
  <r>
    <x v="1"/>
    <n v="18969746"/>
    <x v="1"/>
    <d v="2025-09-26T00:00:00"/>
    <x v="0"/>
    <x v="3"/>
    <x v="4"/>
    <m/>
    <n v="9999"/>
    <n v="333.3"/>
    <n v="0"/>
    <n v="0"/>
    <n v="0"/>
    <x v="0"/>
    <n v="21.786301369863015"/>
    <x v="2"/>
    <n v="2"/>
    <d v="2003-12-19T00:00:00"/>
  </r>
  <r>
    <x v="1"/>
    <n v="18969800"/>
    <x v="0"/>
    <d v="2025-09-27T00:00:00"/>
    <x v="0"/>
    <x v="3"/>
    <x v="4"/>
    <d v="2025-10-13T00:00:00"/>
    <n v="16"/>
    <n v="0.53333333333333333"/>
    <n v="1"/>
    <n v="1"/>
    <n v="1"/>
    <x v="0"/>
    <n v="21.583561643835615"/>
    <x v="2"/>
    <n v="2"/>
    <d v="2004-03-03T00:00:00"/>
  </r>
  <r>
    <x v="1"/>
    <n v="18969801"/>
    <x v="1"/>
    <d v="2025-09-27T00:00:00"/>
    <x v="0"/>
    <x v="3"/>
    <x v="4"/>
    <m/>
    <n v="9999"/>
    <n v="333.3"/>
    <n v="0"/>
    <n v="0"/>
    <n v="0"/>
    <x v="0"/>
    <n v="19.350684931506848"/>
    <x v="3"/>
    <n v="1"/>
    <d v="2006-05-27T00:00:00"/>
  </r>
  <r>
    <x v="1"/>
    <n v="18970267"/>
    <x v="1"/>
    <d v="2025-09-29T00:00:00"/>
    <x v="0"/>
    <x v="3"/>
    <x v="4"/>
    <d v="2026-02-15T00:00:00"/>
    <n v="139"/>
    <n v="4.6333333333333337"/>
    <n v="0"/>
    <n v="0"/>
    <n v="1"/>
    <x v="0"/>
    <n v="19.12876712328767"/>
    <x v="3"/>
    <n v="1"/>
    <d v="2006-08-18T00:00:00"/>
  </r>
  <r>
    <x v="1"/>
    <n v="18970269"/>
    <x v="1"/>
    <d v="2025-09-29T00:00:00"/>
    <x v="0"/>
    <x v="3"/>
    <x v="4"/>
    <d v="2025-11-17T00:00:00"/>
    <n v="49"/>
    <n v="1.6333333333333333"/>
    <n v="0"/>
    <n v="1"/>
    <n v="1"/>
    <x v="0"/>
    <n v="19.767123287671232"/>
    <x v="3"/>
    <n v="1"/>
    <d v="2005-12-28T00:00:00"/>
  </r>
  <r>
    <x v="1"/>
    <n v="18970270"/>
    <x v="0"/>
    <d v="2025-09-29T00:00:00"/>
    <x v="0"/>
    <x v="3"/>
    <x v="4"/>
    <d v="2025-10-09T00:00:00"/>
    <n v="10"/>
    <n v="0.33333333333333331"/>
    <n v="1"/>
    <n v="1"/>
    <n v="1"/>
    <x v="0"/>
    <n v="18.75068493150685"/>
    <x v="3"/>
    <n v="1"/>
    <d v="2007-01-03T00:00:00"/>
  </r>
  <r>
    <x v="1"/>
    <n v="18970271"/>
    <x v="1"/>
    <d v="2025-09-29T00:00:00"/>
    <x v="0"/>
    <x v="3"/>
    <x v="4"/>
    <d v="2026-01-15T00:00:00"/>
    <n v="108"/>
    <n v="3.6"/>
    <n v="0"/>
    <n v="0"/>
    <n v="1"/>
    <x v="0"/>
    <n v="19.142465753424659"/>
    <x v="3"/>
    <n v="1"/>
    <d v="2006-08-13T00:00:00"/>
  </r>
  <r>
    <x v="1"/>
    <n v="18970310"/>
    <x v="0"/>
    <d v="2025-09-29T00:00:00"/>
    <x v="0"/>
    <x v="3"/>
    <x v="4"/>
    <m/>
    <n v="9999"/>
    <n v="333.3"/>
    <n v="0"/>
    <n v="0"/>
    <n v="0"/>
    <x v="0"/>
    <n v="19.758904109589039"/>
    <x v="3"/>
    <n v="1"/>
    <d v="2005-12-31T00:00:00"/>
  </r>
  <r>
    <x v="1"/>
    <n v="18970311"/>
    <x v="1"/>
    <d v="2025-09-29T00:00:00"/>
    <x v="0"/>
    <x v="3"/>
    <x v="4"/>
    <m/>
    <n v="9999"/>
    <n v="333.3"/>
    <n v="0"/>
    <n v="0"/>
    <n v="0"/>
    <x v="0"/>
    <n v="19.61917808219178"/>
    <x v="3"/>
    <n v="1"/>
    <d v="2006-02-20T00:00:00"/>
  </r>
  <r>
    <x v="1"/>
    <n v="18970312"/>
    <x v="0"/>
    <d v="2025-09-29T00:00:00"/>
    <x v="0"/>
    <x v="3"/>
    <x v="4"/>
    <d v="2025-11-03T00:00:00"/>
    <n v="35"/>
    <n v="1.1666666666666667"/>
    <n v="0"/>
    <n v="1"/>
    <n v="1"/>
    <x v="0"/>
    <n v="20.090410958904108"/>
    <x v="3"/>
    <n v="1"/>
    <d v="2005-09-01T00:00:00"/>
  </r>
  <r>
    <x v="1"/>
    <n v="18970858"/>
    <x v="1"/>
    <d v="2025-10-01T00:00:00"/>
    <x v="0"/>
    <x v="8"/>
    <x v="10"/>
    <m/>
    <n v="9999"/>
    <n v="333.3"/>
    <n v="0"/>
    <n v="0"/>
    <n v="0"/>
    <x v="1"/>
    <n v="22.186301369863013"/>
    <x v="2"/>
    <n v="2"/>
    <d v="2003-07-31T00:00:00"/>
  </r>
  <r>
    <x v="1"/>
    <n v="18970859"/>
    <x v="1"/>
    <d v="2025-10-01T00:00:00"/>
    <x v="0"/>
    <x v="8"/>
    <x v="10"/>
    <m/>
    <n v="9999"/>
    <n v="333.3"/>
    <n v="0"/>
    <n v="0"/>
    <n v="0"/>
    <x v="1"/>
    <n v="18.783561643835615"/>
    <x v="3"/>
    <n v="1"/>
    <d v="2006-12-24T00:00:00"/>
  </r>
  <r>
    <x v="1"/>
    <n v="18970861"/>
    <x v="0"/>
    <d v="2025-10-01T00:00:00"/>
    <x v="0"/>
    <x v="8"/>
    <x v="10"/>
    <d v="2026-03-01T00:00:00"/>
    <n v="151"/>
    <n v="5.0333333333333332"/>
    <n v="0"/>
    <n v="0"/>
    <n v="1"/>
    <x v="1"/>
    <n v="20.18082191780822"/>
    <x v="3"/>
    <n v="1"/>
    <d v="2005-08-01T00:00:00"/>
  </r>
  <r>
    <x v="1"/>
    <n v="18970865"/>
    <x v="0"/>
    <d v="2025-10-01T00:00:00"/>
    <x v="0"/>
    <x v="8"/>
    <x v="10"/>
    <d v="2026-04-01T00:00:00"/>
    <n v="182"/>
    <n v="6.0666666666666664"/>
    <n v="0"/>
    <n v="0"/>
    <n v="0"/>
    <x v="0"/>
    <n v="21.827397260273973"/>
    <x v="2"/>
    <n v="2"/>
    <d v="2003-12-09T00:00:00"/>
  </r>
  <r>
    <x v="1"/>
    <n v="18970883"/>
    <x v="0"/>
    <d v="2025-10-01T00:00:00"/>
    <x v="0"/>
    <x v="8"/>
    <x v="10"/>
    <m/>
    <n v="9999"/>
    <n v="333.3"/>
    <n v="0"/>
    <n v="0"/>
    <n v="0"/>
    <x v="0"/>
    <n v="24.734246575342464"/>
    <x v="2"/>
    <n v="2"/>
    <d v="2001-01-12T00:00:00"/>
  </r>
  <r>
    <x v="1"/>
    <n v="18970938"/>
    <x v="0"/>
    <d v="2025-10-01T00:00:00"/>
    <x v="0"/>
    <x v="8"/>
    <x v="10"/>
    <d v="2026-01-03T00:00:00"/>
    <n v="94"/>
    <n v="3.1333333333333333"/>
    <n v="0"/>
    <n v="0"/>
    <n v="1"/>
    <x v="1"/>
    <n v="23.605479452054794"/>
    <x v="2"/>
    <n v="2"/>
    <d v="2002-02-28T00:00:00"/>
  </r>
  <r>
    <x v="1"/>
    <n v="18970942"/>
    <x v="0"/>
    <d v="2025-10-01T00:00:00"/>
    <x v="0"/>
    <x v="8"/>
    <x v="10"/>
    <m/>
    <n v="9999"/>
    <n v="333.3"/>
    <n v="0"/>
    <n v="0"/>
    <n v="0"/>
    <x v="1"/>
    <n v="34.887671232876713"/>
    <x v="0"/>
    <n v="4"/>
    <d v="1990-11-20T00:00:00"/>
  </r>
  <r>
    <x v="1"/>
    <n v="18970943"/>
    <x v="0"/>
    <d v="2025-10-01T00:00:00"/>
    <x v="0"/>
    <x v="8"/>
    <x v="10"/>
    <d v="2026-05-31T00:00:00"/>
    <n v="242"/>
    <n v="8.0666666666666664"/>
    <n v="0"/>
    <n v="0"/>
    <n v="0"/>
    <x v="1"/>
    <n v="34.9972602739726"/>
    <x v="0"/>
    <n v="4"/>
    <d v="1990-10-11T00:00:00"/>
  </r>
  <r>
    <x v="1"/>
    <n v="18970949"/>
    <x v="0"/>
    <d v="2025-10-01T00:00:00"/>
    <x v="0"/>
    <x v="8"/>
    <x v="10"/>
    <d v="2026-04-01T00:00:00"/>
    <n v="182"/>
    <n v="6.0666666666666664"/>
    <n v="0"/>
    <n v="0"/>
    <n v="0"/>
    <x v="1"/>
    <n v="20.81095890410959"/>
    <x v="3"/>
    <n v="1"/>
    <d v="2004-12-14T00:00:00"/>
  </r>
  <r>
    <x v="1"/>
    <n v="18970969"/>
    <x v="0"/>
    <d v="2025-10-01T00:00:00"/>
    <x v="0"/>
    <x v="8"/>
    <x v="10"/>
    <d v="2025-10-10T00:00:00"/>
    <n v="9"/>
    <n v="0.3"/>
    <n v="1"/>
    <n v="1"/>
    <n v="1"/>
    <x v="1"/>
    <n v="18.912328767123288"/>
    <x v="3"/>
    <n v="1"/>
    <d v="2006-11-07T00:00:00"/>
  </r>
  <r>
    <x v="1"/>
    <n v="18971074"/>
    <x v="1"/>
    <d v="2025-10-01T00:00:00"/>
    <x v="0"/>
    <x v="8"/>
    <x v="10"/>
    <m/>
    <n v="9999"/>
    <n v="333.3"/>
    <n v="0"/>
    <n v="0"/>
    <n v="0"/>
    <x v="0"/>
    <n v="22.156164383561645"/>
    <x v="2"/>
    <n v="2"/>
    <d v="2003-08-11T00:00:00"/>
  </r>
  <r>
    <x v="1"/>
    <n v="18971169"/>
    <x v="0"/>
    <d v="2025-10-02T00:00:00"/>
    <x v="0"/>
    <x v="8"/>
    <x v="10"/>
    <m/>
    <n v="9999"/>
    <n v="333.3"/>
    <n v="0"/>
    <n v="0"/>
    <n v="0"/>
    <x v="0"/>
    <n v="22.608219178082191"/>
    <x v="2"/>
    <n v="2"/>
    <d v="2003-02-28T00:00:00"/>
  </r>
  <r>
    <x v="1"/>
    <n v="18971211"/>
    <x v="0"/>
    <d v="2025-10-02T00:00:00"/>
    <x v="0"/>
    <x v="8"/>
    <x v="10"/>
    <d v="2026-02-02T00:00:00"/>
    <n v="123"/>
    <n v="4.0999999999999996"/>
    <n v="0"/>
    <n v="0"/>
    <n v="1"/>
    <x v="0"/>
    <n v="21.731506849315068"/>
    <x v="2"/>
    <n v="2"/>
    <d v="2004-01-14T00:00:00"/>
  </r>
  <r>
    <x v="1"/>
    <n v="18971212"/>
    <x v="0"/>
    <d v="2025-10-02T00:00:00"/>
    <x v="0"/>
    <x v="8"/>
    <x v="10"/>
    <m/>
    <n v="9999"/>
    <n v="333.3"/>
    <n v="0"/>
    <n v="0"/>
    <n v="0"/>
    <x v="0"/>
    <n v="22.673972602739727"/>
    <x v="2"/>
    <n v="2"/>
    <d v="2003-02-04T00:00:00"/>
  </r>
  <r>
    <x v="1"/>
    <n v="18971247"/>
    <x v="0"/>
    <d v="2025-10-02T00:00:00"/>
    <x v="0"/>
    <x v="8"/>
    <x v="10"/>
    <d v="2025-10-13T00:00:00"/>
    <n v="11"/>
    <n v="0.36666666666666664"/>
    <n v="1"/>
    <n v="1"/>
    <n v="1"/>
    <x v="0"/>
    <n v="25.463013698630139"/>
    <x v="2"/>
    <n v="2"/>
    <d v="2000-04-22T00:00:00"/>
  </r>
  <r>
    <x v="0"/>
    <n v="18971257"/>
    <x v="0"/>
    <d v="2025-10-01T00:00:00"/>
    <x v="0"/>
    <x v="8"/>
    <x v="10"/>
    <m/>
    <n v="9999"/>
    <n v="333.3"/>
    <n v="0"/>
    <n v="0"/>
    <n v="0"/>
    <x v="0"/>
    <n v="21.550684931506851"/>
    <x v="2"/>
    <n v="2"/>
    <d v="2004-03-19T00:00:00"/>
  </r>
  <r>
    <x v="1"/>
    <n v="18971261"/>
    <x v="0"/>
    <d v="2025-10-01T00:00:00"/>
    <x v="0"/>
    <x v="8"/>
    <x v="10"/>
    <d v="2026-04-15T00:00:00"/>
    <n v="196"/>
    <n v="6.5333333333333332"/>
    <n v="0"/>
    <n v="0"/>
    <n v="0"/>
    <x v="0"/>
    <n v="23.923287671232877"/>
    <x v="2"/>
    <n v="2"/>
    <d v="2001-11-04T00:00:00"/>
  </r>
  <r>
    <x v="1"/>
    <n v="18971267"/>
    <x v="0"/>
    <d v="2025-10-01T00:00:00"/>
    <x v="0"/>
    <x v="8"/>
    <x v="10"/>
    <d v="2026-05-05T00:00:00"/>
    <n v="216"/>
    <n v="7.2"/>
    <n v="0"/>
    <n v="0"/>
    <n v="0"/>
    <x v="0"/>
    <n v="22.583561643835615"/>
    <x v="2"/>
    <n v="2"/>
    <d v="2003-03-08T00:00:00"/>
  </r>
  <r>
    <x v="1"/>
    <n v="18971269"/>
    <x v="0"/>
    <d v="2025-10-01T00:00:00"/>
    <x v="0"/>
    <x v="8"/>
    <x v="10"/>
    <m/>
    <n v="9999"/>
    <n v="333.3"/>
    <n v="0"/>
    <n v="0"/>
    <n v="0"/>
    <x v="0"/>
    <n v="25.953424657534246"/>
    <x v="2"/>
    <n v="2"/>
    <d v="1999-10-25T00:00:00"/>
  </r>
  <r>
    <x v="1"/>
    <n v="18971271"/>
    <x v="0"/>
    <d v="2025-10-01T00:00:00"/>
    <x v="0"/>
    <x v="8"/>
    <x v="10"/>
    <m/>
    <n v="9999"/>
    <n v="333.3"/>
    <n v="0"/>
    <n v="0"/>
    <n v="0"/>
    <x v="0"/>
    <n v="40.246575342465754"/>
    <x v="0"/>
    <n v="4"/>
    <d v="1985-07-13T00:00:00"/>
  </r>
  <r>
    <x v="1"/>
    <n v="18971272"/>
    <x v="0"/>
    <d v="2025-10-01T00:00:00"/>
    <x v="0"/>
    <x v="8"/>
    <x v="10"/>
    <m/>
    <n v="9999"/>
    <n v="333.3"/>
    <n v="0"/>
    <n v="0"/>
    <n v="0"/>
    <x v="0"/>
    <n v="24.356164383561644"/>
    <x v="2"/>
    <n v="2"/>
    <d v="2001-05-30T00:00:00"/>
  </r>
  <r>
    <x v="1"/>
    <n v="18971274"/>
    <x v="0"/>
    <d v="2025-10-01T00:00:00"/>
    <x v="0"/>
    <x v="8"/>
    <x v="10"/>
    <m/>
    <n v="9999"/>
    <n v="333.3"/>
    <n v="0"/>
    <n v="0"/>
    <n v="0"/>
    <x v="0"/>
    <n v="41.523287671232879"/>
    <x v="0"/>
    <n v="4"/>
    <d v="1984-04-03T00:00:00"/>
  </r>
  <r>
    <x v="1"/>
    <n v="18971275"/>
    <x v="0"/>
    <d v="2025-10-01T00:00:00"/>
    <x v="0"/>
    <x v="8"/>
    <x v="10"/>
    <m/>
    <n v="9999"/>
    <n v="333.3"/>
    <n v="0"/>
    <n v="0"/>
    <n v="0"/>
    <x v="0"/>
    <n v="29.709589041095889"/>
    <x v="1"/>
    <n v="3"/>
    <d v="1996-01-23T00:00:00"/>
  </r>
  <r>
    <x v="1"/>
    <n v="18971276"/>
    <x v="0"/>
    <d v="2025-10-01T00:00:00"/>
    <x v="0"/>
    <x v="8"/>
    <x v="10"/>
    <m/>
    <n v="9999"/>
    <n v="333.3"/>
    <n v="0"/>
    <n v="0"/>
    <n v="0"/>
    <x v="0"/>
    <n v="26.556164383561644"/>
    <x v="1"/>
    <n v="3"/>
    <d v="1999-03-19T00:00:00"/>
  </r>
  <r>
    <x v="1"/>
    <n v="18971278"/>
    <x v="0"/>
    <d v="2025-10-01T00:00:00"/>
    <x v="0"/>
    <x v="8"/>
    <x v="10"/>
    <d v="2025-10-09T00:00:00"/>
    <n v="8"/>
    <n v="0.26666666666666666"/>
    <n v="1"/>
    <n v="1"/>
    <n v="1"/>
    <x v="0"/>
    <n v="24.947945205479453"/>
    <x v="2"/>
    <n v="2"/>
    <d v="2000-10-26T00:00:00"/>
  </r>
  <r>
    <x v="1"/>
    <n v="18971281"/>
    <x v="0"/>
    <d v="2025-10-01T00:00:00"/>
    <x v="0"/>
    <x v="8"/>
    <x v="10"/>
    <m/>
    <n v="9999"/>
    <n v="333.3"/>
    <n v="0"/>
    <n v="0"/>
    <n v="0"/>
    <x v="0"/>
    <n v="25.969863013698632"/>
    <x v="2"/>
    <n v="2"/>
    <d v="1999-10-19T00:00:00"/>
  </r>
  <r>
    <x v="1"/>
    <n v="18971282"/>
    <x v="0"/>
    <d v="2025-10-01T00:00:00"/>
    <x v="0"/>
    <x v="8"/>
    <x v="10"/>
    <d v="2025-11-30T00:00:00"/>
    <n v="60"/>
    <n v="2"/>
    <n v="0"/>
    <n v="1"/>
    <n v="1"/>
    <x v="0"/>
    <n v="29.917808219178081"/>
    <x v="1"/>
    <n v="3"/>
    <d v="1995-11-08T00:00:00"/>
  </r>
  <r>
    <x v="0"/>
    <n v="18971284"/>
    <x v="0"/>
    <d v="2025-10-01T00:00:00"/>
    <x v="0"/>
    <x v="8"/>
    <x v="10"/>
    <m/>
    <n v="9999"/>
    <n v="333.3"/>
    <n v="0"/>
    <n v="0"/>
    <n v="0"/>
    <x v="0"/>
    <n v="23.210958904109589"/>
    <x v="2"/>
    <n v="2"/>
    <d v="2002-07-22T00:00:00"/>
  </r>
  <r>
    <x v="1"/>
    <n v="18971286"/>
    <x v="1"/>
    <d v="2025-10-01T00:00:00"/>
    <x v="0"/>
    <x v="8"/>
    <x v="10"/>
    <d v="2025-11-30T00:00:00"/>
    <n v="60"/>
    <n v="2"/>
    <n v="0"/>
    <n v="1"/>
    <n v="1"/>
    <x v="0"/>
    <n v="29.605479452054794"/>
    <x v="1"/>
    <n v="3"/>
    <d v="1996-03-01T00:00:00"/>
  </r>
  <r>
    <x v="1"/>
    <n v="18971287"/>
    <x v="0"/>
    <d v="2025-10-01T00:00:00"/>
    <x v="0"/>
    <x v="8"/>
    <x v="10"/>
    <d v="2025-10-09T00:00:00"/>
    <n v="8"/>
    <n v="0.26666666666666666"/>
    <n v="1"/>
    <n v="1"/>
    <n v="1"/>
    <x v="0"/>
    <n v="32.841095890410962"/>
    <x v="0"/>
    <n v="4"/>
    <d v="1992-12-06T00:00:00"/>
  </r>
  <r>
    <x v="0"/>
    <n v="18971288"/>
    <x v="1"/>
    <d v="2025-10-01T00:00:00"/>
    <x v="0"/>
    <x v="8"/>
    <x v="10"/>
    <m/>
    <n v="9999"/>
    <n v="333.3"/>
    <n v="0"/>
    <n v="0"/>
    <n v="0"/>
    <x v="0"/>
    <n v="36.386301369863013"/>
    <x v="0"/>
    <n v="4"/>
    <d v="1989-05-22T00:00:00"/>
  </r>
  <r>
    <x v="1"/>
    <n v="18971289"/>
    <x v="0"/>
    <d v="2025-10-01T00:00:00"/>
    <x v="0"/>
    <x v="8"/>
    <x v="10"/>
    <m/>
    <n v="9999"/>
    <n v="333.3"/>
    <n v="0"/>
    <n v="0"/>
    <n v="0"/>
    <x v="0"/>
    <n v="29.605479452054794"/>
    <x v="1"/>
    <n v="3"/>
    <d v="1996-03-01T00:00:00"/>
  </r>
  <r>
    <x v="1"/>
    <n v="18971293"/>
    <x v="0"/>
    <d v="2025-10-01T00:00:00"/>
    <x v="0"/>
    <x v="8"/>
    <x v="10"/>
    <d v="2026-01-01T00:00:00"/>
    <n v="92"/>
    <n v="3.0666666666666669"/>
    <n v="0"/>
    <n v="0"/>
    <n v="1"/>
    <x v="0"/>
    <n v="26.69041095890411"/>
    <x v="1"/>
    <n v="3"/>
    <d v="1999-01-29T00:00:00"/>
  </r>
  <r>
    <x v="1"/>
    <n v="18971299"/>
    <x v="0"/>
    <d v="2025-10-01T00:00:00"/>
    <x v="0"/>
    <x v="8"/>
    <x v="10"/>
    <d v="2026-02-16T00:00:00"/>
    <n v="138"/>
    <n v="4.5999999999999996"/>
    <n v="0"/>
    <n v="0"/>
    <n v="1"/>
    <x v="0"/>
    <n v="26.002739726027396"/>
    <x v="1"/>
    <n v="3"/>
    <d v="1999-10-07T00:00:00"/>
  </r>
  <r>
    <x v="1"/>
    <n v="18971300"/>
    <x v="0"/>
    <d v="2025-10-01T00:00:00"/>
    <x v="0"/>
    <x v="8"/>
    <x v="10"/>
    <d v="2026-02-16T00:00:00"/>
    <n v="138"/>
    <n v="4.5999999999999996"/>
    <n v="0"/>
    <n v="0"/>
    <n v="1"/>
    <x v="0"/>
    <n v="33.786301369863011"/>
    <x v="0"/>
    <n v="4"/>
    <d v="1991-12-27T00:00:00"/>
  </r>
  <r>
    <x v="1"/>
    <n v="18971301"/>
    <x v="0"/>
    <d v="2025-10-01T00:00:00"/>
    <x v="0"/>
    <x v="8"/>
    <x v="10"/>
    <d v="2026-05-11T00:00:00"/>
    <n v="222"/>
    <n v="7.4"/>
    <n v="0"/>
    <n v="0"/>
    <n v="0"/>
    <x v="0"/>
    <n v="26.846575342465755"/>
    <x v="1"/>
    <n v="3"/>
    <d v="1998-12-03T00:00:00"/>
  </r>
  <r>
    <x v="1"/>
    <n v="18971305"/>
    <x v="0"/>
    <d v="2025-10-01T00:00:00"/>
    <x v="0"/>
    <x v="8"/>
    <x v="10"/>
    <d v="2026-05-31T00:00:00"/>
    <n v="242"/>
    <n v="8.0666666666666664"/>
    <n v="0"/>
    <n v="0"/>
    <n v="0"/>
    <x v="0"/>
    <n v="23.857534246575341"/>
    <x v="2"/>
    <n v="2"/>
    <d v="2001-11-28T00:00:00"/>
  </r>
  <r>
    <x v="1"/>
    <n v="18971306"/>
    <x v="0"/>
    <d v="2025-10-01T00:00:00"/>
    <x v="0"/>
    <x v="8"/>
    <x v="10"/>
    <m/>
    <n v="9999"/>
    <n v="333.3"/>
    <n v="0"/>
    <n v="0"/>
    <n v="0"/>
    <x v="0"/>
    <n v="30.257534246575343"/>
    <x v="1"/>
    <n v="3"/>
    <d v="1995-07-07T00:00:00"/>
  </r>
  <r>
    <x v="0"/>
    <n v="18971307"/>
    <x v="0"/>
    <d v="2025-10-01T00:00:00"/>
    <x v="0"/>
    <x v="8"/>
    <x v="10"/>
    <m/>
    <n v="9999"/>
    <n v="333.3"/>
    <n v="0"/>
    <n v="0"/>
    <n v="0"/>
    <x v="0"/>
    <n v="27.361643835616437"/>
    <x v="1"/>
    <n v="3"/>
    <d v="1998-05-29T00:00:00"/>
  </r>
  <r>
    <x v="1"/>
    <n v="18971309"/>
    <x v="0"/>
    <d v="2025-10-01T00:00:00"/>
    <x v="0"/>
    <x v="8"/>
    <x v="10"/>
    <d v="2025-10-09T00:00:00"/>
    <n v="8"/>
    <n v="0.26666666666666666"/>
    <n v="1"/>
    <n v="1"/>
    <n v="1"/>
    <x v="0"/>
    <n v="38.106849315068494"/>
    <x v="0"/>
    <n v="4"/>
    <d v="1987-09-02T00:00:00"/>
  </r>
  <r>
    <x v="1"/>
    <n v="18971311"/>
    <x v="1"/>
    <d v="2025-10-01T00:00:00"/>
    <x v="0"/>
    <x v="8"/>
    <x v="10"/>
    <m/>
    <n v="9999"/>
    <n v="333.3"/>
    <n v="0"/>
    <n v="0"/>
    <n v="0"/>
    <x v="0"/>
    <n v="32.561643835616437"/>
    <x v="0"/>
    <n v="4"/>
    <d v="1993-03-18T00:00:00"/>
  </r>
  <r>
    <x v="1"/>
    <n v="18971313"/>
    <x v="0"/>
    <d v="2025-10-01T00:00:00"/>
    <x v="0"/>
    <x v="8"/>
    <x v="10"/>
    <m/>
    <n v="9999"/>
    <n v="333.3"/>
    <n v="0"/>
    <n v="0"/>
    <n v="0"/>
    <x v="0"/>
    <n v="29.895890410958906"/>
    <x v="1"/>
    <n v="3"/>
    <d v="1995-11-16T00:00:00"/>
  </r>
  <r>
    <x v="0"/>
    <n v="18971320"/>
    <x v="0"/>
    <d v="2025-10-01T00:00:00"/>
    <x v="0"/>
    <x v="8"/>
    <x v="10"/>
    <m/>
    <n v="9999"/>
    <n v="333.3"/>
    <n v="0"/>
    <n v="0"/>
    <n v="0"/>
    <x v="0"/>
    <n v="30.865753424657534"/>
    <x v="1"/>
    <n v="3"/>
    <d v="1994-11-27T00:00:00"/>
  </r>
  <r>
    <x v="1"/>
    <n v="18971321"/>
    <x v="0"/>
    <d v="2025-10-01T00:00:00"/>
    <x v="0"/>
    <x v="8"/>
    <x v="10"/>
    <m/>
    <n v="9999"/>
    <n v="333.3"/>
    <n v="0"/>
    <n v="0"/>
    <n v="0"/>
    <x v="0"/>
    <n v="30.106849315068494"/>
    <x v="1"/>
    <n v="3"/>
    <d v="1995-08-31T00:00:00"/>
  </r>
  <r>
    <x v="1"/>
    <n v="18971322"/>
    <x v="0"/>
    <d v="2025-10-01T00:00:00"/>
    <x v="0"/>
    <x v="8"/>
    <x v="10"/>
    <m/>
    <n v="9999"/>
    <n v="333.3"/>
    <n v="0"/>
    <n v="0"/>
    <n v="0"/>
    <x v="0"/>
    <n v="36.243835616438353"/>
    <x v="0"/>
    <n v="4"/>
    <d v="1989-07-13T00:00:00"/>
  </r>
  <r>
    <x v="0"/>
    <n v="18971325"/>
    <x v="0"/>
    <d v="2025-10-01T00:00:00"/>
    <x v="0"/>
    <x v="8"/>
    <x v="10"/>
    <m/>
    <n v="9999"/>
    <n v="333.3"/>
    <n v="0"/>
    <n v="0"/>
    <n v="0"/>
    <x v="0"/>
    <n v="23.186301369863013"/>
    <x v="2"/>
    <n v="2"/>
    <d v="2002-07-31T00:00:00"/>
  </r>
  <r>
    <x v="0"/>
    <n v="18971327"/>
    <x v="0"/>
    <d v="2025-10-01T00:00:00"/>
    <x v="0"/>
    <x v="8"/>
    <x v="10"/>
    <m/>
    <n v="9999"/>
    <n v="333.3"/>
    <n v="0"/>
    <n v="0"/>
    <n v="0"/>
    <x v="0"/>
    <n v="37.320547945205476"/>
    <x v="0"/>
    <n v="4"/>
    <d v="1988-06-15T00:00:00"/>
  </r>
  <r>
    <x v="1"/>
    <n v="18971334"/>
    <x v="1"/>
    <d v="2025-10-01T00:00:00"/>
    <x v="0"/>
    <x v="8"/>
    <x v="10"/>
    <m/>
    <n v="9999"/>
    <n v="333.3"/>
    <n v="0"/>
    <n v="0"/>
    <n v="0"/>
    <x v="0"/>
    <n v="22.394520547945206"/>
    <x v="2"/>
    <n v="2"/>
    <d v="2003-05-16T00:00:00"/>
  </r>
  <r>
    <x v="1"/>
    <n v="18971339"/>
    <x v="0"/>
    <d v="2025-10-01T00:00:00"/>
    <x v="0"/>
    <x v="8"/>
    <x v="10"/>
    <d v="2025-10-09T00:00:00"/>
    <n v="8"/>
    <n v="0.26666666666666666"/>
    <n v="1"/>
    <n v="1"/>
    <n v="1"/>
    <x v="0"/>
    <n v="36.695890410958903"/>
    <x v="0"/>
    <n v="4"/>
    <d v="1989-01-29T00:00:00"/>
  </r>
  <r>
    <x v="1"/>
    <n v="18971341"/>
    <x v="1"/>
    <d v="2025-10-01T00:00:00"/>
    <x v="0"/>
    <x v="8"/>
    <x v="10"/>
    <d v="2025-11-30T00:00:00"/>
    <n v="60"/>
    <n v="2"/>
    <n v="0"/>
    <n v="1"/>
    <n v="1"/>
    <x v="0"/>
    <n v="20.775342465753425"/>
    <x v="3"/>
    <n v="1"/>
    <d v="2004-12-27T00:00:00"/>
  </r>
  <r>
    <x v="1"/>
    <n v="18971373"/>
    <x v="0"/>
    <d v="2025-10-01T00:00:00"/>
    <x v="0"/>
    <x v="8"/>
    <x v="10"/>
    <m/>
    <n v="9999"/>
    <n v="333.3"/>
    <n v="0"/>
    <n v="0"/>
    <n v="0"/>
    <x v="0"/>
    <n v="27.969863013698632"/>
    <x v="1"/>
    <n v="3"/>
    <d v="1997-10-19T00:00:00"/>
  </r>
  <r>
    <x v="1"/>
    <n v="18971374"/>
    <x v="1"/>
    <d v="2025-10-01T00:00:00"/>
    <x v="0"/>
    <x v="8"/>
    <x v="10"/>
    <d v="2026-02-16T00:00:00"/>
    <n v="138"/>
    <n v="4.5999999999999996"/>
    <n v="0"/>
    <n v="0"/>
    <n v="1"/>
    <x v="0"/>
    <n v="26.238356164383561"/>
    <x v="1"/>
    <n v="3"/>
    <d v="1999-07-13T00:00:00"/>
  </r>
  <r>
    <x v="1"/>
    <n v="18971375"/>
    <x v="1"/>
    <d v="2025-10-01T00:00:00"/>
    <x v="0"/>
    <x v="8"/>
    <x v="10"/>
    <m/>
    <n v="9999"/>
    <n v="333.3"/>
    <n v="0"/>
    <n v="0"/>
    <n v="0"/>
    <x v="0"/>
    <n v="22.695890410958903"/>
    <x v="2"/>
    <n v="2"/>
    <d v="2003-01-26T00:00:00"/>
  </r>
  <r>
    <x v="1"/>
    <n v="18971383"/>
    <x v="0"/>
    <d v="2025-10-01T00:00:00"/>
    <x v="0"/>
    <x v="8"/>
    <x v="10"/>
    <m/>
    <n v="9999"/>
    <n v="333.3"/>
    <n v="0"/>
    <n v="0"/>
    <n v="0"/>
    <x v="0"/>
    <n v="29.536986301369861"/>
    <x v="1"/>
    <n v="3"/>
    <d v="1996-03-26T00:00:00"/>
  </r>
  <r>
    <x v="1"/>
    <n v="18971384"/>
    <x v="0"/>
    <d v="2025-10-01T00:00:00"/>
    <x v="0"/>
    <x v="8"/>
    <x v="10"/>
    <m/>
    <n v="9999"/>
    <n v="333.3"/>
    <n v="0"/>
    <n v="0"/>
    <n v="0"/>
    <x v="0"/>
    <n v="24.364383561643837"/>
    <x v="2"/>
    <n v="2"/>
    <d v="2001-05-27T00:00:00"/>
  </r>
  <r>
    <x v="0"/>
    <n v="18971386"/>
    <x v="1"/>
    <d v="2025-10-01T00:00:00"/>
    <x v="0"/>
    <x v="8"/>
    <x v="10"/>
    <d v="2026-03-10T00:00:00"/>
    <n v="160"/>
    <n v="5.333333333333333"/>
    <n v="0"/>
    <n v="0"/>
    <n v="1"/>
    <x v="0"/>
    <n v="26.953424657534246"/>
    <x v="1"/>
    <n v="3"/>
    <d v="1998-10-25T00:00:00"/>
  </r>
  <r>
    <x v="1"/>
    <n v="18971389"/>
    <x v="1"/>
    <d v="2025-10-01T00:00:00"/>
    <x v="0"/>
    <x v="8"/>
    <x v="10"/>
    <m/>
    <n v="9999"/>
    <n v="333.3"/>
    <n v="0"/>
    <n v="0"/>
    <n v="0"/>
    <x v="0"/>
    <n v="28.268493150684932"/>
    <x v="1"/>
    <n v="3"/>
    <d v="1997-07-02T00:00:00"/>
  </r>
  <r>
    <x v="1"/>
    <n v="18971390"/>
    <x v="1"/>
    <d v="2025-10-01T00:00:00"/>
    <x v="0"/>
    <x v="8"/>
    <x v="10"/>
    <m/>
    <n v="9999"/>
    <n v="333.3"/>
    <n v="0"/>
    <n v="0"/>
    <n v="0"/>
    <x v="0"/>
    <n v="21.435616438356163"/>
    <x v="2"/>
    <n v="2"/>
    <d v="2004-04-30T00:00:00"/>
  </r>
  <r>
    <x v="1"/>
    <n v="18971391"/>
    <x v="0"/>
    <d v="2025-10-01T00:00:00"/>
    <x v="0"/>
    <x v="8"/>
    <x v="10"/>
    <d v="2025-10-09T00:00:00"/>
    <n v="8"/>
    <n v="0.26666666666666666"/>
    <n v="1"/>
    <n v="1"/>
    <n v="1"/>
    <x v="0"/>
    <n v="44.246575342465754"/>
    <x v="0"/>
    <n v="4"/>
    <d v="1981-07-14T00:00:00"/>
  </r>
  <r>
    <x v="1"/>
    <n v="18971434"/>
    <x v="1"/>
    <d v="2025-10-02T00:00:00"/>
    <x v="0"/>
    <x v="8"/>
    <x v="10"/>
    <d v="2026-05-31T00:00:00"/>
    <n v="241"/>
    <n v="8.0333333333333332"/>
    <n v="0"/>
    <n v="0"/>
    <n v="0"/>
    <x v="1"/>
    <n v="21.263013698630136"/>
    <x v="2"/>
    <n v="2"/>
    <d v="2004-07-03T00:00:00"/>
  </r>
  <r>
    <x v="1"/>
    <n v="18971543"/>
    <x v="0"/>
    <d v="2025-10-03T00:00:00"/>
    <x v="0"/>
    <x v="8"/>
    <x v="10"/>
    <m/>
    <n v="9999"/>
    <n v="333.3"/>
    <n v="0"/>
    <n v="0"/>
    <n v="0"/>
    <x v="1"/>
    <n v="27.657534246575342"/>
    <x v="1"/>
    <n v="3"/>
    <d v="1998-02-12T00:00:00"/>
  </r>
  <r>
    <x v="1"/>
    <n v="18971560"/>
    <x v="0"/>
    <d v="2025-10-03T00:00:00"/>
    <x v="0"/>
    <x v="8"/>
    <x v="10"/>
    <d v="2026-02-01T00:00:00"/>
    <n v="121"/>
    <n v="4.0333333333333332"/>
    <n v="0"/>
    <n v="0"/>
    <n v="1"/>
    <x v="1"/>
    <n v="19.561643835616437"/>
    <x v="3"/>
    <n v="1"/>
    <d v="2006-03-17T00:00:00"/>
  </r>
  <r>
    <x v="1"/>
    <n v="18971561"/>
    <x v="0"/>
    <d v="2025-10-03T00:00:00"/>
    <x v="0"/>
    <x v="8"/>
    <x v="10"/>
    <m/>
    <n v="9999"/>
    <n v="333.3"/>
    <n v="0"/>
    <n v="0"/>
    <n v="0"/>
    <x v="1"/>
    <n v="19.468493150684932"/>
    <x v="3"/>
    <n v="1"/>
    <d v="2006-04-20T00:00:00"/>
  </r>
  <r>
    <x v="1"/>
    <n v="18971572"/>
    <x v="0"/>
    <d v="2025-10-03T00:00:00"/>
    <x v="0"/>
    <x v="8"/>
    <x v="10"/>
    <m/>
    <n v="9999"/>
    <n v="333.3"/>
    <n v="0"/>
    <n v="0"/>
    <n v="0"/>
    <x v="0"/>
    <n v="20.493150684931507"/>
    <x v="3"/>
    <n v="1"/>
    <d v="2005-04-11T00:00:00"/>
  </r>
  <r>
    <x v="1"/>
    <n v="18971573"/>
    <x v="0"/>
    <d v="2025-10-03T00:00:00"/>
    <x v="0"/>
    <x v="8"/>
    <x v="10"/>
    <m/>
    <n v="9999"/>
    <n v="333.3"/>
    <n v="0"/>
    <n v="0"/>
    <n v="0"/>
    <x v="0"/>
    <n v="26.136986301369863"/>
    <x v="1"/>
    <n v="3"/>
    <d v="1999-08-21T00:00:00"/>
  </r>
  <r>
    <x v="1"/>
    <n v="18971610"/>
    <x v="0"/>
    <d v="2025-10-03T00:00:00"/>
    <x v="0"/>
    <x v="8"/>
    <x v="10"/>
    <d v="2025-10-04T00:00:00"/>
    <n v="1"/>
    <n v="3.3333333333333333E-2"/>
    <n v="1"/>
    <n v="1"/>
    <n v="1"/>
    <x v="1"/>
    <n v="21.260273972602739"/>
    <x v="2"/>
    <n v="2"/>
    <d v="2004-07-05T00:00:00"/>
  </r>
  <r>
    <x v="1"/>
    <n v="18971640"/>
    <x v="0"/>
    <d v="2025-10-03T00:00:00"/>
    <x v="0"/>
    <x v="8"/>
    <x v="10"/>
    <d v="2025-10-05T00:00:00"/>
    <n v="2"/>
    <n v="6.6666666666666666E-2"/>
    <n v="1"/>
    <n v="1"/>
    <n v="1"/>
    <x v="1"/>
    <n v="24.306849315068494"/>
    <x v="2"/>
    <n v="2"/>
    <d v="2001-06-19T00:00:00"/>
  </r>
  <r>
    <x v="1"/>
    <n v="18971646"/>
    <x v="0"/>
    <d v="2025-10-03T00:00:00"/>
    <x v="0"/>
    <x v="8"/>
    <x v="10"/>
    <m/>
    <n v="9999"/>
    <n v="333.3"/>
    <n v="0"/>
    <n v="0"/>
    <n v="0"/>
    <x v="0"/>
    <n v="23.224657534246575"/>
    <x v="2"/>
    <n v="2"/>
    <d v="2002-07-19T00:00:00"/>
  </r>
  <r>
    <x v="1"/>
    <n v="18971653"/>
    <x v="0"/>
    <d v="2025-10-03T00:00:00"/>
    <x v="0"/>
    <x v="8"/>
    <x v="10"/>
    <d v="2026-02-28T00:00:00"/>
    <n v="148"/>
    <n v="4.9333333333333336"/>
    <n v="0"/>
    <n v="0"/>
    <n v="1"/>
    <x v="0"/>
    <n v="22.989041095890411"/>
    <x v="2"/>
    <n v="2"/>
    <d v="2002-10-13T00:00:00"/>
  </r>
  <r>
    <x v="1"/>
    <n v="18971696"/>
    <x v="0"/>
    <d v="2025-10-03T00:00:00"/>
    <x v="0"/>
    <x v="8"/>
    <x v="10"/>
    <d v="2025-10-31T00:00:00"/>
    <n v="28"/>
    <n v="0.93333333333333335"/>
    <n v="1"/>
    <n v="1"/>
    <n v="1"/>
    <x v="0"/>
    <n v="25.813698630136987"/>
    <x v="2"/>
    <n v="2"/>
    <d v="1999-12-17T00:00:00"/>
  </r>
  <r>
    <x v="1"/>
    <n v="18971979"/>
    <x v="1"/>
    <d v="2025-10-06T00:00:00"/>
    <x v="0"/>
    <x v="8"/>
    <x v="10"/>
    <m/>
    <n v="9999"/>
    <n v="333.3"/>
    <n v="0"/>
    <n v="0"/>
    <n v="0"/>
    <x v="1"/>
    <n v="19.816438356164383"/>
    <x v="3"/>
    <n v="1"/>
    <d v="2005-12-17T00:00:00"/>
  </r>
  <r>
    <x v="1"/>
    <n v="18971980"/>
    <x v="0"/>
    <d v="2025-10-06T00:00:00"/>
    <x v="0"/>
    <x v="8"/>
    <x v="10"/>
    <m/>
    <n v="9999"/>
    <n v="333.3"/>
    <n v="0"/>
    <n v="0"/>
    <n v="0"/>
    <x v="0"/>
    <n v="25"/>
    <x v="2"/>
    <n v="2"/>
    <d v="2000-10-12T00:00:00"/>
  </r>
  <r>
    <x v="1"/>
    <n v="18971981"/>
    <x v="0"/>
    <d v="2025-10-06T00:00:00"/>
    <x v="0"/>
    <x v="8"/>
    <x v="10"/>
    <d v="2026-05-31T00:00:00"/>
    <n v="237"/>
    <n v="7.9"/>
    <n v="0"/>
    <n v="0"/>
    <n v="0"/>
    <x v="0"/>
    <n v="24.339726027397262"/>
    <x v="2"/>
    <n v="2"/>
    <d v="2001-06-10T00:00:00"/>
  </r>
  <r>
    <x v="1"/>
    <n v="18971990"/>
    <x v="1"/>
    <d v="2025-10-06T00:00:00"/>
    <x v="0"/>
    <x v="8"/>
    <x v="10"/>
    <m/>
    <n v="9999"/>
    <n v="333.3"/>
    <n v="0"/>
    <n v="0"/>
    <n v="0"/>
    <x v="0"/>
    <n v="19.24931506849315"/>
    <x v="3"/>
    <n v="1"/>
    <d v="2006-07-12T00:00:00"/>
  </r>
  <r>
    <x v="1"/>
    <n v="18971993"/>
    <x v="1"/>
    <d v="2025-10-06T00:00:00"/>
    <x v="0"/>
    <x v="8"/>
    <x v="10"/>
    <d v="2026-05-14T00:00:00"/>
    <n v="220"/>
    <n v="7.333333333333333"/>
    <n v="0"/>
    <n v="0"/>
    <n v="0"/>
    <x v="0"/>
    <n v="20.8"/>
    <x v="3"/>
    <n v="1"/>
    <d v="2004-12-23T00:00:00"/>
  </r>
  <r>
    <x v="1"/>
    <n v="18972473"/>
    <x v="0"/>
    <d v="2025-10-07T00:00:00"/>
    <x v="0"/>
    <x v="8"/>
    <x v="10"/>
    <d v="2026-02-04T00:00:00"/>
    <n v="120"/>
    <n v="4"/>
    <n v="0"/>
    <n v="0"/>
    <n v="1"/>
    <x v="1"/>
    <n v="18.624657534246577"/>
    <x v="3"/>
    <n v="1"/>
    <d v="2007-02-26T00:00:00"/>
  </r>
  <r>
    <x v="1"/>
    <n v="18972491"/>
    <x v="0"/>
    <d v="2025-10-07T00:00:00"/>
    <x v="0"/>
    <x v="8"/>
    <x v="10"/>
    <m/>
    <n v="9999"/>
    <n v="333.3"/>
    <n v="0"/>
    <n v="0"/>
    <n v="0"/>
    <x v="0"/>
    <n v="25.706849315068492"/>
    <x v="2"/>
    <n v="2"/>
    <d v="2000-01-29T00:00:00"/>
  </r>
  <r>
    <x v="1"/>
    <n v="18972676"/>
    <x v="0"/>
    <d v="2025-10-09T00:00:00"/>
    <x v="0"/>
    <x v="8"/>
    <x v="10"/>
    <m/>
    <n v="9999"/>
    <n v="333.3"/>
    <n v="0"/>
    <n v="0"/>
    <n v="0"/>
    <x v="0"/>
    <n v="23.227397260273971"/>
    <x v="2"/>
    <n v="2"/>
    <d v="2002-07-24T00:00:00"/>
  </r>
  <r>
    <x v="1"/>
    <n v="18972697"/>
    <x v="0"/>
    <d v="2025-10-09T00:00:00"/>
    <x v="0"/>
    <x v="8"/>
    <x v="10"/>
    <d v="2025-12-31T00:00:00"/>
    <n v="83"/>
    <n v="2.7666666666666666"/>
    <n v="0"/>
    <n v="1"/>
    <n v="1"/>
    <x v="0"/>
    <n v="23.353424657534248"/>
    <x v="2"/>
    <n v="2"/>
    <d v="2002-06-08T00:00:00"/>
  </r>
  <r>
    <x v="1"/>
    <n v="18972705"/>
    <x v="1"/>
    <d v="2025-10-09T00:00:00"/>
    <x v="0"/>
    <x v="8"/>
    <x v="10"/>
    <d v="2026-05-31T00:00:00"/>
    <n v="234"/>
    <n v="7.8"/>
    <n v="0"/>
    <n v="0"/>
    <n v="0"/>
    <x v="1"/>
    <n v="20.126027397260273"/>
    <x v="3"/>
    <n v="1"/>
    <d v="2005-08-29T00:00:00"/>
  </r>
  <r>
    <x v="1"/>
    <n v="18972715"/>
    <x v="1"/>
    <d v="2025-10-09T00:00:00"/>
    <x v="0"/>
    <x v="8"/>
    <x v="10"/>
    <d v="2025-12-16T00:00:00"/>
    <n v="68"/>
    <n v="2.2666666666666666"/>
    <n v="0"/>
    <n v="1"/>
    <n v="1"/>
    <x v="1"/>
    <n v="24.479452054794521"/>
    <x v="2"/>
    <n v="2"/>
    <d v="2001-04-23T00:00:00"/>
  </r>
  <r>
    <x v="1"/>
    <n v="18972749"/>
    <x v="0"/>
    <d v="2025-10-09T00:00:00"/>
    <x v="0"/>
    <x v="8"/>
    <x v="10"/>
    <d v="2026-05-31T00:00:00"/>
    <n v="234"/>
    <n v="7.8"/>
    <n v="0"/>
    <n v="0"/>
    <n v="0"/>
    <x v="0"/>
    <n v="27.835616438356166"/>
    <x v="1"/>
    <n v="3"/>
    <d v="1997-12-15T00:00:00"/>
  </r>
  <r>
    <x v="1"/>
    <n v="18972758"/>
    <x v="0"/>
    <d v="2025-10-09T00:00:00"/>
    <x v="0"/>
    <x v="8"/>
    <x v="10"/>
    <m/>
    <n v="9999"/>
    <n v="333.3"/>
    <n v="0"/>
    <n v="0"/>
    <n v="0"/>
    <x v="0"/>
    <n v="21.8"/>
    <x v="2"/>
    <n v="2"/>
    <d v="2003-12-27T00:00:00"/>
  </r>
  <r>
    <x v="1"/>
    <n v="18972778"/>
    <x v="0"/>
    <d v="2025-10-09T00:00:00"/>
    <x v="0"/>
    <x v="8"/>
    <x v="10"/>
    <d v="2025-10-15T00:00:00"/>
    <n v="6"/>
    <n v="0.2"/>
    <n v="1"/>
    <n v="1"/>
    <n v="1"/>
    <x v="0"/>
    <n v="31.054794520547944"/>
    <x v="0"/>
    <n v="4"/>
    <d v="1994-09-27T00:00:00"/>
  </r>
  <r>
    <x v="1"/>
    <n v="18972793"/>
    <x v="0"/>
    <d v="2025-10-09T00:00:00"/>
    <x v="0"/>
    <x v="8"/>
    <x v="10"/>
    <m/>
    <n v="9999"/>
    <n v="333.3"/>
    <n v="0"/>
    <n v="0"/>
    <n v="0"/>
    <x v="0"/>
    <n v="24.775342465753425"/>
    <x v="2"/>
    <n v="2"/>
    <d v="2001-01-05T00:00:00"/>
  </r>
  <r>
    <x v="1"/>
    <n v="18972796"/>
    <x v="1"/>
    <d v="2025-10-09T00:00:00"/>
    <x v="0"/>
    <x v="8"/>
    <x v="10"/>
    <m/>
    <n v="9999"/>
    <n v="333.3"/>
    <n v="0"/>
    <n v="0"/>
    <n v="0"/>
    <x v="1"/>
    <n v="20.734246575342464"/>
    <x v="3"/>
    <n v="1"/>
    <d v="2005-01-19T00:00:00"/>
  </r>
  <r>
    <x v="1"/>
    <n v="18972858"/>
    <x v="0"/>
    <d v="2025-10-09T00:00:00"/>
    <x v="0"/>
    <x v="8"/>
    <x v="10"/>
    <d v="2026-01-09T00:00:00"/>
    <n v="92"/>
    <n v="3.0666666666666669"/>
    <n v="0"/>
    <n v="0"/>
    <n v="1"/>
    <x v="1"/>
    <n v="18.843835616438355"/>
    <x v="3"/>
    <n v="1"/>
    <d v="2006-12-10T00:00:00"/>
  </r>
  <r>
    <x v="1"/>
    <n v="18972877"/>
    <x v="0"/>
    <d v="2025-10-09T00:00:00"/>
    <x v="0"/>
    <x v="8"/>
    <x v="10"/>
    <d v="2025-10-17T00:00:00"/>
    <n v="8"/>
    <n v="0.26666666666666666"/>
    <n v="1"/>
    <n v="1"/>
    <n v="1"/>
    <x v="0"/>
    <n v="23.147945205479452"/>
    <x v="2"/>
    <n v="2"/>
    <d v="2002-08-22T00:00:00"/>
  </r>
  <r>
    <x v="1"/>
    <n v="18972879"/>
    <x v="0"/>
    <d v="2025-10-09T00:00:00"/>
    <x v="0"/>
    <x v="8"/>
    <x v="10"/>
    <m/>
    <n v="9999"/>
    <n v="333.3"/>
    <n v="0"/>
    <n v="0"/>
    <n v="0"/>
    <x v="1"/>
    <n v="18.728767123287671"/>
    <x v="3"/>
    <n v="1"/>
    <d v="2007-01-21T00:00:00"/>
  </r>
  <r>
    <x v="1"/>
    <n v="18972989"/>
    <x v="0"/>
    <d v="2026-02-13T00:00:00"/>
    <x v="1"/>
    <x v="7"/>
    <x v="15"/>
    <m/>
    <n v="9999"/>
    <n v="333.3"/>
    <n v="0"/>
    <n v="0"/>
    <n v="0"/>
    <x v="1"/>
    <n v="19.010958904109589"/>
    <x v="3"/>
    <n v="1"/>
    <d v="2007-02-14T00:00:00"/>
  </r>
  <r>
    <x v="1"/>
    <n v="18973049"/>
    <x v="0"/>
    <d v="2025-10-10T00:00:00"/>
    <x v="0"/>
    <x v="8"/>
    <x v="10"/>
    <m/>
    <n v="9999"/>
    <n v="333.3"/>
    <n v="0"/>
    <n v="0"/>
    <n v="0"/>
    <x v="0"/>
    <n v="28.649315068493152"/>
    <x v="1"/>
    <n v="3"/>
    <d v="1997-02-22T00:00:00"/>
  </r>
  <r>
    <x v="1"/>
    <n v="18973093"/>
    <x v="1"/>
    <d v="2025-10-10T00:00:00"/>
    <x v="0"/>
    <x v="8"/>
    <x v="10"/>
    <m/>
    <n v="9999"/>
    <n v="333.3"/>
    <n v="0"/>
    <n v="0"/>
    <n v="0"/>
    <x v="0"/>
    <n v="20.123287671232877"/>
    <x v="3"/>
    <n v="1"/>
    <d v="2005-08-31T00:00:00"/>
  </r>
  <r>
    <x v="1"/>
    <n v="18973094"/>
    <x v="0"/>
    <d v="2025-10-10T00:00:00"/>
    <x v="0"/>
    <x v="8"/>
    <x v="10"/>
    <m/>
    <n v="9999"/>
    <n v="333.3"/>
    <n v="0"/>
    <n v="0"/>
    <n v="0"/>
    <x v="0"/>
    <n v="21.958904109589042"/>
    <x v="2"/>
    <n v="2"/>
    <d v="2003-10-31T00:00:00"/>
  </r>
  <r>
    <x v="1"/>
    <n v="18973095"/>
    <x v="0"/>
    <d v="2025-10-10T00:00:00"/>
    <x v="0"/>
    <x v="8"/>
    <x v="10"/>
    <d v="2025-12-17T00:00:00"/>
    <n v="68"/>
    <n v="2.2666666666666666"/>
    <n v="0"/>
    <n v="1"/>
    <n v="1"/>
    <x v="0"/>
    <n v="22.227397260273971"/>
    <x v="2"/>
    <n v="2"/>
    <d v="2003-07-25T00:00:00"/>
  </r>
  <r>
    <x v="1"/>
    <n v="18973109"/>
    <x v="1"/>
    <d v="2025-10-10T00:00:00"/>
    <x v="0"/>
    <x v="8"/>
    <x v="10"/>
    <d v="2025-11-03T00:00:00"/>
    <n v="24"/>
    <n v="0.8"/>
    <n v="1"/>
    <n v="1"/>
    <n v="1"/>
    <x v="0"/>
    <n v="21.315068493150687"/>
    <x v="2"/>
    <n v="2"/>
    <d v="2004-06-22T00:00:00"/>
  </r>
  <r>
    <x v="0"/>
    <n v="18973253"/>
    <x v="0"/>
    <d v="2025-10-13T00:00:00"/>
    <x v="0"/>
    <x v="8"/>
    <x v="10"/>
    <m/>
    <n v="9999"/>
    <n v="333.3"/>
    <n v="0"/>
    <n v="0"/>
    <n v="0"/>
    <x v="0"/>
    <n v="29.345205479452055"/>
    <x v="1"/>
    <n v="3"/>
    <d v="1996-06-16T00:00:00"/>
  </r>
  <r>
    <x v="1"/>
    <n v="18973270"/>
    <x v="0"/>
    <d v="2025-10-13T00:00:00"/>
    <x v="0"/>
    <x v="8"/>
    <x v="10"/>
    <m/>
    <n v="9999"/>
    <n v="333.3"/>
    <n v="0"/>
    <n v="0"/>
    <n v="0"/>
    <x v="1"/>
    <n v="23.038356164383561"/>
    <x v="2"/>
    <n v="2"/>
    <d v="2002-10-05T00:00:00"/>
  </r>
  <r>
    <x v="1"/>
    <n v="18973291"/>
    <x v="0"/>
    <d v="2025-10-13T00:00:00"/>
    <x v="0"/>
    <x v="8"/>
    <x v="10"/>
    <d v="2025-11-01T00:00:00"/>
    <n v="19"/>
    <n v="0.6333333333333333"/>
    <n v="1"/>
    <n v="1"/>
    <n v="1"/>
    <x v="1"/>
    <n v="19.12054794520548"/>
    <x v="3"/>
    <n v="1"/>
    <d v="2006-09-04T00:00:00"/>
  </r>
  <r>
    <x v="1"/>
    <n v="18973292"/>
    <x v="0"/>
    <d v="2025-10-13T00:00:00"/>
    <x v="0"/>
    <x v="8"/>
    <x v="10"/>
    <d v="2026-01-15T00:00:00"/>
    <n v="94"/>
    <n v="3.1333333333333333"/>
    <n v="0"/>
    <n v="0"/>
    <n v="1"/>
    <x v="1"/>
    <n v="19.449315068493149"/>
    <x v="3"/>
    <n v="1"/>
    <d v="2006-05-07T00:00:00"/>
  </r>
  <r>
    <x v="1"/>
    <n v="18973293"/>
    <x v="1"/>
    <d v="2025-10-13T00:00:00"/>
    <x v="0"/>
    <x v="8"/>
    <x v="10"/>
    <d v="2026-01-11T00:00:00"/>
    <n v="90"/>
    <n v="3"/>
    <n v="0"/>
    <n v="1"/>
    <n v="1"/>
    <x v="1"/>
    <n v="22.542465753424658"/>
    <x v="2"/>
    <n v="2"/>
    <d v="2003-04-04T00:00:00"/>
  </r>
  <r>
    <x v="1"/>
    <n v="18973298"/>
    <x v="1"/>
    <d v="2025-10-13T00:00:00"/>
    <x v="0"/>
    <x v="8"/>
    <x v="10"/>
    <d v="2026-01-01T00:00:00"/>
    <n v="80"/>
    <n v="2.6666666666666665"/>
    <n v="0"/>
    <n v="1"/>
    <n v="1"/>
    <x v="1"/>
    <n v="25.098630136986301"/>
    <x v="2"/>
    <n v="2"/>
    <d v="2000-09-13T00:00:00"/>
  </r>
  <r>
    <x v="1"/>
    <n v="18973327"/>
    <x v="0"/>
    <d v="2025-10-13T00:00:00"/>
    <x v="0"/>
    <x v="8"/>
    <x v="10"/>
    <d v="2025-12-31T00:00:00"/>
    <n v="79"/>
    <n v="2.6333333333333333"/>
    <n v="0"/>
    <n v="1"/>
    <n v="1"/>
    <x v="1"/>
    <n v="21.12054794520548"/>
    <x v="2"/>
    <n v="2"/>
    <d v="2004-09-04T00:00:00"/>
  </r>
  <r>
    <x v="1"/>
    <n v="18973329"/>
    <x v="0"/>
    <d v="2025-10-13T00:00:00"/>
    <x v="0"/>
    <x v="8"/>
    <x v="10"/>
    <d v="2026-05-31T00:00:00"/>
    <n v="230"/>
    <n v="7.666666666666667"/>
    <n v="0"/>
    <n v="0"/>
    <n v="0"/>
    <x v="1"/>
    <n v="18.958904109589042"/>
    <x v="3"/>
    <n v="1"/>
    <d v="2006-11-02T00:00:00"/>
  </r>
  <r>
    <x v="1"/>
    <n v="18973333"/>
    <x v="0"/>
    <d v="2025-10-25T00:00:00"/>
    <x v="0"/>
    <x v="8"/>
    <x v="10"/>
    <d v="2025-11-30T00:00:00"/>
    <n v="36"/>
    <n v="1.2"/>
    <n v="0"/>
    <n v="1"/>
    <n v="1"/>
    <x v="1"/>
    <n v="24.328767123287673"/>
    <x v="2"/>
    <n v="2"/>
    <d v="2001-07-03T00:00:00"/>
  </r>
  <r>
    <x v="1"/>
    <n v="18973684"/>
    <x v="0"/>
    <d v="2025-10-14T00:00:00"/>
    <x v="0"/>
    <x v="8"/>
    <x v="10"/>
    <d v="2025-10-31T00:00:00"/>
    <n v="17"/>
    <n v="0.56666666666666665"/>
    <n v="1"/>
    <n v="1"/>
    <n v="1"/>
    <x v="1"/>
    <n v="32.591780821917808"/>
    <x v="0"/>
    <n v="4"/>
    <d v="1993-03-20T00:00:00"/>
  </r>
  <r>
    <x v="1"/>
    <n v="18973701"/>
    <x v="0"/>
    <d v="2025-10-14T00:00:00"/>
    <x v="0"/>
    <x v="8"/>
    <x v="10"/>
    <m/>
    <n v="9999"/>
    <n v="333.3"/>
    <n v="0"/>
    <n v="0"/>
    <n v="0"/>
    <x v="1"/>
    <n v="18.726027397260275"/>
    <x v="3"/>
    <n v="1"/>
    <d v="2007-01-27T00:00:00"/>
  </r>
  <r>
    <x v="1"/>
    <n v="18973843"/>
    <x v="1"/>
    <d v="2025-10-15T00:00:00"/>
    <x v="0"/>
    <x v="8"/>
    <x v="10"/>
    <d v="2026-04-01T00:00:00"/>
    <n v="168"/>
    <n v="5.6"/>
    <n v="0"/>
    <n v="0"/>
    <n v="1"/>
    <x v="1"/>
    <n v="22.104109589041094"/>
    <x v="2"/>
    <n v="2"/>
    <d v="2003-09-13T00:00:00"/>
  </r>
  <r>
    <x v="1"/>
    <n v="18973844"/>
    <x v="1"/>
    <d v="2025-10-15T00:00:00"/>
    <x v="0"/>
    <x v="8"/>
    <x v="10"/>
    <m/>
    <n v="9999"/>
    <n v="333.3"/>
    <n v="0"/>
    <n v="0"/>
    <n v="0"/>
    <x v="1"/>
    <n v="20.252054794520546"/>
    <x v="3"/>
    <n v="1"/>
    <d v="2005-07-20T00:00:00"/>
  </r>
  <r>
    <x v="1"/>
    <n v="18973849"/>
    <x v="0"/>
    <d v="2025-10-15T00:00:00"/>
    <x v="0"/>
    <x v="8"/>
    <x v="10"/>
    <m/>
    <n v="9999"/>
    <n v="333.3"/>
    <n v="0"/>
    <n v="0"/>
    <n v="0"/>
    <x v="1"/>
    <n v="18.846575342465755"/>
    <x v="3"/>
    <n v="1"/>
    <d v="2006-12-15T00:00:00"/>
  </r>
  <r>
    <x v="1"/>
    <n v="18973887"/>
    <x v="1"/>
    <d v="2025-10-15T00:00:00"/>
    <x v="0"/>
    <x v="8"/>
    <x v="10"/>
    <d v="2025-12-15T00:00:00"/>
    <n v="61"/>
    <n v="2.0333333333333332"/>
    <n v="0"/>
    <n v="1"/>
    <n v="1"/>
    <x v="1"/>
    <n v="19.12054794520548"/>
    <x v="3"/>
    <n v="1"/>
    <d v="2006-09-06T00:00:00"/>
  </r>
  <r>
    <x v="1"/>
    <n v="18974181"/>
    <x v="1"/>
    <d v="2025-10-16T00:00:00"/>
    <x v="0"/>
    <x v="8"/>
    <x v="10"/>
    <d v="2026-01-02T00:00:00"/>
    <n v="78"/>
    <n v="2.6"/>
    <n v="0"/>
    <n v="1"/>
    <n v="1"/>
    <x v="1"/>
    <n v="18.161643835616438"/>
    <x v="3"/>
    <n v="1"/>
    <d v="2007-08-23T00:00:00"/>
  </r>
  <r>
    <x v="1"/>
    <n v="18974184"/>
    <x v="0"/>
    <d v="2025-10-16T00:00:00"/>
    <x v="0"/>
    <x v="8"/>
    <x v="10"/>
    <d v="2026-03-02T00:00:00"/>
    <n v="137"/>
    <n v="4.5666666666666664"/>
    <n v="0"/>
    <n v="0"/>
    <n v="1"/>
    <x v="1"/>
    <n v="21.452054794520549"/>
    <x v="2"/>
    <n v="2"/>
    <d v="2004-05-09T00:00:00"/>
  </r>
  <r>
    <x v="1"/>
    <n v="18974301"/>
    <x v="0"/>
    <d v="2025-10-16T00:00:00"/>
    <x v="0"/>
    <x v="8"/>
    <x v="10"/>
    <d v="2026-04-01T00:00:00"/>
    <n v="167"/>
    <n v="5.5666666666666664"/>
    <n v="0"/>
    <n v="0"/>
    <n v="1"/>
    <x v="1"/>
    <n v="22.063013698630137"/>
    <x v="2"/>
    <n v="2"/>
    <d v="2003-09-29T00:00:00"/>
  </r>
  <r>
    <x v="1"/>
    <n v="18974320"/>
    <x v="0"/>
    <d v="2025-10-16T00:00:00"/>
    <x v="0"/>
    <x v="8"/>
    <x v="10"/>
    <m/>
    <n v="9999"/>
    <n v="333.3"/>
    <n v="0"/>
    <n v="0"/>
    <n v="0"/>
    <x v="1"/>
    <n v="19.545205479452054"/>
    <x v="3"/>
    <n v="1"/>
    <d v="2006-04-05T00:00:00"/>
  </r>
  <r>
    <x v="1"/>
    <n v="18974346"/>
    <x v="0"/>
    <d v="2025-10-16T00:00:00"/>
    <x v="0"/>
    <x v="8"/>
    <x v="10"/>
    <m/>
    <n v="9999"/>
    <n v="333.3"/>
    <n v="0"/>
    <n v="0"/>
    <n v="0"/>
    <x v="1"/>
    <n v="19.326027397260273"/>
    <x v="3"/>
    <n v="1"/>
    <d v="2006-06-24T00:00:00"/>
  </r>
  <r>
    <x v="0"/>
    <n v="18974347"/>
    <x v="1"/>
    <d v="2025-10-16T00:00:00"/>
    <x v="0"/>
    <x v="8"/>
    <x v="10"/>
    <d v="2026-03-02T00:00:00"/>
    <n v="137"/>
    <n v="4.5666666666666664"/>
    <n v="0"/>
    <n v="0"/>
    <n v="1"/>
    <x v="0"/>
    <n v="29.586301369863012"/>
    <x v="1"/>
    <n v="3"/>
    <d v="1996-03-23T00:00:00"/>
  </r>
  <r>
    <x v="1"/>
    <n v="18974370"/>
    <x v="1"/>
    <d v="2025-10-16T00:00:00"/>
    <x v="0"/>
    <x v="8"/>
    <x v="10"/>
    <d v="2026-01-18T00:00:00"/>
    <n v="94"/>
    <n v="3.1333333333333333"/>
    <n v="0"/>
    <n v="0"/>
    <n v="1"/>
    <x v="0"/>
    <n v="26.838356164383562"/>
    <x v="1"/>
    <n v="3"/>
    <d v="1998-12-21T00:00:00"/>
  </r>
  <r>
    <x v="1"/>
    <n v="18974432"/>
    <x v="1"/>
    <d v="2026-03-25T00:00:00"/>
    <x v="1"/>
    <x v="0"/>
    <x v="5"/>
    <m/>
    <n v="9999"/>
    <n v="333.3"/>
    <n v="0"/>
    <n v="0"/>
    <n v="0"/>
    <x v="1"/>
    <n v="18.613698630136987"/>
    <x v="3"/>
    <n v="1"/>
    <d v="2007-08-18T00:00:00"/>
  </r>
  <r>
    <x v="1"/>
    <n v="18974529"/>
    <x v="0"/>
    <d v="2025-10-17T00:00:00"/>
    <x v="0"/>
    <x v="8"/>
    <x v="10"/>
    <d v="2026-01-31T00:00:00"/>
    <n v="106"/>
    <n v="3.5333333333333332"/>
    <n v="0"/>
    <n v="0"/>
    <n v="1"/>
    <x v="1"/>
    <n v="25.095890410958905"/>
    <x v="2"/>
    <n v="2"/>
    <d v="2000-09-18T00:00:00"/>
  </r>
  <r>
    <x v="1"/>
    <n v="18974530"/>
    <x v="0"/>
    <d v="2025-10-17T00:00:00"/>
    <x v="0"/>
    <x v="8"/>
    <x v="10"/>
    <d v="2025-10-31T00:00:00"/>
    <n v="14"/>
    <n v="0.46666666666666667"/>
    <n v="1"/>
    <n v="1"/>
    <n v="1"/>
    <x v="1"/>
    <n v="24.109589041095891"/>
    <x v="2"/>
    <n v="2"/>
    <d v="2001-09-13T00:00:00"/>
  </r>
  <r>
    <x v="1"/>
    <n v="18974531"/>
    <x v="0"/>
    <d v="2025-10-17T00:00:00"/>
    <x v="0"/>
    <x v="8"/>
    <x v="10"/>
    <d v="2026-03-31T00:00:00"/>
    <n v="165"/>
    <n v="5.5"/>
    <n v="0"/>
    <n v="0"/>
    <n v="1"/>
    <x v="1"/>
    <n v="23.564383561643837"/>
    <x v="2"/>
    <n v="2"/>
    <d v="2002-03-31T00:00:00"/>
  </r>
  <r>
    <x v="1"/>
    <n v="18974532"/>
    <x v="0"/>
    <d v="2025-10-17T00:00:00"/>
    <x v="0"/>
    <x v="8"/>
    <x v="10"/>
    <m/>
    <n v="9999"/>
    <n v="333.3"/>
    <n v="0"/>
    <n v="0"/>
    <n v="0"/>
    <x v="1"/>
    <n v="19.350684931506848"/>
    <x v="3"/>
    <n v="1"/>
    <d v="2006-06-16T00:00:00"/>
  </r>
  <r>
    <x v="1"/>
    <n v="18974546"/>
    <x v="0"/>
    <d v="2025-10-17T00:00:00"/>
    <x v="0"/>
    <x v="8"/>
    <x v="10"/>
    <m/>
    <n v="9999"/>
    <n v="333.3"/>
    <n v="0"/>
    <n v="0"/>
    <n v="0"/>
    <x v="1"/>
    <n v="19.81095890410959"/>
    <x v="3"/>
    <n v="1"/>
    <d v="2005-12-30T00:00:00"/>
  </r>
  <r>
    <x v="1"/>
    <n v="18974551"/>
    <x v="0"/>
    <d v="2025-10-17T00:00:00"/>
    <x v="0"/>
    <x v="8"/>
    <x v="10"/>
    <d v="2026-01-15T00:00:00"/>
    <n v="90"/>
    <n v="3"/>
    <n v="0"/>
    <n v="1"/>
    <n v="1"/>
    <x v="1"/>
    <n v="18.227397260273971"/>
    <x v="3"/>
    <n v="1"/>
    <d v="2007-07-31T00:00:00"/>
  </r>
  <r>
    <x v="1"/>
    <n v="18974586"/>
    <x v="1"/>
    <d v="2025-10-17T00:00:00"/>
    <x v="0"/>
    <x v="8"/>
    <x v="10"/>
    <m/>
    <n v="9999"/>
    <n v="333.3"/>
    <n v="0"/>
    <n v="0"/>
    <n v="0"/>
    <x v="0"/>
    <n v="21.457534246575342"/>
    <x v="2"/>
    <n v="2"/>
    <d v="2004-05-08T00:00:00"/>
  </r>
  <r>
    <x v="1"/>
    <n v="18974761"/>
    <x v="1"/>
    <d v="2025-10-18T00:00:00"/>
    <x v="0"/>
    <x v="8"/>
    <x v="10"/>
    <m/>
    <n v="9999"/>
    <n v="333.3"/>
    <n v="0"/>
    <n v="0"/>
    <n v="0"/>
    <x v="1"/>
    <n v="19.224657534246575"/>
    <x v="3"/>
    <n v="1"/>
    <d v="2006-08-02T00:00:00"/>
  </r>
  <r>
    <x v="1"/>
    <n v="18974762"/>
    <x v="0"/>
    <d v="2025-10-18T00:00:00"/>
    <x v="0"/>
    <x v="8"/>
    <x v="10"/>
    <d v="2025-11-01T00:00:00"/>
    <n v="14"/>
    <n v="0.46666666666666667"/>
    <n v="1"/>
    <n v="1"/>
    <n v="1"/>
    <x v="1"/>
    <n v="42.115068493150687"/>
    <x v="0"/>
    <n v="4"/>
    <d v="1983-09-17T00:00:00"/>
  </r>
  <r>
    <x v="1"/>
    <n v="18974772"/>
    <x v="1"/>
    <d v="2025-10-18T00:00:00"/>
    <x v="0"/>
    <x v="8"/>
    <x v="10"/>
    <m/>
    <n v="9999"/>
    <n v="333.3"/>
    <n v="0"/>
    <n v="0"/>
    <n v="0"/>
    <x v="1"/>
    <n v="29.268493150684932"/>
    <x v="1"/>
    <n v="3"/>
    <d v="1996-07-19T00:00:00"/>
  </r>
  <r>
    <x v="1"/>
    <n v="18974801"/>
    <x v="0"/>
    <d v="2025-10-18T00:00:00"/>
    <x v="0"/>
    <x v="8"/>
    <x v="10"/>
    <m/>
    <n v="9999"/>
    <n v="333.3"/>
    <n v="0"/>
    <n v="0"/>
    <n v="0"/>
    <x v="1"/>
    <n v="20.86849315068493"/>
    <x v="3"/>
    <n v="1"/>
    <d v="2004-12-10T00:00:00"/>
  </r>
  <r>
    <x v="1"/>
    <n v="18974802"/>
    <x v="0"/>
    <d v="2025-10-18T00:00:00"/>
    <x v="0"/>
    <x v="8"/>
    <x v="10"/>
    <m/>
    <n v="9999"/>
    <n v="333.3"/>
    <n v="0"/>
    <n v="0"/>
    <n v="0"/>
    <x v="1"/>
    <n v="19.945205479452056"/>
    <x v="3"/>
    <n v="1"/>
    <d v="2005-11-12T00:00:00"/>
  </r>
  <r>
    <x v="1"/>
    <n v="18974851"/>
    <x v="1"/>
    <d v="2025-10-18T00:00:00"/>
    <x v="0"/>
    <x v="8"/>
    <x v="10"/>
    <d v="2026-01-06T00:00:00"/>
    <n v="80"/>
    <n v="2.6666666666666665"/>
    <n v="0"/>
    <n v="1"/>
    <n v="1"/>
    <x v="1"/>
    <n v="20.926027397260274"/>
    <x v="3"/>
    <n v="1"/>
    <d v="2004-11-19T00:00:00"/>
  </r>
  <r>
    <x v="1"/>
    <n v="18974881"/>
    <x v="1"/>
    <d v="2025-10-18T00:00:00"/>
    <x v="0"/>
    <x v="8"/>
    <x v="10"/>
    <m/>
    <n v="9999"/>
    <n v="333.3"/>
    <n v="0"/>
    <n v="0"/>
    <n v="0"/>
    <x v="1"/>
    <n v="18.383561643835616"/>
    <x v="3"/>
    <n v="1"/>
    <d v="2007-06-05T00:00:00"/>
  </r>
  <r>
    <x v="1"/>
    <n v="18975024"/>
    <x v="0"/>
    <d v="2025-10-21T00:00:00"/>
    <x v="0"/>
    <x v="8"/>
    <x v="10"/>
    <d v="2026-05-31T00:00:00"/>
    <n v="222"/>
    <n v="7.4"/>
    <n v="0"/>
    <n v="0"/>
    <n v="0"/>
    <x v="0"/>
    <n v="31.610958904109587"/>
    <x v="0"/>
    <n v="4"/>
    <d v="1994-03-20T00:00:00"/>
  </r>
  <r>
    <x v="1"/>
    <n v="18975046"/>
    <x v="1"/>
    <d v="2025-10-21T00:00:00"/>
    <x v="0"/>
    <x v="8"/>
    <x v="10"/>
    <m/>
    <n v="9999"/>
    <n v="333.3"/>
    <n v="0"/>
    <n v="0"/>
    <n v="0"/>
    <x v="1"/>
    <n v="22.93972602739726"/>
    <x v="2"/>
    <n v="2"/>
    <d v="2002-11-18T00:00:00"/>
  </r>
  <r>
    <x v="1"/>
    <n v="18975047"/>
    <x v="1"/>
    <d v="2025-10-21T00:00:00"/>
    <x v="0"/>
    <x v="8"/>
    <x v="10"/>
    <m/>
    <n v="9999"/>
    <n v="333.3"/>
    <n v="0"/>
    <n v="0"/>
    <n v="0"/>
    <x v="1"/>
    <n v="22.61917808219178"/>
    <x v="2"/>
    <n v="2"/>
    <d v="2003-03-15T00:00:00"/>
  </r>
  <r>
    <x v="1"/>
    <n v="18975051"/>
    <x v="0"/>
    <d v="2025-10-21T00:00:00"/>
    <x v="0"/>
    <x v="8"/>
    <x v="10"/>
    <d v="2026-01-31T00:00:00"/>
    <n v="102"/>
    <n v="3.4"/>
    <n v="0"/>
    <n v="0"/>
    <n v="1"/>
    <x v="1"/>
    <n v="19.610958904109587"/>
    <x v="3"/>
    <n v="1"/>
    <d v="2006-03-17T00:00:00"/>
  </r>
  <r>
    <x v="1"/>
    <n v="18975084"/>
    <x v="1"/>
    <d v="2025-10-21T00:00:00"/>
    <x v="0"/>
    <x v="8"/>
    <x v="10"/>
    <m/>
    <n v="9999"/>
    <n v="333.3"/>
    <n v="0"/>
    <n v="0"/>
    <n v="0"/>
    <x v="0"/>
    <n v="18.038356164383561"/>
    <x v="3"/>
    <n v="1"/>
    <d v="2007-10-12T00:00:00"/>
  </r>
  <r>
    <x v="1"/>
    <n v="18975117"/>
    <x v="1"/>
    <d v="2025-10-21T00:00:00"/>
    <x v="0"/>
    <x v="8"/>
    <x v="10"/>
    <d v="2025-11-01T00:00:00"/>
    <n v="11"/>
    <n v="0.36666666666666664"/>
    <n v="1"/>
    <n v="1"/>
    <n v="1"/>
    <x v="1"/>
    <n v="20.112328767123287"/>
    <x v="3"/>
    <n v="1"/>
    <d v="2005-09-15T00:00:00"/>
  </r>
  <r>
    <x v="1"/>
    <n v="18975171"/>
    <x v="0"/>
    <d v="2025-10-22T00:00:00"/>
    <x v="0"/>
    <x v="8"/>
    <x v="10"/>
    <m/>
    <n v="9999"/>
    <n v="333.3"/>
    <n v="0"/>
    <n v="0"/>
    <n v="0"/>
    <x v="0"/>
    <n v="23.775342465753425"/>
    <x v="2"/>
    <n v="2"/>
    <d v="2002-01-18T00:00:00"/>
  </r>
  <r>
    <x v="1"/>
    <n v="18975228"/>
    <x v="0"/>
    <d v="2025-10-22T00:00:00"/>
    <x v="0"/>
    <x v="8"/>
    <x v="10"/>
    <m/>
    <n v="9999"/>
    <n v="333.3"/>
    <n v="0"/>
    <n v="0"/>
    <n v="0"/>
    <x v="1"/>
    <n v="23.213698630136985"/>
    <x v="2"/>
    <n v="2"/>
    <d v="2002-08-11T00:00:00"/>
  </r>
  <r>
    <x v="1"/>
    <n v="18975379"/>
    <x v="0"/>
    <d v="2025-10-22T00:00:00"/>
    <x v="0"/>
    <x v="8"/>
    <x v="10"/>
    <m/>
    <n v="9999"/>
    <n v="333.3"/>
    <n v="0"/>
    <n v="0"/>
    <n v="0"/>
    <x v="0"/>
    <n v="26.504109589041096"/>
    <x v="1"/>
    <n v="3"/>
    <d v="1999-04-28T00:00:00"/>
  </r>
  <r>
    <x v="1"/>
    <n v="18975427"/>
    <x v="0"/>
    <d v="2025-10-23T00:00:00"/>
    <x v="0"/>
    <x v="8"/>
    <x v="10"/>
    <m/>
    <n v="9999"/>
    <n v="333.3"/>
    <n v="0"/>
    <n v="0"/>
    <n v="0"/>
    <x v="0"/>
    <n v="20.408219178082192"/>
    <x v="3"/>
    <n v="1"/>
    <d v="2005-06-01T00:00:00"/>
  </r>
  <r>
    <x v="1"/>
    <n v="18975440"/>
    <x v="0"/>
    <d v="2025-10-23T00:00:00"/>
    <x v="0"/>
    <x v="8"/>
    <x v="10"/>
    <m/>
    <n v="9999"/>
    <n v="333.3"/>
    <n v="0"/>
    <n v="0"/>
    <n v="0"/>
    <x v="1"/>
    <n v="18.953424657534246"/>
    <x v="3"/>
    <n v="1"/>
    <d v="2006-11-14T00:00:00"/>
  </r>
  <r>
    <x v="1"/>
    <n v="18975447"/>
    <x v="0"/>
    <d v="2025-10-23T00:00:00"/>
    <x v="0"/>
    <x v="8"/>
    <x v="10"/>
    <m/>
    <n v="9999"/>
    <n v="333.3"/>
    <n v="0"/>
    <n v="0"/>
    <n v="0"/>
    <x v="0"/>
    <n v="22.734246575342464"/>
    <x v="2"/>
    <n v="2"/>
    <d v="2003-02-03T00:00:00"/>
  </r>
  <r>
    <x v="1"/>
    <n v="18975460"/>
    <x v="0"/>
    <d v="2025-10-23T00:00:00"/>
    <x v="0"/>
    <x v="8"/>
    <x v="10"/>
    <d v="2025-11-04T00:00:00"/>
    <n v="12"/>
    <n v="0.4"/>
    <n v="1"/>
    <n v="1"/>
    <n v="1"/>
    <x v="0"/>
    <n v="22.463013698630139"/>
    <x v="2"/>
    <n v="2"/>
    <d v="2003-05-13T00:00:00"/>
  </r>
  <r>
    <x v="1"/>
    <n v="18975470"/>
    <x v="1"/>
    <d v="2025-10-23T00:00:00"/>
    <x v="0"/>
    <x v="8"/>
    <x v="10"/>
    <d v="2025-12-01T00:00:00"/>
    <n v="39"/>
    <n v="1.3"/>
    <n v="0"/>
    <n v="1"/>
    <n v="1"/>
    <x v="1"/>
    <n v="19.564383561643837"/>
    <x v="3"/>
    <n v="1"/>
    <d v="2006-04-05T00:00:00"/>
  </r>
  <r>
    <x v="1"/>
    <n v="18975480"/>
    <x v="0"/>
    <d v="2025-10-23T00:00:00"/>
    <x v="0"/>
    <x v="8"/>
    <x v="10"/>
    <m/>
    <n v="9999"/>
    <n v="333.3"/>
    <n v="0"/>
    <n v="0"/>
    <n v="0"/>
    <x v="0"/>
    <n v="21.495890410958904"/>
    <x v="2"/>
    <n v="2"/>
    <d v="2004-04-30T00:00:00"/>
  </r>
  <r>
    <x v="1"/>
    <n v="18975518"/>
    <x v="0"/>
    <d v="2025-10-23T00:00:00"/>
    <x v="0"/>
    <x v="8"/>
    <x v="10"/>
    <d v="2026-01-31T00:00:00"/>
    <n v="100"/>
    <n v="3.3333333333333335"/>
    <n v="0"/>
    <n v="0"/>
    <n v="1"/>
    <x v="1"/>
    <n v="18.717808219178082"/>
    <x v="3"/>
    <n v="1"/>
    <d v="2007-02-08T00:00:00"/>
  </r>
  <r>
    <x v="1"/>
    <n v="18975521"/>
    <x v="1"/>
    <d v="2025-10-23T00:00:00"/>
    <x v="0"/>
    <x v="8"/>
    <x v="10"/>
    <d v="2025-11-15T00:00:00"/>
    <n v="23"/>
    <n v="0.76666666666666672"/>
    <n v="1"/>
    <n v="1"/>
    <n v="1"/>
    <x v="1"/>
    <n v="20.18904109589041"/>
    <x v="3"/>
    <n v="1"/>
    <d v="2005-08-20T00:00:00"/>
  </r>
  <r>
    <x v="1"/>
    <n v="18975527"/>
    <x v="1"/>
    <d v="2025-10-23T00:00:00"/>
    <x v="0"/>
    <x v="8"/>
    <x v="10"/>
    <d v="2025-11-01T00:00:00"/>
    <n v="9"/>
    <n v="0.3"/>
    <n v="1"/>
    <n v="1"/>
    <n v="1"/>
    <x v="0"/>
    <n v="22.238356164383561"/>
    <x v="2"/>
    <n v="2"/>
    <d v="2003-08-03T00:00:00"/>
  </r>
  <r>
    <x v="1"/>
    <n v="18975537"/>
    <x v="1"/>
    <d v="2025-10-23T00:00:00"/>
    <x v="0"/>
    <x v="8"/>
    <x v="10"/>
    <m/>
    <n v="9999"/>
    <n v="333.3"/>
    <n v="0"/>
    <n v="0"/>
    <n v="0"/>
    <x v="0"/>
    <n v="20.978082191780821"/>
    <x v="3"/>
    <n v="1"/>
    <d v="2004-11-05T00:00:00"/>
  </r>
  <r>
    <x v="1"/>
    <n v="18975539"/>
    <x v="0"/>
    <d v="2025-10-23T00:00:00"/>
    <x v="0"/>
    <x v="8"/>
    <x v="10"/>
    <d v="2026-01-23T00:00:00"/>
    <n v="92"/>
    <n v="3.0666666666666669"/>
    <n v="0"/>
    <n v="0"/>
    <n v="1"/>
    <x v="0"/>
    <n v="21.556164383561644"/>
    <x v="2"/>
    <n v="2"/>
    <d v="2004-04-08T00:00:00"/>
  </r>
  <r>
    <x v="1"/>
    <n v="18975544"/>
    <x v="1"/>
    <d v="2025-10-23T00:00:00"/>
    <x v="0"/>
    <x v="8"/>
    <x v="10"/>
    <d v="2025-11-17T00:00:00"/>
    <n v="25"/>
    <n v="0.83333333333333337"/>
    <n v="1"/>
    <n v="1"/>
    <n v="1"/>
    <x v="0"/>
    <n v="33.372602739726027"/>
    <x v="0"/>
    <n v="4"/>
    <d v="1992-06-17T00:00:00"/>
  </r>
  <r>
    <x v="1"/>
    <n v="18975625"/>
    <x v="0"/>
    <d v="2025-10-23T00:00:00"/>
    <x v="0"/>
    <x v="8"/>
    <x v="10"/>
    <m/>
    <n v="9999"/>
    <n v="333.3"/>
    <n v="0"/>
    <n v="0"/>
    <n v="0"/>
    <x v="0"/>
    <n v="28.465753424657535"/>
    <x v="1"/>
    <n v="3"/>
    <d v="1997-05-13T00:00:00"/>
  </r>
  <r>
    <x v="1"/>
    <n v="18975626"/>
    <x v="0"/>
    <d v="2025-10-23T00:00:00"/>
    <x v="0"/>
    <x v="8"/>
    <x v="10"/>
    <d v="2026-05-10T00:00:00"/>
    <n v="199"/>
    <n v="6.6333333333333337"/>
    <n v="0"/>
    <n v="0"/>
    <n v="0"/>
    <x v="1"/>
    <n v="18.049315068493151"/>
    <x v="3"/>
    <n v="1"/>
    <d v="2007-10-10T00:00:00"/>
  </r>
  <r>
    <x v="1"/>
    <n v="18975627"/>
    <x v="0"/>
    <d v="2025-10-23T00:00:00"/>
    <x v="0"/>
    <x v="8"/>
    <x v="10"/>
    <d v="2026-01-20T00:00:00"/>
    <n v="89"/>
    <n v="2.9666666666666668"/>
    <n v="0"/>
    <n v="1"/>
    <n v="1"/>
    <x v="1"/>
    <n v="18.747945205479454"/>
    <x v="3"/>
    <n v="1"/>
    <d v="2007-01-28T00:00:00"/>
  </r>
  <r>
    <x v="1"/>
    <n v="18975628"/>
    <x v="0"/>
    <d v="2025-10-23T00:00:00"/>
    <x v="0"/>
    <x v="8"/>
    <x v="10"/>
    <m/>
    <n v="9999"/>
    <n v="333.3"/>
    <n v="0"/>
    <n v="0"/>
    <n v="0"/>
    <x v="0"/>
    <n v="21.769863013698629"/>
    <x v="2"/>
    <n v="2"/>
    <d v="2004-01-21T00:00:00"/>
  </r>
  <r>
    <x v="1"/>
    <n v="18975629"/>
    <x v="0"/>
    <d v="2025-10-23T00:00:00"/>
    <x v="0"/>
    <x v="8"/>
    <x v="10"/>
    <m/>
    <n v="9999"/>
    <n v="333.3"/>
    <n v="0"/>
    <n v="0"/>
    <n v="0"/>
    <x v="1"/>
    <n v="18.526027397260275"/>
    <x v="3"/>
    <n v="1"/>
    <d v="2007-04-19T00:00:00"/>
  </r>
  <r>
    <x v="1"/>
    <n v="18975640"/>
    <x v="0"/>
    <d v="2025-10-23T00:00:00"/>
    <x v="0"/>
    <x v="8"/>
    <x v="10"/>
    <m/>
    <n v="9999"/>
    <n v="333.3"/>
    <n v="0"/>
    <n v="0"/>
    <n v="0"/>
    <x v="1"/>
    <n v="18.890410958904109"/>
    <x v="3"/>
    <n v="1"/>
    <d v="2006-12-07T00:00:00"/>
  </r>
  <r>
    <x v="1"/>
    <n v="18975642"/>
    <x v="0"/>
    <d v="2025-10-23T00:00:00"/>
    <x v="0"/>
    <x v="8"/>
    <x v="10"/>
    <m/>
    <n v="9999"/>
    <n v="333.3"/>
    <n v="0"/>
    <n v="0"/>
    <n v="0"/>
    <x v="1"/>
    <n v="20.484931506849314"/>
    <x v="3"/>
    <n v="1"/>
    <d v="2005-05-04T00:00:00"/>
  </r>
  <r>
    <x v="1"/>
    <n v="18975729"/>
    <x v="0"/>
    <d v="2025-10-24T00:00:00"/>
    <x v="0"/>
    <x v="8"/>
    <x v="10"/>
    <m/>
    <n v="9999"/>
    <n v="333.3"/>
    <n v="0"/>
    <n v="0"/>
    <n v="0"/>
    <x v="0"/>
    <n v="34.254794520547946"/>
    <x v="0"/>
    <n v="4"/>
    <d v="1991-08-01T00:00:00"/>
  </r>
  <r>
    <x v="1"/>
    <n v="18975790"/>
    <x v="0"/>
    <d v="2025-10-24T00:00:00"/>
    <x v="0"/>
    <x v="8"/>
    <x v="10"/>
    <m/>
    <n v="9999"/>
    <n v="333.3"/>
    <n v="0"/>
    <n v="0"/>
    <n v="0"/>
    <x v="0"/>
    <n v="22.75068493150685"/>
    <x v="2"/>
    <n v="2"/>
    <d v="2003-01-29T00:00:00"/>
  </r>
  <r>
    <x v="1"/>
    <n v="18975791"/>
    <x v="0"/>
    <d v="2025-10-24T00:00:00"/>
    <x v="0"/>
    <x v="8"/>
    <x v="10"/>
    <d v="2026-05-11T00:00:00"/>
    <n v="199"/>
    <n v="6.6333333333333337"/>
    <n v="0"/>
    <n v="0"/>
    <n v="0"/>
    <x v="0"/>
    <n v="19.846575342465755"/>
    <x v="3"/>
    <n v="1"/>
    <d v="2005-12-24T00:00:00"/>
  </r>
  <r>
    <x v="1"/>
    <n v="18975800"/>
    <x v="0"/>
    <d v="2025-10-24T00:00:00"/>
    <x v="0"/>
    <x v="8"/>
    <x v="10"/>
    <m/>
    <n v="9999"/>
    <n v="333.3"/>
    <n v="0"/>
    <n v="0"/>
    <n v="0"/>
    <x v="0"/>
    <n v="21.232876712328768"/>
    <x v="2"/>
    <n v="2"/>
    <d v="2004-08-05T00:00:00"/>
  </r>
  <r>
    <x v="1"/>
    <n v="18975801"/>
    <x v="0"/>
    <d v="2025-10-24T00:00:00"/>
    <x v="0"/>
    <x v="8"/>
    <x v="10"/>
    <m/>
    <n v="9999"/>
    <n v="333.3"/>
    <n v="0"/>
    <n v="0"/>
    <n v="0"/>
    <x v="0"/>
    <n v="23.884931506849316"/>
    <x v="2"/>
    <n v="2"/>
    <d v="2001-12-11T00:00:00"/>
  </r>
  <r>
    <x v="1"/>
    <n v="18975815"/>
    <x v="0"/>
    <d v="2025-10-24T00:00:00"/>
    <x v="0"/>
    <x v="8"/>
    <x v="10"/>
    <d v="2026-04-05T00:00:00"/>
    <n v="163"/>
    <n v="5.4333333333333336"/>
    <n v="0"/>
    <n v="0"/>
    <n v="1"/>
    <x v="1"/>
    <n v="20.413698630136988"/>
    <x v="3"/>
    <n v="1"/>
    <d v="2005-05-31T00:00:00"/>
  </r>
  <r>
    <x v="1"/>
    <n v="18975824"/>
    <x v="0"/>
    <d v="2025-10-24T00:00:00"/>
    <x v="0"/>
    <x v="8"/>
    <x v="10"/>
    <d v="2025-11-01T00:00:00"/>
    <n v="8"/>
    <n v="0.26666666666666666"/>
    <n v="1"/>
    <n v="1"/>
    <n v="1"/>
    <x v="1"/>
    <n v="21.052054794520547"/>
    <x v="2"/>
    <n v="2"/>
    <d v="2004-10-10T00:00:00"/>
  </r>
  <r>
    <x v="1"/>
    <n v="18975862"/>
    <x v="0"/>
    <d v="2025-10-24T00:00:00"/>
    <x v="0"/>
    <x v="8"/>
    <x v="10"/>
    <d v="2026-03-08T00:00:00"/>
    <n v="135"/>
    <n v="4.5"/>
    <n v="0"/>
    <n v="0"/>
    <n v="1"/>
    <x v="1"/>
    <n v="19.668493150684931"/>
    <x v="3"/>
    <n v="1"/>
    <d v="2006-02-27T00:00:00"/>
  </r>
  <r>
    <x v="1"/>
    <n v="18975890"/>
    <x v="0"/>
    <d v="2025-10-24T00:00:00"/>
    <x v="0"/>
    <x v="8"/>
    <x v="10"/>
    <d v="2026-03-15T00:00:00"/>
    <n v="142"/>
    <n v="4.7333333333333334"/>
    <n v="0"/>
    <n v="0"/>
    <n v="1"/>
    <x v="1"/>
    <n v="21.295890410958904"/>
    <x v="2"/>
    <n v="2"/>
    <d v="2004-07-13T00:00:00"/>
  </r>
  <r>
    <x v="1"/>
    <n v="18975933"/>
    <x v="0"/>
    <d v="2025-10-24T00:00:00"/>
    <x v="0"/>
    <x v="8"/>
    <x v="10"/>
    <d v="2025-11-01T00:00:00"/>
    <n v="8"/>
    <n v="0.26666666666666666"/>
    <n v="1"/>
    <n v="1"/>
    <n v="1"/>
    <x v="1"/>
    <n v="25.224657534246575"/>
    <x v="2"/>
    <n v="2"/>
    <d v="2000-08-09T00:00:00"/>
  </r>
  <r>
    <x v="1"/>
    <n v="18975947"/>
    <x v="1"/>
    <d v="2025-10-24T00:00:00"/>
    <x v="0"/>
    <x v="8"/>
    <x v="10"/>
    <d v="2026-02-02T00:00:00"/>
    <n v="101"/>
    <n v="3.3666666666666667"/>
    <n v="0"/>
    <n v="0"/>
    <n v="1"/>
    <x v="0"/>
    <n v="28.753424657534246"/>
    <x v="1"/>
    <n v="3"/>
    <d v="1997-01-29T00:00:00"/>
  </r>
  <r>
    <x v="1"/>
    <n v="18975958"/>
    <x v="0"/>
    <d v="2025-10-23T00:00:00"/>
    <x v="0"/>
    <x v="8"/>
    <x v="10"/>
    <m/>
    <n v="9999"/>
    <n v="333.3"/>
    <n v="0"/>
    <n v="0"/>
    <n v="0"/>
    <x v="1"/>
    <n v="18.580821917808219"/>
    <x v="3"/>
    <n v="1"/>
    <d v="2007-03-30T00:00:00"/>
  </r>
  <r>
    <x v="1"/>
    <n v="18975981"/>
    <x v="1"/>
    <d v="2025-10-24T00:00:00"/>
    <x v="0"/>
    <x v="8"/>
    <x v="10"/>
    <m/>
    <n v="9999"/>
    <n v="333.3"/>
    <n v="0"/>
    <n v="0"/>
    <n v="0"/>
    <x v="1"/>
    <n v="18.36986301369863"/>
    <x v="3"/>
    <n v="1"/>
    <d v="2007-06-16T00:00:00"/>
  </r>
  <r>
    <x v="1"/>
    <n v="18975982"/>
    <x v="0"/>
    <d v="2025-10-24T00:00:00"/>
    <x v="0"/>
    <x v="8"/>
    <x v="10"/>
    <d v="2025-11-01T00:00:00"/>
    <n v="8"/>
    <n v="0.26666666666666666"/>
    <n v="1"/>
    <n v="1"/>
    <n v="1"/>
    <x v="1"/>
    <n v="21.391780821917809"/>
    <x v="2"/>
    <n v="2"/>
    <d v="2004-06-08T00:00:00"/>
  </r>
  <r>
    <x v="1"/>
    <n v="18976000"/>
    <x v="1"/>
    <d v="2025-10-24T00:00:00"/>
    <x v="0"/>
    <x v="8"/>
    <x v="10"/>
    <m/>
    <n v="9999"/>
    <n v="333.3"/>
    <n v="0"/>
    <n v="0"/>
    <n v="0"/>
    <x v="1"/>
    <n v="21.81095890410959"/>
    <x v="2"/>
    <n v="2"/>
    <d v="2004-01-07T00:00:00"/>
  </r>
  <r>
    <x v="1"/>
    <n v="18976004"/>
    <x v="0"/>
    <d v="2025-10-24T00:00:00"/>
    <x v="0"/>
    <x v="8"/>
    <x v="10"/>
    <m/>
    <n v="9999"/>
    <n v="333.3"/>
    <n v="0"/>
    <n v="0"/>
    <n v="0"/>
    <x v="0"/>
    <n v="19.402739726027399"/>
    <x v="3"/>
    <n v="1"/>
    <d v="2006-06-04T00:00:00"/>
  </r>
  <r>
    <x v="1"/>
    <n v="18976006"/>
    <x v="1"/>
    <d v="2025-10-24T00:00:00"/>
    <x v="0"/>
    <x v="8"/>
    <x v="10"/>
    <d v="2025-11-01T00:00:00"/>
    <n v="8"/>
    <n v="0.26666666666666666"/>
    <n v="1"/>
    <n v="1"/>
    <n v="1"/>
    <x v="1"/>
    <n v="19.657534246575342"/>
    <x v="3"/>
    <n v="1"/>
    <d v="2006-03-03T00:00:00"/>
  </r>
  <r>
    <x v="1"/>
    <n v="18976025"/>
    <x v="1"/>
    <d v="2025-10-24T00:00:00"/>
    <x v="0"/>
    <x v="8"/>
    <x v="10"/>
    <m/>
    <n v="9999"/>
    <n v="333.3"/>
    <n v="0"/>
    <n v="0"/>
    <n v="0"/>
    <x v="1"/>
    <n v="19.605479452054794"/>
    <x v="3"/>
    <n v="1"/>
    <d v="2006-03-22T00:00:00"/>
  </r>
  <r>
    <x v="1"/>
    <n v="18976026"/>
    <x v="1"/>
    <d v="2025-10-24T00:00:00"/>
    <x v="0"/>
    <x v="8"/>
    <x v="10"/>
    <m/>
    <n v="9999"/>
    <n v="333.3"/>
    <n v="0"/>
    <n v="0"/>
    <n v="0"/>
    <x v="1"/>
    <n v="18.830136986301369"/>
    <x v="3"/>
    <n v="1"/>
    <d v="2006-12-30T00:00:00"/>
  </r>
  <r>
    <x v="1"/>
    <n v="18976029"/>
    <x v="0"/>
    <d v="2025-10-24T00:00:00"/>
    <x v="0"/>
    <x v="8"/>
    <x v="10"/>
    <d v="2026-02-28T00:00:00"/>
    <n v="127"/>
    <n v="4.2333333333333334"/>
    <n v="0"/>
    <n v="0"/>
    <n v="1"/>
    <x v="1"/>
    <n v="18.734246575342464"/>
    <x v="3"/>
    <n v="1"/>
    <d v="2007-02-03T00:00:00"/>
  </r>
  <r>
    <x v="1"/>
    <n v="18976032"/>
    <x v="0"/>
    <d v="2025-10-25T00:00:00"/>
    <x v="0"/>
    <x v="8"/>
    <x v="10"/>
    <m/>
    <n v="9999"/>
    <n v="333.3"/>
    <n v="0"/>
    <n v="0"/>
    <n v="0"/>
    <x v="1"/>
    <n v="19.547945205479451"/>
    <x v="3"/>
    <n v="1"/>
    <d v="2006-04-13T00:00:00"/>
  </r>
  <r>
    <x v="0"/>
    <n v="18976041"/>
    <x v="0"/>
    <d v="2026-03-01T00:00:00"/>
    <x v="1"/>
    <x v="0"/>
    <x v="5"/>
    <d v="2026-03-16T00:00:00"/>
    <n v="15"/>
    <n v="0.5"/>
    <n v="1"/>
    <n v="1"/>
    <n v="1"/>
    <x v="1"/>
    <n v="18.764383561643836"/>
    <x v="3"/>
    <n v="1"/>
    <d v="2007-05-31T00:00:00"/>
  </r>
  <r>
    <x v="1"/>
    <n v="18976041"/>
    <x v="0"/>
    <d v="2025-10-25T00:00:00"/>
    <x v="0"/>
    <x v="8"/>
    <x v="10"/>
    <d v="2026-02-28T00:00:00"/>
    <n v="126"/>
    <n v="4.2"/>
    <n v="0"/>
    <n v="0"/>
    <n v="1"/>
    <x v="1"/>
    <n v="18.416438356164385"/>
    <x v="3"/>
    <n v="1"/>
    <d v="2007-05-31T00:00:00"/>
  </r>
  <r>
    <x v="1"/>
    <n v="18976045"/>
    <x v="0"/>
    <d v="2025-10-25T00:00:00"/>
    <x v="0"/>
    <x v="8"/>
    <x v="10"/>
    <d v="2025-11-03T00:00:00"/>
    <n v="9"/>
    <n v="0.3"/>
    <n v="1"/>
    <n v="1"/>
    <n v="1"/>
    <x v="1"/>
    <n v="19.978082191780821"/>
    <x v="3"/>
    <n v="1"/>
    <d v="2005-11-07T00:00:00"/>
  </r>
  <r>
    <x v="1"/>
    <n v="18976047"/>
    <x v="1"/>
    <d v="2025-10-25T00:00:00"/>
    <x v="0"/>
    <x v="8"/>
    <x v="10"/>
    <d v="2026-01-16T00:00:00"/>
    <n v="83"/>
    <n v="2.7666666666666666"/>
    <n v="0"/>
    <n v="1"/>
    <n v="1"/>
    <x v="1"/>
    <n v="21.884931506849316"/>
    <x v="2"/>
    <n v="2"/>
    <d v="2003-12-12T00:00:00"/>
  </r>
  <r>
    <x v="1"/>
    <n v="18976051"/>
    <x v="1"/>
    <d v="2025-10-25T00:00:00"/>
    <x v="0"/>
    <x v="8"/>
    <x v="10"/>
    <d v="2026-04-01T00:00:00"/>
    <n v="158"/>
    <n v="5.2666666666666666"/>
    <n v="0"/>
    <n v="0"/>
    <n v="1"/>
    <x v="1"/>
    <n v="18.339726027397262"/>
    <x v="3"/>
    <n v="1"/>
    <d v="2007-06-28T00:00:00"/>
  </r>
  <r>
    <x v="1"/>
    <n v="18976267"/>
    <x v="0"/>
    <d v="2025-10-27T00:00:00"/>
    <x v="0"/>
    <x v="8"/>
    <x v="10"/>
    <m/>
    <n v="9999"/>
    <n v="333.3"/>
    <n v="0"/>
    <n v="0"/>
    <n v="0"/>
    <x v="1"/>
    <n v="18.252054794520546"/>
    <x v="3"/>
    <n v="1"/>
    <d v="2007-08-01T00:00:00"/>
  </r>
  <r>
    <x v="1"/>
    <n v="18976268"/>
    <x v="1"/>
    <d v="2025-10-27T00:00:00"/>
    <x v="0"/>
    <x v="8"/>
    <x v="10"/>
    <m/>
    <n v="9999"/>
    <n v="333.3"/>
    <n v="0"/>
    <n v="0"/>
    <n v="0"/>
    <x v="1"/>
    <n v="18.682191780821917"/>
    <x v="3"/>
    <n v="1"/>
    <d v="2007-02-25T00:00:00"/>
  </r>
  <r>
    <x v="1"/>
    <n v="18976272"/>
    <x v="0"/>
    <d v="2025-10-27T00:00:00"/>
    <x v="0"/>
    <x v="8"/>
    <x v="10"/>
    <d v="2026-02-01T00:00:00"/>
    <n v="97"/>
    <n v="3.2333333333333334"/>
    <n v="0"/>
    <n v="0"/>
    <n v="1"/>
    <x v="1"/>
    <n v="18.87945205479452"/>
    <x v="3"/>
    <n v="1"/>
    <d v="2006-12-15T00:00:00"/>
  </r>
  <r>
    <x v="1"/>
    <n v="18976301"/>
    <x v="0"/>
    <d v="2025-10-27T00:00:00"/>
    <x v="0"/>
    <x v="8"/>
    <x v="10"/>
    <d v="2025-11-03T00:00:00"/>
    <n v="7"/>
    <n v="0.23333333333333334"/>
    <n v="1"/>
    <n v="1"/>
    <n v="1"/>
    <x v="1"/>
    <n v="19.372602739726027"/>
    <x v="3"/>
    <n v="1"/>
    <d v="2006-06-18T00:00:00"/>
  </r>
  <r>
    <x v="1"/>
    <n v="18976372"/>
    <x v="0"/>
    <d v="2025-10-27T00:00:00"/>
    <x v="0"/>
    <x v="8"/>
    <x v="10"/>
    <m/>
    <n v="9999"/>
    <n v="333.3"/>
    <n v="0"/>
    <n v="0"/>
    <n v="0"/>
    <x v="1"/>
    <n v="19.753424657534246"/>
    <x v="3"/>
    <n v="1"/>
    <d v="2006-01-30T00:00:00"/>
  </r>
  <r>
    <x v="1"/>
    <n v="18976442"/>
    <x v="0"/>
    <d v="2025-10-27T00:00:00"/>
    <x v="0"/>
    <x v="8"/>
    <x v="10"/>
    <m/>
    <n v="9999"/>
    <n v="333.3"/>
    <n v="0"/>
    <n v="0"/>
    <n v="0"/>
    <x v="1"/>
    <n v="18.843835616438355"/>
    <x v="3"/>
    <n v="1"/>
    <d v="2006-12-28T00:00:00"/>
  </r>
  <r>
    <x v="1"/>
    <n v="18976450"/>
    <x v="0"/>
    <d v="2025-10-27T00:00:00"/>
    <x v="0"/>
    <x v="8"/>
    <x v="10"/>
    <d v="2026-01-08T00:00:00"/>
    <n v="73"/>
    <n v="2.4333333333333331"/>
    <n v="0"/>
    <n v="1"/>
    <n v="1"/>
    <x v="1"/>
    <n v="20.986301369863014"/>
    <x v="3"/>
    <n v="1"/>
    <d v="2004-11-06T00:00:00"/>
  </r>
  <r>
    <x v="1"/>
    <n v="18976552"/>
    <x v="0"/>
    <d v="2025-10-28T00:00:00"/>
    <x v="0"/>
    <x v="8"/>
    <x v="10"/>
    <m/>
    <n v="9999"/>
    <n v="333.3"/>
    <n v="0"/>
    <n v="0"/>
    <n v="0"/>
    <x v="1"/>
    <n v="19.161643835616438"/>
    <x v="3"/>
    <n v="1"/>
    <d v="2006-09-04T00:00:00"/>
  </r>
  <r>
    <x v="1"/>
    <n v="18976579"/>
    <x v="1"/>
    <d v="2025-10-28T00:00:00"/>
    <x v="0"/>
    <x v="8"/>
    <x v="10"/>
    <d v="2025-12-05T00:00:00"/>
    <n v="38"/>
    <n v="1.2666666666666666"/>
    <n v="0"/>
    <n v="1"/>
    <n v="1"/>
    <x v="1"/>
    <n v="18.490410958904111"/>
    <x v="3"/>
    <n v="1"/>
    <d v="2007-05-07T00:00:00"/>
  </r>
  <r>
    <x v="1"/>
    <n v="18976580"/>
    <x v="0"/>
    <d v="2025-10-28T00:00:00"/>
    <x v="0"/>
    <x v="8"/>
    <x v="10"/>
    <m/>
    <n v="9999"/>
    <n v="333.3"/>
    <n v="0"/>
    <n v="0"/>
    <n v="0"/>
    <x v="1"/>
    <n v="29.142465753424659"/>
    <x v="1"/>
    <n v="3"/>
    <d v="1996-09-13T00:00:00"/>
  </r>
  <r>
    <x v="1"/>
    <n v="18976601"/>
    <x v="0"/>
    <d v="2025-10-28T00:00:00"/>
    <x v="0"/>
    <x v="8"/>
    <x v="10"/>
    <d v="2026-04-01T00:00:00"/>
    <n v="155"/>
    <n v="5.166666666666667"/>
    <n v="0"/>
    <n v="0"/>
    <n v="1"/>
    <x v="0"/>
    <n v="25.515068493150686"/>
    <x v="2"/>
    <n v="2"/>
    <d v="2000-04-29T00:00:00"/>
  </r>
  <r>
    <x v="1"/>
    <n v="18976602"/>
    <x v="0"/>
    <d v="2025-10-28T00:00:00"/>
    <x v="0"/>
    <x v="8"/>
    <x v="10"/>
    <m/>
    <n v="9999"/>
    <n v="333.3"/>
    <n v="0"/>
    <n v="0"/>
    <n v="0"/>
    <x v="0"/>
    <n v="25.945205479452056"/>
    <x v="2"/>
    <n v="2"/>
    <d v="1999-11-24T00:00:00"/>
  </r>
  <r>
    <x v="1"/>
    <n v="18976606"/>
    <x v="0"/>
    <d v="2025-10-28T00:00:00"/>
    <x v="0"/>
    <x v="8"/>
    <x v="10"/>
    <m/>
    <n v="9999"/>
    <n v="333.3"/>
    <n v="0"/>
    <n v="0"/>
    <n v="0"/>
    <x v="0"/>
    <n v="20.520547945205479"/>
    <x v="3"/>
    <n v="1"/>
    <d v="2005-04-26T00:00:00"/>
  </r>
  <r>
    <x v="1"/>
    <n v="18976694"/>
    <x v="0"/>
    <d v="2025-10-29T00:00:00"/>
    <x v="0"/>
    <x v="8"/>
    <x v="10"/>
    <m/>
    <n v="9999"/>
    <n v="333.3"/>
    <n v="0"/>
    <n v="0"/>
    <n v="0"/>
    <x v="1"/>
    <n v="32.495890410958907"/>
    <x v="0"/>
    <n v="4"/>
    <d v="1993-05-09T00:00:00"/>
  </r>
  <r>
    <x v="1"/>
    <n v="18976706"/>
    <x v="0"/>
    <d v="2025-10-29T00:00:00"/>
    <x v="0"/>
    <x v="8"/>
    <x v="10"/>
    <m/>
    <n v="9999"/>
    <n v="333.3"/>
    <n v="0"/>
    <n v="0"/>
    <n v="0"/>
    <x v="0"/>
    <n v="29.610958904109587"/>
    <x v="1"/>
    <n v="3"/>
    <d v="1996-03-27T00:00:00"/>
  </r>
  <r>
    <x v="1"/>
    <n v="18976735"/>
    <x v="0"/>
    <d v="2025-10-29T00:00:00"/>
    <x v="0"/>
    <x v="8"/>
    <x v="10"/>
    <m/>
    <n v="9999"/>
    <n v="333.3"/>
    <n v="0"/>
    <n v="0"/>
    <n v="0"/>
    <x v="1"/>
    <n v="19.531506849315068"/>
    <x v="3"/>
    <n v="1"/>
    <d v="2006-04-23T00:00:00"/>
  </r>
  <r>
    <x v="1"/>
    <n v="18976762"/>
    <x v="0"/>
    <d v="2025-10-29T00:00:00"/>
    <x v="0"/>
    <x v="8"/>
    <x v="10"/>
    <d v="2025-11-03T00:00:00"/>
    <n v="5"/>
    <n v="0.16666666666666666"/>
    <n v="1"/>
    <n v="1"/>
    <n v="1"/>
    <x v="1"/>
    <n v="36.443835616438356"/>
    <x v="0"/>
    <n v="4"/>
    <d v="1989-05-29T00:00:00"/>
  </r>
  <r>
    <x v="1"/>
    <n v="18976888"/>
    <x v="0"/>
    <d v="2025-10-30T00:00:00"/>
    <x v="0"/>
    <x v="8"/>
    <x v="10"/>
    <d v="2026-04-15T00:00:00"/>
    <n v="167"/>
    <n v="5.5666666666666664"/>
    <n v="0"/>
    <n v="0"/>
    <n v="1"/>
    <x v="0"/>
    <n v="18.416438356164385"/>
    <x v="3"/>
    <n v="1"/>
    <d v="2007-06-05T00:00:00"/>
  </r>
  <r>
    <x v="1"/>
    <n v="18976892"/>
    <x v="0"/>
    <d v="2025-10-30T00:00:00"/>
    <x v="0"/>
    <x v="8"/>
    <x v="10"/>
    <d v="2026-06-02T00:00:00"/>
    <n v="215"/>
    <n v="7.166666666666667"/>
    <n v="0"/>
    <n v="0"/>
    <n v="0"/>
    <x v="1"/>
    <n v="18.084931506849315"/>
    <x v="3"/>
    <n v="1"/>
    <d v="2007-10-04T00:00:00"/>
  </r>
  <r>
    <x v="1"/>
    <n v="18976893"/>
    <x v="1"/>
    <d v="2025-10-30T00:00:00"/>
    <x v="0"/>
    <x v="8"/>
    <x v="10"/>
    <d v="2026-01-03T00:00:00"/>
    <n v="65"/>
    <n v="2.1666666666666665"/>
    <n v="0"/>
    <n v="1"/>
    <n v="1"/>
    <x v="1"/>
    <n v="18.13150684931507"/>
    <x v="3"/>
    <n v="1"/>
    <d v="2007-09-17T00:00:00"/>
  </r>
  <r>
    <x v="1"/>
    <n v="18976937"/>
    <x v="1"/>
    <d v="2025-10-30T00:00:00"/>
    <x v="0"/>
    <x v="8"/>
    <x v="10"/>
    <d v="2026-01-16T00:00:00"/>
    <n v="78"/>
    <n v="2.6"/>
    <n v="0"/>
    <n v="1"/>
    <n v="1"/>
    <x v="1"/>
    <n v="40.745205479452054"/>
    <x v="0"/>
    <n v="4"/>
    <d v="1985-02-10T00:00:00"/>
  </r>
  <r>
    <x v="1"/>
    <n v="18976940"/>
    <x v="1"/>
    <d v="2025-10-30T00:00:00"/>
    <x v="0"/>
    <x v="8"/>
    <x v="10"/>
    <m/>
    <n v="9999"/>
    <n v="333.3"/>
    <n v="0"/>
    <n v="0"/>
    <n v="0"/>
    <x v="1"/>
    <n v="22.912328767123288"/>
    <x v="2"/>
    <n v="2"/>
    <d v="2002-12-07T00:00:00"/>
  </r>
  <r>
    <x v="1"/>
    <n v="18976941"/>
    <x v="1"/>
    <d v="2025-10-30T00:00:00"/>
    <x v="0"/>
    <x v="8"/>
    <x v="10"/>
    <m/>
    <n v="9999"/>
    <n v="333.3"/>
    <n v="0"/>
    <n v="0"/>
    <n v="0"/>
    <x v="1"/>
    <n v="19.315068493150687"/>
    <x v="3"/>
    <n v="1"/>
    <d v="2006-07-12T00:00:00"/>
  </r>
  <r>
    <x v="1"/>
    <n v="18976951"/>
    <x v="1"/>
    <d v="2025-10-30T00:00:00"/>
    <x v="0"/>
    <x v="8"/>
    <x v="10"/>
    <m/>
    <n v="9999"/>
    <n v="333.3"/>
    <n v="0"/>
    <n v="0"/>
    <n v="0"/>
    <x v="1"/>
    <n v="22.18904109589041"/>
    <x v="2"/>
    <n v="2"/>
    <d v="2003-08-28T00:00:00"/>
  </r>
  <r>
    <x v="1"/>
    <n v="18976952"/>
    <x v="0"/>
    <d v="2025-10-30T00:00:00"/>
    <x v="0"/>
    <x v="8"/>
    <x v="10"/>
    <m/>
    <n v="9999"/>
    <n v="333.3"/>
    <n v="0"/>
    <n v="0"/>
    <n v="0"/>
    <x v="1"/>
    <n v="23.860273972602741"/>
    <x v="2"/>
    <n v="2"/>
    <d v="2001-12-26T00:00:00"/>
  </r>
  <r>
    <x v="1"/>
    <n v="18976954"/>
    <x v="0"/>
    <d v="2025-10-30T00:00:00"/>
    <x v="0"/>
    <x v="8"/>
    <x v="10"/>
    <m/>
    <n v="9999"/>
    <n v="333.3"/>
    <n v="0"/>
    <n v="0"/>
    <n v="0"/>
    <x v="1"/>
    <n v="24.298630136986301"/>
    <x v="2"/>
    <n v="2"/>
    <d v="2001-07-19T00:00:00"/>
  </r>
  <r>
    <x v="1"/>
    <n v="18976955"/>
    <x v="0"/>
    <d v="2025-10-30T00:00:00"/>
    <x v="0"/>
    <x v="8"/>
    <x v="10"/>
    <m/>
    <n v="9999"/>
    <n v="333.3"/>
    <n v="0"/>
    <n v="0"/>
    <n v="0"/>
    <x v="1"/>
    <n v="24.610958904109587"/>
    <x v="2"/>
    <n v="2"/>
    <d v="2001-03-27T00:00:00"/>
  </r>
  <r>
    <x v="1"/>
    <n v="18976962"/>
    <x v="1"/>
    <d v="2025-10-30T00:00:00"/>
    <x v="0"/>
    <x v="8"/>
    <x v="10"/>
    <d v="2025-11-10T00:00:00"/>
    <n v="11"/>
    <n v="0.36666666666666664"/>
    <n v="1"/>
    <n v="1"/>
    <n v="1"/>
    <x v="1"/>
    <n v="18.723287671232878"/>
    <x v="3"/>
    <n v="1"/>
    <d v="2007-02-13T00:00:00"/>
  </r>
  <r>
    <x v="1"/>
    <n v="18976963"/>
    <x v="0"/>
    <d v="2025-10-30T00:00:00"/>
    <x v="0"/>
    <x v="8"/>
    <x v="10"/>
    <m/>
    <n v="9999"/>
    <n v="333.3"/>
    <n v="0"/>
    <n v="0"/>
    <n v="0"/>
    <x v="1"/>
    <n v="19.594520547945205"/>
    <x v="3"/>
    <n v="1"/>
    <d v="2006-04-01T00:00:00"/>
  </r>
  <r>
    <x v="1"/>
    <n v="18976964"/>
    <x v="0"/>
    <d v="2025-10-30T00:00:00"/>
    <x v="0"/>
    <x v="8"/>
    <x v="10"/>
    <m/>
    <n v="9999"/>
    <n v="333.3"/>
    <n v="0"/>
    <n v="0"/>
    <n v="0"/>
    <x v="1"/>
    <n v="19.287671232876711"/>
    <x v="3"/>
    <n v="1"/>
    <d v="2006-07-22T00:00:00"/>
  </r>
  <r>
    <x v="1"/>
    <n v="18976965"/>
    <x v="1"/>
    <d v="2025-10-30T00:00:00"/>
    <x v="0"/>
    <x v="8"/>
    <x v="10"/>
    <d v="2026-06-01T00:00:00"/>
    <n v="214"/>
    <n v="7.1333333333333337"/>
    <n v="0"/>
    <n v="0"/>
    <n v="0"/>
    <x v="1"/>
    <n v="20.372602739726027"/>
    <x v="3"/>
    <n v="1"/>
    <d v="2005-06-21T00:00:00"/>
  </r>
  <r>
    <x v="1"/>
    <n v="18976966"/>
    <x v="0"/>
    <d v="2025-10-30T00:00:00"/>
    <x v="0"/>
    <x v="8"/>
    <x v="10"/>
    <m/>
    <n v="9999"/>
    <n v="333.3"/>
    <n v="0"/>
    <n v="0"/>
    <n v="0"/>
    <x v="1"/>
    <n v="18.734246575342464"/>
    <x v="3"/>
    <n v="1"/>
    <d v="2007-02-09T00:00:00"/>
  </r>
  <r>
    <x v="1"/>
    <n v="18976967"/>
    <x v="1"/>
    <d v="2025-10-30T00:00:00"/>
    <x v="0"/>
    <x v="8"/>
    <x v="10"/>
    <d v="2026-01-25T00:00:00"/>
    <n v="87"/>
    <n v="2.9"/>
    <n v="0"/>
    <n v="1"/>
    <n v="1"/>
    <x v="1"/>
    <n v="18.983561643835618"/>
    <x v="3"/>
    <n v="1"/>
    <d v="2006-11-10T00:00:00"/>
  </r>
  <r>
    <x v="1"/>
    <n v="18976968"/>
    <x v="1"/>
    <d v="2025-10-30T00:00:00"/>
    <x v="0"/>
    <x v="8"/>
    <x v="10"/>
    <m/>
    <n v="9999"/>
    <n v="333.3"/>
    <n v="0"/>
    <n v="0"/>
    <n v="0"/>
    <x v="1"/>
    <n v="21.304109589041097"/>
    <x v="2"/>
    <n v="2"/>
    <d v="2004-07-16T00:00:00"/>
  </r>
  <r>
    <x v="1"/>
    <n v="18977000"/>
    <x v="1"/>
    <d v="2025-10-30T00:00:00"/>
    <x v="0"/>
    <x v="8"/>
    <x v="10"/>
    <d v="2026-05-15T00:00:00"/>
    <n v="197"/>
    <n v="6.5666666666666664"/>
    <n v="0"/>
    <n v="0"/>
    <n v="0"/>
    <x v="1"/>
    <n v="18.421917808219177"/>
    <x v="3"/>
    <n v="1"/>
    <d v="2007-06-03T00:00:00"/>
  </r>
  <r>
    <x v="1"/>
    <n v="18977012"/>
    <x v="0"/>
    <d v="2025-10-30T00:00:00"/>
    <x v="0"/>
    <x v="8"/>
    <x v="10"/>
    <d v="2026-03-02T00:00:00"/>
    <n v="123"/>
    <n v="4.0999999999999996"/>
    <n v="0"/>
    <n v="0"/>
    <n v="1"/>
    <x v="1"/>
    <n v="31.279452054794522"/>
    <x v="0"/>
    <n v="4"/>
    <d v="1994-07-28T00:00:00"/>
  </r>
  <r>
    <x v="1"/>
    <n v="18977013"/>
    <x v="1"/>
    <d v="2025-10-30T00:00:00"/>
    <x v="0"/>
    <x v="8"/>
    <x v="10"/>
    <m/>
    <n v="9999"/>
    <n v="333.3"/>
    <n v="0"/>
    <n v="0"/>
    <n v="0"/>
    <x v="1"/>
    <n v="21.243835616438357"/>
    <x v="2"/>
    <n v="2"/>
    <d v="2004-08-07T00:00:00"/>
  </r>
  <r>
    <x v="1"/>
    <n v="18977038"/>
    <x v="0"/>
    <d v="2025-10-30T00:00:00"/>
    <x v="0"/>
    <x v="8"/>
    <x v="10"/>
    <d v="2025-11-11T00:00:00"/>
    <n v="12"/>
    <n v="0.4"/>
    <n v="1"/>
    <n v="1"/>
    <n v="1"/>
    <x v="1"/>
    <n v="18.663013698630138"/>
    <x v="3"/>
    <n v="1"/>
    <d v="2007-03-07T00:00:00"/>
  </r>
  <r>
    <x v="1"/>
    <n v="18977047"/>
    <x v="1"/>
    <d v="2025-10-31T00:00:00"/>
    <x v="0"/>
    <x v="8"/>
    <x v="10"/>
    <d v="2025-12-01T00:00:00"/>
    <n v="31"/>
    <n v="1.0333333333333334"/>
    <n v="0"/>
    <n v="1"/>
    <n v="1"/>
    <x v="0"/>
    <n v="22.019178082191782"/>
    <x v="2"/>
    <n v="2"/>
    <d v="2003-10-30T00:00:00"/>
  </r>
  <r>
    <x v="1"/>
    <n v="18977047"/>
    <x v="1"/>
    <d v="2025-10-31T00:00:00"/>
    <x v="0"/>
    <x v="8"/>
    <x v="10"/>
    <d v="2025-11-30T00:00:00"/>
    <n v="30"/>
    <n v="1"/>
    <n v="1"/>
    <n v="1"/>
    <n v="1"/>
    <x v="0"/>
    <n v="22.019178082191782"/>
    <x v="2"/>
    <n v="2"/>
    <d v="2003-10-30T00:00:00"/>
  </r>
  <r>
    <x v="1"/>
    <n v="18977085"/>
    <x v="0"/>
    <d v="2025-10-31T00:00:00"/>
    <x v="0"/>
    <x v="8"/>
    <x v="10"/>
    <m/>
    <n v="9999"/>
    <n v="333.3"/>
    <n v="0"/>
    <n v="0"/>
    <n v="0"/>
    <x v="0"/>
    <n v="20.265753424657536"/>
    <x v="3"/>
    <n v="1"/>
    <d v="2005-07-31T00:00:00"/>
  </r>
  <r>
    <x v="1"/>
    <n v="18977087"/>
    <x v="1"/>
    <d v="2025-10-31T00:00:00"/>
    <x v="0"/>
    <x v="8"/>
    <x v="10"/>
    <d v="2026-02-01T00:00:00"/>
    <n v="93"/>
    <n v="3.1"/>
    <n v="0"/>
    <n v="0"/>
    <n v="1"/>
    <x v="1"/>
    <n v="32.726027397260275"/>
    <x v="0"/>
    <n v="4"/>
    <d v="1993-02-16T00:00:00"/>
  </r>
  <r>
    <x v="1"/>
    <n v="18977088"/>
    <x v="0"/>
    <d v="2025-10-31T00:00:00"/>
    <x v="0"/>
    <x v="8"/>
    <x v="10"/>
    <m/>
    <n v="9999"/>
    <n v="333.3"/>
    <n v="0"/>
    <n v="0"/>
    <n v="0"/>
    <x v="1"/>
    <n v="19.408219178082192"/>
    <x v="3"/>
    <n v="1"/>
    <d v="2006-06-09T00:00:00"/>
  </r>
  <r>
    <x v="1"/>
    <n v="18977109"/>
    <x v="1"/>
    <d v="2025-10-31T00:00:00"/>
    <x v="0"/>
    <x v="8"/>
    <x v="10"/>
    <d v="2026-04-01T00:00:00"/>
    <n v="152"/>
    <n v="5.0666666666666664"/>
    <n v="0"/>
    <n v="0"/>
    <n v="1"/>
    <x v="1"/>
    <n v="22.846575342465755"/>
    <x v="2"/>
    <n v="2"/>
    <d v="2003-01-01T00:00:00"/>
  </r>
  <r>
    <x v="1"/>
    <n v="18977113"/>
    <x v="0"/>
    <d v="2025-10-31T00:00:00"/>
    <x v="0"/>
    <x v="8"/>
    <x v="10"/>
    <d v="2025-11-07T00:00:00"/>
    <n v="7"/>
    <n v="0.23333333333333334"/>
    <n v="1"/>
    <n v="1"/>
    <n v="1"/>
    <x v="0"/>
    <n v="23.457534246575342"/>
    <x v="2"/>
    <n v="2"/>
    <d v="2002-05-23T00:00:00"/>
  </r>
  <r>
    <x v="1"/>
    <n v="18977114"/>
    <x v="0"/>
    <d v="2025-10-31T00:00:00"/>
    <x v="0"/>
    <x v="8"/>
    <x v="10"/>
    <d v="2026-05-11T00:00:00"/>
    <n v="192"/>
    <n v="6.4"/>
    <n v="0"/>
    <n v="0"/>
    <n v="0"/>
    <x v="0"/>
    <n v="20.684931506849313"/>
    <x v="3"/>
    <n v="1"/>
    <d v="2005-02-28T00:00:00"/>
  </r>
  <r>
    <x v="1"/>
    <n v="18977117"/>
    <x v="0"/>
    <d v="2025-10-31T00:00:00"/>
    <x v="0"/>
    <x v="8"/>
    <x v="10"/>
    <d v="2026-03-31T00:00:00"/>
    <n v="151"/>
    <n v="5.0333333333333332"/>
    <n v="0"/>
    <n v="0"/>
    <n v="1"/>
    <x v="1"/>
    <n v="18.646575342465752"/>
    <x v="3"/>
    <n v="1"/>
    <d v="2007-03-14T00:00:00"/>
  </r>
  <r>
    <x v="1"/>
    <n v="18977118"/>
    <x v="0"/>
    <d v="2025-10-31T00:00:00"/>
    <x v="0"/>
    <x v="8"/>
    <x v="10"/>
    <m/>
    <n v="9999"/>
    <n v="333.3"/>
    <n v="0"/>
    <n v="0"/>
    <n v="0"/>
    <x v="1"/>
    <n v="33.646575342465752"/>
    <x v="0"/>
    <n v="4"/>
    <d v="1992-03-17T00:00:00"/>
  </r>
  <r>
    <x v="1"/>
    <n v="18977127"/>
    <x v="1"/>
    <d v="2025-10-31T00:00:00"/>
    <x v="0"/>
    <x v="8"/>
    <x v="10"/>
    <d v="2026-02-28T00:00:00"/>
    <n v="120"/>
    <n v="4"/>
    <n v="0"/>
    <n v="0"/>
    <n v="1"/>
    <x v="1"/>
    <n v="31.668493150684931"/>
    <x v="0"/>
    <n v="4"/>
    <d v="1994-03-09T00:00:00"/>
  </r>
  <r>
    <x v="1"/>
    <n v="18977128"/>
    <x v="1"/>
    <d v="2025-10-31T00:00:00"/>
    <x v="0"/>
    <x v="8"/>
    <x v="10"/>
    <d v="2026-03-01T00:00:00"/>
    <n v="121"/>
    <n v="4.0333333333333332"/>
    <n v="0"/>
    <n v="0"/>
    <n v="1"/>
    <x v="1"/>
    <n v="20.30958904109589"/>
    <x v="3"/>
    <n v="1"/>
    <d v="2005-07-15T00:00:00"/>
  </r>
  <r>
    <x v="1"/>
    <n v="18977131"/>
    <x v="1"/>
    <d v="2025-10-31T00:00:00"/>
    <x v="0"/>
    <x v="8"/>
    <x v="10"/>
    <d v="2026-02-15T00:00:00"/>
    <n v="107"/>
    <n v="3.5666666666666669"/>
    <n v="0"/>
    <n v="0"/>
    <n v="1"/>
    <x v="1"/>
    <n v="18.235616438356164"/>
    <x v="3"/>
    <n v="1"/>
    <d v="2007-08-11T00:00:00"/>
  </r>
  <r>
    <x v="1"/>
    <n v="18977132"/>
    <x v="1"/>
    <d v="2025-10-31T00:00:00"/>
    <x v="0"/>
    <x v="8"/>
    <x v="10"/>
    <m/>
    <n v="9999"/>
    <n v="333.3"/>
    <n v="0"/>
    <n v="0"/>
    <n v="0"/>
    <x v="1"/>
    <n v="19.739726027397261"/>
    <x v="3"/>
    <n v="1"/>
    <d v="2006-02-08T00:00:00"/>
  </r>
  <r>
    <x v="1"/>
    <n v="18977139"/>
    <x v="0"/>
    <d v="2025-10-31T00:00:00"/>
    <x v="0"/>
    <x v="8"/>
    <x v="10"/>
    <d v="2026-03-15T00:00:00"/>
    <n v="135"/>
    <n v="4.5"/>
    <n v="0"/>
    <n v="0"/>
    <n v="1"/>
    <x v="1"/>
    <n v="19.12054794520548"/>
    <x v="3"/>
    <n v="1"/>
    <d v="2006-09-22T00:00:00"/>
  </r>
  <r>
    <x v="1"/>
    <n v="18977140"/>
    <x v="1"/>
    <d v="2025-10-31T00:00:00"/>
    <x v="0"/>
    <x v="8"/>
    <x v="10"/>
    <d v="2026-01-03T00:00:00"/>
    <n v="64"/>
    <n v="2.1333333333333333"/>
    <n v="0"/>
    <n v="1"/>
    <n v="1"/>
    <x v="1"/>
    <n v="28.93972602739726"/>
    <x v="1"/>
    <n v="3"/>
    <d v="1996-11-29T00:00:00"/>
  </r>
  <r>
    <x v="1"/>
    <n v="18977142"/>
    <x v="0"/>
    <d v="2025-10-31T00:00:00"/>
    <x v="0"/>
    <x v="8"/>
    <x v="10"/>
    <m/>
    <n v="9999"/>
    <n v="333.3"/>
    <n v="0"/>
    <n v="0"/>
    <n v="0"/>
    <x v="1"/>
    <n v="34.367123287671234"/>
    <x v="0"/>
    <n v="4"/>
    <d v="1991-06-28T00:00:00"/>
  </r>
  <r>
    <x v="1"/>
    <n v="18977143"/>
    <x v="1"/>
    <d v="2025-10-31T00:00:00"/>
    <x v="0"/>
    <x v="8"/>
    <x v="10"/>
    <m/>
    <n v="9999"/>
    <n v="333.3"/>
    <n v="0"/>
    <n v="0"/>
    <n v="0"/>
    <x v="1"/>
    <n v="18.493150684931507"/>
    <x v="3"/>
    <n v="1"/>
    <d v="2007-05-09T00:00:00"/>
  </r>
  <r>
    <x v="1"/>
    <n v="18977144"/>
    <x v="0"/>
    <d v="2025-10-31T00:00:00"/>
    <x v="0"/>
    <x v="8"/>
    <x v="10"/>
    <m/>
    <n v="9999"/>
    <n v="333.3"/>
    <n v="0"/>
    <n v="0"/>
    <n v="0"/>
    <x v="1"/>
    <n v="20.657534246575342"/>
    <x v="3"/>
    <n v="1"/>
    <d v="2005-03-10T00:00:00"/>
  </r>
  <r>
    <x v="1"/>
    <n v="18977152"/>
    <x v="1"/>
    <d v="2025-10-31T00:00:00"/>
    <x v="0"/>
    <x v="8"/>
    <x v="10"/>
    <m/>
    <n v="9999"/>
    <n v="333.3"/>
    <n v="0"/>
    <n v="0"/>
    <n v="0"/>
    <x v="1"/>
    <n v="19.232876712328768"/>
    <x v="3"/>
    <n v="1"/>
    <d v="2006-08-12T00:00:00"/>
  </r>
  <r>
    <x v="1"/>
    <n v="18977153"/>
    <x v="1"/>
    <d v="2025-10-31T00:00:00"/>
    <x v="0"/>
    <x v="8"/>
    <x v="10"/>
    <m/>
    <n v="9999"/>
    <n v="333.3"/>
    <n v="0"/>
    <n v="0"/>
    <n v="0"/>
    <x v="1"/>
    <n v="18.06027397260274"/>
    <x v="3"/>
    <n v="1"/>
    <d v="2007-10-14T00:00:00"/>
  </r>
  <r>
    <x v="1"/>
    <n v="18977158"/>
    <x v="0"/>
    <d v="2025-10-31T00:00:00"/>
    <x v="0"/>
    <x v="8"/>
    <x v="10"/>
    <m/>
    <n v="9999"/>
    <n v="333.3"/>
    <n v="0"/>
    <n v="0"/>
    <n v="0"/>
    <x v="1"/>
    <n v="18.934246575342467"/>
    <x v="3"/>
    <n v="1"/>
    <d v="2006-11-29T00:00:00"/>
  </r>
  <r>
    <x v="0"/>
    <n v="18977162"/>
    <x v="0"/>
    <d v="2026-05-01T00:00:00"/>
    <x v="1"/>
    <x v="1"/>
    <x v="1"/>
    <m/>
    <n v="9999"/>
    <n v="333.3"/>
    <n v="0"/>
    <n v="0"/>
    <n v="0"/>
    <x v="1"/>
    <n v="24.438356164383563"/>
    <x v="2"/>
    <n v="2"/>
    <d v="2001-11-28T00:00:00"/>
  </r>
  <r>
    <x v="1"/>
    <n v="18977180"/>
    <x v="0"/>
    <d v="2025-10-31T00:00:00"/>
    <x v="0"/>
    <x v="8"/>
    <x v="10"/>
    <m/>
    <n v="9999"/>
    <n v="333.3"/>
    <n v="0"/>
    <n v="0"/>
    <n v="0"/>
    <x v="1"/>
    <n v="21.531506849315068"/>
    <x v="2"/>
    <n v="2"/>
    <d v="2004-04-25T00:00:00"/>
  </r>
  <r>
    <x v="1"/>
    <n v="18977181"/>
    <x v="0"/>
    <d v="2025-10-31T00:00:00"/>
    <x v="0"/>
    <x v="8"/>
    <x v="10"/>
    <d v="2026-04-30T00:00:00"/>
    <n v="181"/>
    <n v="6.0333333333333332"/>
    <n v="0"/>
    <n v="0"/>
    <n v="0"/>
    <x v="1"/>
    <n v="19.008219178082193"/>
    <x v="3"/>
    <n v="1"/>
    <d v="2006-11-02T00:00:00"/>
  </r>
  <r>
    <x v="1"/>
    <n v="18977205"/>
    <x v="0"/>
    <d v="2025-10-31T00:00:00"/>
    <x v="0"/>
    <x v="8"/>
    <x v="10"/>
    <m/>
    <n v="9999"/>
    <n v="333.3"/>
    <n v="0"/>
    <n v="0"/>
    <n v="0"/>
    <x v="1"/>
    <n v="19.317808219178083"/>
    <x v="3"/>
    <n v="1"/>
    <d v="2006-07-12T00:00:00"/>
  </r>
  <r>
    <x v="1"/>
    <n v="18977206"/>
    <x v="1"/>
    <d v="2025-10-31T00:00:00"/>
    <x v="0"/>
    <x v="8"/>
    <x v="10"/>
    <d v="2026-03-15T00:00:00"/>
    <n v="135"/>
    <n v="4.5"/>
    <n v="0"/>
    <n v="0"/>
    <n v="1"/>
    <x v="1"/>
    <n v="19.572602739726026"/>
    <x v="3"/>
    <n v="1"/>
    <d v="2006-04-10T00:00:00"/>
  </r>
  <r>
    <x v="1"/>
    <n v="18977211"/>
    <x v="0"/>
    <d v="2025-11-07T00:00:00"/>
    <x v="0"/>
    <x v="4"/>
    <x v="6"/>
    <d v="2026-03-01T00:00:00"/>
    <n v="114"/>
    <n v="3.8"/>
    <n v="0"/>
    <n v="0"/>
    <n v="1"/>
    <x v="1"/>
    <n v="20.791780821917808"/>
    <x v="3"/>
    <n v="1"/>
    <d v="2005-01-27T00:00:00"/>
  </r>
  <r>
    <x v="1"/>
    <n v="18977213"/>
    <x v="0"/>
    <d v="2025-10-31T00:00:00"/>
    <x v="0"/>
    <x v="8"/>
    <x v="10"/>
    <d v="2025-11-30T00:00:00"/>
    <n v="30"/>
    <n v="1"/>
    <n v="1"/>
    <n v="1"/>
    <n v="1"/>
    <x v="1"/>
    <n v="27.383561643835616"/>
    <x v="1"/>
    <n v="3"/>
    <d v="1998-06-20T00:00:00"/>
  </r>
  <r>
    <x v="1"/>
    <n v="18977277"/>
    <x v="0"/>
    <d v="2025-11-03T00:00:00"/>
    <x v="0"/>
    <x v="4"/>
    <x v="6"/>
    <m/>
    <n v="9999"/>
    <n v="333.3"/>
    <n v="0"/>
    <n v="0"/>
    <n v="0"/>
    <x v="0"/>
    <n v="20.82191780821918"/>
    <x v="3"/>
    <n v="1"/>
    <d v="2005-01-12T00:00:00"/>
  </r>
  <r>
    <x v="1"/>
    <n v="18977280"/>
    <x v="0"/>
    <d v="2025-11-03T00:00:00"/>
    <x v="0"/>
    <x v="4"/>
    <x v="6"/>
    <m/>
    <n v="9999"/>
    <n v="333.3"/>
    <n v="0"/>
    <n v="0"/>
    <n v="0"/>
    <x v="0"/>
    <n v="33.580821917808223"/>
    <x v="0"/>
    <n v="4"/>
    <d v="1992-04-13T00:00:00"/>
  </r>
  <r>
    <x v="1"/>
    <n v="18977281"/>
    <x v="0"/>
    <d v="2025-11-03T00:00:00"/>
    <x v="0"/>
    <x v="4"/>
    <x v="6"/>
    <m/>
    <n v="9999"/>
    <n v="333.3"/>
    <n v="0"/>
    <n v="0"/>
    <n v="0"/>
    <x v="0"/>
    <n v="43.956164383561642"/>
    <x v="0"/>
    <n v="4"/>
    <d v="1981-11-30T00:00:00"/>
  </r>
  <r>
    <x v="1"/>
    <n v="18977320"/>
    <x v="1"/>
    <d v="2025-11-03T00:00:00"/>
    <x v="0"/>
    <x v="4"/>
    <x v="6"/>
    <m/>
    <n v="9999"/>
    <n v="333.3"/>
    <n v="0"/>
    <n v="0"/>
    <n v="0"/>
    <x v="1"/>
    <n v="19.797260273972604"/>
    <x v="3"/>
    <n v="1"/>
    <d v="2006-01-21T00:00:00"/>
  </r>
  <r>
    <x v="1"/>
    <n v="18977322"/>
    <x v="1"/>
    <d v="2025-11-03T00:00:00"/>
    <x v="0"/>
    <x v="4"/>
    <x v="6"/>
    <d v="2026-02-02T00:00:00"/>
    <n v="91"/>
    <n v="3.0333333333333332"/>
    <n v="0"/>
    <n v="0"/>
    <n v="1"/>
    <x v="1"/>
    <n v="31.18904109589041"/>
    <x v="0"/>
    <n v="4"/>
    <d v="1994-09-03T00:00:00"/>
  </r>
  <r>
    <x v="1"/>
    <n v="18977324"/>
    <x v="0"/>
    <d v="2025-11-03T00:00:00"/>
    <x v="0"/>
    <x v="4"/>
    <x v="6"/>
    <m/>
    <n v="9999"/>
    <n v="333.3"/>
    <n v="0"/>
    <n v="0"/>
    <n v="0"/>
    <x v="1"/>
    <n v="19.076712328767123"/>
    <x v="3"/>
    <n v="1"/>
    <d v="2006-10-11T00:00:00"/>
  </r>
  <r>
    <x v="1"/>
    <n v="18977328"/>
    <x v="0"/>
    <d v="2025-11-03T00:00:00"/>
    <x v="0"/>
    <x v="4"/>
    <x v="6"/>
    <m/>
    <n v="9999"/>
    <n v="333.3"/>
    <n v="0"/>
    <n v="0"/>
    <n v="0"/>
    <x v="1"/>
    <n v="29.235616438356164"/>
    <x v="1"/>
    <n v="3"/>
    <d v="1996-08-16T00:00:00"/>
  </r>
  <r>
    <x v="1"/>
    <n v="18977330"/>
    <x v="0"/>
    <d v="2025-11-03T00:00:00"/>
    <x v="0"/>
    <x v="4"/>
    <x v="6"/>
    <d v="2026-01-15T00:00:00"/>
    <n v="73"/>
    <n v="2.4333333333333331"/>
    <n v="0"/>
    <n v="1"/>
    <n v="1"/>
    <x v="1"/>
    <n v="23.471232876712328"/>
    <x v="2"/>
    <n v="2"/>
    <d v="2002-05-21T00:00:00"/>
  </r>
  <r>
    <x v="1"/>
    <n v="18977341"/>
    <x v="1"/>
    <d v="2025-11-03T00:00:00"/>
    <x v="0"/>
    <x v="4"/>
    <x v="6"/>
    <d v="2026-03-13T00:00:00"/>
    <n v="130"/>
    <n v="4.333333333333333"/>
    <n v="0"/>
    <n v="0"/>
    <n v="1"/>
    <x v="1"/>
    <n v="19.649315068493152"/>
    <x v="3"/>
    <n v="1"/>
    <d v="2006-03-16T00:00:00"/>
  </r>
  <r>
    <x v="1"/>
    <n v="18977342"/>
    <x v="0"/>
    <d v="2025-11-03T00:00:00"/>
    <x v="0"/>
    <x v="4"/>
    <x v="6"/>
    <m/>
    <n v="9999"/>
    <n v="333.3"/>
    <n v="0"/>
    <n v="0"/>
    <n v="0"/>
    <x v="1"/>
    <n v="24.556164383561644"/>
    <x v="2"/>
    <n v="2"/>
    <d v="2001-04-20T00:00:00"/>
  </r>
  <r>
    <x v="1"/>
    <n v="18977369"/>
    <x v="0"/>
    <d v="2025-11-03T00:00:00"/>
    <x v="0"/>
    <x v="4"/>
    <x v="6"/>
    <m/>
    <n v="9999"/>
    <n v="333.3"/>
    <n v="0"/>
    <n v="0"/>
    <n v="0"/>
    <x v="1"/>
    <n v="21.147945205479452"/>
    <x v="2"/>
    <n v="2"/>
    <d v="2004-09-15T00:00:00"/>
  </r>
  <r>
    <x v="1"/>
    <n v="18977370"/>
    <x v="1"/>
    <d v="2025-11-03T00:00:00"/>
    <x v="0"/>
    <x v="4"/>
    <x v="6"/>
    <d v="2026-02-28T00:00:00"/>
    <n v="117"/>
    <n v="3.9"/>
    <n v="0"/>
    <n v="0"/>
    <n v="1"/>
    <x v="1"/>
    <n v="18.745205479452054"/>
    <x v="3"/>
    <n v="1"/>
    <d v="2007-02-09T00:00:00"/>
  </r>
  <r>
    <x v="1"/>
    <n v="18977403"/>
    <x v="1"/>
    <d v="2025-11-03T00:00:00"/>
    <x v="0"/>
    <x v="4"/>
    <x v="6"/>
    <m/>
    <n v="9999"/>
    <n v="333.3"/>
    <n v="0"/>
    <n v="0"/>
    <n v="0"/>
    <x v="0"/>
    <n v="24.920547945205481"/>
    <x v="2"/>
    <n v="2"/>
    <d v="2000-12-08T00:00:00"/>
  </r>
  <r>
    <x v="1"/>
    <n v="18977404"/>
    <x v="0"/>
    <d v="2025-11-03T00:00:00"/>
    <x v="0"/>
    <x v="4"/>
    <x v="6"/>
    <m/>
    <n v="9999"/>
    <n v="333.3"/>
    <n v="0"/>
    <n v="0"/>
    <n v="0"/>
    <x v="0"/>
    <n v="25.13150684931507"/>
    <x v="2"/>
    <n v="2"/>
    <d v="2000-09-22T00:00:00"/>
  </r>
  <r>
    <x v="1"/>
    <n v="18977477"/>
    <x v="0"/>
    <d v="2025-11-03T00:00:00"/>
    <x v="0"/>
    <x v="4"/>
    <x v="6"/>
    <d v="2026-04-30T00:00:00"/>
    <n v="178"/>
    <n v="5.9333333333333336"/>
    <n v="0"/>
    <n v="0"/>
    <n v="1"/>
    <x v="0"/>
    <n v="26.950684931506849"/>
    <x v="1"/>
    <n v="3"/>
    <d v="1998-11-28T00:00:00"/>
  </r>
  <r>
    <x v="1"/>
    <n v="18977478"/>
    <x v="1"/>
    <d v="2025-11-03T00:00:00"/>
    <x v="0"/>
    <x v="4"/>
    <x v="6"/>
    <d v="2025-11-30T00:00:00"/>
    <n v="27"/>
    <n v="0.9"/>
    <n v="1"/>
    <n v="1"/>
    <n v="1"/>
    <x v="0"/>
    <n v="20.435616438356163"/>
    <x v="3"/>
    <n v="1"/>
    <d v="2005-06-02T00:00:00"/>
  </r>
  <r>
    <x v="1"/>
    <n v="18977481"/>
    <x v="0"/>
    <d v="2025-11-03T00:00:00"/>
    <x v="0"/>
    <x v="4"/>
    <x v="6"/>
    <d v="2026-01-02T00:00:00"/>
    <n v="60"/>
    <n v="2"/>
    <n v="0"/>
    <n v="1"/>
    <n v="1"/>
    <x v="0"/>
    <n v="21.956164383561642"/>
    <x v="2"/>
    <n v="2"/>
    <d v="2003-11-25T00:00:00"/>
  </r>
  <r>
    <x v="1"/>
    <n v="18977482"/>
    <x v="0"/>
    <d v="2025-11-03T00:00:00"/>
    <x v="0"/>
    <x v="4"/>
    <x v="6"/>
    <m/>
    <n v="9999"/>
    <n v="333.3"/>
    <n v="0"/>
    <n v="0"/>
    <n v="0"/>
    <x v="0"/>
    <n v="20.306849315068494"/>
    <x v="3"/>
    <n v="1"/>
    <d v="2005-07-19T00:00:00"/>
  </r>
  <r>
    <x v="1"/>
    <n v="18977507"/>
    <x v="0"/>
    <d v="2025-11-03T00:00:00"/>
    <x v="0"/>
    <x v="4"/>
    <x v="6"/>
    <m/>
    <n v="9999"/>
    <n v="333.3"/>
    <n v="0"/>
    <n v="0"/>
    <n v="0"/>
    <x v="0"/>
    <n v="40.904109589041099"/>
    <x v="0"/>
    <n v="4"/>
    <d v="1984-12-18T00:00:00"/>
  </r>
  <r>
    <x v="1"/>
    <n v="18977515"/>
    <x v="0"/>
    <d v="2025-11-03T00:00:00"/>
    <x v="0"/>
    <x v="4"/>
    <x v="6"/>
    <m/>
    <n v="9999"/>
    <n v="333.3"/>
    <n v="0"/>
    <n v="0"/>
    <n v="0"/>
    <x v="1"/>
    <n v="22.449315068493149"/>
    <x v="2"/>
    <n v="2"/>
    <d v="2003-05-29T00:00:00"/>
  </r>
  <r>
    <x v="1"/>
    <n v="18977541"/>
    <x v="0"/>
    <d v="2025-11-03T00:00:00"/>
    <x v="0"/>
    <x v="4"/>
    <x v="6"/>
    <m/>
    <n v="9999"/>
    <n v="333.3"/>
    <n v="0"/>
    <n v="0"/>
    <n v="0"/>
    <x v="1"/>
    <n v="22.816438356164383"/>
    <x v="2"/>
    <n v="2"/>
    <d v="2003-01-15T00:00:00"/>
  </r>
  <r>
    <x v="1"/>
    <n v="18977661"/>
    <x v="0"/>
    <d v="2025-11-03T00:00:00"/>
    <x v="0"/>
    <x v="4"/>
    <x v="6"/>
    <d v="2026-01-05T00:00:00"/>
    <n v="63"/>
    <n v="2.1"/>
    <n v="0"/>
    <n v="1"/>
    <n v="1"/>
    <x v="0"/>
    <n v="22.227397260273971"/>
    <x v="2"/>
    <n v="2"/>
    <d v="2003-08-18T00:00:00"/>
  </r>
  <r>
    <x v="1"/>
    <n v="18977675"/>
    <x v="0"/>
    <d v="2026-05-08T00:00:00"/>
    <x v="1"/>
    <x v="1"/>
    <x v="1"/>
    <m/>
    <n v="9999"/>
    <n v="333.3"/>
    <n v="0"/>
    <n v="0"/>
    <n v="0"/>
    <x v="1"/>
    <n v="22.775342465753425"/>
    <x v="2"/>
    <n v="2"/>
    <d v="2003-08-04T00:00:00"/>
  </r>
  <r>
    <x v="1"/>
    <n v="18977710"/>
    <x v="1"/>
    <d v="2025-11-03T00:00:00"/>
    <x v="0"/>
    <x v="4"/>
    <x v="6"/>
    <m/>
    <n v="9999"/>
    <n v="333.3"/>
    <n v="0"/>
    <n v="0"/>
    <n v="0"/>
    <x v="0"/>
    <n v="20.186301369863013"/>
    <x v="3"/>
    <n v="1"/>
    <d v="2005-09-01T00:00:00"/>
  </r>
  <r>
    <x v="1"/>
    <n v="18977715"/>
    <x v="0"/>
    <d v="2025-11-03T00:00:00"/>
    <x v="0"/>
    <x v="4"/>
    <x v="6"/>
    <m/>
    <n v="9999"/>
    <n v="333.3"/>
    <n v="0"/>
    <n v="0"/>
    <n v="0"/>
    <x v="0"/>
    <n v="26.150684931506849"/>
    <x v="1"/>
    <n v="3"/>
    <d v="1999-09-16T00:00:00"/>
  </r>
  <r>
    <x v="1"/>
    <n v="18977718"/>
    <x v="1"/>
    <d v="2025-11-03T00:00:00"/>
    <x v="0"/>
    <x v="4"/>
    <x v="6"/>
    <d v="2025-11-30T00:00:00"/>
    <n v="27"/>
    <n v="0.9"/>
    <n v="1"/>
    <n v="1"/>
    <n v="1"/>
    <x v="0"/>
    <n v="18.860273972602741"/>
    <x v="3"/>
    <n v="1"/>
    <d v="2006-12-29T00:00:00"/>
  </r>
  <r>
    <x v="1"/>
    <n v="18977805"/>
    <x v="0"/>
    <d v="2025-11-03T00:00:00"/>
    <x v="0"/>
    <x v="4"/>
    <x v="6"/>
    <m/>
    <n v="9999"/>
    <n v="333.3"/>
    <n v="0"/>
    <n v="0"/>
    <n v="0"/>
    <x v="0"/>
    <n v="22.964383561643835"/>
    <x v="2"/>
    <n v="2"/>
    <d v="2002-11-22T00:00:00"/>
  </r>
  <r>
    <x v="1"/>
    <n v="18977810"/>
    <x v="0"/>
    <d v="2025-11-03T00:00:00"/>
    <x v="0"/>
    <x v="4"/>
    <x v="6"/>
    <d v="2026-05-15T00:00:00"/>
    <n v="193"/>
    <n v="6.4333333333333336"/>
    <n v="0"/>
    <n v="0"/>
    <n v="0"/>
    <x v="0"/>
    <n v="25.109589041095891"/>
    <x v="2"/>
    <n v="2"/>
    <d v="2000-09-30T00:00:00"/>
  </r>
  <r>
    <x v="1"/>
    <n v="18977897"/>
    <x v="1"/>
    <d v="2025-11-04T00:00:00"/>
    <x v="0"/>
    <x v="4"/>
    <x v="6"/>
    <d v="2026-02-28T00:00:00"/>
    <n v="116"/>
    <n v="3.8666666666666667"/>
    <n v="0"/>
    <n v="0"/>
    <n v="1"/>
    <x v="1"/>
    <n v="20.079452054794519"/>
    <x v="3"/>
    <n v="1"/>
    <d v="2005-10-11T00:00:00"/>
  </r>
  <r>
    <x v="1"/>
    <n v="18977898"/>
    <x v="0"/>
    <d v="2025-11-04T00:00:00"/>
    <x v="0"/>
    <x v="4"/>
    <x v="6"/>
    <d v="2025-11-17T00:00:00"/>
    <n v="13"/>
    <n v="0.43333333333333335"/>
    <n v="1"/>
    <n v="1"/>
    <n v="1"/>
    <x v="1"/>
    <n v="26.832876712328765"/>
    <x v="1"/>
    <n v="3"/>
    <d v="1999-01-11T00:00:00"/>
  </r>
  <r>
    <x v="1"/>
    <n v="18977899"/>
    <x v="0"/>
    <d v="2025-11-04T00:00:00"/>
    <x v="0"/>
    <x v="4"/>
    <x v="6"/>
    <m/>
    <n v="9999"/>
    <n v="333.3"/>
    <n v="0"/>
    <n v="0"/>
    <n v="0"/>
    <x v="1"/>
    <n v="18.046575342465754"/>
    <x v="3"/>
    <n v="1"/>
    <d v="2007-10-23T00:00:00"/>
  </r>
  <r>
    <x v="1"/>
    <n v="18977903"/>
    <x v="1"/>
    <d v="2025-11-04T00:00:00"/>
    <x v="0"/>
    <x v="4"/>
    <x v="6"/>
    <d v="2026-06-03T00:00:00"/>
    <n v="211"/>
    <n v="7.0333333333333332"/>
    <n v="0"/>
    <n v="0"/>
    <n v="0"/>
    <x v="1"/>
    <n v="20.882191780821916"/>
    <x v="3"/>
    <n v="1"/>
    <d v="2004-12-22T00:00:00"/>
  </r>
  <r>
    <x v="1"/>
    <n v="18977904"/>
    <x v="1"/>
    <d v="2025-11-04T00:00:00"/>
    <x v="0"/>
    <x v="4"/>
    <x v="6"/>
    <d v="2026-02-01T00:00:00"/>
    <n v="89"/>
    <n v="2.9666666666666668"/>
    <n v="0"/>
    <n v="1"/>
    <n v="1"/>
    <x v="1"/>
    <n v="18.030136986301368"/>
    <x v="3"/>
    <n v="1"/>
    <d v="2007-10-29T00:00:00"/>
  </r>
  <r>
    <x v="1"/>
    <n v="18977905"/>
    <x v="0"/>
    <d v="2025-11-04T00:00:00"/>
    <x v="0"/>
    <x v="4"/>
    <x v="6"/>
    <m/>
    <n v="9999"/>
    <n v="333.3"/>
    <n v="0"/>
    <n v="0"/>
    <n v="0"/>
    <x v="0"/>
    <n v="21.882191780821916"/>
    <x v="2"/>
    <n v="2"/>
    <d v="2003-12-23T00:00:00"/>
  </r>
  <r>
    <x v="1"/>
    <n v="18977906"/>
    <x v="1"/>
    <d v="2025-11-04T00:00:00"/>
    <x v="0"/>
    <x v="4"/>
    <x v="6"/>
    <d v="2025-12-05T00:00:00"/>
    <n v="31"/>
    <n v="1.0333333333333334"/>
    <n v="0"/>
    <n v="1"/>
    <n v="1"/>
    <x v="1"/>
    <n v="19.942465753424656"/>
    <x v="3"/>
    <n v="1"/>
    <d v="2005-11-30T00:00:00"/>
  </r>
  <r>
    <x v="1"/>
    <n v="18977908"/>
    <x v="1"/>
    <d v="2025-11-04T00:00:00"/>
    <x v="0"/>
    <x v="4"/>
    <x v="6"/>
    <m/>
    <n v="9999"/>
    <n v="333.3"/>
    <n v="0"/>
    <n v="0"/>
    <n v="0"/>
    <x v="1"/>
    <n v="21.775342465753425"/>
    <x v="2"/>
    <n v="2"/>
    <d v="2004-01-31T00:00:00"/>
  </r>
  <r>
    <x v="1"/>
    <n v="18977909"/>
    <x v="0"/>
    <d v="2025-11-04T00:00:00"/>
    <x v="0"/>
    <x v="4"/>
    <x v="6"/>
    <m/>
    <n v="9999"/>
    <n v="333.3"/>
    <n v="0"/>
    <n v="0"/>
    <n v="0"/>
    <x v="1"/>
    <n v="20.726027397260275"/>
    <x v="3"/>
    <n v="1"/>
    <d v="2005-02-17T00:00:00"/>
  </r>
  <r>
    <x v="1"/>
    <n v="18977910"/>
    <x v="1"/>
    <d v="2025-11-04T00:00:00"/>
    <x v="0"/>
    <x v="4"/>
    <x v="6"/>
    <d v="2026-01-08T00:00:00"/>
    <n v="65"/>
    <n v="2.1666666666666665"/>
    <n v="0"/>
    <n v="1"/>
    <n v="1"/>
    <x v="1"/>
    <n v="18.063013698630137"/>
    <x v="3"/>
    <n v="1"/>
    <d v="2007-10-17T00:00:00"/>
  </r>
  <r>
    <x v="1"/>
    <n v="18977915"/>
    <x v="1"/>
    <d v="2025-11-04T00:00:00"/>
    <x v="0"/>
    <x v="4"/>
    <x v="6"/>
    <d v="2025-12-01T00:00:00"/>
    <n v="27"/>
    <n v="0.9"/>
    <n v="1"/>
    <n v="1"/>
    <n v="1"/>
    <x v="1"/>
    <n v="18.2"/>
    <x v="3"/>
    <n v="1"/>
    <d v="2007-08-28T00:00:00"/>
  </r>
  <r>
    <x v="1"/>
    <n v="18977920"/>
    <x v="1"/>
    <d v="2025-11-04T00:00:00"/>
    <x v="0"/>
    <x v="4"/>
    <x v="6"/>
    <m/>
    <n v="9999"/>
    <n v="333.3"/>
    <n v="0"/>
    <n v="0"/>
    <n v="0"/>
    <x v="0"/>
    <n v="18.238356164383561"/>
    <x v="3"/>
    <n v="1"/>
    <d v="2007-08-14T00:00:00"/>
  </r>
  <r>
    <x v="1"/>
    <n v="18977929"/>
    <x v="1"/>
    <d v="2025-11-04T00:00:00"/>
    <x v="0"/>
    <x v="4"/>
    <x v="6"/>
    <d v="2026-04-30T00:00:00"/>
    <n v="177"/>
    <n v="5.9"/>
    <n v="0"/>
    <n v="0"/>
    <n v="1"/>
    <x v="0"/>
    <n v="26.032876712328768"/>
    <x v="1"/>
    <n v="3"/>
    <d v="1999-10-30T00:00:00"/>
  </r>
  <r>
    <x v="1"/>
    <n v="18977934"/>
    <x v="0"/>
    <d v="2025-11-04T00:00:00"/>
    <x v="0"/>
    <x v="4"/>
    <x v="6"/>
    <d v="2026-04-07T00:00:00"/>
    <n v="154"/>
    <n v="5.1333333333333337"/>
    <n v="0"/>
    <n v="0"/>
    <n v="1"/>
    <x v="0"/>
    <n v="21.931506849315067"/>
    <x v="2"/>
    <n v="2"/>
    <d v="2003-12-05T00:00:00"/>
  </r>
  <r>
    <x v="1"/>
    <n v="18977944"/>
    <x v="0"/>
    <d v="2025-11-04T00:00:00"/>
    <x v="0"/>
    <x v="4"/>
    <x v="6"/>
    <m/>
    <n v="9999"/>
    <n v="333.3"/>
    <n v="0"/>
    <n v="0"/>
    <n v="0"/>
    <x v="0"/>
    <n v="21.076712328767123"/>
    <x v="2"/>
    <n v="2"/>
    <d v="2004-10-12T00:00:00"/>
  </r>
  <r>
    <x v="1"/>
    <n v="18977945"/>
    <x v="0"/>
    <d v="2025-11-04T00:00:00"/>
    <x v="0"/>
    <x v="4"/>
    <x v="6"/>
    <d v="2026-01-31T00:00:00"/>
    <n v="88"/>
    <n v="2.9333333333333331"/>
    <n v="0"/>
    <n v="1"/>
    <n v="1"/>
    <x v="0"/>
    <n v="27.421917808219177"/>
    <x v="1"/>
    <n v="3"/>
    <d v="1998-06-10T00:00:00"/>
  </r>
  <r>
    <x v="1"/>
    <n v="18977947"/>
    <x v="0"/>
    <d v="2025-11-04T00:00:00"/>
    <x v="0"/>
    <x v="4"/>
    <x v="6"/>
    <d v="2025-11-05T00:00:00"/>
    <n v="1"/>
    <n v="3.3333333333333333E-2"/>
    <n v="1"/>
    <n v="1"/>
    <n v="1"/>
    <x v="1"/>
    <n v="28.093150684931508"/>
    <x v="1"/>
    <n v="3"/>
    <d v="1997-10-08T00:00:00"/>
  </r>
  <r>
    <x v="1"/>
    <n v="18978108"/>
    <x v="1"/>
    <d v="2025-11-05T00:00:00"/>
    <x v="0"/>
    <x v="4"/>
    <x v="6"/>
    <m/>
    <n v="9999"/>
    <n v="333.3"/>
    <n v="0"/>
    <n v="0"/>
    <n v="0"/>
    <x v="1"/>
    <n v="19.594520547945205"/>
    <x v="3"/>
    <n v="1"/>
    <d v="2006-04-07T00:00:00"/>
  </r>
  <r>
    <x v="1"/>
    <n v="18978140"/>
    <x v="0"/>
    <d v="2025-11-05T00:00:00"/>
    <x v="0"/>
    <x v="4"/>
    <x v="6"/>
    <d v="2026-03-01T00:00:00"/>
    <n v="116"/>
    <n v="3.8666666666666667"/>
    <n v="0"/>
    <n v="0"/>
    <n v="1"/>
    <x v="0"/>
    <n v="26.172602739726027"/>
    <x v="1"/>
    <n v="3"/>
    <d v="1999-09-10T00:00:00"/>
  </r>
  <r>
    <x v="1"/>
    <n v="18978157"/>
    <x v="1"/>
    <d v="2025-11-05T00:00:00"/>
    <x v="0"/>
    <x v="4"/>
    <x v="6"/>
    <m/>
    <n v="9999"/>
    <n v="333.3"/>
    <n v="0"/>
    <n v="0"/>
    <n v="0"/>
    <x v="1"/>
    <n v="22.504109589041096"/>
    <x v="2"/>
    <n v="2"/>
    <d v="2003-05-11T00:00:00"/>
  </r>
  <r>
    <x v="1"/>
    <n v="18978160"/>
    <x v="0"/>
    <d v="2025-11-05T00:00:00"/>
    <x v="0"/>
    <x v="4"/>
    <x v="6"/>
    <m/>
    <n v="9999"/>
    <n v="333.3"/>
    <n v="0"/>
    <n v="0"/>
    <n v="0"/>
    <x v="1"/>
    <n v="19.654794520547945"/>
    <x v="3"/>
    <n v="1"/>
    <d v="2006-03-16T00:00:00"/>
  </r>
  <r>
    <x v="1"/>
    <n v="18978161"/>
    <x v="0"/>
    <d v="2025-11-05T00:00:00"/>
    <x v="0"/>
    <x v="4"/>
    <x v="6"/>
    <m/>
    <n v="9999"/>
    <n v="333.3"/>
    <n v="0"/>
    <n v="0"/>
    <n v="0"/>
    <x v="1"/>
    <n v="28.024657534246575"/>
    <x v="1"/>
    <n v="3"/>
    <d v="1997-11-03T00:00:00"/>
  </r>
  <r>
    <x v="1"/>
    <n v="18978165"/>
    <x v="0"/>
    <d v="2025-11-05T00:00:00"/>
    <x v="0"/>
    <x v="4"/>
    <x v="6"/>
    <d v="2026-03-03T00:00:00"/>
    <n v="118"/>
    <n v="3.9333333333333331"/>
    <n v="0"/>
    <n v="0"/>
    <n v="1"/>
    <x v="1"/>
    <n v="42.408219178082192"/>
    <x v="0"/>
    <n v="4"/>
    <d v="1983-06-20T00:00:00"/>
  </r>
  <r>
    <x v="1"/>
    <n v="18978169"/>
    <x v="0"/>
    <d v="2025-11-05T00:00:00"/>
    <x v="0"/>
    <x v="4"/>
    <x v="6"/>
    <d v="2026-02-02T00:00:00"/>
    <n v="89"/>
    <n v="2.9666666666666668"/>
    <n v="0"/>
    <n v="1"/>
    <n v="1"/>
    <x v="1"/>
    <n v="32.31232876712329"/>
    <x v="0"/>
    <n v="4"/>
    <d v="1993-07-22T00:00:00"/>
  </r>
  <r>
    <x v="1"/>
    <n v="18978170"/>
    <x v="0"/>
    <d v="2025-11-05T00:00:00"/>
    <x v="0"/>
    <x v="4"/>
    <x v="6"/>
    <m/>
    <n v="9999"/>
    <n v="333.3"/>
    <n v="0"/>
    <n v="0"/>
    <n v="0"/>
    <x v="0"/>
    <n v="25.410958904109588"/>
    <x v="2"/>
    <n v="2"/>
    <d v="2000-06-14T00:00:00"/>
  </r>
  <r>
    <x v="1"/>
    <n v="18978171"/>
    <x v="0"/>
    <d v="2025-11-05T00:00:00"/>
    <x v="0"/>
    <x v="4"/>
    <x v="6"/>
    <m/>
    <n v="9999"/>
    <n v="333.3"/>
    <n v="0"/>
    <n v="0"/>
    <n v="0"/>
    <x v="0"/>
    <n v="21.304109589041097"/>
    <x v="2"/>
    <n v="2"/>
    <d v="2004-07-22T00:00:00"/>
  </r>
  <r>
    <x v="1"/>
    <n v="18978203"/>
    <x v="0"/>
    <d v="2025-11-05T00:00:00"/>
    <x v="0"/>
    <x v="4"/>
    <x v="6"/>
    <d v="2026-05-17T00:00:00"/>
    <n v="193"/>
    <n v="6.4333333333333336"/>
    <n v="0"/>
    <n v="0"/>
    <n v="0"/>
    <x v="1"/>
    <n v="18.794520547945204"/>
    <x v="3"/>
    <n v="1"/>
    <d v="2007-01-24T00:00:00"/>
  </r>
  <r>
    <x v="1"/>
    <n v="18978211"/>
    <x v="1"/>
    <d v="2025-11-05T00:00:00"/>
    <x v="0"/>
    <x v="4"/>
    <x v="6"/>
    <d v="2026-01-04T00:00:00"/>
    <n v="60"/>
    <n v="2"/>
    <n v="0"/>
    <n v="1"/>
    <n v="1"/>
    <x v="1"/>
    <n v="18.786301369863015"/>
    <x v="3"/>
    <n v="1"/>
    <d v="2007-01-27T00:00:00"/>
  </r>
  <r>
    <x v="1"/>
    <n v="18978244"/>
    <x v="0"/>
    <d v="2025-11-05T00:00:00"/>
    <x v="0"/>
    <x v="4"/>
    <x v="6"/>
    <m/>
    <n v="9999"/>
    <n v="333.3"/>
    <n v="0"/>
    <n v="0"/>
    <n v="0"/>
    <x v="1"/>
    <n v="46.350684931506848"/>
    <x v="0"/>
    <n v="4"/>
    <d v="1979-07-12T00:00:00"/>
  </r>
  <r>
    <x v="1"/>
    <n v="18978268"/>
    <x v="0"/>
    <d v="2025-11-06T00:00:00"/>
    <x v="0"/>
    <x v="4"/>
    <x v="6"/>
    <m/>
    <n v="9999"/>
    <n v="333.3"/>
    <n v="0"/>
    <n v="0"/>
    <n v="0"/>
    <x v="1"/>
    <n v="21.101369863013698"/>
    <x v="2"/>
    <n v="2"/>
    <d v="2004-10-05T00:00:00"/>
  </r>
  <r>
    <x v="1"/>
    <n v="18978272"/>
    <x v="0"/>
    <d v="2025-11-06T00:00:00"/>
    <x v="0"/>
    <x v="4"/>
    <x v="6"/>
    <d v="2026-01-03T00:00:00"/>
    <n v="58"/>
    <n v="1.9333333333333333"/>
    <n v="0"/>
    <n v="1"/>
    <n v="1"/>
    <x v="1"/>
    <n v="25.643835616438356"/>
    <x v="2"/>
    <n v="2"/>
    <d v="2000-03-22T00:00:00"/>
  </r>
  <r>
    <x v="1"/>
    <n v="18978273"/>
    <x v="0"/>
    <d v="2025-11-06T00:00:00"/>
    <x v="0"/>
    <x v="4"/>
    <x v="6"/>
    <m/>
    <n v="9999"/>
    <n v="333.3"/>
    <n v="0"/>
    <n v="0"/>
    <n v="0"/>
    <x v="1"/>
    <n v="20.153424657534245"/>
    <x v="3"/>
    <n v="1"/>
    <d v="2005-09-16T00:00:00"/>
  </r>
  <r>
    <x v="1"/>
    <n v="18978313"/>
    <x v="0"/>
    <d v="2025-11-06T00:00:00"/>
    <x v="0"/>
    <x v="4"/>
    <x v="6"/>
    <m/>
    <n v="9999"/>
    <n v="333.3"/>
    <n v="0"/>
    <n v="0"/>
    <n v="0"/>
    <x v="1"/>
    <n v="30.386301369863013"/>
    <x v="1"/>
    <n v="3"/>
    <d v="1995-06-26T00:00:00"/>
  </r>
  <r>
    <x v="1"/>
    <n v="18978314"/>
    <x v="0"/>
    <d v="2025-11-06T00:00:00"/>
    <x v="0"/>
    <x v="4"/>
    <x v="6"/>
    <m/>
    <n v="9999"/>
    <n v="333.3"/>
    <n v="0"/>
    <n v="0"/>
    <n v="0"/>
    <x v="1"/>
    <n v="19.282191780821918"/>
    <x v="3"/>
    <n v="1"/>
    <d v="2006-07-31T00:00:00"/>
  </r>
  <r>
    <x v="1"/>
    <n v="18978315"/>
    <x v="0"/>
    <d v="2025-11-06T00:00:00"/>
    <x v="0"/>
    <x v="4"/>
    <x v="6"/>
    <m/>
    <n v="9999"/>
    <n v="333.3"/>
    <n v="0"/>
    <n v="0"/>
    <n v="0"/>
    <x v="1"/>
    <n v="20.465753424657535"/>
    <x v="3"/>
    <n v="1"/>
    <d v="2005-05-25T00:00:00"/>
  </r>
  <r>
    <x v="1"/>
    <n v="18978381"/>
    <x v="0"/>
    <d v="2025-11-07T00:00:00"/>
    <x v="0"/>
    <x v="4"/>
    <x v="6"/>
    <m/>
    <n v="9999"/>
    <n v="333.3"/>
    <n v="0"/>
    <n v="0"/>
    <n v="0"/>
    <x v="0"/>
    <n v="35.753424657534246"/>
    <x v="0"/>
    <n v="4"/>
    <d v="1990-02-14T00:00:00"/>
  </r>
  <r>
    <x v="1"/>
    <n v="18978392"/>
    <x v="0"/>
    <d v="2025-11-07T00:00:00"/>
    <x v="0"/>
    <x v="4"/>
    <x v="6"/>
    <d v="2026-01-08T00:00:00"/>
    <n v="62"/>
    <n v="2.0666666666666669"/>
    <n v="0"/>
    <n v="1"/>
    <n v="1"/>
    <x v="1"/>
    <n v="21.252054794520546"/>
    <x v="2"/>
    <n v="2"/>
    <d v="2004-08-12T00:00:00"/>
  </r>
  <r>
    <x v="1"/>
    <n v="18978407"/>
    <x v="1"/>
    <d v="2025-11-07T00:00:00"/>
    <x v="0"/>
    <x v="4"/>
    <x v="6"/>
    <d v="2026-03-16T00:00:00"/>
    <n v="129"/>
    <n v="4.3"/>
    <n v="0"/>
    <n v="0"/>
    <n v="1"/>
    <x v="1"/>
    <n v="23.049315068493151"/>
    <x v="2"/>
    <n v="2"/>
    <d v="2002-10-26T00:00:00"/>
  </r>
  <r>
    <x v="1"/>
    <n v="18978415"/>
    <x v="0"/>
    <d v="2025-11-07T00:00:00"/>
    <x v="0"/>
    <x v="4"/>
    <x v="6"/>
    <m/>
    <n v="9999"/>
    <n v="333.3"/>
    <n v="0"/>
    <n v="0"/>
    <n v="0"/>
    <x v="1"/>
    <n v="21.342465753424658"/>
    <x v="2"/>
    <n v="2"/>
    <d v="2004-07-10T00:00:00"/>
  </r>
  <r>
    <x v="1"/>
    <n v="18978417"/>
    <x v="0"/>
    <d v="2025-11-07T00:00:00"/>
    <x v="0"/>
    <x v="4"/>
    <x v="6"/>
    <m/>
    <n v="9999"/>
    <n v="333.3"/>
    <n v="0"/>
    <n v="0"/>
    <n v="0"/>
    <x v="1"/>
    <n v="18.315068493150687"/>
    <x v="3"/>
    <n v="1"/>
    <d v="2007-07-20T00:00:00"/>
  </r>
  <r>
    <x v="1"/>
    <n v="18978422"/>
    <x v="0"/>
    <d v="2025-11-07T00:00:00"/>
    <x v="0"/>
    <x v="4"/>
    <x v="6"/>
    <m/>
    <n v="9999"/>
    <n v="333.3"/>
    <n v="0"/>
    <n v="0"/>
    <n v="0"/>
    <x v="1"/>
    <n v="38.528767123287672"/>
    <x v="0"/>
    <n v="4"/>
    <d v="1987-05-08T00:00:00"/>
  </r>
  <r>
    <x v="1"/>
    <n v="18978436"/>
    <x v="0"/>
    <d v="2025-11-07T00:00:00"/>
    <x v="0"/>
    <x v="4"/>
    <x v="6"/>
    <d v="2026-05-31T00:00:00"/>
    <n v="205"/>
    <n v="6.833333333333333"/>
    <n v="0"/>
    <n v="0"/>
    <n v="0"/>
    <x v="1"/>
    <n v="26.473972602739725"/>
    <x v="1"/>
    <n v="3"/>
    <d v="1999-05-25T00:00:00"/>
  </r>
  <r>
    <x v="1"/>
    <n v="18978437"/>
    <x v="0"/>
    <d v="2025-11-07T00:00:00"/>
    <x v="0"/>
    <x v="4"/>
    <x v="6"/>
    <m/>
    <n v="9999"/>
    <n v="333.3"/>
    <n v="0"/>
    <n v="0"/>
    <n v="0"/>
    <x v="1"/>
    <n v="20.364383561643837"/>
    <x v="3"/>
    <n v="1"/>
    <d v="2005-07-02T00:00:00"/>
  </r>
  <r>
    <x v="1"/>
    <n v="18978438"/>
    <x v="0"/>
    <d v="2025-11-07T00:00:00"/>
    <x v="0"/>
    <x v="4"/>
    <x v="6"/>
    <m/>
    <n v="9999"/>
    <n v="333.3"/>
    <n v="0"/>
    <n v="0"/>
    <n v="0"/>
    <x v="1"/>
    <n v="21.241095890410961"/>
    <x v="2"/>
    <n v="2"/>
    <d v="2004-08-16T00:00:00"/>
  </r>
  <r>
    <x v="1"/>
    <n v="18978439"/>
    <x v="1"/>
    <d v="2025-11-07T00:00:00"/>
    <x v="0"/>
    <x v="4"/>
    <x v="6"/>
    <m/>
    <n v="9999"/>
    <n v="333.3"/>
    <n v="0"/>
    <n v="0"/>
    <n v="0"/>
    <x v="1"/>
    <n v="18.591780821917808"/>
    <x v="3"/>
    <n v="1"/>
    <d v="2007-04-10T00:00:00"/>
  </r>
  <r>
    <x v="1"/>
    <n v="18978768"/>
    <x v="0"/>
    <d v="2025-11-10T00:00:00"/>
    <x v="0"/>
    <x v="4"/>
    <x v="6"/>
    <d v="2026-03-15T00:00:00"/>
    <n v="125"/>
    <n v="4.166666666666667"/>
    <n v="0"/>
    <n v="0"/>
    <n v="1"/>
    <x v="1"/>
    <n v="21.372602739726027"/>
    <x v="2"/>
    <n v="2"/>
    <d v="2004-07-02T00:00:00"/>
  </r>
  <r>
    <x v="1"/>
    <n v="18978770"/>
    <x v="1"/>
    <d v="2025-11-07T00:00:00"/>
    <x v="0"/>
    <x v="4"/>
    <x v="6"/>
    <m/>
    <n v="9999"/>
    <n v="333.3"/>
    <n v="0"/>
    <n v="0"/>
    <n v="0"/>
    <x v="0"/>
    <n v="20.197260273972603"/>
    <x v="3"/>
    <n v="1"/>
    <d v="2005-09-01T00:00:00"/>
  </r>
  <r>
    <x v="1"/>
    <n v="18978771"/>
    <x v="0"/>
    <d v="2025-11-07T00:00:00"/>
    <x v="0"/>
    <x v="4"/>
    <x v="6"/>
    <d v="2026-04-10T00:00:00"/>
    <n v="154"/>
    <n v="5.1333333333333337"/>
    <n v="0"/>
    <n v="0"/>
    <n v="1"/>
    <x v="0"/>
    <n v="21.353424657534248"/>
    <x v="2"/>
    <n v="2"/>
    <d v="2004-07-06T00:00:00"/>
  </r>
  <r>
    <x v="1"/>
    <n v="18978774"/>
    <x v="0"/>
    <d v="2025-11-07T00:00:00"/>
    <x v="0"/>
    <x v="4"/>
    <x v="6"/>
    <m/>
    <n v="9999"/>
    <n v="333.3"/>
    <n v="0"/>
    <n v="0"/>
    <n v="0"/>
    <x v="1"/>
    <n v="18.32054794520548"/>
    <x v="3"/>
    <n v="1"/>
    <d v="2007-07-18T00:00:00"/>
  </r>
  <r>
    <x v="1"/>
    <n v="18978789"/>
    <x v="0"/>
    <d v="2025-11-10T00:00:00"/>
    <x v="0"/>
    <x v="4"/>
    <x v="6"/>
    <d v="2026-02-04T00:00:00"/>
    <n v="86"/>
    <n v="2.8666666666666667"/>
    <n v="0"/>
    <n v="1"/>
    <n v="1"/>
    <x v="1"/>
    <n v="19.479452054794521"/>
    <x v="3"/>
    <n v="1"/>
    <d v="2006-05-24T00:00:00"/>
  </r>
  <r>
    <x v="1"/>
    <n v="18978811"/>
    <x v="0"/>
    <d v="2025-11-10T00:00:00"/>
    <x v="0"/>
    <x v="4"/>
    <x v="6"/>
    <m/>
    <n v="9999"/>
    <n v="333.3"/>
    <n v="0"/>
    <n v="0"/>
    <n v="0"/>
    <x v="1"/>
    <n v="19.24931506849315"/>
    <x v="3"/>
    <n v="1"/>
    <d v="2006-08-16T00:00:00"/>
  </r>
  <r>
    <x v="1"/>
    <n v="18978812"/>
    <x v="1"/>
    <d v="2025-11-10T00:00:00"/>
    <x v="0"/>
    <x v="4"/>
    <x v="6"/>
    <d v="2025-12-10T00:00:00"/>
    <n v="30"/>
    <n v="1"/>
    <n v="1"/>
    <n v="1"/>
    <n v="1"/>
    <x v="1"/>
    <n v="20.86849315068493"/>
    <x v="3"/>
    <n v="1"/>
    <d v="2005-01-02T00:00:00"/>
  </r>
  <r>
    <x v="1"/>
    <n v="18978818"/>
    <x v="1"/>
    <d v="2025-11-10T00:00:00"/>
    <x v="0"/>
    <x v="4"/>
    <x v="6"/>
    <m/>
    <n v="9999"/>
    <n v="333.3"/>
    <n v="0"/>
    <n v="0"/>
    <n v="0"/>
    <x v="1"/>
    <n v="19.068493150684933"/>
    <x v="3"/>
    <n v="1"/>
    <d v="2006-10-21T00:00:00"/>
  </r>
  <r>
    <x v="1"/>
    <n v="18978830"/>
    <x v="1"/>
    <d v="2025-11-10T00:00:00"/>
    <x v="0"/>
    <x v="4"/>
    <x v="6"/>
    <d v="2025-12-10T00:00:00"/>
    <n v="30"/>
    <n v="1"/>
    <n v="1"/>
    <n v="1"/>
    <n v="1"/>
    <x v="1"/>
    <n v="21.07123287671233"/>
    <x v="2"/>
    <n v="2"/>
    <d v="2004-10-20T00:00:00"/>
  </r>
  <r>
    <x v="1"/>
    <n v="18978853"/>
    <x v="0"/>
    <d v="2025-11-10T00:00:00"/>
    <x v="0"/>
    <x v="4"/>
    <x v="6"/>
    <m/>
    <n v="9999"/>
    <n v="333.3"/>
    <n v="0"/>
    <n v="0"/>
    <n v="0"/>
    <x v="0"/>
    <n v="18.989041095890411"/>
    <x v="3"/>
    <n v="1"/>
    <d v="2006-11-19T00:00:00"/>
  </r>
  <r>
    <x v="1"/>
    <n v="18978856"/>
    <x v="0"/>
    <d v="2025-11-10T00:00:00"/>
    <x v="0"/>
    <x v="4"/>
    <x v="6"/>
    <d v="2025-11-30T00:00:00"/>
    <n v="20"/>
    <n v="0.66666666666666663"/>
    <n v="1"/>
    <n v="1"/>
    <n v="1"/>
    <x v="1"/>
    <n v="21.698630136986303"/>
    <x v="2"/>
    <n v="2"/>
    <d v="2004-03-05T00:00:00"/>
  </r>
  <r>
    <x v="1"/>
    <n v="18978936"/>
    <x v="0"/>
    <d v="2025-11-10T00:00:00"/>
    <x v="0"/>
    <x v="4"/>
    <x v="6"/>
    <m/>
    <n v="9999"/>
    <n v="333.3"/>
    <n v="0"/>
    <n v="0"/>
    <n v="0"/>
    <x v="0"/>
    <n v="20.583561643835615"/>
    <x v="3"/>
    <n v="1"/>
    <d v="2005-04-16T00:00:00"/>
  </r>
  <r>
    <x v="1"/>
    <n v="18979206"/>
    <x v="0"/>
    <d v="2025-11-11T00:00:00"/>
    <x v="0"/>
    <x v="4"/>
    <x v="6"/>
    <d v="2025-12-05T00:00:00"/>
    <n v="24"/>
    <n v="0.8"/>
    <n v="1"/>
    <n v="1"/>
    <n v="1"/>
    <x v="1"/>
    <n v="25.523287671232875"/>
    <x v="2"/>
    <n v="2"/>
    <d v="2000-05-10T00:00:00"/>
  </r>
  <r>
    <x v="1"/>
    <n v="18979229"/>
    <x v="1"/>
    <d v="2025-11-11T00:00:00"/>
    <x v="0"/>
    <x v="4"/>
    <x v="6"/>
    <m/>
    <n v="9999"/>
    <n v="333.3"/>
    <n v="0"/>
    <n v="0"/>
    <n v="0"/>
    <x v="1"/>
    <n v="21.794520547945204"/>
    <x v="2"/>
    <n v="2"/>
    <d v="2004-01-31T00:00:00"/>
  </r>
  <r>
    <x v="1"/>
    <n v="18979231"/>
    <x v="0"/>
    <d v="2025-11-11T00:00:00"/>
    <x v="0"/>
    <x v="4"/>
    <x v="6"/>
    <d v="2026-05-31T00:00:00"/>
    <n v="201"/>
    <n v="6.7"/>
    <n v="0"/>
    <n v="0"/>
    <n v="0"/>
    <x v="1"/>
    <n v="25.484931506849314"/>
    <x v="2"/>
    <n v="2"/>
    <d v="2000-05-24T00:00:00"/>
  </r>
  <r>
    <x v="1"/>
    <n v="18979233"/>
    <x v="0"/>
    <d v="2025-11-11T00:00:00"/>
    <x v="0"/>
    <x v="4"/>
    <x v="6"/>
    <m/>
    <n v="9999"/>
    <n v="333.3"/>
    <n v="0"/>
    <n v="0"/>
    <n v="0"/>
    <x v="1"/>
    <n v="20.345205479452055"/>
    <x v="3"/>
    <n v="1"/>
    <d v="2005-07-13T00:00:00"/>
  </r>
  <r>
    <x v="1"/>
    <n v="18979257"/>
    <x v="1"/>
    <d v="2025-11-11T00:00:00"/>
    <x v="0"/>
    <x v="4"/>
    <x v="6"/>
    <m/>
    <n v="9999"/>
    <n v="333.3"/>
    <n v="0"/>
    <n v="0"/>
    <n v="0"/>
    <x v="1"/>
    <n v="32.742465753424661"/>
    <x v="0"/>
    <n v="4"/>
    <d v="1993-02-21T00:00:00"/>
  </r>
  <r>
    <x v="1"/>
    <n v="18979258"/>
    <x v="0"/>
    <d v="2025-11-11T00:00:00"/>
    <x v="0"/>
    <x v="4"/>
    <x v="6"/>
    <m/>
    <n v="9999"/>
    <n v="333.3"/>
    <n v="0"/>
    <n v="0"/>
    <n v="0"/>
    <x v="1"/>
    <n v="22.227397260273971"/>
    <x v="2"/>
    <n v="2"/>
    <d v="2003-08-26T00:00:00"/>
  </r>
  <r>
    <x v="1"/>
    <n v="18979260"/>
    <x v="0"/>
    <d v="2025-11-11T00:00:00"/>
    <x v="0"/>
    <x v="4"/>
    <x v="6"/>
    <d v="2026-04-01T00:00:00"/>
    <n v="141"/>
    <n v="4.7"/>
    <n v="0"/>
    <n v="0"/>
    <n v="1"/>
    <x v="0"/>
    <n v="33.904109589041099"/>
    <x v="0"/>
    <n v="4"/>
    <d v="1991-12-25T00:00:00"/>
  </r>
  <r>
    <x v="1"/>
    <n v="18979338"/>
    <x v="1"/>
    <d v="2026-05-06T00:00:00"/>
    <x v="1"/>
    <x v="1"/>
    <x v="1"/>
    <m/>
    <n v="9999"/>
    <n v="333.3"/>
    <n v="0"/>
    <n v="0"/>
    <n v="0"/>
    <x v="0"/>
    <n v="18.591780821917808"/>
    <x v="3"/>
    <n v="1"/>
    <d v="2007-10-07T00:00:00"/>
  </r>
  <r>
    <x v="1"/>
    <n v="18979355"/>
    <x v="1"/>
    <d v="2025-11-12T00:00:00"/>
    <x v="0"/>
    <x v="4"/>
    <x v="6"/>
    <d v="2026-04-01T00:00:00"/>
    <n v="140"/>
    <n v="4.666666666666667"/>
    <n v="0"/>
    <n v="0"/>
    <n v="1"/>
    <x v="1"/>
    <n v="20.12054794520548"/>
    <x v="3"/>
    <n v="1"/>
    <d v="2005-10-04T00:00:00"/>
  </r>
  <r>
    <x v="1"/>
    <n v="18979356"/>
    <x v="0"/>
    <d v="2025-11-12T00:00:00"/>
    <x v="0"/>
    <x v="4"/>
    <x v="6"/>
    <m/>
    <n v="9999"/>
    <n v="333.3"/>
    <n v="0"/>
    <n v="0"/>
    <n v="0"/>
    <x v="1"/>
    <n v="19.06027397260274"/>
    <x v="3"/>
    <n v="1"/>
    <d v="2006-10-26T00:00:00"/>
  </r>
  <r>
    <x v="1"/>
    <n v="18979381"/>
    <x v="1"/>
    <d v="2025-11-12T00:00:00"/>
    <x v="0"/>
    <x v="4"/>
    <x v="6"/>
    <d v="2026-01-12T00:00:00"/>
    <n v="61"/>
    <n v="2.0333333333333332"/>
    <n v="0"/>
    <n v="1"/>
    <n v="1"/>
    <x v="1"/>
    <n v="23.460273972602739"/>
    <x v="2"/>
    <n v="2"/>
    <d v="2002-06-03T00:00:00"/>
  </r>
  <r>
    <x v="1"/>
    <n v="18979382"/>
    <x v="0"/>
    <d v="2025-11-12T00:00:00"/>
    <x v="0"/>
    <x v="4"/>
    <x v="6"/>
    <d v="2025-11-13T00:00:00"/>
    <n v="1"/>
    <n v="3.3333333333333333E-2"/>
    <n v="1"/>
    <n v="1"/>
    <n v="1"/>
    <x v="1"/>
    <n v="20.632876712328766"/>
    <x v="3"/>
    <n v="1"/>
    <d v="2005-03-31T00:00:00"/>
  </r>
  <r>
    <x v="1"/>
    <n v="18979435"/>
    <x v="0"/>
    <d v="2025-11-12T00:00:00"/>
    <x v="0"/>
    <x v="4"/>
    <x v="6"/>
    <d v="2025-11-30T00:00:00"/>
    <n v="18"/>
    <n v="0.6"/>
    <n v="1"/>
    <n v="1"/>
    <n v="1"/>
    <x v="0"/>
    <n v="22.676712328767124"/>
    <x v="2"/>
    <n v="2"/>
    <d v="2003-03-16T00:00:00"/>
  </r>
  <r>
    <x v="1"/>
    <n v="18979445"/>
    <x v="0"/>
    <d v="2025-11-12T00:00:00"/>
    <x v="0"/>
    <x v="4"/>
    <x v="6"/>
    <d v="2026-01-18T00:00:00"/>
    <n v="67"/>
    <n v="2.2333333333333334"/>
    <n v="0"/>
    <n v="1"/>
    <n v="1"/>
    <x v="1"/>
    <n v="21.832876712328765"/>
    <x v="2"/>
    <n v="2"/>
    <d v="2004-01-18T00:00:00"/>
  </r>
  <r>
    <x v="1"/>
    <n v="18979517"/>
    <x v="1"/>
    <d v="2025-11-12T00:00:00"/>
    <x v="0"/>
    <x v="4"/>
    <x v="6"/>
    <m/>
    <n v="9999"/>
    <n v="333.3"/>
    <n v="0"/>
    <n v="0"/>
    <n v="0"/>
    <x v="0"/>
    <n v="24.654794520547945"/>
    <x v="2"/>
    <n v="2"/>
    <d v="2001-03-24T00:00:00"/>
  </r>
  <r>
    <x v="1"/>
    <n v="18979533"/>
    <x v="0"/>
    <d v="2025-11-12T00:00:00"/>
    <x v="0"/>
    <x v="4"/>
    <x v="6"/>
    <m/>
    <n v="9999"/>
    <n v="333.3"/>
    <n v="0"/>
    <n v="0"/>
    <n v="0"/>
    <x v="0"/>
    <n v="20.591780821917808"/>
    <x v="3"/>
    <n v="1"/>
    <d v="2005-04-15T00:00:00"/>
  </r>
  <r>
    <x v="1"/>
    <n v="18979556"/>
    <x v="0"/>
    <d v="2025-11-12T00:00:00"/>
    <x v="0"/>
    <x v="4"/>
    <x v="6"/>
    <d v="2025-11-13T00:00:00"/>
    <n v="1"/>
    <n v="3.3333333333333333E-2"/>
    <n v="1"/>
    <n v="1"/>
    <n v="1"/>
    <x v="0"/>
    <n v="24.950684931506849"/>
    <x v="2"/>
    <n v="2"/>
    <d v="2000-12-06T00:00:00"/>
  </r>
  <r>
    <x v="1"/>
    <n v="18979572"/>
    <x v="0"/>
    <d v="2025-11-12T00:00:00"/>
    <x v="0"/>
    <x v="4"/>
    <x v="6"/>
    <d v="2025-11-13T00:00:00"/>
    <n v="1"/>
    <n v="3.3333333333333333E-2"/>
    <n v="1"/>
    <n v="1"/>
    <n v="1"/>
    <x v="0"/>
    <n v="19.624657534246577"/>
    <x v="3"/>
    <n v="1"/>
    <d v="2006-04-03T00:00:00"/>
  </r>
  <r>
    <x v="1"/>
    <n v="18979573"/>
    <x v="0"/>
    <d v="2025-11-12T00:00:00"/>
    <x v="0"/>
    <x v="4"/>
    <x v="6"/>
    <d v="2026-01-31T00:00:00"/>
    <n v="80"/>
    <n v="2.6666666666666665"/>
    <n v="0"/>
    <n v="1"/>
    <n v="1"/>
    <x v="0"/>
    <n v="20.339726027397262"/>
    <x v="3"/>
    <n v="1"/>
    <d v="2005-07-16T00:00:00"/>
  </r>
  <r>
    <x v="1"/>
    <n v="18979586"/>
    <x v="0"/>
    <d v="2025-11-12T00:00:00"/>
    <x v="0"/>
    <x v="4"/>
    <x v="6"/>
    <d v="2026-04-01T00:00:00"/>
    <n v="140"/>
    <n v="4.666666666666667"/>
    <n v="0"/>
    <n v="0"/>
    <n v="1"/>
    <x v="1"/>
    <n v="21.350684931506848"/>
    <x v="2"/>
    <n v="2"/>
    <d v="2004-07-12T00:00:00"/>
  </r>
  <r>
    <x v="1"/>
    <n v="18979587"/>
    <x v="1"/>
    <d v="2025-11-12T00:00:00"/>
    <x v="0"/>
    <x v="4"/>
    <x v="6"/>
    <m/>
    <n v="9999"/>
    <n v="333.3"/>
    <n v="0"/>
    <n v="0"/>
    <n v="0"/>
    <x v="0"/>
    <n v="19.723287671232878"/>
    <x v="3"/>
    <n v="1"/>
    <d v="2006-02-26T00:00:00"/>
  </r>
  <r>
    <x v="1"/>
    <n v="18979713"/>
    <x v="0"/>
    <d v="2025-11-13T00:00:00"/>
    <x v="0"/>
    <x v="4"/>
    <x v="6"/>
    <m/>
    <n v="9999"/>
    <n v="333.3"/>
    <n v="0"/>
    <n v="0"/>
    <n v="0"/>
    <x v="0"/>
    <n v="22.964383561643835"/>
    <x v="2"/>
    <n v="2"/>
    <d v="2002-12-02T00:00:00"/>
  </r>
  <r>
    <x v="1"/>
    <n v="18979714"/>
    <x v="0"/>
    <d v="2025-11-13T00:00:00"/>
    <x v="0"/>
    <x v="4"/>
    <x v="6"/>
    <d v="2026-02-01T00:00:00"/>
    <n v="80"/>
    <n v="2.6666666666666665"/>
    <n v="0"/>
    <n v="1"/>
    <n v="1"/>
    <x v="0"/>
    <n v="23.158904109589042"/>
    <x v="2"/>
    <n v="2"/>
    <d v="2002-09-22T00:00:00"/>
  </r>
  <r>
    <x v="1"/>
    <n v="18979715"/>
    <x v="0"/>
    <d v="2025-11-13T00:00:00"/>
    <x v="0"/>
    <x v="4"/>
    <x v="6"/>
    <m/>
    <n v="9999"/>
    <n v="333.3"/>
    <n v="0"/>
    <n v="0"/>
    <n v="0"/>
    <x v="1"/>
    <n v="18.336986301369862"/>
    <x v="3"/>
    <n v="1"/>
    <d v="2007-07-18T00:00:00"/>
  </r>
  <r>
    <x v="1"/>
    <n v="18979716"/>
    <x v="0"/>
    <d v="2025-11-13T00:00:00"/>
    <x v="0"/>
    <x v="4"/>
    <x v="6"/>
    <m/>
    <n v="9999"/>
    <n v="333.3"/>
    <n v="0"/>
    <n v="0"/>
    <n v="0"/>
    <x v="0"/>
    <n v="23.030136986301368"/>
    <x v="2"/>
    <n v="2"/>
    <d v="2002-11-08T00:00:00"/>
  </r>
  <r>
    <x v="1"/>
    <n v="18979727"/>
    <x v="0"/>
    <d v="2025-11-13T00:00:00"/>
    <x v="0"/>
    <x v="4"/>
    <x v="6"/>
    <m/>
    <n v="9999"/>
    <n v="333.3"/>
    <n v="0"/>
    <n v="0"/>
    <n v="0"/>
    <x v="1"/>
    <n v="18.490410958904111"/>
    <x v="3"/>
    <n v="1"/>
    <d v="2007-05-23T00:00:00"/>
  </r>
  <r>
    <x v="1"/>
    <n v="18979732"/>
    <x v="0"/>
    <d v="2025-11-13T00:00:00"/>
    <x v="0"/>
    <x v="4"/>
    <x v="6"/>
    <m/>
    <n v="9999"/>
    <n v="333.3"/>
    <n v="0"/>
    <n v="0"/>
    <n v="0"/>
    <x v="1"/>
    <n v="22.550684931506851"/>
    <x v="2"/>
    <n v="2"/>
    <d v="2003-05-02T00:00:00"/>
  </r>
  <r>
    <x v="1"/>
    <n v="18979733"/>
    <x v="1"/>
    <d v="2025-11-13T00:00:00"/>
    <x v="0"/>
    <x v="4"/>
    <x v="6"/>
    <m/>
    <n v="9999"/>
    <n v="333.3"/>
    <n v="0"/>
    <n v="0"/>
    <n v="0"/>
    <x v="1"/>
    <n v="18.463013698630139"/>
    <x v="3"/>
    <n v="1"/>
    <d v="2007-06-02T00:00:00"/>
  </r>
  <r>
    <x v="1"/>
    <n v="18979734"/>
    <x v="1"/>
    <d v="2025-11-13T00:00:00"/>
    <x v="0"/>
    <x v="4"/>
    <x v="6"/>
    <m/>
    <n v="9999"/>
    <n v="333.3"/>
    <n v="0"/>
    <n v="0"/>
    <n v="0"/>
    <x v="1"/>
    <n v="18.052054794520547"/>
    <x v="3"/>
    <n v="1"/>
    <d v="2007-10-30T00:00:00"/>
  </r>
  <r>
    <x v="1"/>
    <n v="18979736"/>
    <x v="0"/>
    <d v="2025-11-13T00:00:00"/>
    <x v="0"/>
    <x v="4"/>
    <x v="6"/>
    <d v="2025-11-18T00:00:00"/>
    <n v="5"/>
    <n v="0.16666666666666666"/>
    <n v="1"/>
    <n v="1"/>
    <n v="1"/>
    <x v="1"/>
    <n v="25.660273972602738"/>
    <x v="2"/>
    <n v="2"/>
    <d v="2000-03-23T00:00:00"/>
  </r>
  <r>
    <x v="1"/>
    <n v="18979742"/>
    <x v="1"/>
    <d v="2025-11-13T00:00:00"/>
    <x v="0"/>
    <x v="4"/>
    <x v="6"/>
    <m/>
    <n v="9999"/>
    <n v="333.3"/>
    <n v="0"/>
    <n v="0"/>
    <n v="0"/>
    <x v="0"/>
    <n v="23.12876712328767"/>
    <x v="2"/>
    <n v="2"/>
    <d v="2002-10-03T00:00:00"/>
  </r>
  <r>
    <x v="1"/>
    <n v="18979743"/>
    <x v="0"/>
    <d v="2025-11-13T00:00:00"/>
    <x v="0"/>
    <x v="4"/>
    <x v="6"/>
    <d v="2026-03-31T00:00:00"/>
    <n v="138"/>
    <n v="4.5999999999999996"/>
    <n v="0"/>
    <n v="0"/>
    <n v="1"/>
    <x v="0"/>
    <n v="23.106849315068494"/>
    <x v="2"/>
    <n v="2"/>
    <d v="2002-10-11T00:00:00"/>
  </r>
  <r>
    <x v="1"/>
    <n v="18979744"/>
    <x v="0"/>
    <d v="2025-11-13T00:00:00"/>
    <x v="0"/>
    <x v="4"/>
    <x v="6"/>
    <d v="2026-01-07T00:00:00"/>
    <n v="55"/>
    <n v="1.8333333333333333"/>
    <n v="0"/>
    <n v="1"/>
    <n v="1"/>
    <x v="0"/>
    <n v="30.778082191780822"/>
    <x v="1"/>
    <n v="3"/>
    <d v="1995-02-10T00:00:00"/>
  </r>
  <r>
    <x v="1"/>
    <n v="18979745"/>
    <x v="0"/>
    <d v="2025-11-13T00:00:00"/>
    <x v="0"/>
    <x v="4"/>
    <x v="6"/>
    <d v="2026-01-02T00:00:00"/>
    <n v="50"/>
    <n v="1.6666666666666667"/>
    <n v="0"/>
    <n v="1"/>
    <n v="1"/>
    <x v="0"/>
    <n v="19.493150684931507"/>
    <x v="3"/>
    <n v="1"/>
    <d v="2006-05-22T00:00:00"/>
  </r>
  <r>
    <x v="1"/>
    <n v="18979753"/>
    <x v="0"/>
    <d v="2025-11-13T00:00:00"/>
    <x v="0"/>
    <x v="4"/>
    <x v="6"/>
    <d v="2026-01-12T00:00:00"/>
    <n v="60"/>
    <n v="2"/>
    <n v="0"/>
    <n v="1"/>
    <n v="1"/>
    <x v="0"/>
    <n v="20.383561643835616"/>
    <x v="3"/>
    <n v="1"/>
    <d v="2005-07-01T00:00:00"/>
  </r>
  <r>
    <x v="1"/>
    <n v="18979754"/>
    <x v="0"/>
    <d v="2025-11-13T00:00:00"/>
    <x v="0"/>
    <x v="4"/>
    <x v="6"/>
    <d v="2026-03-01T00:00:00"/>
    <n v="108"/>
    <n v="3.6"/>
    <n v="0"/>
    <n v="0"/>
    <n v="1"/>
    <x v="0"/>
    <n v="21.504109589041096"/>
    <x v="2"/>
    <n v="2"/>
    <d v="2004-05-18T00:00:00"/>
  </r>
  <r>
    <x v="1"/>
    <n v="18979785"/>
    <x v="0"/>
    <d v="2025-11-13T00:00:00"/>
    <x v="0"/>
    <x v="4"/>
    <x v="6"/>
    <m/>
    <n v="9999"/>
    <n v="333.3"/>
    <n v="0"/>
    <n v="0"/>
    <n v="0"/>
    <x v="1"/>
    <n v="22.175342465753424"/>
    <x v="2"/>
    <n v="2"/>
    <d v="2003-09-16T00:00:00"/>
  </r>
  <r>
    <x v="1"/>
    <n v="18979789"/>
    <x v="0"/>
    <d v="2025-11-13T00:00:00"/>
    <x v="0"/>
    <x v="4"/>
    <x v="6"/>
    <d v="2026-02-09T00:00:00"/>
    <n v="88"/>
    <n v="2.9333333333333331"/>
    <n v="0"/>
    <n v="1"/>
    <n v="1"/>
    <x v="1"/>
    <n v="19.32054794520548"/>
    <x v="3"/>
    <n v="1"/>
    <d v="2006-07-24T00:00:00"/>
  </r>
  <r>
    <x v="1"/>
    <n v="18979872"/>
    <x v="1"/>
    <d v="2025-11-14T00:00:00"/>
    <x v="0"/>
    <x v="4"/>
    <x v="6"/>
    <d v="2026-04-01T00:00:00"/>
    <n v="138"/>
    <n v="4.5999999999999996"/>
    <n v="0"/>
    <n v="0"/>
    <n v="1"/>
    <x v="1"/>
    <n v="20.38082191780822"/>
    <x v="3"/>
    <n v="1"/>
    <d v="2005-07-03T00:00:00"/>
  </r>
  <r>
    <x v="1"/>
    <n v="18979888"/>
    <x v="1"/>
    <d v="2025-11-14T00:00:00"/>
    <x v="0"/>
    <x v="4"/>
    <x v="6"/>
    <m/>
    <n v="9999"/>
    <n v="333.3"/>
    <n v="0"/>
    <n v="0"/>
    <n v="0"/>
    <x v="0"/>
    <n v="19.432876712328767"/>
    <x v="3"/>
    <n v="1"/>
    <d v="2006-06-14T00:00:00"/>
  </r>
  <r>
    <x v="1"/>
    <n v="18979892"/>
    <x v="0"/>
    <d v="2025-11-14T00:00:00"/>
    <x v="0"/>
    <x v="4"/>
    <x v="6"/>
    <m/>
    <n v="9999"/>
    <n v="333.3"/>
    <n v="0"/>
    <n v="0"/>
    <n v="0"/>
    <x v="1"/>
    <n v="30.293150684931508"/>
    <x v="1"/>
    <n v="3"/>
    <d v="1995-08-07T00:00:00"/>
  </r>
  <r>
    <x v="1"/>
    <n v="18979893"/>
    <x v="0"/>
    <d v="2025-11-14T00:00:00"/>
    <x v="0"/>
    <x v="4"/>
    <x v="6"/>
    <d v="2026-02-12T00:00:00"/>
    <n v="90"/>
    <n v="3"/>
    <n v="0"/>
    <n v="1"/>
    <n v="1"/>
    <x v="1"/>
    <n v="20.616438356164384"/>
    <x v="3"/>
    <n v="1"/>
    <d v="2005-04-08T00:00:00"/>
  </r>
  <r>
    <x v="1"/>
    <n v="18979895"/>
    <x v="0"/>
    <d v="2025-11-14T00:00:00"/>
    <x v="0"/>
    <x v="4"/>
    <x v="6"/>
    <d v="2026-01-06T00:00:00"/>
    <n v="53"/>
    <n v="1.7666666666666666"/>
    <n v="0"/>
    <n v="1"/>
    <n v="1"/>
    <x v="1"/>
    <n v="54.0027397260274"/>
    <x v="0"/>
    <n v="4"/>
    <d v="1971-11-27T00:00:00"/>
  </r>
  <r>
    <x v="1"/>
    <n v="18979911"/>
    <x v="0"/>
    <d v="2025-11-14T00:00:00"/>
    <x v="0"/>
    <x v="4"/>
    <x v="6"/>
    <d v="2025-11-30T00:00:00"/>
    <n v="16"/>
    <n v="0.53333333333333333"/>
    <n v="1"/>
    <n v="1"/>
    <n v="1"/>
    <x v="1"/>
    <n v="19.597260273972601"/>
    <x v="3"/>
    <n v="1"/>
    <d v="2006-04-15T00:00:00"/>
  </r>
  <r>
    <x v="1"/>
    <n v="18979913"/>
    <x v="0"/>
    <d v="2025-11-14T00:00:00"/>
    <x v="0"/>
    <x v="4"/>
    <x v="6"/>
    <d v="2026-02-13T00:00:00"/>
    <n v="91"/>
    <n v="3.0333333333333332"/>
    <n v="0"/>
    <n v="0"/>
    <n v="1"/>
    <x v="0"/>
    <n v="20.24931506849315"/>
    <x v="3"/>
    <n v="1"/>
    <d v="2005-08-20T00:00:00"/>
  </r>
  <r>
    <x v="1"/>
    <n v="18979961"/>
    <x v="0"/>
    <d v="2025-11-14T00:00:00"/>
    <x v="0"/>
    <x v="4"/>
    <x v="6"/>
    <m/>
    <n v="9999"/>
    <n v="333.3"/>
    <n v="0"/>
    <n v="0"/>
    <n v="0"/>
    <x v="0"/>
    <n v="21.616438356164384"/>
    <x v="2"/>
    <n v="2"/>
    <d v="2004-04-08T00:00:00"/>
  </r>
  <r>
    <x v="1"/>
    <n v="18979988"/>
    <x v="0"/>
    <d v="2025-11-14T00:00:00"/>
    <x v="0"/>
    <x v="4"/>
    <x v="6"/>
    <d v="2025-12-02T00:00:00"/>
    <n v="18"/>
    <n v="0.6"/>
    <n v="1"/>
    <n v="1"/>
    <n v="1"/>
    <x v="0"/>
    <n v="21.775342465753425"/>
    <x v="2"/>
    <n v="2"/>
    <d v="2004-02-10T00:00:00"/>
  </r>
  <r>
    <x v="1"/>
    <n v="18979996"/>
    <x v="1"/>
    <d v="2025-11-14T00:00:00"/>
    <x v="0"/>
    <x v="4"/>
    <x v="6"/>
    <m/>
    <n v="9999"/>
    <n v="333.3"/>
    <n v="0"/>
    <n v="0"/>
    <n v="0"/>
    <x v="0"/>
    <n v="23.106849315068494"/>
    <x v="2"/>
    <n v="2"/>
    <d v="2002-10-12T00:00:00"/>
  </r>
  <r>
    <x v="1"/>
    <n v="18980066"/>
    <x v="0"/>
    <d v="2025-11-14T00:00:00"/>
    <x v="0"/>
    <x v="4"/>
    <x v="6"/>
    <d v="2026-01-15T00:00:00"/>
    <n v="62"/>
    <n v="2.0666666666666669"/>
    <n v="0"/>
    <n v="1"/>
    <n v="1"/>
    <x v="0"/>
    <n v="20.161643835616438"/>
    <x v="3"/>
    <n v="1"/>
    <d v="2005-09-21T00:00:00"/>
  </r>
  <r>
    <x v="1"/>
    <n v="18980343"/>
    <x v="0"/>
    <d v="2025-11-17T00:00:00"/>
    <x v="0"/>
    <x v="4"/>
    <x v="6"/>
    <d v="2026-03-01T00:00:00"/>
    <n v="104"/>
    <n v="3.4666666666666668"/>
    <n v="0"/>
    <n v="0"/>
    <n v="1"/>
    <x v="0"/>
    <n v="22.578082191780823"/>
    <x v="2"/>
    <n v="2"/>
    <d v="2003-04-26T00:00:00"/>
  </r>
  <r>
    <x v="1"/>
    <n v="18980381"/>
    <x v="0"/>
    <d v="2025-11-17T00:00:00"/>
    <x v="0"/>
    <x v="4"/>
    <x v="6"/>
    <d v="2025-12-31T00:00:00"/>
    <n v="44"/>
    <n v="1.4666666666666666"/>
    <n v="0"/>
    <n v="1"/>
    <n v="1"/>
    <x v="1"/>
    <n v="18.315068493150687"/>
    <x v="3"/>
    <n v="1"/>
    <d v="2007-07-30T00:00:00"/>
  </r>
  <r>
    <x v="1"/>
    <n v="18980390"/>
    <x v="0"/>
    <d v="2025-11-17T00:00:00"/>
    <x v="0"/>
    <x v="4"/>
    <x v="6"/>
    <m/>
    <n v="9999"/>
    <n v="333.3"/>
    <n v="0"/>
    <n v="0"/>
    <n v="0"/>
    <x v="1"/>
    <n v="19.408219178082192"/>
    <x v="3"/>
    <n v="1"/>
    <d v="2006-06-26T00:00:00"/>
  </r>
  <r>
    <x v="1"/>
    <n v="18980395"/>
    <x v="0"/>
    <d v="2025-11-17T00:00:00"/>
    <x v="0"/>
    <x v="4"/>
    <x v="6"/>
    <d v="2026-05-19T00:00:00"/>
    <n v="183"/>
    <n v="6.1"/>
    <n v="0"/>
    <n v="0"/>
    <n v="0"/>
    <x v="0"/>
    <n v="19.542465753424658"/>
    <x v="3"/>
    <n v="1"/>
    <d v="2006-05-08T00:00:00"/>
  </r>
  <r>
    <x v="1"/>
    <n v="18980400"/>
    <x v="0"/>
    <d v="2025-11-17T00:00:00"/>
    <x v="0"/>
    <x v="4"/>
    <x v="6"/>
    <d v="2025-11-18T00:00:00"/>
    <n v="1"/>
    <n v="3.3333333333333333E-2"/>
    <n v="1"/>
    <n v="1"/>
    <n v="1"/>
    <x v="1"/>
    <n v="20.838356164383562"/>
    <x v="3"/>
    <n v="1"/>
    <d v="2005-01-20T00:00:00"/>
  </r>
  <r>
    <x v="1"/>
    <n v="18980402"/>
    <x v="0"/>
    <d v="2025-11-17T00:00:00"/>
    <x v="0"/>
    <x v="4"/>
    <x v="6"/>
    <d v="2025-11-30T00:00:00"/>
    <n v="13"/>
    <n v="0.43333333333333335"/>
    <n v="1"/>
    <n v="1"/>
    <n v="1"/>
    <x v="1"/>
    <n v="18.397260273972602"/>
    <x v="3"/>
    <n v="1"/>
    <d v="2007-06-30T00:00:00"/>
  </r>
  <r>
    <x v="1"/>
    <n v="18980403"/>
    <x v="1"/>
    <d v="2025-11-17T00:00:00"/>
    <x v="0"/>
    <x v="4"/>
    <x v="6"/>
    <d v="2025-12-31T00:00:00"/>
    <n v="44"/>
    <n v="1.4666666666666666"/>
    <n v="0"/>
    <n v="1"/>
    <n v="1"/>
    <x v="1"/>
    <n v="19.523287671232875"/>
    <x v="3"/>
    <n v="1"/>
    <d v="2006-05-15T00:00:00"/>
  </r>
  <r>
    <x v="1"/>
    <n v="18980404"/>
    <x v="0"/>
    <d v="2025-11-17T00:00:00"/>
    <x v="0"/>
    <x v="4"/>
    <x v="6"/>
    <d v="2026-01-31T00:00:00"/>
    <n v="75"/>
    <n v="2.5"/>
    <n v="0"/>
    <n v="1"/>
    <n v="1"/>
    <x v="1"/>
    <n v="19.339726027397262"/>
    <x v="3"/>
    <n v="1"/>
    <d v="2006-07-21T00:00:00"/>
  </r>
  <r>
    <x v="1"/>
    <n v="18980431"/>
    <x v="0"/>
    <d v="2025-11-17T00:00:00"/>
    <x v="0"/>
    <x v="4"/>
    <x v="6"/>
    <d v="2025-12-31T00:00:00"/>
    <n v="44"/>
    <n v="1.4666666666666666"/>
    <n v="0"/>
    <n v="1"/>
    <n v="1"/>
    <x v="0"/>
    <n v="18.482191780821918"/>
    <x v="3"/>
    <n v="1"/>
    <d v="2007-05-30T00:00:00"/>
  </r>
  <r>
    <x v="1"/>
    <n v="18980465"/>
    <x v="0"/>
    <d v="2025-11-17T00:00:00"/>
    <x v="0"/>
    <x v="4"/>
    <x v="6"/>
    <d v="2025-12-31T00:00:00"/>
    <n v="44"/>
    <n v="1.4666666666666666"/>
    <n v="0"/>
    <n v="1"/>
    <n v="1"/>
    <x v="0"/>
    <n v="18.589041095890412"/>
    <x v="3"/>
    <n v="1"/>
    <d v="2007-04-21T00:00:00"/>
  </r>
  <r>
    <x v="1"/>
    <n v="18980468"/>
    <x v="1"/>
    <d v="2025-11-17T00:00:00"/>
    <x v="0"/>
    <x v="4"/>
    <x v="6"/>
    <m/>
    <n v="9999"/>
    <n v="333.3"/>
    <n v="0"/>
    <n v="0"/>
    <n v="0"/>
    <x v="0"/>
    <n v="20.213698630136985"/>
    <x v="3"/>
    <n v="1"/>
    <d v="2005-09-05T00:00:00"/>
  </r>
  <r>
    <x v="1"/>
    <n v="18980469"/>
    <x v="0"/>
    <d v="2025-11-17T00:00:00"/>
    <x v="0"/>
    <x v="4"/>
    <x v="6"/>
    <d v="2026-02-06T00:00:00"/>
    <n v="81"/>
    <n v="2.7"/>
    <n v="0"/>
    <n v="1"/>
    <n v="1"/>
    <x v="1"/>
    <n v="21.413698630136988"/>
    <x v="2"/>
    <n v="2"/>
    <d v="2004-06-24T00:00:00"/>
  </r>
  <r>
    <x v="1"/>
    <n v="18980470"/>
    <x v="1"/>
    <d v="2025-11-17T00:00:00"/>
    <x v="0"/>
    <x v="4"/>
    <x v="6"/>
    <m/>
    <n v="9999"/>
    <n v="333.3"/>
    <n v="0"/>
    <n v="0"/>
    <n v="0"/>
    <x v="1"/>
    <n v="18.542465753424658"/>
    <x v="3"/>
    <n v="1"/>
    <d v="2007-05-08T00:00:00"/>
  </r>
  <r>
    <x v="1"/>
    <n v="18980471"/>
    <x v="1"/>
    <d v="2025-11-17T00:00:00"/>
    <x v="0"/>
    <x v="4"/>
    <x v="6"/>
    <d v="2025-12-31T00:00:00"/>
    <n v="44"/>
    <n v="1.4666666666666666"/>
    <n v="0"/>
    <n v="1"/>
    <n v="1"/>
    <x v="0"/>
    <n v="20.221917808219178"/>
    <x v="3"/>
    <n v="1"/>
    <d v="2005-09-02T00:00:00"/>
  </r>
  <r>
    <x v="1"/>
    <n v="18980473"/>
    <x v="1"/>
    <d v="2025-11-17T00:00:00"/>
    <x v="0"/>
    <x v="4"/>
    <x v="6"/>
    <d v="2025-12-31T00:00:00"/>
    <n v="44"/>
    <n v="1.4666666666666666"/>
    <n v="0"/>
    <n v="1"/>
    <n v="1"/>
    <x v="0"/>
    <n v="19.947945205479453"/>
    <x v="3"/>
    <n v="1"/>
    <d v="2005-12-11T00:00:00"/>
  </r>
  <r>
    <x v="1"/>
    <n v="18980474"/>
    <x v="0"/>
    <d v="2025-11-17T00:00:00"/>
    <x v="0"/>
    <x v="4"/>
    <x v="6"/>
    <m/>
    <n v="9999"/>
    <n v="333.3"/>
    <n v="0"/>
    <n v="0"/>
    <n v="0"/>
    <x v="1"/>
    <n v="23.350684931506848"/>
    <x v="2"/>
    <n v="2"/>
    <d v="2002-07-18T00:00:00"/>
  </r>
  <r>
    <x v="1"/>
    <n v="18980475"/>
    <x v="0"/>
    <d v="2025-11-17T00:00:00"/>
    <x v="0"/>
    <x v="4"/>
    <x v="6"/>
    <m/>
    <n v="9999"/>
    <n v="333.3"/>
    <n v="0"/>
    <n v="0"/>
    <n v="0"/>
    <x v="1"/>
    <n v="37.032876712328765"/>
    <x v="0"/>
    <n v="4"/>
    <d v="1988-11-14T00:00:00"/>
  </r>
  <r>
    <x v="1"/>
    <n v="18980477"/>
    <x v="0"/>
    <d v="2025-11-17T00:00:00"/>
    <x v="0"/>
    <x v="4"/>
    <x v="6"/>
    <m/>
    <n v="9999"/>
    <n v="333.3"/>
    <n v="0"/>
    <n v="0"/>
    <n v="0"/>
    <x v="1"/>
    <n v="22.715068493150685"/>
    <x v="2"/>
    <n v="2"/>
    <d v="2003-03-07T00:00:00"/>
  </r>
  <r>
    <x v="1"/>
    <n v="18980482"/>
    <x v="0"/>
    <d v="2025-11-17T00:00:00"/>
    <x v="0"/>
    <x v="4"/>
    <x v="6"/>
    <d v="2025-12-01T00:00:00"/>
    <n v="14"/>
    <n v="0.46666666666666667"/>
    <n v="1"/>
    <n v="1"/>
    <n v="1"/>
    <x v="0"/>
    <n v="19.767123287671232"/>
    <x v="3"/>
    <n v="1"/>
    <d v="2006-02-15T00:00:00"/>
  </r>
  <r>
    <x v="1"/>
    <n v="18980483"/>
    <x v="1"/>
    <d v="2025-11-17T00:00:00"/>
    <x v="0"/>
    <x v="4"/>
    <x v="6"/>
    <d v="2026-04-01T00:00:00"/>
    <n v="135"/>
    <n v="4.5"/>
    <n v="0"/>
    <n v="0"/>
    <n v="1"/>
    <x v="1"/>
    <n v="23.284931506849315"/>
    <x v="2"/>
    <n v="2"/>
    <d v="2002-08-11T00:00:00"/>
  </r>
  <r>
    <x v="1"/>
    <n v="18980484"/>
    <x v="0"/>
    <d v="2025-11-17T00:00:00"/>
    <x v="0"/>
    <x v="4"/>
    <x v="6"/>
    <d v="2026-01-31T00:00:00"/>
    <n v="75"/>
    <n v="2.5"/>
    <n v="0"/>
    <n v="1"/>
    <n v="1"/>
    <x v="0"/>
    <n v="21.065753424657533"/>
    <x v="2"/>
    <n v="2"/>
    <d v="2004-10-29T00:00:00"/>
  </r>
  <r>
    <x v="1"/>
    <n v="18980488"/>
    <x v="1"/>
    <d v="2025-11-17T00:00:00"/>
    <x v="0"/>
    <x v="4"/>
    <x v="6"/>
    <m/>
    <n v="9999"/>
    <n v="333.3"/>
    <n v="0"/>
    <n v="0"/>
    <n v="0"/>
    <x v="0"/>
    <n v="19.816438356164383"/>
    <x v="3"/>
    <n v="1"/>
    <d v="2006-01-28T00:00:00"/>
  </r>
  <r>
    <x v="1"/>
    <n v="18980490"/>
    <x v="0"/>
    <d v="2025-11-17T00:00:00"/>
    <x v="0"/>
    <x v="4"/>
    <x v="6"/>
    <d v="2026-04-30T00:00:00"/>
    <n v="164"/>
    <n v="5.4666666666666668"/>
    <n v="0"/>
    <n v="0"/>
    <n v="1"/>
    <x v="0"/>
    <n v="21.909589041095892"/>
    <x v="2"/>
    <n v="2"/>
    <d v="2003-12-26T00:00:00"/>
  </r>
  <r>
    <x v="1"/>
    <n v="18980491"/>
    <x v="0"/>
    <d v="2025-11-17T00:00:00"/>
    <x v="0"/>
    <x v="4"/>
    <x v="6"/>
    <m/>
    <n v="9999"/>
    <n v="333.3"/>
    <n v="0"/>
    <n v="0"/>
    <n v="0"/>
    <x v="1"/>
    <n v="23.61917808219178"/>
    <x v="2"/>
    <n v="2"/>
    <d v="2002-04-11T00:00:00"/>
  </r>
  <r>
    <x v="1"/>
    <n v="18980492"/>
    <x v="1"/>
    <d v="2025-11-17T00:00:00"/>
    <x v="0"/>
    <x v="4"/>
    <x v="6"/>
    <d v="2025-12-31T00:00:00"/>
    <n v="44"/>
    <n v="1.4666666666666666"/>
    <n v="0"/>
    <n v="1"/>
    <n v="1"/>
    <x v="0"/>
    <n v="23.273972602739725"/>
    <x v="2"/>
    <n v="2"/>
    <d v="2002-08-15T00:00:00"/>
  </r>
  <r>
    <x v="1"/>
    <n v="18980494"/>
    <x v="0"/>
    <d v="2025-11-17T00:00:00"/>
    <x v="0"/>
    <x v="4"/>
    <x v="6"/>
    <d v="2025-12-31T00:00:00"/>
    <n v="44"/>
    <n v="1.4666666666666666"/>
    <n v="0"/>
    <n v="1"/>
    <n v="1"/>
    <x v="0"/>
    <n v="21.654794520547945"/>
    <x v="2"/>
    <n v="2"/>
    <d v="2004-03-28T00:00:00"/>
  </r>
  <r>
    <x v="1"/>
    <n v="18980495"/>
    <x v="1"/>
    <d v="2025-11-17T00:00:00"/>
    <x v="0"/>
    <x v="4"/>
    <x v="6"/>
    <d v="2026-02-02T00:00:00"/>
    <n v="77"/>
    <n v="2.5666666666666669"/>
    <n v="0"/>
    <n v="1"/>
    <n v="1"/>
    <x v="1"/>
    <n v="20.468493150684932"/>
    <x v="3"/>
    <n v="1"/>
    <d v="2005-06-04T00:00:00"/>
  </r>
  <r>
    <x v="1"/>
    <n v="18980499"/>
    <x v="0"/>
    <d v="2025-11-17T00:00:00"/>
    <x v="0"/>
    <x v="4"/>
    <x v="6"/>
    <d v="2025-12-31T00:00:00"/>
    <n v="44"/>
    <n v="1.4666666666666666"/>
    <n v="0"/>
    <n v="1"/>
    <n v="1"/>
    <x v="0"/>
    <n v="21.969863013698632"/>
    <x v="2"/>
    <n v="2"/>
    <d v="2003-12-04T00:00:00"/>
  </r>
  <r>
    <x v="1"/>
    <n v="18980500"/>
    <x v="1"/>
    <d v="2025-11-17T00:00:00"/>
    <x v="0"/>
    <x v="4"/>
    <x v="6"/>
    <m/>
    <n v="9999"/>
    <n v="333.3"/>
    <n v="0"/>
    <n v="0"/>
    <n v="0"/>
    <x v="1"/>
    <n v="27.087671232876712"/>
    <x v="1"/>
    <n v="3"/>
    <d v="1998-10-23T00:00:00"/>
  </r>
  <r>
    <x v="1"/>
    <n v="18980501"/>
    <x v="0"/>
    <d v="2025-11-17T00:00:00"/>
    <x v="0"/>
    <x v="4"/>
    <x v="6"/>
    <d v="2025-12-31T00:00:00"/>
    <n v="44"/>
    <n v="1.4666666666666666"/>
    <n v="0"/>
    <n v="1"/>
    <n v="1"/>
    <x v="1"/>
    <n v="21.449315068493149"/>
    <x v="2"/>
    <n v="2"/>
    <d v="2004-06-11T00:00:00"/>
  </r>
  <r>
    <x v="1"/>
    <n v="18980502"/>
    <x v="0"/>
    <d v="2025-11-17T00:00:00"/>
    <x v="0"/>
    <x v="4"/>
    <x v="6"/>
    <d v="2025-12-01T00:00:00"/>
    <n v="14"/>
    <n v="0.46666666666666667"/>
    <n v="1"/>
    <n v="1"/>
    <n v="1"/>
    <x v="1"/>
    <n v="18.167123287671235"/>
    <x v="3"/>
    <n v="1"/>
    <d v="2007-09-22T00:00:00"/>
  </r>
  <r>
    <x v="1"/>
    <n v="18980505"/>
    <x v="0"/>
    <d v="2025-11-17T00:00:00"/>
    <x v="0"/>
    <x v="4"/>
    <x v="6"/>
    <m/>
    <n v="9999"/>
    <n v="333.3"/>
    <n v="0"/>
    <n v="0"/>
    <n v="0"/>
    <x v="1"/>
    <n v="19.049315068493151"/>
    <x v="3"/>
    <n v="1"/>
    <d v="2006-11-04T00:00:00"/>
  </r>
  <r>
    <x v="1"/>
    <n v="18980508"/>
    <x v="1"/>
    <d v="2025-11-17T00:00:00"/>
    <x v="0"/>
    <x v="4"/>
    <x v="6"/>
    <d v="2025-12-31T00:00:00"/>
    <n v="44"/>
    <n v="1.4666666666666666"/>
    <n v="0"/>
    <n v="1"/>
    <n v="1"/>
    <x v="1"/>
    <n v="20.282191780821918"/>
    <x v="3"/>
    <n v="1"/>
    <d v="2005-08-11T00:00:00"/>
  </r>
  <r>
    <x v="1"/>
    <n v="18980509"/>
    <x v="0"/>
    <d v="2025-11-17T00:00:00"/>
    <x v="0"/>
    <x v="4"/>
    <x v="6"/>
    <m/>
    <n v="9999"/>
    <n v="333.3"/>
    <n v="0"/>
    <n v="0"/>
    <n v="0"/>
    <x v="1"/>
    <n v="21.254794520547946"/>
    <x v="2"/>
    <n v="2"/>
    <d v="2004-08-21T00:00:00"/>
  </r>
  <r>
    <x v="1"/>
    <n v="18980512"/>
    <x v="0"/>
    <d v="2025-11-17T00:00:00"/>
    <x v="0"/>
    <x v="4"/>
    <x v="6"/>
    <d v="2025-12-31T00:00:00"/>
    <n v="44"/>
    <n v="1.4666666666666666"/>
    <n v="0"/>
    <n v="1"/>
    <n v="1"/>
    <x v="1"/>
    <n v="21.197260273972603"/>
    <x v="2"/>
    <n v="2"/>
    <d v="2004-09-11T00:00:00"/>
  </r>
  <r>
    <x v="1"/>
    <n v="18980514"/>
    <x v="0"/>
    <d v="2025-11-17T00:00:00"/>
    <x v="0"/>
    <x v="4"/>
    <x v="6"/>
    <d v="2025-12-08T00:00:00"/>
    <n v="21"/>
    <n v="0.7"/>
    <n v="1"/>
    <n v="1"/>
    <n v="1"/>
    <x v="1"/>
    <n v="19.550684931506851"/>
    <x v="3"/>
    <n v="1"/>
    <d v="2006-05-05T00:00:00"/>
  </r>
  <r>
    <x v="1"/>
    <n v="18980516"/>
    <x v="1"/>
    <d v="2025-11-17T00:00:00"/>
    <x v="0"/>
    <x v="4"/>
    <x v="6"/>
    <d v="2025-12-31T00:00:00"/>
    <n v="44"/>
    <n v="1.4666666666666666"/>
    <n v="0"/>
    <n v="1"/>
    <n v="1"/>
    <x v="1"/>
    <n v="18.153424657534245"/>
    <x v="3"/>
    <n v="1"/>
    <d v="2007-09-27T00:00:00"/>
  </r>
  <r>
    <x v="1"/>
    <n v="18980517"/>
    <x v="1"/>
    <d v="2025-11-17T00:00:00"/>
    <x v="0"/>
    <x v="4"/>
    <x v="6"/>
    <d v="2025-12-31T00:00:00"/>
    <n v="44"/>
    <n v="1.4666666666666666"/>
    <n v="0"/>
    <n v="1"/>
    <n v="1"/>
    <x v="1"/>
    <n v="23.432876712328767"/>
    <x v="2"/>
    <n v="2"/>
    <d v="2002-06-18T00:00:00"/>
  </r>
  <r>
    <x v="1"/>
    <n v="18980532"/>
    <x v="1"/>
    <d v="2025-11-17T00:00:00"/>
    <x v="0"/>
    <x v="4"/>
    <x v="6"/>
    <m/>
    <n v="9999"/>
    <n v="333.3"/>
    <n v="0"/>
    <n v="0"/>
    <n v="0"/>
    <x v="1"/>
    <n v="19.336986301369862"/>
    <x v="3"/>
    <n v="1"/>
    <d v="2006-07-22T00:00:00"/>
  </r>
  <r>
    <x v="1"/>
    <n v="18980534"/>
    <x v="1"/>
    <d v="2025-11-17T00:00:00"/>
    <x v="0"/>
    <x v="4"/>
    <x v="6"/>
    <d v="2025-12-31T00:00:00"/>
    <n v="44"/>
    <n v="1.4666666666666666"/>
    <n v="0"/>
    <n v="1"/>
    <n v="1"/>
    <x v="0"/>
    <n v="22.246575342465754"/>
    <x v="2"/>
    <n v="2"/>
    <d v="2003-08-25T00:00:00"/>
  </r>
  <r>
    <x v="1"/>
    <n v="18980535"/>
    <x v="0"/>
    <d v="2025-11-17T00:00:00"/>
    <x v="0"/>
    <x v="4"/>
    <x v="6"/>
    <d v="2026-01-31T00:00:00"/>
    <n v="75"/>
    <n v="2.5"/>
    <n v="0"/>
    <n v="1"/>
    <n v="1"/>
    <x v="1"/>
    <n v="19.145205479452056"/>
    <x v="3"/>
    <n v="1"/>
    <d v="2006-09-30T00:00:00"/>
  </r>
  <r>
    <x v="1"/>
    <n v="18980544"/>
    <x v="1"/>
    <d v="2025-11-17T00:00:00"/>
    <x v="0"/>
    <x v="4"/>
    <x v="6"/>
    <d v="2026-03-03T00:00:00"/>
    <n v="106"/>
    <n v="3.5333333333333332"/>
    <n v="0"/>
    <n v="0"/>
    <n v="1"/>
    <x v="1"/>
    <n v="20.435616438356163"/>
    <x v="3"/>
    <n v="1"/>
    <d v="2005-06-16T00:00:00"/>
  </r>
  <r>
    <x v="1"/>
    <n v="18980549"/>
    <x v="0"/>
    <d v="2025-11-17T00:00:00"/>
    <x v="0"/>
    <x v="4"/>
    <x v="6"/>
    <d v="2025-12-31T00:00:00"/>
    <n v="44"/>
    <n v="1.4666666666666666"/>
    <n v="0"/>
    <n v="1"/>
    <n v="1"/>
    <x v="1"/>
    <n v="21.224657534246575"/>
    <x v="2"/>
    <n v="2"/>
    <d v="2004-09-01T00:00:00"/>
  </r>
  <r>
    <x v="1"/>
    <n v="18980552"/>
    <x v="1"/>
    <d v="2025-11-17T00:00:00"/>
    <x v="0"/>
    <x v="4"/>
    <x v="6"/>
    <d v="2025-12-31T00:00:00"/>
    <n v="44"/>
    <n v="1.4666666666666666"/>
    <n v="0"/>
    <n v="1"/>
    <n v="1"/>
    <x v="1"/>
    <n v="22.56986301369863"/>
    <x v="2"/>
    <n v="2"/>
    <d v="2003-04-29T00:00:00"/>
  </r>
  <r>
    <x v="1"/>
    <n v="18980553"/>
    <x v="0"/>
    <d v="2025-11-17T00:00:00"/>
    <x v="0"/>
    <x v="4"/>
    <x v="6"/>
    <d v="2025-11-30T00:00:00"/>
    <n v="13"/>
    <n v="0.43333333333333335"/>
    <n v="1"/>
    <n v="1"/>
    <n v="1"/>
    <x v="1"/>
    <n v="19.857534246575341"/>
    <x v="3"/>
    <n v="1"/>
    <d v="2006-01-13T00:00:00"/>
  </r>
  <r>
    <x v="1"/>
    <n v="18980554"/>
    <x v="0"/>
    <d v="2025-11-17T00:00:00"/>
    <x v="0"/>
    <x v="4"/>
    <x v="6"/>
    <d v="2025-12-31T00:00:00"/>
    <n v="44"/>
    <n v="1.4666666666666666"/>
    <n v="0"/>
    <n v="1"/>
    <n v="1"/>
    <x v="1"/>
    <n v="18.282191780821918"/>
    <x v="3"/>
    <n v="1"/>
    <d v="2007-08-11T00:00:00"/>
  </r>
  <r>
    <x v="1"/>
    <n v="18980555"/>
    <x v="0"/>
    <d v="2025-11-17T00:00:00"/>
    <x v="0"/>
    <x v="4"/>
    <x v="6"/>
    <d v="2025-12-31T00:00:00"/>
    <n v="44"/>
    <n v="1.4666666666666666"/>
    <n v="0"/>
    <n v="1"/>
    <n v="1"/>
    <x v="1"/>
    <n v="20.342465753424658"/>
    <x v="3"/>
    <n v="1"/>
    <d v="2005-07-20T00:00:00"/>
  </r>
  <r>
    <x v="1"/>
    <n v="18980556"/>
    <x v="0"/>
    <d v="2025-11-17T00:00:00"/>
    <x v="0"/>
    <x v="4"/>
    <x v="6"/>
    <d v="2025-12-31T00:00:00"/>
    <n v="44"/>
    <n v="1.4666666666666666"/>
    <n v="0"/>
    <n v="1"/>
    <n v="1"/>
    <x v="1"/>
    <n v="19.13150684931507"/>
    <x v="3"/>
    <n v="1"/>
    <d v="2006-10-05T00:00:00"/>
  </r>
  <r>
    <x v="1"/>
    <n v="18980559"/>
    <x v="0"/>
    <d v="2025-11-17T00:00:00"/>
    <x v="0"/>
    <x v="4"/>
    <x v="6"/>
    <d v="2025-12-31T00:00:00"/>
    <n v="44"/>
    <n v="1.4666666666666666"/>
    <n v="0"/>
    <n v="1"/>
    <n v="1"/>
    <x v="1"/>
    <n v="24.328767123287673"/>
    <x v="2"/>
    <n v="2"/>
    <d v="2001-07-26T00:00:00"/>
  </r>
  <r>
    <x v="1"/>
    <n v="18980560"/>
    <x v="0"/>
    <d v="2025-11-17T00:00:00"/>
    <x v="0"/>
    <x v="4"/>
    <x v="6"/>
    <d v="2025-12-31T00:00:00"/>
    <n v="44"/>
    <n v="1.4666666666666666"/>
    <n v="0"/>
    <n v="1"/>
    <n v="1"/>
    <x v="1"/>
    <n v="19.372602739726027"/>
    <x v="3"/>
    <n v="1"/>
    <d v="2006-07-09T00:00:00"/>
  </r>
  <r>
    <x v="1"/>
    <n v="18980561"/>
    <x v="0"/>
    <d v="2025-11-17T00:00:00"/>
    <x v="0"/>
    <x v="4"/>
    <x v="6"/>
    <d v="2025-12-31T00:00:00"/>
    <n v="44"/>
    <n v="1.4666666666666666"/>
    <n v="0"/>
    <n v="1"/>
    <n v="1"/>
    <x v="1"/>
    <n v="19.408219178082192"/>
    <x v="3"/>
    <n v="1"/>
    <d v="2006-06-26T00:00:00"/>
  </r>
  <r>
    <x v="1"/>
    <n v="18980563"/>
    <x v="1"/>
    <d v="2025-11-17T00:00:00"/>
    <x v="0"/>
    <x v="4"/>
    <x v="6"/>
    <d v="2025-12-31T00:00:00"/>
    <n v="44"/>
    <n v="1.4666666666666666"/>
    <n v="0"/>
    <n v="1"/>
    <n v="1"/>
    <x v="1"/>
    <n v="26.216438356164385"/>
    <x v="1"/>
    <n v="3"/>
    <d v="1999-09-06T00:00:00"/>
  </r>
  <r>
    <x v="1"/>
    <n v="18980694"/>
    <x v="0"/>
    <d v="2025-11-17T00:00:00"/>
    <x v="0"/>
    <x v="4"/>
    <x v="6"/>
    <m/>
    <n v="9999"/>
    <n v="333.3"/>
    <n v="0"/>
    <n v="0"/>
    <n v="0"/>
    <x v="1"/>
    <n v="29.358904109589041"/>
    <x v="1"/>
    <n v="3"/>
    <d v="1996-07-16T00:00:00"/>
  </r>
  <r>
    <x v="1"/>
    <n v="18980695"/>
    <x v="0"/>
    <d v="2025-11-17T00:00:00"/>
    <x v="0"/>
    <x v="4"/>
    <x v="6"/>
    <d v="2025-12-31T00:00:00"/>
    <n v="44"/>
    <n v="1.4666666666666666"/>
    <n v="0"/>
    <n v="1"/>
    <n v="1"/>
    <x v="0"/>
    <n v="18.756164383561643"/>
    <x v="3"/>
    <n v="1"/>
    <d v="2007-02-19T00:00:00"/>
  </r>
  <r>
    <x v="1"/>
    <n v="18980698"/>
    <x v="0"/>
    <d v="2025-11-17T00:00:00"/>
    <x v="0"/>
    <x v="4"/>
    <x v="6"/>
    <d v="2025-12-31T00:00:00"/>
    <n v="44"/>
    <n v="1.4666666666666666"/>
    <n v="0"/>
    <n v="1"/>
    <n v="1"/>
    <x v="1"/>
    <n v="26.334246575342465"/>
    <x v="1"/>
    <n v="3"/>
    <d v="1999-07-25T00:00:00"/>
  </r>
  <r>
    <x v="1"/>
    <n v="18980708"/>
    <x v="0"/>
    <d v="2025-11-17T00:00:00"/>
    <x v="0"/>
    <x v="4"/>
    <x v="6"/>
    <d v="2026-01-12T00:00:00"/>
    <n v="56"/>
    <n v="1.8666666666666667"/>
    <n v="0"/>
    <n v="1"/>
    <n v="1"/>
    <x v="1"/>
    <n v="20.432876712328767"/>
    <x v="3"/>
    <n v="1"/>
    <d v="2005-06-17T00:00:00"/>
  </r>
  <r>
    <x v="1"/>
    <n v="18980841"/>
    <x v="1"/>
    <d v="2025-11-18T00:00:00"/>
    <x v="0"/>
    <x v="4"/>
    <x v="6"/>
    <m/>
    <n v="9999"/>
    <n v="333.3"/>
    <n v="0"/>
    <n v="0"/>
    <n v="0"/>
    <x v="0"/>
    <n v="20.786301369863015"/>
    <x v="3"/>
    <n v="1"/>
    <d v="2005-02-09T00:00:00"/>
  </r>
  <r>
    <x v="1"/>
    <n v="18980842"/>
    <x v="1"/>
    <d v="2025-11-18T00:00:00"/>
    <x v="0"/>
    <x v="4"/>
    <x v="6"/>
    <d v="2026-01-01T00:00:00"/>
    <n v="44"/>
    <n v="1.4666666666666666"/>
    <n v="0"/>
    <n v="1"/>
    <n v="1"/>
    <x v="1"/>
    <n v="18.572602739726026"/>
    <x v="3"/>
    <n v="1"/>
    <d v="2007-04-28T00:00:00"/>
  </r>
  <r>
    <x v="1"/>
    <n v="18980846"/>
    <x v="0"/>
    <d v="2025-11-18T00:00:00"/>
    <x v="0"/>
    <x v="4"/>
    <x v="6"/>
    <d v="2026-05-31T00:00:00"/>
    <n v="194"/>
    <n v="6.4666666666666668"/>
    <n v="0"/>
    <n v="0"/>
    <n v="0"/>
    <x v="0"/>
    <n v="29.493150684931507"/>
    <x v="1"/>
    <n v="3"/>
    <d v="1996-05-29T00:00:00"/>
  </r>
  <r>
    <x v="1"/>
    <n v="18980864"/>
    <x v="0"/>
    <d v="2025-11-18T00:00:00"/>
    <x v="0"/>
    <x v="4"/>
    <x v="6"/>
    <m/>
    <n v="9999"/>
    <n v="333.3"/>
    <n v="0"/>
    <n v="0"/>
    <n v="0"/>
    <x v="1"/>
    <n v="25.852054794520548"/>
    <x v="2"/>
    <n v="2"/>
    <d v="2000-01-18T00:00:00"/>
  </r>
  <r>
    <x v="1"/>
    <n v="18980874"/>
    <x v="0"/>
    <d v="2025-11-18T00:00:00"/>
    <x v="0"/>
    <x v="4"/>
    <x v="6"/>
    <m/>
    <n v="9999"/>
    <n v="333.3"/>
    <n v="0"/>
    <n v="0"/>
    <n v="0"/>
    <x v="1"/>
    <n v="22.391780821917809"/>
    <x v="2"/>
    <n v="2"/>
    <d v="2003-07-04T00:00:00"/>
  </r>
  <r>
    <x v="1"/>
    <n v="18980875"/>
    <x v="0"/>
    <d v="2025-11-18T00:00:00"/>
    <x v="0"/>
    <x v="4"/>
    <x v="6"/>
    <d v="2026-03-15T00:00:00"/>
    <n v="117"/>
    <n v="3.9"/>
    <n v="0"/>
    <n v="0"/>
    <n v="1"/>
    <x v="1"/>
    <n v="19.134246575342466"/>
    <x v="3"/>
    <n v="1"/>
    <d v="2006-10-05T00:00:00"/>
  </r>
  <r>
    <x v="1"/>
    <n v="18980889"/>
    <x v="0"/>
    <d v="2025-11-18T00:00:00"/>
    <x v="0"/>
    <x v="4"/>
    <x v="6"/>
    <d v="2026-01-15T00:00:00"/>
    <n v="58"/>
    <n v="1.9333333333333333"/>
    <n v="0"/>
    <n v="1"/>
    <n v="1"/>
    <x v="1"/>
    <n v="19.12876712328767"/>
    <x v="3"/>
    <n v="1"/>
    <d v="2006-10-07T00:00:00"/>
  </r>
  <r>
    <x v="1"/>
    <n v="18980890"/>
    <x v="0"/>
    <d v="2025-11-18T00:00:00"/>
    <x v="0"/>
    <x v="4"/>
    <x v="6"/>
    <d v="2025-12-01T00:00:00"/>
    <n v="13"/>
    <n v="0.43333333333333335"/>
    <n v="1"/>
    <n v="1"/>
    <n v="1"/>
    <x v="1"/>
    <n v="19.816438356164383"/>
    <x v="3"/>
    <n v="1"/>
    <d v="2006-01-29T00:00:00"/>
  </r>
  <r>
    <x v="1"/>
    <n v="18980903"/>
    <x v="0"/>
    <d v="2025-11-18T00:00:00"/>
    <x v="0"/>
    <x v="4"/>
    <x v="6"/>
    <d v="2025-12-01T00:00:00"/>
    <n v="13"/>
    <n v="0.43333333333333335"/>
    <n v="1"/>
    <n v="1"/>
    <n v="1"/>
    <x v="1"/>
    <n v="30.523287671232875"/>
    <x v="1"/>
    <n v="3"/>
    <d v="1995-05-19T00:00:00"/>
  </r>
  <r>
    <x v="1"/>
    <n v="18980916"/>
    <x v="0"/>
    <d v="2025-11-18T00:00:00"/>
    <x v="0"/>
    <x v="4"/>
    <x v="6"/>
    <m/>
    <n v="9999"/>
    <n v="333.3"/>
    <n v="0"/>
    <n v="0"/>
    <n v="0"/>
    <x v="1"/>
    <n v="25.564383561643837"/>
    <x v="2"/>
    <n v="2"/>
    <d v="2000-05-02T00:00:00"/>
  </r>
  <r>
    <x v="1"/>
    <n v="18980924"/>
    <x v="1"/>
    <d v="2025-11-18T00:00:00"/>
    <x v="0"/>
    <x v="4"/>
    <x v="6"/>
    <d v="2026-05-31T00:00:00"/>
    <n v="194"/>
    <n v="6.4666666666666668"/>
    <n v="0"/>
    <n v="0"/>
    <n v="0"/>
    <x v="1"/>
    <n v="18.660273972602738"/>
    <x v="3"/>
    <n v="1"/>
    <d v="2007-03-27T00:00:00"/>
  </r>
  <r>
    <x v="1"/>
    <n v="18980929"/>
    <x v="0"/>
    <d v="2025-11-18T00:00:00"/>
    <x v="0"/>
    <x v="4"/>
    <x v="6"/>
    <m/>
    <n v="9999"/>
    <n v="333.3"/>
    <n v="0"/>
    <n v="0"/>
    <n v="0"/>
    <x v="1"/>
    <n v="24.084931506849315"/>
    <x v="2"/>
    <n v="2"/>
    <d v="2001-10-24T00:00:00"/>
  </r>
  <r>
    <x v="1"/>
    <n v="18980930"/>
    <x v="1"/>
    <d v="2025-11-18T00:00:00"/>
    <x v="0"/>
    <x v="4"/>
    <x v="6"/>
    <d v="2026-03-05T00:00:00"/>
    <n v="107"/>
    <n v="3.5666666666666669"/>
    <n v="0"/>
    <n v="0"/>
    <n v="1"/>
    <x v="1"/>
    <n v="19.298630136986301"/>
    <x v="3"/>
    <n v="1"/>
    <d v="2006-08-06T00:00:00"/>
  </r>
  <r>
    <x v="1"/>
    <n v="18980947"/>
    <x v="1"/>
    <d v="2025-11-18T00:00:00"/>
    <x v="0"/>
    <x v="4"/>
    <x v="6"/>
    <d v="2025-12-31T00:00:00"/>
    <n v="43"/>
    <n v="1.4333333333333333"/>
    <n v="0"/>
    <n v="1"/>
    <n v="1"/>
    <x v="1"/>
    <n v="25.936986301369863"/>
    <x v="2"/>
    <n v="2"/>
    <d v="1999-12-18T00:00:00"/>
  </r>
  <r>
    <x v="1"/>
    <n v="18980949"/>
    <x v="1"/>
    <d v="2025-11-18T00:00:00"/>
    <x v="0"/>
    <x v="4"/>
    <x v="6"/>
    <d v="2026-03-31T00:00:00"/>
    <n v="133"/>
    <n v="4.4333333333333336"/>
    <n v="0"/>
    <n v="0"/>
    <n v="1"/>
    <x v="0"/>
    <n v="21.791780821917808"/>
    <x v="2"/>
    <n v="2"/>
    <d v="2004-02-08T00:00:00"/>
  </r>
  <r>
    <x v="1"/>
    <n v="18980950"/>
    <x v="1"/>
    <d v="2025-11-18T00:00:00"/>
    <x v="0"/>
    <x v="4"/>
    <x v="6"/>
    <m/>
    <n v="9999"/>
    <n v="333.3"/>
    <n v="0"/>
    <n v="0"/>
    <n v="0"/>
    <x v="0"/>
    <n v="18.849315068493151"/>
    <x v="3"/>
    <n v="1"/>
    <d v="2007-01-17T00:00:00"/>
  </r>
  <r>
    <x v="1"/>
    <n v="18980972"/>
    <x v="0"/>
    <d v="2025-11-18T00:00:00"/>
    <x v="0"/>
    <x v="4"/>
    <x v="6"/>
    <m/>
    <n v="9999"/>
    <n v="333.3"/>
    <n v="0"/>
    <n v="0"/>
    <n v="0"/>
    <x v="0"/>
    <n v="22.873972602739727"/>
    <x v="2"/>
    <n v="2"/>
    <d v="2003-01-09T00:00:00"/>
  </r>
  <r>
    <x v="1"/>
    <n v="18981062"/>
    <x v="1"/>
    <d v="2025-11-19T00:00:00"/>
    <x v="0"/>
    <x v="4"/>
    <x v="6"/>
    <m/>
    <n v="9999"/>
    <n v="333.3"/>
    <n v="0"/>
    <n v="0"/>
    <n v="0"/>
    <x v="1"/>
    <n v="18.43013698630137"/>
    <x v="3"/>
    <n v="1"/>
    <d v="2007-06-20T00:00:00"/>
  </r>
  <r>
    <x v="1"/>
    <n v="18981064"/>
    <x v="0"/>
    <d v="2025-11-19T00:00:00"/>
    <x v="0"/>
    <x v="4"/>
    <x v="6"/>
    <d v="2026-04-22T00:00:00"/>
    <n v="154"/>
    <n v="5.1333333333333337"/>
    <n v="0"/>
    <n v="0"/>
    <n v="1"/>
    <x v="1"/>
    <n v="18.610958904109587"/>
    <x v="3"/>
    <n v="1"/>
    <d v="2007-04-15T00:00:00"/>
  </r>
  <r>
    <x v="1"/>
    <n v="18981075"/>
    <x v="0"/>
    <d v="2025-11-19T00:00:00"/>
    <x v="0"/>
    <x v="4"/>
    <x v="6"/>
    <d v="2026-01-05T00:00:00"/>
    <n v="47"/>
    <n v="1.5666666666666667"/>
    <n v="0"/>
    <n v="1"/>
    <n v="1"/>
    <x v="0"/>
    <n v="27.038356164383561"/>
    <x v="1"/>
    <n v="3"/>
    <d v="1998-11-12T00:00:00"/>
  </r>
  <r>
    <x v="1"/>
    <n v="18981076"/>
    <x v="1"/>
    <d v="2025-11-19T00:00:00"/>
    <x v="0"/>
    <x v="4"/>
    <x v="6"/>
    <m/>
    <n v="9999"/>
    <n v="333.3"/>
    <n v="0"/>
    <n v="0"/>
    <n v="0"/>
    <x v="1"/>
    <n v="20.284931506849315"/>
    <x v="3"/>
    <n v="1"/>
    <d v="2005-08-12T00:00:00"/>
  </r>
  <r>
    <x v="1"/>
    <n v="18981086"/>
    <x v="1"/>
    <d v="2025-11-19T00:00:00"/>
    <x v="0"/>
    <x v="4"/>
    <x v="6"/>
    <d v="2026-04-17T00:00:00"/>
    <n v="149"/>
    <n v="4.9666666666666668"/>
    <n v="0"/>
    <n v="0"/>
    <n v="1"/>
    <x v="1"/>
    <n v="19.232876712328768"/>
    <x v="3"/>
    <n v="1"/>
    <d v="2006-08-31T00:00:00"/>
  </r>
  <r>
    <x v="1"/>
    <n v="18981103"/>
    <x v="0"/>
    <d v="2025-11-19T00:00:00"/>
    <x v="0"/>
    <x v="4"/>
    <x v="6"/>
    <d v="2025-12-01T00:00:00"/>
    <n v="12"/>
    <n v="0.4"/>
    <n v="1"/>
    <n v="1"/>
    <n v="1"/>
    <x v="1"/>
    <n v="23.764383561643836"/>
    <x v="2"/>
    <n v="2"/>
    <d v="2002-02-19T00:00:00"/>
  </r>
  <r>
    <x v="1"/>
    <n v="18981110"/>
    <x v="0"/>
    <d v="2025-11-19T00:00:00"/>
    <x v="0"/>
    <x v="4"/>
    <x v="6"/>
    <m/>
    <n v="9999"/>
    <n v="333.3"/>
    <n v="0"/>
    <n v="0"/>
    <n v="0"/>
    <x v="1"/>
    <n v="36.550684931506851"/>
    <x v="0"/>
    <n v="4"/>
    <d v="1989-05-11T00:00:00"/>
  </r>
  <r>
    <x v="1"/>
    <n v="18981224"/>
    <x v="0"/>
    <d v="2025-11-19T00:00:00"/>
    <x v="0"/>
    <x v="4"/>
    <x v="6"/>
    <d v="2026-01-06T00:00:00"/>
    <n v="48"/>
    <n v="1.6"/>
    <n v="0"/>
    <n v="1"/>
    <n v="1"/>
    <x v="1"/>
    <n v="19.676712328767124"/>
    <x v="3"/>
    <n v="1"/>
    <d v="2006-03-22T00:00:00"/>
  </r>
  <r>
    <x v="1"/>
    <n v="18981304"/>
    <x v="0"/>
    <d v="2025-11-20T00:00:00"/>
    <x v="0"/>
    <x v="4"/>
    <x v="6"/>
    <d v="2026-03-08T00:00:00"/>
    <n v="108"/>
    <n v="3.6"/>
    <n v="0"/>
    <n v="0"/>
    <n v="1"/>
    <x v="1"/>
    <n v="19.273972602739725"/>
    <x v="3"/>
    <n v="1"/>
    <d v="2006-08-17T00:00:00"/>
  </r>
  <r>
    <x v="1"/>
    <n v="18981305"/>
    <x v="1"/>
    <d v="2025-11-20T00:00:00"/>
    <x v="0"/>
    <x v="4"/>
    <x v="6"/>
    <m/>
    <n v="9999"/>
    <n v="333.3"/>
    <n v="0"/>
    <n v="0"/>
    <n v="0"/>
    <x v="1"/>
    <n v="23.654794520547945"/>
    <x v="2"/>
    <n v="2"/>
    <d v="2002-04-01T00:00:00"/>
  </r>
  <r>
    <x v="1"/>
    <n v="18981312"/>
    <x v="0"/>
    <d v="2025-11-20T00:00:00"/>
    <x v="0"/>
    <x v="4"/>
    <x v="6"/>
    <m/>
    <n v="9999"/>
    <n v="333.3"/>
    <n v="0"/>
    <n v="0"/>
    <n v="0"/>
    <x v="1"/>
    <n v="23"/>
    <x v="2"/>
    <n v="2"/>
    <d v="2002-11-26T00:00:00"/>
  </r>
  <r>
    <x v="1"/>
    <n v="18981326"/>
    <x v="1"/>
    <d v="2025-11-20T00:00:00"/>
    <x v="0"/>
    <x v="4"/>
    <x v="6"/>
    <m/>
    <n v="9999"/>
    <n v="333.3"/>
    <n v="0"/>
    <n v="0"/>
    <n v="0"/>
    <x v="1"/>
    <n v="18.55890410958904"/>
    <x v="3"/>
    <n v="1"/>
    <d v="2007-05-05T00:00:00"/>
  </r>
  <r>
    <x v="1"/>
    <n v="18981328"/>
    <x v="0"/>
    <d v="2025-11-20T00:00:00"/>
    <x v="0"/>
    <x v="4"/>
    <x v="6"/>
    <d v="2026-03-08T00:00:00"/>
    <n v="108"/>
    <n v="3.6"/>
    <n v="0"/>
    <n v="0"/>
    <n v="1"/>
    <x v="1"/>
    <n v="19.372602739726027"/>
    <x v="3"/>
    <n v="1"/>
    <d v="2006-07-12T00:00:00"/>
  </r>
  <r>
    <x v="1"/>
    <n v="18981332"/>
    <x v="0"/>
    <d v="2025-11-20T00:00:00"/>
    <x v="0"/>
    <x v="4"/>
    <x v="6"/>
    <d v="2025-12-01T00:00:00"/>
    <n v="11"/>
    <n v="0.36666666666666664"/>
    <n v="1"/>
    <n v="1"/>
    <n v="1"/>
    <x v="1"/>
    <n v="21.405479452054795"/>
    <x v="2"/>
    <n v="2"/>
    <d v="2004-06-30T00:00:00"/>
  </r>
  <r>
    <x v="1"/>
    <n v="18981378"/>
    <x v="0"/>
    <d v="2025-11-20T00:00:00"/>
    <x v="0"/>
    <x v="4"/>
    <x v="6"/>
    <d v="2026-04-16T00:00:00"/>
    <n v="147"/>
    <n v="4.9000000000000004"/>
    <n v="0"/>
    <n v="0"/>
    <n v="1"/>
    <x v="0"/>
    <n v="45.013698630136986"/>
    <x v="0"/>
    <n v="4"/>
    <d v="1980-11-26T00:00:00"/>
  </r>
  <r>
    <x v="1"/>
    <n v="18981468"/>
    <x v="1"/>
    <d v="2025-11-21T00:00:00"/>
    <x v="0"/>
    <x v="4"/>
    <x v="6"/>
    <d v="2026-02-02T00:00:00"/>
    <n v="73"/>
    <n v="2.4333333333333331"/>
    <n v="0"/>
    <n v="1"/>
    <n v="1"/>
    <x v="0"/>
    <n v="19.216438356164385"/>
    <x v="3"/>
    <n v="1"/>
    <d v="2006-09-08T00:00:00"/>
  </r>
  <r>
    <x v="1"/>
    <n v="18981469"/>
    <x v="1"/>
    <d v="2025-11-21T00:00:00"/>
    <x v="0"/>
    <x v="4"/>
    <x v="6"/>
    <m/>
    <n v="9999"/>
    <n v="333.3"/>
    <n v="0"/>
    <n v="0"/>
    <n v="0"/>
    <x v="0"/>
    <n v="19.594520547945205"/>
    <x v="3"/>
    <n v="1"/>
    <d v="2006-04-23T00:00:00"/>
  </r>
  <r>
    <x v="1"/>
    <n v="18981470"/>
    <x v="0"/>
    <d v="2025-11-21T00:00:00"/>
    <x v="0"/>
    <x v="4"/>
    <x v="6"/>
    <d v="2025-12-01T00:00:00"/>
    <n v="10"/>
    <n v="0.33333333333333331"/>
    <n v="1"/>
    <n v="1"/>
    <n v="1"/>
    <x v="1"/>
    <n v="19.767123287671232"/>
    <x v="3"/>
    <n v="1"/>
    <d v="2006-02-19T00:00:00"/>
  </r>
  <r>
    <x v="1"/>
    <n v="18981478"/>
    <x v="1"/>
    <d v="2025-11-21T00:00:00"/>
    <x v="0"/>
    <x v="4"/>
    <x v="6"/>
    <d v="2026-01-05T00:00:00"/>
    <n v="45"/>
    <n v="1.5"/>
    <n v="0"/>
    <n v="1"/>
    <n v="1"/>
    <x v="0"/>
    <n v="26.087671232876712"/>
    <x v="1"/>
    <n v="3"/>
    <d v="1999-10-27T00:00:00"/>
  </r>
  <r>
    <x v="1"/>
    <n v="18981493"/>
    <x v="1"/>
    <d v="2025-11-21T00:00:00"/>
    <x v="0"/>
    <x v="4"/>
    <x v="6"/>
    <m/>
    <n v="9999"/>
    <n v="333.3"/>
    <n v="0"/>
    <n v="0"/>
    <n v="0"/>
    <x v="0"/>
    <n v="20.44109589041096"/>
    <x v="3"/>
    <n v="1"/>
    <d v="2005-06-18T00:00:00"/>
  </r>
  <r>
    <x v="1"/>
    <n v="18981543"/>
    <x v="0"/>
    <d v="2025-11-21T00:00:00"/>
    <x v="0"/>
    <x v="4"/>
    <x v="6"/>
    <m/>
    <n v="9999"/>
    <n v="333.3"/>
    <n v="0"/>
    <n v="0"/>
    <n v="0"/>
    <x v="1"/>
    <n v="18.769863013698629"/>
    <x v="3"/>
    <n v="1"/>
    <d v="2007-02-18T00:00:00"/>
  </r>
  <r>
    <x v="1"/>
    <n v="18981544"/>
    <x v="0"/>
    <d v="2025-11-21T00:00:00"/>
    <x v="0"/>
    <x v="4"/>
    <x v="6"/>
    <d v="2026-01-01T00:00:00"/>
    <n v="41"/>
    <n v="1.3666666666666667"/>
    <n v="0"/>
    <n v="1"/>
    <n v="1"/>
    <x v="1"/>
    <n v="39.276712328767125"/>
    <x v="0"/>
    <n v="4"/>
    <d v="1986-08-22T00:00:00"/>
  </r>
  <r>
    <x v="1"/>
    <n v="18981563"/>
    <x v="0"/>
    <d v="2025-11-21T00:00:00"/>
    <x v="0"/>
    <x v="4"/>
    <x v="6"/>
    <d v="2026-05-01T00:00:00"/>
    <n v="161"/>
    <n v="5.3666666666666663"/>
    <n v="0"/>
    <n v="0"/>
    <n v="1"/>
    <x v="1"/>
    <n v="18.69041095890411"/>
    <x v="3"/>
    <n v="1"/>
    <d v="2007-03-19T00:00:00"/>
  </r>
  <r>
    <x v="1"/>
    <n v="18981691"/>
    <x v="0"/>
    <d v="2025-11-21T00:00:00"/>
    <x v="0"/>
    <x v="4"/>
    <x v="6"/>
    <m/>
    <n v="9999"/>
    <n v="333.3"/>
    <n v="0"/>
    <n v="0"/>
    <n v="0"/>
    <x v="1"/>
    <n v="23.019178082191782"/>
    <x v="2"/>
    <n v="2"/>
    <d v="2002-11-20T00:00:00"/>
  </r>
  <r>
    <x v="1"/>
    <n v="18981708"/>
    <x v="0"/>
    <d v="2025-11-21T00:00:00"/>
    <x v="0"/>
    <x v="4"/>
    <x v="6"/>
    <d v="2026-02-15T00:00:00"/>
    <n v="86"/>
    <n v="2.8666666666666667"/>
    <n v="0"/>
    <n v="1"/>
    <n v="1"/>
    <x v="1"/>
    <n v="20.6"/>
    <x v="3"/>
    <n v="1"/>
    <d v="2005-04-21T00:00:00"/>
  </r>
  <r>
    <x v="1"/>
    <n v="18981716"/>
    <x v="0"/>
    <d v="2025-11-21T00:00:00"/>
    <x v="0"/>
    <x v="4"/>
    <x v="6"/>
    <d v="2025-12-18T00:00:00"/>
    <n v="27"/>
    <n v="0.9"/>
    <n v="1"/>
    <n v="1"/>
    <n v="1"/>
    <x v="1"/>
    <n v="21.515068493150686"/>
    <x v="2"/>
    <n v="2"/>
    <d v="2004-05-22T00:00:00"/>
  </r>
  <r>
    <x v="1"/>
    <n v="18981718"/>
    <x v="0"/>
    <d v="2025-11-21T00:00:00"/>
    <x v="0"/>
    <x v="4"/>
    <x v="6"/>
    <d v="2026-03-29T00:00:00"/>
    <n v="128"/>
    <n v="4.2666666666666666"/>
    <n v="0"/>
    <n v="0"/>
    <n v="1"/>
    <x v="1"/>
    <n v="19.246575342465754"/>
    <x v="3"/>
    <n v="1"/>
    <d v="2006-08-28T00:00:00"/>
  </r>
  <r>
    <x v="1"/>
    <n v="18981732"/>
    <x v="0"/>
    <d v="2025-11-21T00:00:00"/>
    <x v="0"/>
    <x v="4"/>
    <x v="6"/>
    <d v="2025-12-01T00:00:00"/>
    <n v="10"/>
    <n v="0.33333333333333331"/>
    <n v="1"/>
    <n v="1"/>
    <n v="1"/>
    <x v="1"/>
    <n v="22.005479452054793"/>
    <x v="2"/>
    <n v="2"/>
    <d v="2003-11-25T00:00:00"/>
  </r>
  <r>
    <x v="1"/>
    <n v="18981780"/>
    <x v="0"/>
    <d v="2025-11-24T00:00:00"/>
    <x v="0"/>
    <x v="4"/>
    <x v="6"/>
    <m/>
    <n v="9999"/>
    <n v="333.3"/>
    <n v="0"/>
    <n v="0"/>
    <n v="0"/>
    <x v="0"/>
    <n v="20.126027397260273"/>
    <x v="3"/>
    <n v="1"/>
    <d v="2005-10-14T00:00:00"/>
  </r>
  <r>
    <x v="1"/>
    <n v="18981988"/>
    <x v="0"/>
    <d v="2025-11-25T00:00:00"/>
    <x v="0"/>
    <x v="4"/>
    <x v="6"/>
    <d v="2026-01-02T00:00:00"/>
    <n v="38"/>
    <n v="1.2666666666666666"/>
    <n v="0"/>
    <n v="1"/>
    <n v="1"/>
    <x v="0"/>
    <n v="27.410958904109588"/>
    <x v="1"/>
    <n v="3"/>
    <d v="1998-07-05T00:00:00"/>
  </r>
  <r>
    <x v="1"/>
    <n v="18981989"/>
    <x v="0"/>
    <d v="2025-11-21T00:00:00"/>
    <x v="0"/>
    <x v="4"/>
    <x v="6"/>
    <d v="2026-05-17T00:00:00"/>
    <n v="177"/>
    <n v="5.9"/>
    <n v="0"/>
    <n v="0"/>
    <n v="1"/>
    <x v="1"/>
    <n v="18.224657534246575"/>
    <x v="3"/>
    <n v="1"/>
    <d v="2007-09-05T00:00:00"/>
  </r>
  <r>
    <x v="1"/>
    <n v="18982018"/>
    <x v="1"/>
    <d v="2025-11-25T00:00:00"/>
    <x v="0"/>
    <x v="4"/>
    <x v="6"/>
    <d v="2026-02-11T00:00:00"/>
    <n v="78"/>
    <n v="2.6"/>
    <n v="0"/>
    <n v="1"/>
    <n v="1"/>
    <x v="1"/>
    <n v="19.112328767123287"/>
    <x v="3"/>
    <n v="1"/>
    <d v="2006-10-20T00:00:00"/>
  </r>
  <r>
    <x v="1"/>
    <n v="18982040"/>
    <x v="0"/>
    <d v="2025-11-25T00:00:00"/>
    <x v="0"/>
    <x v="4"/>
    <x v="6"/>
    <m/>
    <n v="9999"/>
    <n v="333.3"/>
    <n v="0"/>
    <n v="0"/>
    <n v="0"/>
    <x v="1"/>
    <n v="51.704109589041096"/>
    <x v="0"/>
    <n v="4"/>
    <d v="1974-03-26T00:00:00"/>
  </r>
  <r>
    <x v="1"/>
    <n v="18982043"/>
    <x v="0"/>
    <d v="2025-11-25T00:00:00"/>
    <x v="0"/>
    <x v="4"/>
    <x v="6"/>
    <m/>
    <n v="9999"/>
    <n v="333.3"/>
    <n v="0"/>
    <n v="0"/>
    <n v="0"/>
    <x v="0"/>
    <n v="29.038356164383561"/>
    <x v="1"/>
    <n v="3"/>
    <d v="1996-11-18T00:00:00"/>
  </r>
  <r>
    <x v="1"/>
    <n v="18982044"/>
    <x v="1"/>
    <d v="2025-11-25T00:00:00"/>
    <x v="0"/>
    <x v="4"/>
    <x v="6"/>
    <d v="2026-04-30T00:00:00"/>
    <n v="156"/>
    <n v="5.2"/>
    <n v="0"/>
    <n v="0"/>
    <n v="1"/>
    <x v="0"/>
    <n v="23.336986301369862"/>
    <x v="2"/>
    <n v="2"/>
    <d v="2002-07-31T00:00:00"/>
  </r>
  <r>
    <x v="1"/>
    <n v="18982197"/>
    <x v="0"/>
    <d v="2025-11-25T00:00:00"/>
    <x v="0"/>
    <x v="4"/>
    <x v="6"/>
    <d v="2026-01-01T00:00:00"/>
    <n v="37"/>
    <n v="1.2333333333333334"/>
    <n v="0"/>
    <n v="1"/>
    <n v="1"/>
    <x v="1"/>
    <n v="23.260273972602739"/>
    <x v="2"/>
    <n v="2"/>
    <d v="2002-08-28T00:00:00"/>
  </r>
  <r>
    <x v="1"/>
    <n v="18982231"/>
    <x v="1"/>
    <d v="2025-11-25T00:00:00"/>
    <x v="0"/>
    <x v="4"/>
    <x v="6"/>
    <m/>
    <n v="9999"/>
    <n v="333.3"/>
    <n v="0"/>
    <n v="0"/>
    <n v="0"/>
    <x v="0"/>
    <n v="19.468493150684932"/>
    <x v="3"/>
    <n v="1"/>
    <d v="2006-06-12T00:00:00"/>
  </r>
  <r>
    <x v="1"/>
    <n v="18982232"/>
    <x v="1"/>
    <d v="2025-11-25T00:00:00"/>
    <x v="0"/>
    <x v="4"/>
    <x v="6"/>
    <m/>
    <n v="9999"/>
    <n v="333.3"/>
    <n v="0"/>
    <n v="0"/>
    <n v="0"/>
    <x v="0"/>
    <n v="18.347945205479451"/>
    <x v="3"/>
    <n v="1"/>
    <d v="2007-07-26T00:00:00"/>
  </r>
  <r>
    <x v="1"/>
    <n v="18982273"/>
    <x v="0"/>
    <d v="2025-11-25T00:00:00"/>
    <x v="0"/>
    <x v="4"/>
    <x v="6"/>
    <d v="2026-02-28T00:00:00"/>
    <n v="95"/>
    <n v="3.1666666666666665"/>
    <n v="0"/>
    <n v="0"/>
    <n v="1"/>
    <x v="0"/>
    <n v="20.739726027397261"/>
    <x v="3"/>
    <n v="1"/>
    <d v="2005-03-05T00:00:00"/>
  </r>
  <r>
    <x v="1"/>
    <n v="18982289"/>
    <x v="0"/>
    <d v="2025-11-25T00:00:00"/>
    <x v="0"/>
    <x v="4"/>
    <x v="6"/>
    <m/>
    <n v="9999"/>
    <n v="333.3"/>
    <n v="0"/>
    <n v="0"/>
    <n v="0"/>
    <x v="0"/>
    <n v="19.553424657534247"/>
    <x v="3"/>
    <n v="1"/>
    <d v="2006-05-12T00:00:00"/>
  </r>
  <r>
    <x v="1"/>
    <n v="18982290"/>
    <x v="0"/>
    <d v="2025-11-25T00:00:00"/>
    <x v="0"/>
    <x v="4"/>
    <x v="6"/>
    <d v="2026-04-26T00:00:00"/>
    <n v="152"/>
    <n v="5.0666666666666664"/>
    <n v="0"/>
    <n v="0"/>
    <n v="1"/>
    <x v="0"/>
    <n v="22.279452054794522"/>
    <x v="2"/>
    <n v="2"/>
    <d v="2003-08-21T00:00:00"/>
  </r>
  <r>
    <x v="1"/>
    <n v="18982316"/>
    <x v="0"/>
    <d v="2025-12-22T00:00:00"/>
    <x v="0"/>
    <x v="5"/>
    <x v="7"/>
    <d v="2026-01-01T00:00:00"/>
    <n v="10"/>
    <n v="0.33333333333333331"/>
    <n v="1"/>
    <n v="1"/>
    <n v="1"/>
    <x v="0"/>
    <n v="21.260273972602739"/>
    <x v="2"/>
    <n v="2"/>
    <d v="2004-09-23T00:00:00"/>
  </r>
  <r>
    <x v="1"/>
    <n v="18982318"/>
    <x v="0"/>
    <d v="2025-11-24T00:00:00"/>
    <x v="0"/>
    <x v="4"/>
    <x v="6"/>
    <d v="2026-04-12T00:00:00"/>
    <n v="139"/>
    <n v="4.6333333333333337"/>
    <n v="0"/>
    <n v="0"/>
    <n v="1"/>
    <x v="1"/>
    <n v="18.276712328767122"/>
    <x v="3"/>
    <n v="1"/>
    <d v="2007-08-20T00:00:00"/>
  </r>
  <r>
    <x v="1"/>
    <n v="18982336"/>
    <x v="0"/>
    <d v="2025-11-24T00:00:00"/>
    <x v="0"/>
    <x v="4"/>
    <x v="6"/>
    <m/>
    <n v="9999"/>
    <n v="333.3"/>
    <n v="0"/>
    <n v="0"/>
    <n v="0"/>
    <x v="1"/>
    <n v="18.117808219178084"/>
    <x v="3"/>
    <n v="1"/>
    <d v="2007-10-17T00:00:00"/>
  </r>
  <r>
    <x v="1"/>
    <n v="18982342"/>
    <x v="0"/>
    <d v="2025-11-24T00:00:00"/>
    <x v="0"/>
    <x v="4"/>
    <x v="6"/>
    <d v="2026-03-31T00:00:00"/>
    <n v="127"/>
    <n v="4.2333333333333334"/>
    <n v="0"/>
    <n v="0"/>
    <n v="1"/>
    <x v="0"/>
    <n v="32.515068493150686"/>
    <x v="0"/>
    <n v="4"/>
    <d v="1993-05-28T00:00:00"/>
  </r>
  <r>
    <x v="1"/>
    <n v="18982374"/>
    <x v="0"/>
    <d v="2025-11-21T00:00:00"/>
    <x v="0"/>
    <x v="4"/>
    <x v="6"/>
    <m/>
    <n v="9999"/>
    <n v="333.3"/>
    <n v="0"/>
    <n v="0"/>
    <n v="0"/>
    <x v="1"/>
    <n v="20.865753424657534"/>
    <x v="3"/>
    <n v="1"/>
    <d v="2005-01-14T00:00:00"/>
  </r>
  <r>
    <x v="1"/>
    <n v="18982377"/>
    <x v="1"/>
    <d v="2025-11-24T00:00:00"/>
    <x v="0"/>
    <x v="4"/>
    <x v="6"/>
    <m/>
    <n v="9999"/>
    <n v="333.3"/>
    <n v="0"/>
    <n v="0"/>
    <n v="0"/>
    <x v="1"/>
    <n v="21.873972602739727"/>
    <x v="2"/>
    <n v="2"/>
    <d v="2004-01-15T00:00:00"/>
  </r>
  <r>
    <x v="1"/>
    <n v="18982379"/>
    <x v="0"/>
    <d v="2025-11-24T00:00:00"/>
    <x v="0"/>
    <x v="4"/>
    <x v="6"/>
    <m/>
    <n v="9999"/>
    <n v="333.3"/>
    <n v="0"/>
    <n v="0"/>
    <n v="0"/>
    <x v="0"/>
    <n v="22.589041095890412"/>
    <x v="2"/>
    <n v="2"/>
    <d v="2003-04-29T00:00:00"/>
  </r>
  <r>
    <x v="1"/>
    <n v="18982409"/>
    <x v="0"/>
    <d v="2025-11-21T00:00:00"/>
    <x v="0"/>
    <x v="4"/>
    <x v="6"/>
    <m/>
    <n v="9999"/>
    <n v="333.3"/>
    <n v="0"/>
    <n v="0"/>
    <n v="0"/>
    <x v="0"/>
    <n v="20.465753424657535"/>
    <x v="3"/>
    <n v="1"/>
    <d v="2005-06-09T00:00:00"/>
  </r>
  <r>
    <x v="1"/>
    <n v="18982423"/>
    <x v="0"/>
    <d v="2025-11-24T00:00:00"/>
    <x v="0"/>
    <x v="4"/>
    <x v="6"/>
    <d v="2025-12-31T00:00:00"/>
    <n v="37"/>
    <n v="1.2333333333333334"/>
    <n v="0"/>
    <n v="1"/>
    <n v="1"/>
    <x v="1"/>
    <n v="18.715068493150685"/>
    <x v="3"/>
    <n v="1"/>
    <d v="2007-03-13T00:00:00"/>
  </r>
  <r>
    <x v="1"/>
    <n v="18982530"/>
    <x v="0"/>
    <d v="2025-11-26T00:00:00"/>
    <x v="0"/>
    <x v="4"/>
    <x v="6"/>
    <m/>
    <n v="9999"/>
    <n v="333.3"/>
    <n v="0"/>
    <n v="0"/>
    <n v="0"/>
    <x v="1"/>
    <n v="57.597260273972601"/>
    <x v="0"/>
    <n v="4"/>
    <d v="1968-05-06T00:00:00"/>
  </r>
  <r>
    <x v="1"/>
    <n v="18982532"/>
    <x v="1"/>
    <d v="2025-11-26T00:00:00"/>
    <x v="0"/>
    <x v="4"/>
    <x v="6"/>
    <d v="2026-01-01T00:00:00"/>
    <n v="36"/>
    <n v="1.2"/>
    <n v="0"/>
    <n v="1"/>
    <n v="1"/>
    <x v="1"/>
    <n v="22.391780821917809"/>
    <x v="2"/>
    <n v="2"/>
    <d v="2003-07-12T00:00:00"/>
  </r>
  <r>
    <x v="1"/>
    <n v="18982535"/>
    <x v="1"/>
    <d v="2025-11-26T00:00:00"/>
    <x v="0"/>
    <x v="4"/>
    <x v="6"/>
    <m/>
    <n v="9999"/>
    <n v="333.3"/>
    <n v="0"/>
    <n v="0"/>
    <n v="0"/>
    <x v="0"/>
    <n v="19.728767123287671"/>
    <x v="3"/>
    <n v="1"/>
    <d v="2006-03-10T00:00:00"/>
  </r>
  <r>
    <x v="1"/>
    <n v="18982536"/>
    <x v="0"/>
    <d v="2025-11-26T00:00:00"/>
    <x v="0"/>
    <x v="4"/>
    <x v="6"/>
    <m/>
    <n v="9999"/>
    <n v="333.3"/>
    <n v="0"/>
    <n v="0"/>
    <n v="0"/>
    <x v="1"/>
    <n v="20.336986301369862"/>
    <x v="3"/>
    <n v="1"/>
    <d v="2005-07-31T00:00:00"/>
  </r>
  <r>
    <x v="1"/>
    <n v="18982537"/>
    <x v="1"/>
    <d v="2025-11-26T00:00:00"/>
    <x v="0"/>
    <x v="4"/>
    <x v="6"/>
    <m/>
    <n v="9999"/>
    <n v="333.3"/>
    <n v="0"/>
    <n v="0"/>
    <n v="0"/>
    <x v="1"/>
    <n v="20.715068493150685"/>
    <x v="3"/>
    <n v="1"/>
    <d v="2005-03-15T00:00:00"/>
  </r>
  <r>
    <x v="1"/>
    <n v="18982538"/>
    <x v="1"/>
    <d v="2025-11-26T00:00:00"/>
    <x v="0"/>
    <x v="4"/>
    <x v="6"/>
    <m/>
    <n v="9999"/>
    <n v="333.3"/>
    <n v="0"/>
    <n v="0"/>
    <n v="0"/>
    <x v="1"/>
    <n v="20.052054794520547"/>
    <x v="3"/>
    <n v="1"/>
    <d v="2005-11-12T00:00:00"/>
  </r>
  <r>
    <x v="1"/>
    <n v="18982539"/>
    <x v="0"/>
    <d v="2025-11-26T00:00:00"/>
    <x v="0"/>
    <x v="4"/>
    <x v="6"/>
    <d v="2026-02-28T00:00:00"/>
    <n v="94"/>
    <n v="3.1333333333333333"/>
    <n v="0"/>
    <n v="0"/>
    <n v="1"/>
    <x v="1"/>
    <n v="19.852054794520548"/>
    <x v="3"/>
    <n v="1"/>
    <d v="2006-01-24T00:00:00"/>
  </r>
  <r>
    <x v="1"/>
    <n v="18982540"/>
    <x v="0"/>
    <d v="2025-11-26T00:00:00"/>
    <x v="0"/>
    <x v="4"/>
    <x v="6"/>
    <d v="2026-01-01T00:00:00"/>
    <n v="36"/>
    <n v="1.2"/>
    <n v="0"/>
    <n v="1"/>
    <n v="1"/>
    <x v="1"/>
    <n v="27.772602739726029"/>
    <x v="1"/>
    <n v="3"/>
    <d v="1998-02-24T00:00:00"/>
  </r>
  <r>
    <x v="1"/>
    <n v="18982541"/>
    <x v="0"/>
    <d v="2025-11-26T00:00:00"/>
    <x v="0"/>
    <x v="4"/>
    <x v="6"/>
    <m/>
    <n v="9999"/>
    <n v="333.3"/>
    <n v="0"/>
    <n v="0"/>
    <n v="0"/>
    <x v="1"/>
    <n v="19.605479452054794"/>
    <x v="3"/>
    <n v="1"/>
    <d v="2006-04-24T00:00:00"/>
  </r>
  <r>
    <x v="1"/>
    <n v="18982542"/>
    <x v="0"/>
    <d v="2025-11-26T00:00:00"/>
    <x v="0"/>
    <x v="4"/>
    <x v="6"/>
    <d v="2026-05-11T00:00:00"/>
    <n v="166"/>
    <n v="5.5333333333333332"/>
    <n v="0"/>
    <n v="0"/>
    <n v="1"/>
    <x v="1"/>
    <n v="24.572602739726026"/>
    <x v="2"/>
    <n v="2"/>
    <d v="2001-05-07T00:00:00"/>
  </r>
  <r>
    <x v="1"/>
    <n v="18982555"/>
    <x v="0"/>
    <d v="2025-11-26T00:00:00"/>
    <x v="0"/>
    <x v="4"/>
    <x v="6"/>
    <m/>
    <n v="9999"/>
    <n v="333.3"/>
    <n v="0"/>
    <n v="0"/>
    <n v="0"/>
    <x v="1"/>
    <n v="22.769863013698629"/>
    <x v="2"/>
    <n v="2"/>
    <d v="2003-02-24T00:00:00"/>
  </r>
  <r>
    <x v="1"/>
    <n v="18982556"/>
    <x v="0"/>
    <d v="2025-11-26T00:00:00"/>
    <x v="0"/>
    <x v="4"/>
    <x v="6"/>
    <d v="2026-03-02T00:00:00"/>
    <n v="96"/>
    <n v="3.2"/>
    <n v="0"/>
    <n v="0"/>
    <n v="1"/>
    <x v="1"/>
    <n v="18.545205479452054"/>
    <x v="3"/>
    <n v="1"/>
    <d v="2007-05-16T00:00:00"/>
  </r>
  <r>
    <x v="1"/>
    <n v="18982558"/>
    <x v="0"/>
    <d v="2025-11-26T00:00:00"/>
    <x v="0"/>
    <x v="4"/>
    <x v="6"/>
    <d v="2026-04-30T00:00:00"/>
    <n v="155"/>
    <n v="5.166666666666667"/>
    <n v="0"/>
    <n v="0"/>
    <n v="1"/>
    <x v="1"/>
    <n v="30.542465753424658"/>
    <x v="1"/>
    <n v="3"/>
    <d v="1995-05-20T00:00:00"/>
  </r>
  <r>
    <x v="1"/>
    <n v="18982559"/>
    <x v="0"/>
    <d v="2025-11-26T00:00:00"/>
    <x v="0"/>
    <x v="4"/>
    <x v="6"/>
    <d v="2026-02-03T00:00:00"/>
    <n v="69"/>
    <n v="2.2999999999999998"/>
    <n v="0"/>
    <n v="1"/>
    <n v="1"/>
    <x v="1"/>
    <n v="20.230136986301371"/>
    <x v="3"/>
    <n v="1"/>
    <d v="2005-09-08T00:00:00"/>
  </r>
  <r>
    <x v="1"/>
    <n v="18982565"/>
    <x v="1"/>
    <d v="2025-11-26T00:00:00"/>
    <x v="0"/>
    <x v="4"/>
    <x v="6"/>
    <m/>
    <n v="9999"/>
    <n v="333.3"/>
    <n v="0"/>
    <n v="0"/>
    <n v="0"/>
    <x v="1"/>
    <n v="18.890410958904109"/>
    <x v="3"/>
    <n v="1"/>
    <d v="2007-01-10T00:00:00"/>
  </r>
  <r>
    <x v="1"/>
    <n v="18982568"/>
    <x v="0"/>
    <d v="2025-11-26T00:00:00"/>
    <x v="0"/>
    <x v="4"/>
    <x v="6"/>
    <m/>
    <n v="9999"/>
    <n v="333.3"/>
    <n v="0"/>
    <n v="0"/>
    <n v="0"/>
    <x v="1"/>
    <n v="18.038356164383561"/>
    <x v="3"/>
    <n v="1"/>
    <d v="2007-11-17T00:00:00"/>
  </r>
  <r>
    <x v="1"/>
    <n v="18982570"/>
    <x v="0"/>
    <d v="2025-11-26T00:00:00"/>
    <x v="0"/>
    <x v="4"/>
    <x v="6"/>
    <d v="2026-04-18T00:00:00"/>
    <n v="143"/>
    <n v="4.7666666666666666"/>
    <n v="0"/>
    <n v="0"/>
    <n v="1"/>
    <x v="0"/>
    <n v="25.863013698630137"/>
    <x v="2"/>
    <n v="2"/>
    <d v="2000-01-22T00:00:00"/>
  </r>
  <r>
    <x v="0"/>
    <n v="18982593"/>
    <x v="0"/>
    <d v="2025-11-26T00:00:00"/>
    <x v="0"/>
    <x v="4"/>
    <x v="6"/>
    <d v="2026-02-16T00:00:00"/>
    <n v="82"/>
    <n v="2.7333333333333334"/>
    <n v="0"/>
    <n v="1"/>
    <n v="1"/>
    <x v="0"/>
    <n v="35.509589041095893"/>
    <x v="0"/>
    <n v="4"/>
    <d v="1990-06-02T00:00:00"/>
  </r>
  <r>
    <x v="1"/>
    <n v="18982686"/>
    <x v="1"/>
    <d v="2025-11-26T00:00:00"/>
    <x v="0"/>
    <x v="4"/>
    <x v="6"/>
    <d v="2026-03-08T00:00:00"/>
    <n v="102"/>
    <n v="3.4"/>
    <n v="0"/>
    <n v="0"/>
    <n v="1"/>
    <x v="1"/>
    <n v="19.246575342465754"/>
    <x v="3"/>
    <n v="1"/>
    <d v="2006-09-02T00:00:00"/>
  </r>
  <r>
    <x v="1"/>
    <n v="18982704"/>
    <x v="0"/>
    <d v="2025-11-26T00:00:00"/>
    <x v="0"/>
    <x v="4"/>
    <x v="6"/>
    <m/>
    <n v="9999"/>
    <n v="333.3"/>
    <n v="0"/>
    <n v="0"/>
    <n v="0"/>
    <x v="0"/>
    <n v="24.271232876712329"/>
    <x v="2"/>
    <n v="2"/>
    <d v="2001-08-25T00:00:00"/>
  </r>
  <r>
    <x v="1"/>
    <n v="18982809"/>
    <x v="0"/>
    <d v="2025-11-27T00:00:00"/>
    <x v="0"/>
    <x v="4"/>
    <x v="6"/>
    <d v="2026-03-01T00:00:00"/>
    <n v="94"/>
    <n v="3.1333333333333333"/>
    <n v="0"/>
    <n v="0"/>
    <n v="1"/>
    <x v="1"/>
    <n v="20.55890410958904"/>
    <x v="3"/>
    <n v="1"/>
    <d v="2005-05-12T00:00:00"/>
  </r>
  <r>
    <x v="1"/>
    <n v="18982821"/>
    <x v="1"/>
    <d v="2025-11-27T00:00:00"/>
    <x v="0"/>
    <x v="4"/>
    <x v="6"/>
    <d v="2026-05-15T00:00:00"/>
    <n v="169"/>
    <n v="5.6333333333333337"/>
    <n v="0"/>
    <n v="0"/>
    <n v="1"/>
    <x v="0"/>
    <n v="21.838356164383562"/>
    <x v="2"/>
    <n v="2"/>
    <d v="2004-01-31T00:00:00"/>
  </r>
  <r>
    <x v="1"/>
    <n v="18982822"/>
    <x v="1"/>
    <d v="2025-11-27T00:00:00"/>
    <x v="0"/>
    <x v="4"/>
    <x v="6"/>
    <m/>
    <n v="9999"/>
    <n v="333.3"/>
    <n v="0"/>
    <n v="0"/>
    <n v="0"/>
    <x v="0"/>
    <n v="20.169863013698631"/>
    <x v="3"/>
    <n v="1"/>
    <d v="2005-10-01T00:00:00"/>
  </r>
  <r>
    <x v="1"/>
    <n v="18982825"/>
    <x v="1"/>
    <d v="2025-11-27T00:00:00"/>
    <x v="0"/>
    <x v="4"/>
    <x v="6"/>
    <d v="2026-05-31T00:00:00"/>
    <n v="185"/>
    <n v="6.166666666666667"/>
    <n v="0"/>
    <n v="0"/>
    <n v="0"/>
    <x v="1"/>
    <n v="21.802739726027397"/>
    <x v="2"/>
    <n v="2"/>
    <d v="2004-02-13T00:00:00"/>
  </r>
  <r>
    <x v="1"/>
    <n v="18982839"/>
    <x v="0"/>
    <d v="2025-11-27T00:00:00"/>
    <x v="0"/>
    <x v="4"/>
    <x v="6"/>
    <d v="2026-04-30T00:00:00"/>
    <n v="154"/>
    <n v="5.1333333333333337"/>
    <n v="0"/>
    <n v="0"/>
    <n v="1"/>
    <x v="1"/>
    <n v="18.682191780821917"/>
    <x v="3"/>
    <n v="1"/>
    <d v="2007-03-28T00:00:00"/>
  </r>
  <r>
    <x v="1"/>
    <n v="18982842"/>
    <x v="0"/>
    <d v="2025-11-27T00:00:00"/>
    <x v="0"/>
    <x v="4"/>
    <x v="6"/>
    <m/>
    <n v="9999"/>
    <n v="333.3"/>
    <n v="0"/>
    <n v="0"/>
    <n v="0"/>
    <x v="1"/>
    <n v="27.306849315068494"/>
    <x v="1"/>
    <n v="3"/>
    <d v="1998-08-14T00:00:00"/>
  </r>
  <r>
    <x v="1"/>
    <n v="18982892"/>
    <x v="1"/>
    <d v="2025-11-27T00:00:00"/>
    <x v="0"/>
    <x v="4"/>
    <x v="6"/>
    <m/>
    <n v="9999"/>
    <n v="333.3"/>
    <n v="0"/>
    <n v="0"/>
    <n v="0"/>
    <x v="1"/>
    <n v="19.043835616438358"/>
    <x v="3"/>
    <n v="1"/>
    <d v="2006-11-16T00:00:00"/>
  </r>
  <r>
    <x v="1"/>
    <n v="18982918"/>
    <x v="1"/>
    <d v="2025-11-27T00:00:00"/>
    <x v="0"/>
    <x v="4"/>
    <x v="6"/>
    <d v="2026-03-05T00:00:00"/>
    <n v="98"/>
    <n v="3.2666666666666666"/>
    <n v="0"/>
    <n v="0"/>
    <n v="1"/>
    <x v="0"/>
    <n v="23.594520547945205"/>
    <x v="2"/>
    <n v="2"/>
    <d v="2002-04-30T00:00:00"/>
  </r>
  <r>
    <x v="1"/>
    <n v="18982962"/>
    <x v="1"/>
    <d v="2025-11-28T00:00:00"/>
    <x v="0"/>
    <x v="4"/>
    <x v="6"/>
    <d v="2026-04-17T00:00:00"/>
    <n v="140"/>
    <n v="4.666666666666667"/>
    <n v="0"/>
    <n v="0"/>
    <n v="1"/>
    <x v="0"/>
    <n v="23.975342465753425"/>
    <x v="2"/>
    <n v="2"/>
    <d v="2001-12-13T00:00:00"/>
  </r>
  <r>
    <x v="1"/>
    <n v="18982984"/>
    <x v="0"/>
    <d v="2025-11-28T00:00:00"/>
    <x v="0"/>
    <x v="4"/>
    <x v="6"/>
    <m/>
    <n v="9999"/>
    <n v="333.3"/>
    <n v="0"/>
    <n v="0"/>
    <n v="0"/>
    <x v="0"/>
    <n v="28.578082191780823"/>
    <x v="1"/>
    <n v="3"/>
    <d v="1997-05-08T00:00:00"/>
  </r>
  <r>
    <x v="1"/>
    <n v="18982985"/>
    <x v="0"/>
    <d v="2025-11-28T00:00:00"/>
    <x v="0"/>
    <x v="4"/>
    <x v="6"/>
    <d v="2026-05-05T00:00:00"/>
    <n v="158"/>
    <n v="5.2666666666666666"/>
    <n v="0"/>
    <n v="0"/>
    <n v="1"/>
    <x v="1"/>
    <n v="23.457534246575342"/>
    <x v="2"/>
    <n v="2"/>
    <d v="2002-06-20T00:00:00"/>
  </r>
  <r>
    <x v="1"/>
    <n v="18982986"/>
    <x v="0"/>
    <d v="2025-11-28T00:00:00"/>
    <x v="0"/>
    <x v="4"/>
    <x v="6"/>
    <m/>
    <n v="9999"/>
    <n v="333.3"/>
    <n v="0"/>
    <n v="0"/>
    <n v="0"/>
    <x v="1"/>
    <n v="20.035616438356165"/>
    <x v="3"/>
    <n v="1"/>
    <d v="2005-11-20T00:00:00"/>
  </r>
  <r>
    <x v="1"/>
    <n v="18982987"/>
    <x v="0"/>
    <d v="2025-11-28T00:00:00"/>
    <x v="0"/>
    <x v="4"/>
    <x v="6"/>
    <m/>
    <n v="9999"/>
    <n v="333.3"/>
    <n v="0"/>
    <n v="0"/>
    <n v="0"/>
    <x v="1"/>
    <n v="33.980821917808221"/>
    <x v="0"/>
    <n v="4"/>
    <d v="1991-12-14T00:00:00"/>
  </r>
  <r>
    <x v="1"/>
    <n v="18983008"/>
    <x v="0"/>
    <d v="2025-11-28T00:00:00"/>
    <x v="0"/>
    <x v="4"/>
    <x v="6"/>
    <d v="2026-03-01T00:00:00"/>
    <n v="93"/>
    <n v="3.1"/>
    <n v="0"/>
    <n v="0"/>
    <n v="1"/>
    <x v="1"/>
    <n v="19.153424657534245"/>
    <x v="3"/>
    <n v="1"/>
    <d v="2006-10-08T00:00:00"/>
  </r>
  <r>
    <x v="1"/>
    <n v="18983009"/>
    <x v="0"/>
    <d v="2025-11-28T00:00:00"/>
    <x v="0"/>
    <x v="4"/>
    <x v="6"/>
    <m/>
    <n v="9999"/>
    <n v="333.3"/>
    <n v="0"/>
    <n v="0"/>
    <n v="0"/>
    <x v="1"/>
    <n v="25.323287671232876"/>
    <x v="2"/>
    <n v="2"/>
    <d v="2000-08-08T00:00:00"/>
  </r>
  <r>
    <x v="1"/>
    <n v="18983011"/>
    <x v="0"/>
    <d v="2025-11-28T00:00:00"/>
    <x v="0"/>
    <x v="4"/>
    <x v="6"/>
    <d v="2026-03-31T00:00:00"/>
    <n v="123"/>
    <n v="4.0999999999999996"/>
    <n v="0"/>
    <n v="0"/>
    <n v="1"/>
    <x v="1"/>
    <n v="18.076712328767123"/>
    <x v="3"/>
    <n v="1"/>
    <d v="2007-11-05T00:00:00"/>
  </r>
  <r>
    <x v="1"/>
    <n v="18983012"/>
    <x v="0"/>
    <d v="2025-11-28T00:00:00"/>
    <x v="0"/>
    <x v="4"/>
    <x v="6"/>
    <m/>
    <n v="9999"/>
    <n v="333.3"/>
    <n v="0"/>
    <n v="0"/>
    <n v="0"/>
    <x v="1"/>
    <n v="18.624657534246577"/>
    <x v="3"/>
    <n v="1"/>
    <d v="2007-04-19T00:00:00"/>
  </r>
  <r>
    <x v="1"/>
    <n v="18983013"/>
    <x v="1"/>
    <d v="2025-11-28T00:00:00"/>
    <x v="0"/>
    <x v="4"/>
    <x v="6"/>
    <m/>
    <n v="9999"/>
    <n v="333.3"/>
    <n v="0"/>
    <n v="0"/>
    <n v="0"/>
    <x v="1"/>
    <n v="32.331506849315069"/>
    <x v="0"/>
    <n v="4"/>
    <d v="1993-08-07T00:00:00"/>
  </r>
  <r>
    <x v="1"/>
    <n v="18983016"/>
    <x v="0"/>
    <d v="2025-11-28T00:00:00"/>
    <x v="0"/>
    <x v="4"/>
    <x v="6"/>
    <d v="2026-02-15T00:00:00"/>
    <n v="79"/>
    <n v="2.6333333333333333"/>
    <n v="0"/>
    <n v="1"/>
    <n v="1"/>
    <x v="1"/>
    <n v="24.43013698630137"/>
    <x v="2"/>
    <n v="2"/>
    <d v="2001-06-30T00:00:00"/>
  </r>
  <r>
    <x v="1"/>
    <n v="18983017"/>
    <x v="0"/>
    <d v="2025-11-28T00:00:00"/>
    <x v="0"/>
    <x v="4"/>
    <x v="6"/>
    <d v="2026-02-01T00:00:00"/>
    <n v="65"/>
    <n v="2.1666666666666665"/>
    <n v="0"/>
    <n v="1"/>
    <n v="1"/>
    <x v="1"/>
    <n v="27.465753424657535"/>
    <x v="1"/>
    <n v="3"/>
    <d v="1998-06-18T00:00:00"/>
  </r>
  <r>
    <x v="1"/>
    <n v="18983020"/>
    <x v="0"/>
    <d v="2025-11-28T00:00:00"/>
    <x v="0"/>
    <x v="4"/>
    <x v="6"/>
    <m/>
    <n v="9999"/>
    <n v="333.3"/>
    <n v="0"/>
    <n v="0"/>
    <n v="0"/>
    <x v="1"/>
    <n v="18.983561643835618"/>
    <x v="3"/>
    <n v="1"/>
    <d v="2006-12-09T00:00:00"/>
  </r>
  <r>
    <x v="1"/>
    <n v="18983042"/>
    <x v="1"/>
    <d v="2025-11-28T00:00:00"/>
    <x v="0"/>
    <x v="4"/>
    <x v="6"/>
    <m/>
    <n v="9999"/>
    <n v="333.3"/>
    <n v="0"/>
    <n v="0"/>
    <n v="0"/>
    <x v="1"/>
    <n v="22.854794520547944"/>
    <x v="2"/>
    <n v="2"/>
    <d v="2003-01-26T00:00:00"/>
  </r>
  <r>
    <x v="1"/>
    <n v="18983043"/>
    <x v="0"/>
    <d v="2025-11-28T00:00:00"/>
    <x v="0"/>
    <x v="4"/>
    <x v="6"/>
    <m/>
    <n v="9999"/>
    <n v="333.3"/>
    <n v="0"/>
    <n v="0"/>
    <n v="0"/>
    <x v="1"/>
    <n v="19.75068493150685"/>
    <x v="3"/>
    <n v="1"/>
    <d v="2006-03-04T00:00:00"/>
  </r>
  <r>
    <x v="1"/>
    <n v="18983056"/>
    <x v="0"/>
    <d v="2025-11-28T00:00:00"/>
    <x v="0"/>
    <x v="4"/>
    <x v="6"/>
    <d v="2025-12-02T00:00:00"/>
    <n v="4"/>
    <n v="0.13333333333333333"/>
    <n v="1"/>
    <n v="1"/>
    <n v="1"/>
    <x v="1"/>
    <n v="27.6"/>
    <x v="1"/>
    <n v="3"/>
    <d v="1998-04-30T00:00:00"/>
  </r>
  <r>
    <x v="1"/>
    <n v="18983057"/>
    <x v="0"/>
    <d v="2025-11-28T00:00:00"/>
    <x v="0"/>
    <x v="4"/>
    <x v="6"/>
    <d v="2026-03-31T00:00:00"/>
    <n v="123"/>
    <n v="4.0999999999999996"/>
    <n v="0"/>
    <n v="0"/>
    <n v="1"/>
    <x v="1"/>
    <n v="19.104109589041094"/>
    <x v="3"/>
    <n v="1"/>
    <d v="2006-10-26T00:00:00"/>
  </r>
  <r>
    <x v="1"/>
    <n v="18983063"/>
    <x v="0"/>
    <d v="2025-11-28T00:00:00"/>
    <x v="0"/>
    <x v="4"/>
    <x v="6"/>
    <m/>
    <n v="9999"/>
    <n v="333.3"/>
    <n v="0"/>
    <n v="0"/>
    <n v="0"/>
    <x v="1"/>
    <n v="24.67945205479452"/>
    <x v="2"/>
    <n v="2"/>
    <d v="2001-03-31T00:00:00"/>
  </r>
  <r>
    <x v="1"/>
    <n v="18983067"/>
    <x v="0"/>
    <d v="2025-11-28T00:00:00"/>
    <x v="0"/>
    <x v="4"/>
    <x v="6"/>
    <m/>
    <n v="9999"/>
    <n v="333.3"/>
    <n v="0"/>
    <n v="0"/>
    <n v="0"/>
    <x v="1"/>
    <n v="19.720547945205478"/>
    <x v="3"/>
    <n v="1"/>
    <d v="2006-03-15T00:00:00"/>
  </r>
  <r>
    <x v="1"/>
    <n v="18983097"/>
    <x v="0"/>
    <d v="2025-11-28T00:00:00"/>
    <x v="0"/>
    <x v="4"/>
    <x v="6"/>
    <d v="2026-04-01T00:00:00"/>
    <n v="124"/>
    <n v="4.1333333333333337"/>
    <n v="0"/>
    <n v="0"/>
    <n v="1"/>
    <x v="1"/>
    <n v="18.136986301369863"/>
    <x v="3"/>
    <n v="1"/>
    <d v="2007-10-14T00:00:00"/>
  </r>
  <r>
    <x v="1"/>
    <n v="18983158"/>
    <x v="1"/>
    <d v="2025-11-28T00:00:00"/>
    <x v="0"/>
    <x v="4"/>
    <x v="6"/>
    <d v="2026-04-01T00:00:00"/>
    <n v="124"/>
    <n v="4.1333333333333337"/>
    <n v="0"/>
    <n v="0"/>
    <n v="1"/>
    <x v="1"/>
    <n v="19.632876712328766"/>
    <x v="3"/>
    <n v="1"/>
    <d v="2006-04-16T00:00:00"/>
  </r>
  <r>
    <x v="1"/>
    <n v="18983242"/>
    <x v="1"/>
    <d v="2025-12-01T00:00:00"/>
    <x v="0"/>
    <x v="5"/>
    <x v="7"/>
    <m/>
    <n v="9999"/>
    <n v="333.3"/>
    <n v="0"/>
    <n v="0"/>
    <n v="0"/>
    <x v="0"/>
    <n v="18.24931506849315"/>
    <x v="3"/>
    <n v="1"/>
    <d v="2007-09-06T00:00:00"/>
  </r>
  <r>
    <x v="1"/>
    <n v="18983284"/>
    <x v="0"/>
    <d v="2025-12-01T00:00:00"/>
    <x v="0"/>
    <x v="5"/>
    <x v="7"/>
    <m/>
    <n v="9999"/>
    <n v="333.3"/>
    <n v="0"/>
    <n v="0"/>
    <n v="0"/>
    <x v="0"/>
    <n v="25.583561643835615"/>
    <x v="2"/>
    <n v="2"/>
    <d v="2000-05-08T00:00:00"/>
  </r>
  <r>
    <x v="1"/>
    <n v="18983285"/>
    <x v="0"/>
    <d v="2025-12-01T00:00:00"/>
    <x v="0"/>
    <x v="5"/>
    <x v="7"/>
    <m/>
    <n v="9999"/>
    <n v="333.3"/>
    <n v="0"/>
    <n v="0"/>
    <n v="0"/>
    <x v="0"/>
    <n v="18.386301369863013"/>
    <x v="3"/>
    <n v="1"/>
    <d v="2007-07-18T00:00:00"/>
  </r>
  <r>
    <x v="1"/>
    <n v="18983295"/>
    <x v="0"/>
    <d v="2025-12-01T00:00:00"/>
    <x v="0"/>
    <x v="5"/>
    <x v="7"/>
    <d v="2026-02-15T00:00:00"/>
    <n v="76"/>
    <n v="2.5333333333333332"/>
    <n v="0"/>
    <n v="1"/>
    <n v="1"/>
    <x v="0"/>
    <n v="20.213698630136985"/>
    <x v="3"/>
    <n v="1"/>
    <d v="2005-09-19T00:00:00"/>
  </r>
  <r>
    <x v="1"/>
    <n v="18983304"/>
    <x v="0"/>
    <d v="2025-12-01T00:00:00"/>
    <x v="0"/>
    <x v="5"/>
    <x v="7"/>
    <m/>
    <n v="9999"/>
    <n v="333.3"/>
    <n v="0"/>
    <n v="0"/>
    <n v="0"/>
    <x v="0"/>
    <n v="28.978082191780821"/>
    <x v="1"/>
    <n v="3"/>
    <d v="1996-12-16T00:00:00"/>
  </r>
  <r>
    <x v="1"/>
    <n v="18983314"/>
    <x v="0"/>
    <d v="2025-12-01T00:00:00"/>
    <x v="0"/>
    <x v="5"/>
    <x v="7"/>
    <m/>
    <n v="9999"/>
    <n v="333.3"/>
    <n v="0"/>
    <n v="0"/>
    <n v="0"/>
    <x v="0"/>
    <n v="29.210958904109589"/>
    <x v="1"/>
    <n v="3"/>
    <d v="1996-09-22T00:00:00"/>
  </r>
  <r>
    <x v="1"/>
    <n v="18983428"/>
    <x v="0"/>
    <d v="2026-03-30T00:00:00"/>
    <x v="1"/>
    <x v="0"/>
    <x v="5"/>
    <m/>
    <n v="9999"/>
    <n v="333.3"/>
    <n v="0"/>
    <n v="0"/>
    <n v="0"/>
    <x v="1"/>
    <n v="23.687671232876713"/>
    <x v="2"/>
    <n v="2"/>
    <d v="2002-07-28T00:00:00"/>
  </r>
  <r>
    <x v="1"/>
    <n v="18983567"/>
    <x v="1"/>
    <d v="2025-12-01T00:00:00"/>
    <x v="0"/>
    <x v="5"/>
    <x v="7"/>
    <m/>
    <n v="9999"/>
    <n v="333.3"/>
    <n v="0"/>
    <n v="0"/>
    <n v="0"/>
    <x v="1"/>
    <n v="18.915068493150685"/>
    <x v="3"/>
    <n v="1"/>
    <d v="2007-01-06T00:00:00"/>
  </r>
  <r>
    <x v="1"/>
    <n v="18983619"/>
    <x v="1"/>
    <d v="2025-12-01T00:00:00"/>
    <x v="0"/>
    <x v="5"/>
    <x v="7"/>
    <m/>
    <n v="9999"/>
    <n v="333.3"/>
    <n v="0"/>
    <n v="0"/>
    <n v="0"/>
    <x v="0"/>
    <n v="20.684931506849313"/>
    <x v="3"/>
    <n v="1"/>
    <d v="2005-03-31T00:00:00"/>
  </r>
  <r>
    <x v="1"/>
    <n v="18983658"/>
    <x v="1"/>
    <d v="2025-12-01T00:00:00"/>
    <x v="0"/>
    <x v="5"/>
    <x v="7"/>
    <m/>
    <n v="9999"/>
    <n v="333.3"/>
    <n v="0"/>
    <n v="0"/>
    <n v="0"/>
    <x v="1"/>
    <n v="19.813698630136987"/>
    <x v="3"/>
    <n v="1"/>
    <d v="2006-02-12T00:00:00"/>
  </r>
  <r>
    <x v="0"/>
    <n v="18983660"/>
    <x v="0"/>
    <d v="2026-05-19T00:00:00"/>
    <x v="1"/>
    <x v="1"/>
    <x v="1"/>
    <m/>
    <n v="9999"/>
    <n v="333.3"/>
    <n v="0"/>
    <n v="0"/>
    <n v="0"/>
    <x v="0"/>
    <n v="46.142465753424659"/>
    <x v="0"/>
    <n v="4"/>
    <d v="1980-04-08T00:00:00"/>
  </r>
  <r>
    <x v="1"/>
    <n v="18983730"/>
    <x v="1"/>
    <d v="2025-12-02T00:00:00"/>
    <x v="0"/>
    <x v="5"/>
    <x v="7"/>
    <m/>
    <n v="9999"/>
    <n v="333.3"/>
    <n v="0"/>
    <n v="0"/>
    <n v="0"/>
    <x v="0"/>
    <n v="20.175342465753424"/>
    <x v="3"/>
    <n v="1"/>
    <d v="2005-10-04T00:00:00"/>
  </r>
  <r>
    <x v="1"/>
    <n v="18983733"/>
    <x v="1"/>
    <d v="2025-12-02T00:00:00"/>
    <x v="0"/>
    <x v="5"/>
    <x v="7"/>
    <m/>
    <n v="9999"/>
    <n v="333.3"/>
    <n v="0"/>
    <n v="0"/>
    <n v="0"/>
    <x v="1"/>
    <n v="27.641095890410959"/>
    <x v="1"/>
    <n v="3"/>
    <d v="1998-04-19T00:00:00"/>
  </r>
  <r>
    <x v="1"/>
    <n v="18983742"/>
    <x v="0"/>
    <d v="2025-12-02T00:00:00"/>
    <x v="0"/>
    <x v="5"/>
    <x v="7"/>
    <d v="2026-05-31T00:00:00"/>
    <n v="180"/>
    <n v="6"/>
    <n v="0"/>
    <n v="0"/>
    <n v="1"/>
    <x v="1"/>
    <n v="20.56986301369863"/>
    <x v="3"/>
    <n v="1"/>
    <d v="2005-05-13T00:00:00"/>
  </r>
  <r>
    <x v="1"/>
    <n v="18983769"/>
    <x v="0"/>
    <d v="2025-12-02T00:00:00"/>
    <x v="0"/>
    <x v="5"/>
    <x v="7"/>
    <d v="2026-02-11T00:00:00"/>
    <n v="71"/>
    <n v="2.3666666666666667"/>
    <n v="0"/>
    <n v="1"/>
    <n v="1"/>
    <x v="1"/>
    <n v="47.991780821917807"/>
    <x v="0"/>
    <n v="4"/>
    <d v="1977-12-17T00:00:00"/>
  </r>
  <r>
    <x v="1"/>
    <n v="18983790"/>
    <x v="1"/>
    <d v="2025-12-02T00:00:00"/>
    <x v="0"/>
    <x v="5"/>
    <x v="7"/>
    <m/>
    <n v="9999"/>
    <n v="333.3"/>
    <n v="0"/>
    <n v="0"/>
    <n v="0"/>
    <x v="0"/>
    <n v="21.397260273972602"/>
    <x v="2"/>
    <n v="2"/>
    <d v="2004-07-15T00:00:00"/>
  </r>
  <r>
    <x v="1"/>
    <n v="18983791"/>
    <x v="0"/>
    <d v="2025-12-02T00:00:00"/>
    <x v="0"/>
    <x v="5"/>
    <x v="7"/>
    <d v="2026-03-31T00:00:00"/>
    <n v="119"/>
    <n v="3.9666666666666668"/>
    <n v="0"/>
    <n v="0"/>
    <n v="1"/>
    <x v="0"/>
    <n v="22.528767123287672"/>
    <x v="2"/>
    <n v="2"/>
    <d v="2003-05-29T00:00:00"/>
  </r>
  <r>
    <x v="1"/>
    <n v="18983794"/>
    <x v="0"/>
    <d v="2025-12-01T00:00:00"/>
    <x v="0"/>
    <x v="5"/>
    <x v="7"/>
    <m/>
    <n v="9999"/>
    <n v="333.3"/>
    <n v="0"/>
    <n v="0"/>
    <n v="0"/>
    <x v="1"/>
    <n v="18.328767123287673"/>
    <x v="3"/>
    <n v="1"/>
    <d v="2007-08-08T00:00:00"/>
  </r>
  <r>
    <x v="1"/>
    <n v="18983795"/>
    <x v="0"/>
    <d v="2025-12-01T00:00:00"/>
    <x v="0"/>
    <x v="5"/>
    <x v="7"/>
    <m/>
    <n v="9999"/>
    <n v="333.3"/>
    <n v="0"/>
    <n v="0"/>
    <n v="0"/>
    <x v="0"/>
    <n v="26.624657534246577"/>
    <x v="1"/>
    <n v="3"/>
    <d v="1999-04-24T00:00:00"/>
  </r>
  <r>
    <x v="1"/>
    <n v="18983799"/>
    <x v="0"/>
    <d v="2025-12-01T00:00:00"/>
    <x v="0"/>
    <x v="5"/>
    <x v="7"/>
    <d v="2026-02-01T00:00:00"/>
    <n v="62"/>
    <n v="2.0666666666666669"/>
    <n v="0"/>
    <n v="1"/>
    <n v="1"/>
    <x v="1"/>
    <n v="19.098630136986301"/>
    <x v="3"/>
    <n v="1"/>
    <d v="2006-10-31T00:00:00"/>
  </r>
  <r>
    <x v="1"/>
    <n v="18983805"/>
    <x v="0"/>
    <d v="2025-12-01T00:00:00"/>
    <x v="0"/>
    <x v="5"/>
    <x v="7"/>
    <m/>
    <n v="9999"/>
    <n v="333.3"/>
    <n v="0"/>
    <n v="0"/>
    <n v="0"/>
    <x v="0"/>
    <n v="20.219178082191782"/>
    <x v="3"/>
    <n v="1"/>
    <d v="2005-09-17T00:00:00"/>
  </r>
  <r>
    <x v="1"/>
    <n v="18983808"/>
    <x v="0"/>
    <d v="2025-12-01T00:00:00"/>
    <x v="0"/>
    <x v="5"/>
    <x v="7"/>
    <m/>
    <n v="9999"/>
    <n v="333.3"/>
    <n v="0"/>
    <n v="0"/>
    <n v="0"/>
    <x v="0"/>
    <n v="20.12054794520548"/>
    <x v="3"/>
    <n v="1"/>
    <d v="2005-10-23T00:00:00"/>
  </r>
  <r>
    <x v="1"/>
    <n v="18983810"/>
    <x v="1"/>
    <d v="2025-12-01T00:00:00"/>
    <x v="0"/>
    <x v="5"/>
    <x v="7"/>
    <d v="2026-05-04T00:00:00"/>
    <n v="154"/>
    <n v="5.1333333333333337"/>
    <n v="0"/>
    <n v="0"/>
    <n v="1"/>
    <x v="0"/>
    <n v="21.041095890410958"/>
    <x v="2"/>
    <n v="2"/>
    <d v="2004-11-21T00:00:00"/>
  </r>
  <r>
    <x v="1"/>
    <n v="18983811"/>
    <x v="0"/>
    <d v="2025-12-01T00:00:00"/>
    <x v="0"/>
    <x v="5"/>
    <x v="7"/>
    <d v="2026-02-01T00:00:00"/>
    <n v="62"/>
    <n v="2.0666666666666669"/>
    <n v="0"/>
    <n v="1"/>
    <n v="1"/>
    <x v="1"/>
    <n v="19.465753424657535"/>
    <x v="3"/>
    <n v="1"/>
    <d v="2006-06-19T00:00:00"/>
  </r>
  <r>
    <x v="1"/>
    <n v="18983813"/>
    <x v="1"/>
    <d v="2026-03-06T00:00:00"/>
    <x v="1"/>
    <x v="0"/>
    <x v="5"/>
    <m/>
    <n v="9999"/>
    <n v="333.3"/>
    <n v="0"/>
    <n v="0"/>
    <n v="0"/>
    <x v="1"/>
    <n v="19.578082191780823"/>
    <x v="3"/>
    <n v="1"/>
    <d v="2006-08-12T00:00:00"/>
  </r>
  <r>
    <x v="1"/>
    <n v="18983815"/>
    <x v="1"/>
    <d v="2025-12-01T00:00:00"/>
    <x v="0"/>
    <x v="5"/>
    <x v="7"/>
    <d v="2026-02-28T00:00:00"/>
    <n v="89"/>
    <n v="2.9666666666666668"/>
    <n v="0"/>
    <n v="1"/>
    <n v="1"/>
    <x v="0"/>
    <n v="37.80821917808219"/>
    <x v="0"/>
    <n v="4"/>
    <d v="1988-02-19T00:00:00"/>
  </r>
  <r>
    <x v="1"/>
    <n v="18983819"/>
    <x v="1"/>
    <d v="2025-12-01T00:00:00"/>
    <x v="0"/>
    <x v="5"/>
    <x v="7"/>
    <d v="2026-03-01T00:00:00"/>
    <n v="90"/>
    <n v="3"/>
    <n v="0"/>
    <n v="1"/>
    <n v="1"/>
    <x v="0"/>
    <n v="18.235616438356164"/>
    <x v="3"/>
    <n v="1"/>
    <d v="2007-09-11T00:00:00"/>
  </r>
  <r>
    <x v="1"/>
    <n v="18983820"/>
    <x v="1"/>
    <d v="2025-12-01T00:00:00"/>
    <x v="0"/>
    <x v="5"/>
    <x v="7"/>
    <m/>
    <n v="9999"/>
    <n v="333.3"/>
    <n v="0"/>
    <n v="0"/>
    <n v="0"/>
    <x v="1"/>
    <n v="18.24931506849315"/>
    <x v="3"/>
    <n v="1"/>
    <d v="2007-09-06T00:00:00"/>
  </r>
  <r>
    <x v="1"/>
    <n v="18983821"/>
    <x v="0"/>
    <d v="2025-12-01T00:00:00"/>
    <x v="0"/>
    <x v="5"/>
    <x v="7"/>
    <d v="2026-03-31T00:00:00"/>
    <n v="120"/>
    <n v="4"/>
    <n v="0"/>
    <n v="0"/>
    <n v="1"/>
    <x v="1"/>
    <n v="21.098630136986301"/>
    <x v="2"/>
    <n v="2"/>
    <d v="2004-10-31T00:00:00"/>
  </r>
  <r>
    <x v="1"/>
    <n v="18983824"/>
    <x v="1"/>
    <d v="2025-12-01T00:00:00"/>
    <x v="0"/>
    <x v="5"/>
    <x v="7"/>
    <d v="2026-02-02T00:00:00"/>
    <n v="63"/>
    <n v="2.1"/>
    <n v="0"/>
    <n v="1"/>
    <n v="1"/>
    <x v="0"/>
    <n v="19.586301369863012"/>
    <x v="3"/>
    <n v="1"/>
    <d v="2006-05-06T00:00:00"/>
  </r>
  <r>
    <x v="1"/>
    <n v="18983825"/>
    <x v="0"/>
    <d v="2026-04-29T00:00:00"/>
    <x v="1"/>
    <x v="2"/>
    <x v="11"/>
    <m/>
    <n v="9999"/>
    <n v="333.3"/>
    <n v="0"/>
    <n v="0"/>
    <n v="0"/>
    <x v="0"/>
    <n v="20.046575342465754"/>
    <x v="3"/>
    <n v="1"/>
    <d v="2006-04-17T00:00:00"/>
  </r>
  <r>
    <x v="1"/>
    <n v="18983829"/>
    <x v="1"/>
    <d v="2025-12-01T00:00:00"/>
    <x v="0"/>
    <x v="5"/>
    <x v="7"/>
    <m/>
    <n v="9999"/>
    <n v="333.3"/>
    <n v="0"/>
    <n v="0"/>
    <n v="0"/>
    <x v="1"/>
    <n v="20.232876712328768"/>
    <x v="3"/>
    <n v="1"/>
    <d v="2005-09-12T00:00:00"/>
  </r>
  <r>
    <x v="1"/>
    <n v="18983832"/>
    <x v="0"/>
    <d v="2025-12-01T00:00:00"/>
    <x v="0"/>
    <x v="5"/>
    <x v="7"/>
    <m/>
    <n v="9999"/>
    <n v="333.3"/>
    <n v="0"/>
    <n v="0"/>
    <n v="0"/>
    <x v="1"/>
    <n v="18.772602739726029"/>
    <x v="3"/>
    <n v="1"/>
    <d v="2007-02-27T00:00:00"/>
  </r>
  <r>
    <x v="1"/>
    <n v="18983839"/>
    <x v="0"/>
    <d v="2026-02-06T00:00:00"/>
    <x v="1"/>
    <x v="7"/>
    <x v="15"/>
    <m/>
    <n v="9999"/>
    <n v="333.3"/>
    <n v="0"/>
    <n v="0"/>
    <n v="0"/>
    <x v="0"/>
    <n v="23.791780821917808"/>
    <x v="2"/>
    <n v="2"/>
    <d v="2002-04-29T00:00:00"/>
  </r>
  <r>
    <x v="1"/>
    <n v="18983841"/>
    <x v="1"/>
    <d v="2025-12-01T00:00:00"/>
    <x v="0"/>
    <x v="5"/>
    <x v="7"/>
    <m/>
    <n v="9999"/>
    <n v="333.3"/>
    <n v="0"/>
    <n v="0"/>
    <n v="0"/>
    <x v="1"/>
    <n v="19.75068493150685"/>
    <x v="3"/>
    <n v="1"/>
    <d v="2006-03-07T00:00:00"/>
  </r>
  <r>
    <x v="1"/>
    <n v="18983842"/>
    <x v="1"/>
    <d v="2025-12-01T00:00:00"/>
    <x v="0"/>
    <x v="5"/>
    <x v="7"/>
    <m/>
    <n v="9999"/>
    <n v="333.3"/>
    <n v="0"/>
    <n v="0"/>
    <n v="0"/>
    <x v="1"/>
    <n v="23.408219178082192"/>
    <x v="2"/>
    <n v="2"/>
    <d v="2002-07-11T00:00:00"/>
  </r>
  <r>
    <x v="1"/>
    <n v="18983845"/>
    <x v="0"/>
    <d v="2025-12-01T00:00:00"/>
    <x v="0"/>
    <x v="5"/>
    <x v="7"/>
    <d v="2026-02-01T00:00:00"/>
    <n v="62"/>
    <n v="2.0666666666666669"/>
    <n v="0"/>
    <n v="1"/>
    <n v="1"/>
    <x v="0"/>
    <n v="21.202739726027396"/>
    <x v="2"/>
    <n v="2"/>
    <d v="2004-09-23T00:00:00"/>
  </r>
  <r>
    <x v="1"/>
    <n v="18983847"/>
    <x v="0"/>
    <d v="2025-12-01T00:00:00"/>
    <x v="0"/>
    <x v="5"/>
    <x v="7"/>
    <m/>
    <n v="9999"/>
    <n v="333.3"/>
    <n v="0"/>
    <n v="0"/>
    <n v="0"/>
    <x v="0"/>
    <n v="24.989041095890411"/>
    <x v="2"/>
    <n v="2"/>
    <d v="2000-12-11T00:00:00"/>
  </r>
  <r>
    <x v="1"/>
    <n v="18983849"/>
    <x v="1"/>
    <d v="2025-12-01T00:00:00"/>
    <x v="0"/>
    <x v="5"/>
    <x v="7"/>
    <m/>
    <n v="9999"/>
    <n v="333.3"/>
    <n v="0"/>
    <n v="0"/>
    <n v="0"/>
    <x v="0"/>
    <n v="24.389041095890413"/>
    <x v="2"/>
    <n v="2"/>
    <d v="2001-07-18T00:00:00"/>
  </r>
  <r>
    <x v="1"/>
    <n v="18983851"/>
    <x v="0"/>
    <d v="2025-12-01T00:00:00"/>
    <x v="0"/>
    <x v="5"/>
    <x v="7"/>
    <m/>
    <n v="9999"/>
    <n v="333.3"/>
    <n v="0"/>
    <n v="0"/>
    <n v="0"/>
    <x v="0"/>
    <n v="53.471232876712328"/>
    <x v="0"/>
    <n v="4"/>
    <d v="1972-06-25T00:00:00"/>
  </r>
  <r>
    <x v="1"/>
    <n v="18983865"/>
    <x v="0"/>
    <d v="2025-12-01T00:00:00"/>
    <x v="0"/>
    <x v="5"/>
    <x v="7"/>
    <m/>
    <n v="9999"/>
    <n v="333.3"/>
    <n v="0"/>
    <n v="0"/>
    <n v="0"/>
    <x v="0"/>
    <n v="20.041095890410958"/>
    <x v="3"/>
    <n v="1"/>
    <d v="2005-11-21T00:00:00"/>
  </r>
  <r>
    <x v="1"/>
    <n v="18983867"/>
    <x v="1"/>
    <d v="2025-12-01T00:00:00"/>
    <x v="0"/>
    <x v="5"/>
    <x v="7"/>
    <m/>
    <n v="9999"/>
    <n v="333.3"/>
    <n v="0"/>
    <n v="0"/>
    <n v="0"/>
    <x v="1"/>
    <n v="19.553424657534247"/>
    <x v="3"/>
    <n v="1"/>
    <d v="2006-05-18T00:00:00"/>
  </r>
  <r>
    <x v="1"/>
    <n v="18983868"/>
    <x v="0"/>
    <d v="2026-02-06T00:00:00"/>
    <x v="1"/>
    <x v="7"/>
    <x v="15"/>
    <m/>
    <n v="9999"/>
    <n v="333.3"/>
    <n v="0"/>
    <n v="0"/>
    <n v="0"/>
    <x v="1"/>
    <n v="18.279452054794522"/>
    <x v="3"/>
    <n v="1"/>
    <d v="2007-11-01T00:00:00"/>
  </r>
  <r>
    <x v="1"/>
    <n v="18983869"/>
    <x v="0"/>
    <d v="2025-12-01T00:00:00"/>
    <x v="0"/>
    <x v="5"/>
    <x v="7"/>
    <m/>
    <n v="9999"/>
    <n v="333.3"/>
    <n v="0"/>
    <n v="0"/>
    <n v="0"/>
    <x v="1"/>
    <n v="22.517808219178082"/>
    <x v="2"/>
    <n v="2"/>
    <d v="2003-06-01T00:00:00"/>
  </r>
  <r>
    <x v="1"/>
    <n v="18983870"/>
    <x v="1"/>
    <d v="2025-12-01T00:00:00"/>
    <x v="0"/>
    <x v="5"/>
    <x v="7"/>
    <m/>
    <n v="9999"/>
    <n v="333.3"/>
    <n v="0"/>
    <n v="0"/>
    <n v="0"/>
    <x v="1"/>
    <n v="21.608219178082191"/>
    <x v="2"/>
    <n v="2"/>
    <d v="2004-04-28T00:00:00"/>
  </r>
  <r>
    <x v="1"/>
    <n v="18983871"/>
    <x v="1"/>
    <d v="2025-12-01T00:00:00"/>
    <x v="0"/>
    <x v="5"/>
    <x v="7"/>
    <d v="2025-12-16T00:00:00"/>
    <n v="15"/>
    <n v="0.5"/>
    <n v="1"/>
    <n v="1"/>
    <n v="1"/>
    <x v="1"/>
    <n v="19.446575342465753"/>
    <x v="3"/>
    <n v="1"/>
    <d v="2006-06-26T00:00:00"/>
  </r>
  <r>
    <x v="1"/>
    <n v="18983875"/>
    <x v="1"/>
    <d v="2025-12-01T00:00:00"/>
    <x v="0"/>
    <x v="5"/>
    <x v="7"/>
    <d v="2026-04-05T00:00:00"/>
    <n v="125"/>
    <n v="4.166666666666667"/>
    <n v="0"/>
    <n v="0"/>
    <n v="1"/>
    <x v="1"/>
    <n v="18.698630136986303"/>
    <x v="3"/>
    <n v="1"/>
    <d v="2007-03-26T00:00:00"/>
  </r>
  <r>
    <x v="1"/>
    <n v="18983877"/>
    <x v="0"/>
    <d v="2025-12-01T00:00:00"/>
    <x v="0"/>
    <x v="5"/>
    <x v="7"/>
    <m/>
    <n v="9999"/>
    <n v="333.3"/>
    <n v="0"/>
    <n v="0"/>
    <n v="0"/>
    <x v="1"/>
    <n v="20.356164383561644"/>
    <x v="3"/>
    <n v="1"/>
    <d v="2005-07-29T00:00:00"/>
  </r>
  <r>
    <x v="1"/>
    <n v="18983884"/>
    <x v="0"/>
    <d v="2025-12-01T00:00:00"/>
    <x v="0"/>
    <x v="5"/>
    <x v="7"/>
    <d v="2026-04-01T00:00:00"/>
    <n v="121"/>
    <n v="4.0333333333333332"/>
    <n v="0"/>
    <n v="0"/>
    <n v="1"/>
    <x v="1"/>
    <n v="27.260273972602739"/>
    <x v="1"/>
    <n v="3"/>
    <d v="1998-09-04T00:00:00"/>
  </r>
  <r>
    <x v="1"/>
    <n v="18983886"/>
    <x v="0"/>
    <d v="2025-12-01T00:00:00"/>
    <x v="0"/>
    <x v="5"/>
    <x v="7"/>
    <m/>
    <n v="9999"/>
    <n v="333.3"/>
    <n v="0"/>
    <n v="0"/>
    <n v="0"/>
    <x v="0"/>
    <n v="19.832876712328765"/>
    <x v="3"/>
    <n v="1"/>
    <d v="2006-02-05T00:00:00"/>
  </r>
  <r>
    <x v="1"/>
    <n v="18983895"/>
    <x v="1"/>
    <d v="2025-12-01T00:00:00"/>
    <x v="0"/>
    <x v="5"/>
    <x v="7"/>
    <m/>
    <n v="9999"/>
    <n v="333.3"/>
    <n v="0"/>
    <n v="0"/>
    <n v="0"/>
    <x v="1"/>
    <n v="20.123287671232877"/>
    <x v="3"/>
    <n v="1"/>
    <d v="2005-10-22T00:00:00"/>
  </r>
  <r>
    <x v="1"/>
    <n v="18983896"/>
    <x v="1"/>
    <d v="2025-12-01T00:00:00"/>
    <x v="0"/>
    <x v="5"/>
    <x v="7"/>
    <d v="2026-03-08T00:00:00"/>
    <n v="97"/>
    <n v="3.2333333333333334"/>
    <n v="0"/>
    <n v="0"/>
    <n v="1"/>
    <x v="1"/>
    <n v="20.19178082191781"/>
    <x v="3"/>
    <n v="1"/>
    <d v="2005-09-27T00:00:00"/>
  </r>
  <r>
    <x v="1"/>
    <n v="18983899"/>
    <x v="1"/>
    <d v="2025-12-01T00:00:00"/>
    <x v="0"/>
    <x v="5"/>
    <x v="7"/>
    <m/>
    <n v="9999"/>
    <n v="333.3"/>
    <n v="0"/>
    <n v="0"/>
    <n v="0"/>
    <x v="0"/>
    <n v="20.591780821917808"/>
    <x v="3"/>
    <n v="1"/>
    <d v="2005-05-04T00:00:00"/>
  </r>
  <r>
    <x v="1"/>
    <n v="18983906"/>
    <x v="1"/>
    <d v="2025-12-01T00:00:00"/>
    <x v="0"/>
    <x v="5"/>
    <x v="7"/>
    <d v="2026-03-15T00:00:00"/>
    <n v="104"/>
    <n v="3.4666666666666668"/>
    <n v="0"/>
    <n v="0"/>
    <n v="1"/>
    <x v="1"/>
    <n v="19.887671232876713"/>
    <x v="3"/>
    <n v="1"/>
    <d v="2006-01-16T00:00:00"/>
  </r>
  <r>
    <x v="1"/>
    <n v="18983907"/>
    <x v="0"/>
    <d v="2025-12-01T00:00:00"/>
    <x v="0"/>
    <x v="5"/>
    <x v="7"/>
    <m/>
    <n v="9999"/>
    <n v="333.3"/>
    <n v="0"/>
    <n v="0"/>
    <n v="0"/>
    <x v="1"/>
    <n v="20.416438356164385"/>
    <x v="3"/>
    <n v="1"/>
    <d v="2005-07-07T00:00:00"/>
  </r>
  <r>
    <x v="1"/>
    <n v="18983913"/>
    <x v="0"/>
    <d v="2025-12-01T00:00:00"/>
    <x v="0"/>
    <x v="5"/>
    <x v="7"/>
    <m/>
    <n v="9999"/>
    <n v="333.3"/>
    <n v="0"/>
    <n v="0"/>
    <n v="0"/>
    <x v="0"/>
    <n v="19.021917808219179"/>
    <x v="3"/>
    <n v="1"/>
    <d v="2006-11-28T00:00:00"/>
  </r>
  <r>
    <x v="1"/>
    <n v="18983914"/>
    <x v="0"/>
    <d v="2025-12-01T00:00:00"/>
    <x v="0"/>
    <x v="5"/>
    <x v="7"/>
    <d v="2026-04-01T00:00:00"/>
    <n v="121"/>
    <n v="4.0333333333333332"/>
    <n v="0"/>
    <n v="0"/>
    <n v="1"/>
    <x v="1"/>
    <n v="18.753424657534246"/>
    <x v="3"/>
    <n v="1"/>
    <d v="2007-03-06T00:00:00"/>
  </r>
  <r>
    <x v="1"/>
    <n v="18983918"/>
    <x v="0"/>
    <d v="2025-12-01T00:00:00"/>
    <x v="0"/>
    <x v="5"/>
    <x v="7"/>
    <m/>
    <n v="9999"/>
    <n v="333.3"/>
    <n v="0"/>
    <n v="0"/>
    <n v="0"/>
    <x v="0"/>
    <n v="23.797260273972604"/>
    <x v="2"/>
    <n v="2"/>
    <d v="2002-02-19T00:00:00"/>
  </r>
  <r>
    <x v="1"/>
    <n v="18983922"/>
    <x v="1"/>
    <d v="2025-12-01T00:00:00"/>
    <x v="0"/>
    <x v="5"/>
    <x v="7"/>
    <m/>
    <n v="9999"/>
    <n v="333.3"/>
    <n v="0"/>
    <n v="0"/>
    <n v="0"/>
    <x v="1"/>
    <n v="20.186301369863013"/>
    <x v="3"/>
    <n v="1"/>
    <d v="2005-09-29T00:00:00"/>
  </r>
  <r>
    <x v="1"/>
    <n v="18983926"/>
    <x v="0"/>
    <d v="2025-12-01T00:00:00"/>
    <x v="0"/>
    <x v="5"/>
    <x v="7"/>
    <m/>
    <n v="9999"/>
    <n v="333.3"/>
    <n v="0"/>
    <n v="0"/>
    <n v="0"/>
    <x v="0"/>
    <n v="18.449315068493149"/>
    <x v="3"/>
    <n v="1"/>
    <d v="2007-06-25T00:00:00"/>
  </r>
  <r>
    <x v="1"/>
    <n v="18983933"/>
    <x v="1"/>
    <d v="2025-12-01T00:00:00"/>
    <x v="0"/>
    <x v="5"/>
    <x v="7"/>
    <d v="2026-02-08T00:00:00"/>
    <n v="69"/>
    <n v="2.2999999999999998"/>
    <n v="0"/>
    <n v="1"/>
    <n v="1"/>
    <x v="1"/>
    <n v="21.079452054794519"/>
    <x v="2"/>
    <n v="2"/>
    <d v="2004-11-07T00:00:00"/>
  </r>
  <r>
    <x v="1"/>
    <n v="18983940"/>
    <x v="0"/>
    <d v="2025-12-01T00:00:00"/>
    <x v="0"/>
    <x v="5"/>
    <x v="7"/>
    <m/>
    <n v="9999"/>
    <n v="333.3"/>
    <n v="0"/>
    <n v="0"/>
    <n v="0"/>
    <x v="0"/>
    <n v="19.86849315068493"/>
    <x v="3"/>
    <n v="1"/>
    <d v="2006-01-23T00:00:00"/>
  </r>
  <r>
    <x v="1"/>
    <n v="18983942"/>
    <x v="1"/>
    <d v="2025-12-01T00:00:00"/>
    <x v="0"/>
    <x v="5"/>
    <x v="7"/>
    <d v="2026-03-01T00:00:00"/>
    <n v="90"/>
    <n v="3"/>
    <n v="0"/>
    <n v="1"/>
    <n v="1"/>
    <x v="1"/>
    <n v="19.397260273972602"/>
    <x v="3"/>
    <n v="1"/>
    <d v="2006-07-14T00:00:00"/>
  </r>
  <r>
    <x v="1"/>
    <n v="18983955"/>
    <x v="0"/>
    <d v="2026-02-02T00:00:00"/>
    <x v="1"/>
    <x v="7"/>
    <x v="15"/>
    <d v="2026-04-30T00:00:00"/>
    <n v="87"/>
    <n v="2.9"/>
    <n v="0"/>
    <n v="1"/>
    <n v="1"/>
    <x v="0"/>
    <n v="21.052054794520547"/>
    <x v="2"/>
    <n v="2"/>
    <d v="2005-01-19T00:00:00"/>
  </r>
  <r>
    <x v="1"/>
    <n v="18983956"/>
    <x v="1"/>
    <d v="2025-12-01T00:00:00"/>
    <x v="0"/>
    <x v="5"/>
    <x v="7"/>
    <m/>
    <n v="9999"/>
    <n v="333.3"/>
    <n v="0"/>
    <n v="0"/>
    <n v="0"/>
    <x v="1"/>
    <n v="19"/>
    <x v="3"/>
    <n v="1"/>
    <d v="2006-12-06T00:00:00"/>
  </r>
  <r>
    <x v="1"/>
    <n v="18983968"/>
    <x v="1"/>
    <d v="2025-12-01T00:00:00"/>
    <x v="0"/>
    <x v="5"/>
    <x v="7"/>
    <m/>
    <n v="9999"/>
    <n v="333.3"/>
    <n v="0"/>
    <n v="0"/>
    <n v="0"/>
    <x v="1"/>
    <n v="18.734246575342464"/>
    <x v="3"/>
    <n v="1"/>
    <d v="2007-03-13T00:00:00"/>
  </r>
  <r>
    <x v="1"/>
    <n v="18983975"/>
    <x v="0"/>
    <d v="2025-12-01T00:00:00"/>
    <x v="0"/>
    <x v="5"/>
    <x v="7"/>
    <m/>
    <n v="9999"/>
    <n v="333.3"/>
    <n v="0"/>
    <n v="0"/>
    <n v="0"/>
    <x v="0"/>
    <n v="26.336986301369862"/>
    <x v="1"/>
    <n v="3"/>
    <d v="1999-08-07T00:00:00"/>
  </r>
  <r>
    <x v="1"/>
    <n v="18983976"/>
    <x v="0"/>
    <d v="2025-12-01T00:00:00"/>
    <x v="0"/>
    <x v="5"/>
    <x v="7"/>
    <d v="2026-05-31T00:00:00"/>
    <n v="181"/>
    <n v="6.0333333333333332"/>
    <n v="0"/>
    <n v="0"/>
    <n v="0"/>
    <x v="1"/>
    <n v="40.147945205479452"/>
    <x v="0"/>
    <n v="4"/>
    <d v="1985-10-18T00:00:00"/>
  </r>
  <r>
    <x v="1"/>
    <n v="18983977"/>
    <x v="1"/>
    <d v="2025-12-01T00:00:00"/>
    <x v="0"/>
    <x v="5"/>
    <x v="7"/>
    <m/>
    <n v="9999"/>
    <n v="333.3"/>
    <n v="0"/>
    <n v="0"/>
    <n v="0"/>
    <x v="0"/>
    <n v="19.8"/>
    <x v="3"/>
    <n v="1"/>
    <d v="2006-02-17T00:00:00"/>
  </r>
  <r>
    <x v="1"/>
    <n v="18983979"/>
    <x v="0"/>
    <d v="2025-12-01T00:00:00"/>
    <x v="0"/>
    <x v="5"/>
    <x v="7"/>
    <d v="2026-02-16T00:00:00"/>
    <n v="77"/>
    <n v="2.5666666666666669"/>
    <n v="0"/>
    <n v="1"/>
    <n v="1"/>
    <x v="0"/>
    <n v="29.126027397260273"/>
    <x v="1"/>
    <n v="3"/>
    <d v="1996-10-23T00:00:00"/>
  </r>
  <r>
    <x v="1"/>
    <n v="18983981"/>
    <x v="0"/>
    <d v="2025-12-01T00:00:00"/>
    <x v="0"/>
    <x v="5"/>
    <x v="7"/>
    <m/>
    <n v="9999"/>
    <n v="333.3"/>
    <n v="0"/>
    <n v="0"/>
    <n v="0"/>
    <x v="1"/>
    <n v="19.764383561643836"/>
    <x v="3"/>
    <n v="1"/>
    <d v="2006-03-02T00:00:00"/>
  </r>
  <r>
    <x v="1"/>
    <n v="18983988"/>
    <x v="1"/>
    <d v="2025-12-01T00:00:00"/>
    <x v="0"/>
    <x v="5"/>
    <x v="7"/>
    <m/>
    <n v="9999"/>
    <n v="333.3"/>
    <n v="0"/>
    <n v="0"/>
    <n v="0"/>
    <x v="1"/>
    <n v="19.252054794520546"/>
    <x v="3"/>
    <n v="1"/>
    <d v="2006-09-05T00:00:00"/>
  </r>
  <r>
    <x v="1"/>
    <n v="18983993"/>
    <x v="1"/>
    <d v="2025-12-01T00:00:00"/>
    <x v="0"/>
    <x v="5"/>
    <x v="7"/>
    <m/>
    <n v="9999"/>
    <n v="333.3"/>
    <n v="0"/>
    <n v="0"/>
    <n v="0"/>
    <x v="1"/>
    <n v="19.263013698630136"/>
    <x v="3"/>
    <n v="1"/>
    <d v="2006-09-01T00:00:00"/>
  </r>
  <r>
    <x v="1"/>
    <n v="18984001"/>
    <x v="0"/>
    <d v="2025-12-01T00:00:00"/>
    <x v="0"/>
    <x v="5"/>
    <x v="7"/>
    <m/>
    <n v="9999"/>
    <n v="333.3"/>
    <n v="0"/>
    <n v="0"/>
    <n v="0"/>
    <x v="0"/>
    <n v="18.983561643835618"/>
    <x v="3"/>
    <n v="1"/>
    <d v="2006-12-12T00:00:00"/>
  </r>
  <r>
    <x v="1"/>
    <n v="18984002"/>
    <x v="0"/>
    <d v="2025-12-01T00:00:00"/>
    <x v="0"/>
    <x v="5"/>
    <x v="7"/>
    <m/>
    <n v="9999"/>
    <n v="333.3"/>
    <n v="0"/>
    <n v="0"/>
    <n v="0"/>
    <x v="1"/>
    <n v="19.145205479452056"/>
    <x v="3"/>
    <n v="1"/>
    <d v="2006-10-14T00:00:00"/>
  </r>
  <r>
    <x v="1"/>
    <n v="18984003"/>
    <x v="0"/>
    <d v="2025-12-01T00:00:00"/>
    <x v="0"/>
    <x v="5"/>
    <x v="7"/>
    <m/>
    <n v="9999"/>
    <n v="333.3"/>
    <n v="0"/>
    <n v="0"/>
    <n v="0"/>
    <x v="0"/>
    <n v="19.487671232876714"/>
    <x v="3"/>
    <n v="1"/>
    <d v="2006-06-11T00:00:00"/>
  </r>
  <r>
    <x v="1"/>
    <n v="18984005"/>
    <x v="0"/>
    <d v="2025-12-01T00:00:00"/>
    <x v="0"/>
    <x v="5"/>
    <x v="7"/>
    <d v="2026-03-31T00:00:00"/>
    <n v="120"/>
    <n v="4"/>
    <n v="0"/>
    <n v="0"/>
    <n v="1"/>
    <x v="0"/>
    <n v="18.704109589041096"/>
    <x v="3"/>
    <n v="1"/>
    <d v="2007-03-24T00:00:00"/>
  </r>
  <r>
    <x v="1"/>
    <n v="18984006"/>
    <x v="0"/>
    <d v="2025-12-01T00:00:00"/>
    <x v="0"/>
    <x v="5"/>
    <x v="7"/>
    <m/>
    <n v="9999"/>
    <n v="333.3"/>
    <n v="0"/>
    <n v="0"/>
    <n v="0"/>
    <x v="1"/>
    <n v="20.695890410958903"/>
    <x v="3"/>
    <n v="1"/>
    <d v="2005-03-27T00:00:00"/>
  </r>
  <r>
    <x v="1"/>
    <n v="18984009"/>
    <x v="0"/>
    <d v="2025-12-01T00:00:00"/>
    <x v="0"/>
    <x v="5"/>
    <x v="7"/>
    <m/>
    <n v="9999"/>
    <n v="333.3"/>
    <n v="0"/>
    <n v="0"/>
    <n v="0"/>
    <x v="1"/>
    <n v="20.479452054794521"/>
    <x v="3"/>
    <n v="1"/>
    <d v="2005-06-14T00:00:00"/>
  </r>
  <r>
    <x v="1"/>
    <n v="18984012"/>
    <x v="0"/>
    <d v="2026-05-05T00:00:00"/>
    <x v="1"/>
    <x v="1"/>
    <x v="1"/>
    <m/>
    <n v="9999"/>
    <n v="333.3"/>
    <n v="0"/>
    <n v="0"/>
    <n v="0"/>
    <x v="0"/>
    <n v="20.13150684931507"/>
    <x v="3"/>
    <n v="1"/>
    <d v="2006-03-23T00:00:00"/>
  </r>
  <r>
    <x v="1"/>
    <n v="18984017"/>
    <x v="0"/>
    <d v="2026-02-13T00:00:00"/>
    <x v="1"/>
    <x v="7"/>
    <x v="15"/>
    <m/>
    <n v="9999"/>
    <n v="333.3"/>
    <n v="0"/>
    <n v="0"/>
    <n v="0"/>
    <x v="0"/>
    <n v="19.197260273972603"/>
    <x v="3"/>
    <n v="1"/>
    <d v="2006-12-08T00:00:00"/>
  </r>
  <r>
    <x v="1"/>
    <n v="18984018"/>
    <x v="0"/>
    <d v="2026-04-01T00:00:00"/>
    <x v="1"/>
    <x v="2"/>
    <x v="11"/>
    <d v="2026-04-07T00:00:00"/>
    <n v="6"/>
    <n v="0.2"/>
    <n v="1"/>
    <n v="1"/>
    <n v="1"/>
    <x v="1"/>
    <n v="23.331506849315069"/>
    <x v="2"/>
    <n v="2"/>
    <d v="2002-12-07T00:00:00"/>
  </r>
  <r>
    <x v="1"/>
    <n v="18984019"/>
    <x v="1"/>
    <d v="2025-12-01T00:00:00"/>
    <x v="0"/>
    <x v="5"/>
    <x v="7"/>
    <m/>
    <n v="9999"/>
    <n v="333.3"/>
    <n v="0"/>
    <n v="0"/>
    <n v="0"/>
    <x v="1"/>
    <n v="18.657534246575342"/>
    <x v="3"/>
    <n v="1"/>
    <d v="2007-04-10T00:00:00"/>
  </r>
  <r>
    <x v="1"/>
    <n v="18984020"/>
    <x v="0"/>
    <d v="2025-12-01T00:00:00"/>
    <x v="0"/>
    <x v="5"/>
    <x v="7"/>
    <d v="2026-03-31T00:00:00"/>
    <n v="120"/>
    <n v="4"/>
    <n v="0"/>
    <n v="0"/>
    <n v="1"/>
    <x v="1"/>
    <n v="41.087671232876716"/>
    <x v="0"/>
    <n v="4"/>
    <d v="1984-11-09T00:00:00"/>
  </r>
  <r>
    <x v="1"/>
    <n v="18984033"/>
    <x v="1"/>
    <d v="2025-12-01T00:00:00"/>
    <x v="0"/>
    <x v="5"/>
    <x v="7"/>
    <d v="2026-02-28T00:00:00"/>
    <n v="89"/>
    <n v="2.9666666666666668"/>
    <n v="0"/>
    <n v="1"/>
    <n v="1"/>
    <x v="1"/>
    <n v="19.67945205479452"/>
    <x v="3"/>
    <n v="1"/>
    <d v="2006-04-02T00:00:00"/>
  </r>
  <r>
    <x v="1"/>
    <n v="18984034"/>
    <x v="0"/>
    <d v="2025-12-01T00:00:00"/>
    <x v="0"/>
    <x v="5"/>
    <x v="7"/>
    <d v="2026-03-31T00:00:00"/>
    <n v="120"/>
    <n v="4"/>
    <n v="0"/>
    <n v="0"/>
    <n v="1"/>
    <x v="1"/>
    <n v="20.589041095890412"/>
    <x v="3"/>
    <n v="1"/>
    <d v="2005-05-05T00:00:00"/>
  </r>
  <r>
    <x v="1"/>
    <n v="18984035"/>
    <x v="0"/>
    <d v="2025-12-01T00:00:00"/>
    <x v="0"/>
    <x v="5"/>
    <x v="7"/>
    <m/>
    <n v="9999"/>
    <n v="333.3"/>
    <n v="0"/>
    <n v="0"/>
    <n v="0"/>
    <x v="1"/>
    <n v="18.041095890410958"/>
    <x v="3"/>
    <n v="1"/>
    <d v="2007-11-21T00:00:00"/>
  </r>
  <r>
    <x v="1"/>
    <n v="18984043"/>
    <x v="1"/>
    <d v="2025-12-01T00:00:00"/>
    <x v="0"/>
    <x v="5"/>
    <x v="7"/>
    <d v="2026-03-31T00:00:00"/>
    <n v="120"/>
    <n v="4"/>
    <n v="0"/>
    <n v="0"/>
    <n v="1"/>
    <x v="1"/>
    <n v="20.153424657534245"/>
    <x v="3"/>
    <n v="1"/>
    <d v="2005-10-11T00:00:00"/>
  </r>
  <r>
    <x v="1"/>
    <n v="18984044"/>
    <x v="1"/>
    <d v="2025-12-01T00:00:00"/>
    <x v="0"/>
    <x v="5"/>
    <x v="7"/>
    <d v="2026-04-19T00:00:00"/>
    <n v="139"/>
    <n v="4.6333333333333337"/>
    <n v="0"/>
    <n v="0"/>
    <n v="1"/>
    <x v="0"/>
    <n v="21.69041095890411"/>
    <x v="2"/>
    <n v="2"/>
    <d v="2004-03-29T00:00:00"/>
  </r>
  <r>
    <x v="1"/>
    <n v="18984045"/>
    <x v="1"/>
    <d v="2025-12-01T00:00:00"/>
    <x v="0"/>
    <x v="5"/>
    <x v="7"/>
    <d v="2026-03-03T00:00:00"/>
    <n v="92"/>
    <n v="3.0666666666666669"/>
    <n v="0"/>
    <n v="0"/>
    <n v="1"/>
    <x v="1"/>
    <n v="20.147945205479452"/>
    <x v="3"/>
    <n v="1"/>
    <d v="2005-10-13T00:00:00"/>
  </r>
  <r>
    <x v="1"/>
    <n v="18984046"/>
    <x v="0"/>
    <d v="2025-12-01T00:00:00"/>
    <x v="0"/>
    <x v="5"/>
    <x v="7"/>
    <m/>
    <n v="9999"/>
    <n v="333.3"/>
    <n v="0"/>
    <n v="0"/>
    <n v="0"/>
    <x v="1"/>
    <n v="35.06849315068493"/>
    <x v="0"/>
    <n v="4"/>
    <d v="1990-11-15T00:00:00"/>
  </r>
  <r>
    <x v="1"/>
    <n v="18984048"/>
    <x v="0"/>
    <d v="2025-12-01T00:00:00"/>
    <x v="0"/>
    <x v="5"/>
    <x v="7"/>
    <d v="2026-05-05T00:00:00"/>
    <n v="155"/>
    <n v="5.166666666666667"/>
    <n v="0"/>
    <n v="0"/>
    <n v="1"/>
    <x v="0"/>
    <n v="20.564383561643837"/>
    <x v="3"/>
    <n v="1"/>
    <d v="2005-05-14T00:00:00"/>
  </r>
  <r>
    <x v="1"/>
    <n v="18984050"/>
    <x v="0"/>
    <d v="2025-12-01T00:00:00"/>
    <x v="0"/>
    <x v="5"/>
    <x v="7"/>
    <m/>
    <n v="9999"/>
    <n v="333.3"/>
    <n v="0"/>
    <n v="0"/>
    <n v="0"/>
    <x v="1"/>
    <n v="20.095890410958905"/>
    <x v="3"/>
    <n v="1"/>
    <d v="2005-11-01T00:00:00"/>
  </r>
  <r>
    <x v="1"/>
    <n v="18984051"/>
    <x v="1"/>
    <d v="2025-12-01T00:00:00"/>
    <x v="0"/>
    <x v="5"/>
    <x v="7"/>
    <m/>
    <n v="9999"/>
    <n v="333.3"/>
    <n v="0"/>
    <n v="0"/>
    <n v="0"/>
    <x v="1"/>
    <n v="18.547945205479451"/>
    <x v="3"/>
    <n v="1"/>
    <d v="2007-05-20T00:00:00"/>
  </r>
  <r>
    <x v="1"/>
    <n v="18984055"/>
    <x v="0"/>
    <d v="2025-12-01T00:00:00"/>
    <x v="0"/>
    <x v="5"/>
    <x v="7"/>
    <m/>
    <n v="9999"/>
    <n v="333.3"/>
    <n v="0"/>
    <n v="0"/>
    <n v="0"/>
    <x v="1"/>
    <n v="22.589041095890412"/>
    <x v="2"/>
    <n v="2"/>
    <d v="2003-05-06T00:00:00"/>
  </r>
  <r>
    <x v="1"/>
    <n v="18984056"/>
    <x v="0"/>
    <d v="2026-02-02T00:00:00"/>
    <x v="1"/>
    <x v="7"/>
    <x v="15"/>
    <m/>
    <n v="9999"/>
    <n v="333.3"/>
    <n v="0"/>
    <n v="0"/>
    <n v="0"/>
    <x v="1"/>
    <n v="18.435616438356163"/>
    <x v="3"/>
    <n v="1"/>
    <d v="2007-09-01T00:00:00"/>
  </r>
  <r>
    <x v="1"/>
    <n v="18984058"/>
    <x v="0"/>
    <d v="2025-12-01T00:00:00"/>
    <x v="0"/>
    <x v="5"/>
    <x v="7"/>
    <m/>
    <n v="9999"/>
    <n v="333.3"/>
    <n v="0"/>
    <n v="0"/>
    <n v="0"/>
    <x v="1"/>
    <n v="26.876712328767123"/>
    <x v="1"/>
    <n v="3"/>
    <d v="1999-01-22T00:00:00"/>
  </r>
  <r>
    <x v="1"/>
    <n v="18984061"/>
    <x v="0"/>
    <d v="2025-12-01T00:00:00"/>
    <x v="0"/>
    <x v="5"/>
    <x v="7"/>
    <m/>
    <n v="9999"/>
    <n v="333.3"/>
    <n v="0"/>
    <n v="0"/>
    <n v="0"/>
    <x v="1"/>
    <n v="19.956164383561642"/>
    <x v="3"/>
    <n v="1"/>
    <d v="2005-12-22T00:00:00"/>
  </r>
  <r>
    <x v="1"/>
    <n v="18984067"/>
    <x v="0"/>
    <d v="2025-12-01T00:00:00"/>
    <x v="0"/>
    <x v="5"/>
    <x v="7"/>
    <m/>
    <n v="9999"/>
    <n v="333.3"/>
    <n v="0"/>
    <n v="0"/>
    <n v="0"/>
    <x v="0"/>
    <n v="30.813698630136987"/>
    <x v="1"/>
    <n v="3"/>
    <d v="1995-02-15T00:00:00"/>
  </r>
  <r>
    <x v="1"/>
    <n v="18984071"/>
    <x v="1"/>
    <d v="2026-02-13T00:00:00"/>
    <x v="1"/>
    <x v="7"/>
    <x v="15"/>
    <d v="2026-04-13T00:00:00"/>
    <n v="59"/>
    <n v="1.9666666666666666"/>
    <n v="0"/>
    <n v="1"/>
    <n v="1"/>
    <x v="1"/>
    <n v="20.701369863013699"/>
    <x v="3"/>
    <n v="1"/>
    <d v="2005-06-07T00:00:00"/>
  </r>
  <r>
    <x v="1"/>
    <n v="18984073"/>
    <x v="1"/>
    <d v="2025-12-01T00:00:00"/>
    <x v="0"/>
    <x v="5"/>
    <x v="7"/>
    <m/>
    <n v="9999"/>
    <n v="333.3"/>
    <n v="0"/>
    <n v="0"/>
    <n v="0"/>
    <x v="1"/>
    <n v="19.991780821917807"/>
    <x v="3"/>
    <n v="1"/>
    <d v="2005-12-09T00:00:00"/>
  </r>
  <r>
    <x v="1"/>
    <n v="18984074"/>
    <x v="0"/>
    <d v="2025-12-01T00:00:00"/>
    <x v="0"/>
    <x v="5"/>
    <x v="7"/>
    <d v="2026-01-31T00:00:00"/>
    <n v="61"/>
    <n v="2.0333333333333332"/>
    <n v="0"/>
    <n v="1"/>
    <n v="1"/>
    <x v="1"/>
    <n v="20.726027397260275"/>
    <x v="3"/>
    <n v="1"/>
    <d v="2005-03-16T00:00:00"/>
  </r>
  <r>
    <x v="1"/>
    <n v="18984076"/>
    <x v="0"/>
    <d v="2025-12-01T00:00:00"/>
    <x v="0"/>
    <x v="5"/>
    <x v="7"/>
    <m/>
    <n v="9999"/>
    <n v="333.3"/>
    <n v="0"/>
    <n v="0"/>
    <n v="0"/>
    <x v="1"/>
    <n v="25.668493150684931"/>
    <x v="2"/>
    <n v="2"/>
    <d v="2000-04-07T00:00:00"/>
  </r>
  <r>
    <x v="1"/>
    <n v="18984079"/>
    <x v="0"/>
    <d v="2025-12-01T00:00:00"/>
    <x v="0"/>
    <x v="5"/>
    <x v="7"/>
    <m/>
    <n v="9999"/>
    <n v="333.3"/>
    <n v="0"/>
    <n v="0"/>
    <n v="0"/>
    <x v="1"/>
    <n v="21.065753424657533"/>
    <x v="2"/>
    <n v="2"/>
    <d v="2004-11-12T00:00:00"/>
  </r>
  <r>
    <x v="1"/>
    <n v="18984080"/>
    <x v="0"/>
    <d v="2025-12-01T00:00:00"/>
    <x v="0"/>
    <x v="5"/>
    <x v="7"/>
    <m/>
    <n v="9999"/>
    <n v="333.3"/>
    <n v="0"/>
    <n v="0"/>
    <n v="0"/>
    <x v="0"/>
    <n v="34.279452054794518"/>
    <x v="0"/>
    <n v="4"/>
    <d v="1991-08-30T00:00:00"/>
  </r>
  <r>
    <x v="1"/>
    <n v="18984082"/>
    <x v="1"/>
    <d v="2025-12-01T00:00:00"/>
    <x v="0"/>
    <x v="5"/>
    <x v="7"/>
    <d v="2026-02-02T00:00:00"/>
    <n v="63"/>
    <n v="2.1"/>
    <n v="0"/>
    <n v="1"/>
    <n v="1"/>
    <x v="0"/>
    <n v="22.482191780821918"/>
    <x v="2"/>
    <n v="2"/>
    <d v="2003-06-14T00:00:00"/>
  </r>
  <r>
    <x v="1"/>
    <n v="18984083"/>
    <x v="0"/>
    <d v="2025-12-01T00:00:00"/>
    <x v="0"/>
    <x v="5"/>
    <x v="7"/>
    <m/>
    <n v="9999"/>
    <n v="333.3"/>
    <n v="0"/>
    <n v="0"/>
    <n v="0"/>
    <x v="1"/>
    <n v="19.92876712328767"/>
    <x v="3"/>
    <n v="1"/>
    <d v="2006-01-01T00:00:00"/>
  </r>
  <r>
    <x v="1"/>
    <n v="18984093"/>
    <x v="1"/>
    <d v="2026-02-23T00:00:00"/>
    <x v="1"/>
    <x v="7"/>
    <x v="15"/>
    <m/>
    <n v="9999"/>
    <n v="333.3"/>
    <n v="0"/>
    <n v="0"/>
    <n v="0"/>
    <x v="1"/>
    <n v="18.378082191780823"/>
    <x v="3"/>
    <n v="1"/>
    <d v="2007-10-13T00:00:00"/>
  </r>
  <r>
    <x v="1"/>
    <n v="18984101"/>
    <x v="0"/>
    <d v="2025-12-01T00:00:00"/>
    <x v="0"/>
    <x v="5"/>
    <x v="7"/>
    <d v="2026-04-05T00:00:00"/>
    <n v="125"/>
    <n v="4.166666666666667"/>
    <n v="0"/>
    <n v="0"/>
    <n v="1"/>
    <x v="1"/>
    <n v="19.61917808219178"/>
    <x v="3"/>
    <n v="1"/>
    <d v="2006-04-24T00:00:00"/>
  </r>
  <r>
    <x v="1"/>
    <n v="18984102"/>
    <x v="0"/>
    <d v="2025-12-01T00:00:00"/>
    <x v="0"/>
    <x v="5"/>
    <x v="7"/>
    <d v="2026-02-15T00:00:00"/>
    <n v="76"/>
    <n v="2.5333333333333332"/>
    <n v="0"/>
    <n v="1"/>
    <n v="1"/>
    <x v="1"/>
    <n v="19.257534246575343"/>
    <x v="3"/>
    <n v="1"/>
    <d v="2006-09-03T00:00:00"/>
  </r>
  <r>
    <x v="1"/>
    <n v="18984104"/>
    <x v="1"/>
    <d v="2025-12-01T00:00:00"/>
    <x v="0"/>
    <x v="5"/>
    <x v="7"/>
    <d v="2026-03-15T00:00:00"/>
    <n v="104"/>
    <n v="3.4666666666666668"/>
    <n v="0"/>
    <n v="0"/>
    <n v="1"/>
    <x v="0"/>
    <n v="20.07123287671233"/>
    <x v="3"/>
    <n v="1"/>
    <d v="2005-11-10T00:00:00"/>
  </r>
  <r>
    <x v="1"/>
    <n v="18984105"/>
    <x v="0"/>
    <d v="2026-04-21T00:00:00"/>
    <x v="1"/>
    <x v="2"/>
    <x v="11"/>
    <m/>
    <n v="9999"/>
    <n v="333.3"/>
    <n v="0"/>
    <n v="0"/>
    <n v="0"/>
    <x v="0"/>
    <n v="23.158904109589042"/>
    <x v="2"/>
    <n v="2"/>
    <d v="2003-02-28T00:00:00"/>
  </r>
  <r>
    <x v="1"/>
    <n v="18984106"/>
    <x v="0"/>
    <d v="2026-02-13T00:00:00"/>
    <x v="1"/>
    <x v="7"/>
    <x v="15"/>
    <m/>
    <n v="9999"/>
    <n v="333.3"/>
    <n v="0"/>
    <n v="0"/>
    <n v="0"/>
    <x v="0"/>
    <n v="27.865753424657534"/>
    <x v="1"/>
    <n v="3"/>
    <d v="1998-04-10T00:00:00"/>
  </r>
  <r>
    <x v="1"/>
    <n v="18984108"/>
    <x v="0"/>
    <d v="2025-12-01T00:00:00"/>
    <x v="0"/>
    <x v="5"/>
    <x v="7"/>
    <m/>
    <n v="9999"/>
    <n v="333.3"/>
    <n v="0"/>
    <n v="0"/>
    <n v="0"/>
    <x v="1"/>
    <n v="21.463013698630139"/>
    <x v="2"/>
    <n v="2"/>
    <d v="2004-06-20T00:00:00"/>
  </r>
  <r>
    <x v="1"/>
    <n v="18984111"/>
    <x v="0"/>
    <d v="2025-12-01T00:00:00"/>
    <x v="0"/>
    <x v="5"/>
    <x v="7"/>
    <m/>
    <n v="9999"/>
    <n v="333.3"/>
    <n v="0"/>
    <n v="0"/>
    <n v="0"/>
    <x v="1"/>
    <n v="18.4986301369863"/>
    <x v="3"/>
    <n v="1"/>
    <d v="2007-06-07T00:00:00"/>
  </r>
  <r>
    <x v="1"/>
    <n v="18984115"/>
    <x v="1"/>
    <d v="2025-12-01T00:00:00"/>
    <x v="0"/>
    <x v="5"/>
    <x v="7"/>
    <d v="2026-04-01T00:00:00"/>
    <n v="121"/>
    <n v="4.0333333333333332"/>
    <n v="0"/>
    <n v="0"/>
    <n v="1"/>
    <x v="0"/>
    <n v="18.635616438356163"/>
    <x v="3"/>
    <n v="1"/>
    <d v="2007-04-18T00:00:00"/>
  </r>
  <r>
    <x v="1"/>
    <n v="18984117"/>
    <x v="0"/>
    <d v="2025-12-02T00:00:00"/>
    <x v="0"/>
    <x v="5"/>
    <x v="7"/>
    <m/>
    <n v="9999"/>
    <n v="333.3"/>
    <n v="0"/>
    <n v="0"/>
    <n v="0"/>
    <x v="1"/>
    <n v="25.301369863013697"/>
    <x v="2"/>
    <n v="2"/>
    <d v="2000-08-20T00:00:00"/>
  </r>
  <r>
    <x v="1"/>
    <n v="18984118"/>
    <x v="1"/>
    <d v="2025-12-01T00:00:00"/>
    <x v="0"/>
    <x v="5"/>
    <x v="7"/>
    <d v="2026-04-30T00:00:00"/>
    <n v="150"/>
    <n v="5"/>
    <n v="0"/>
    <n v="0"/>
    <n v="1"/>
    <x v="1"/>
    <n v="31.824657534246576"/>
    <x v="0"/>
    <n v="4"/>
    <d v="1994-02-11T00:00:00"/>
  </r>
  <r>
    <x v="1"/>
    <n v="18984136"/>
    <x v="1"/>
    <d v="2025-12-01T00:00:00"/>
    <x v="0"/>
    <x v="5"/>
    <x v="7"/>
    <d v="2026-05-19T00:00:00"/>
    <n v="169"/>
    <n v="5.6333333333333337"/>
    <n v="0"/>
    <n v="0"/>
    <n v="1"/>
    <x v="0"/>
    <n v="20.2"/>
    <x v="3"/>
    <n v="1"/>
    <d v="2005-09-24T00:00:00"/>
  </r>
  <r>
    <x v="1"/>
    <n v="18984204"/>
    <x v="0"/>
    <d v="2025-12-02T00:00:00"/>
    <x v="0"/>
    <x v="5"/>
    <x v="7"/>
    <m/>
    <n v="9999"/>
    <n v="333.3"/>
    <n v="0"/>
    <n v="0"/>
    <n v="0"/>
    <x v="0"/>
    <n v="19.671232876712327"/>
    <x v="3"/>
    <n v="1"/>
    <d v="2006-04-06T00:00:00"/>
  </r>
  <r>
    <x v="1"/>
    <n v="18984284"/>
    <x v="1"/>
    <d v="2025-12-01T00:00:00"/>
    <x v="0"/>
    <x v="5"/>
    <x v="7"/>
    <m/>
    <n v="9999"/>
    <n v="333.3"/>
    <n v="0"/>
    <n v="0"/>
    <n v="0"/>
    <x v="1"/>
    <n v="20.421917808219177"/>
    <x v="3"/>
    <n v="1"/>
    <d v="2005-07-05T00:00:00"/>
  </r>
  <r>
    <x v="1"/>
    <n v="18984318"/>
    <x v="0"/>
    <d v="2025-12-01T00:00:00"/>
    <x v="0"/>
    <x v="5"/>
    <x v="7"/>
    <m/>
    <n v="9999"/>
    <n v="333.3"/>
    <n v="0"/>
    <n v="0"/>
    <n v="0"/>
    <x v="1"/>
    <n v="54.643835616438359"/>
    <x v="0"/>
    <n v="4"/>
    <d v="1971-04-24T00:00:00"/>
  </r>
  <r>
    <x v="1"/>
    <n v="18984436"/>
    <x v="1"/>
    <d v="2025-12-03T00:00:00"/>
    <x v="0"/>
    <x v="5"/>
    <x v="7"/>
    <d v="2026-03-31T00:00:00"/>
    <n v="118"/>
    <n v="3.9333333333333331"/>
    <n v="0"/>
    <n v="0"/>
    <n v="1"/>
    <x v="1"/>
    <n v="19.161643835616438"/>
    <x v="3"/>
    <n v="1"/>
    <d v="2006-10-10T00:00:00"/>
  </r>
  <r>
    <x v="1"/>
    <n v="18984444"/>
    <x v="0"/>
    <d v="2025-12-03T00:00:00"/>
    <x v="0"/>
    <x v="5"/>
    <x v="7"/>
    <m/>
    <n v="9999"/>
    <n v="333.3"/>
    <n v="0"/>
    <n v="0"/>
    <n v="0"/>
    <x v="1"/>
    <n v="20.887671232876713"/>
    <x v="3"/>
    <n v="1"/>
    <d v="2005-01-18T00:00:00"/>
  </r>
  <r>
    <x v="1"/>
    <n v="18984445"/>
    <x v="1"/>
    <d v="2025-12-03T00:00:00"/>
    <x v="0"/>
    <x v="5"/>
    <x v="7"/>
    <m/>
    <n v="9999"/>
    <n v="333.3"/>
    <n v="0"/>
    <n v="0"/>
    <n v="0"/>
    <x v="1"/>
    <n v="21.082191780821919"/>
    <x v="2"/>
    <n v="2"/>
    <d v="2004-11-08T00:00:00"/>
  </r>
  <r>
    <x v="1"/>
    <n v="18984483"/>
    <x v="0"/>
    <d v="2025-12-03T00:00:00"/>
    <x v="0"/>
    <x v="5"/>
    <x v="7"/>
    <m/>
    <n v="9999"/>
    <n v="333.3"/>
    <n v="0"/>
    <n v="0"/>
    <n v="0"/>
    <x v="1"/>
    <n v="18.742465753424657"/>
    <x v="3"/>
    <n v="1"/>
    <d v="2007-03-12T00:00:00"/>
  </r>
  <r>
    <x v="1"/>
    <n v="18984484"/>
    <x v="1"/>
    <d v="2025-12-03T00:00:00"/>
    <x v="0"/>
    <x v="5"/>
    <x v="7"/>
    <m/>
    <n v="9999"/>
    <n v="333.3"/>
    <n v="0"/>
    <n v="0"/>
    <n v="0"/>
    <x v="1"/>
    <n v="18.098630136986301"/>
    <x v="3"/>
    <n v="1"/>
    <d v="2007-11-02T00:00:00"/>
  </r>
  <r>
    <x v="1"/>
    <n v="18984498"/>
    <x v="0"/>
    <d v="2025-12-03T00:00:00"/>
    <x v="0"/>
    <x v="5"/>
    <x v="7"/>
    <m/>
    <n v="9999"/>
    <n v="333.3"/>
    <n v="0"/>
    <n v="0"/>
    <n v="0"/>
    <x v="1"/>
    <n v="20.898630136986302"/>
    <x v="3"/>
    <n v="1"/>
    <d v="2005-01-14T00:00:00"/>
  </r>
  <r>
    <x v="1"/>
    <n v="18984502"/>
    <x v="0"/>
    <d v="2025-12-03T00:00:00"/>
    <x v="0"/>
    <x v="5"/>
    <x v="7"/>
    <d v="2026-04-19T00:00:00"/>
    <n v="137"/>
    <n v="4.5666666666666664"/>
    <n v="0"/>
    <n v="0"/>
    <n v="1"/>
    <x v="1"/>
    <n v="19.413698630136988"/>
    <x v="3"/>
    <n v="1"/>
    <d v="2006-07-10T00:00:00"/>
  </r>
  <r>
    <x v="1"/>
    <n v="18984562"/>
    <x v="0"/>
    <d v="2025-12-02T00:00:00"/>
    <x v="0"/>
    <x v="5"/>
    <x v="7"/>
    <d v="2026-03-15T00:00:00"/>
    <n v="103"/>
    <n v="3.4333333333333331"/>
    <n v="0"/>
    <n v="0"/>
    <n v="1"/>
    <x v="1"/>
    <n v="18.556164383561644"/>
    <x v="3"/>
    <n v="1"/>
    <d v="2007-05-18T00:00:00"/>
  </r>
  <r>
    <x v="1"/>
    <n v="18984596"/>
    <x v="0"/>
    <d v="2026-03-12T00:00:00"/>
    <x v="1"/>
    <x v="0"/>
    <x v="5"/>
    <m/>
    <n v="9999"/>
    <n v="333.3"/>
    <n v="0"/>
    <n v="0"/>
    <n v="0"/>
    <x v="0"/>
    <n v="21.904109589041095"/>
    <x v="2"/>
    <n v="2"/>
    <d v="2004-04-21T00:00:00"/>
  </r>
  <r>
    <x v="1"/>
    <n v="18984797"/>
    <x v="1"/>
    <d v="2025-12-03T00:00:00"/>
    <x v="0"/>
    <x v="5"/>
    <x v="7"/>
    <m/>
    <n v="9999"/>
    <n v="333.3"/>
    <n v="0"/>
    <n v="0"/>
    <n v="0"/>
    <x v="1"/>
    <n v="20.389041095890413"/>
    <x v="3"/>
    <n v="1"/>
    <d v="2005-07-19T00:00:00"/>
  </r>
  <r>
    <x v="1"/>
    <n v="18984813"/>
    <x v="0"/>
    <d v="2025-12-03T00:00:00"/>
    <x v="0"/>
    <x v="5"/>
    <x v="7"/>
    <m/>
    <n v="9999"/>
    <n v="333.3"/>
    <n v="0"/>
    <n v="0"/>
    <n v="0"/>
    <x v="0"/>
    <n v="28.997260273972604"/>
    <x v="1"/>
    <n v="3"/>
    <d v="1996-12-11T00:00:00"/>
  </r>
  <r>
    <x v="1"/>
    <n v="18984925"/>
    <x v="1"/>
    <d v="2025-12-04T00:00:00"/>
    <x v="0"/>
    <x v="5"/>
    <x v="7"/>
    <m/>
    <n v="9999"/>
    <n v="333.3"/>
    <n v="0"/>
    <n v="0"/>
    <n v="0"/>
    <x v="0"/>
    <n v="20.6"/>
    <x v="3"/>
    <n v="1"/>
    <d v="2005-05-04T00:00:00"/>
  </r>
  <r>
    <x v="1"/>
    <n v="18984937"/>
    <x v="0"/>
    <d v="2025-12-04T00:00:00"/>
    <x v="0"/>
    <x v="5"/>
    <x v="7"/>
    <d v="2026-03-15T00:00:00"/>
    <n v="101"/>
    <n v="3.3666666666666667"/>
    <n v="0"/>
    <n v="0"/>
    <n v="1"/>
    <x v="1"/>
    <n v="18.153424657534245"/>
    <x v="3"/>
    <n v="1"/>
    <d v="2007-10-14T00:00:00"/>
  </r>
  <r>
    <x v="1"/>
    <n v="18984942"/>
    <x v="0"/>
    <d v="2025-12-04T00:00:00"/>
    <x v="0"/>
    <x v="5"/>
    <x v="7"/>
    <d v="2026-04-30T00:00:00"/>
    <n v="147"/>
    <n v="4.9000000000000004"/>
    <n v="0"/>
    <n v="0"/>
    <n v="1"/>
    <x v="1"/>
    <n v="19.613698630136987"/>
    <x v="3"/>
    <n v="1"/>
    <d v="2006-04-29T00:00:00"/>
  </r>
  <r>
    <x v="1"/>
    <n v="18984950"/>
    <x v="1"/>
    <d v="2025-12-04T00:00:00"/>
    <x v="0"/>
    <x v="5"/>
    <x v="7"/>
    <m/>
    <n v="9999"/>
    <n v="333.3"/>
    <n v="0"/>
    <n v="0"/>
    <n v="0"/>
    <x v="1"/>
    <n v="20.534246575342465"/>
    <x v="3"/>
    <n v="1"/>
    <d v="2005-05-28T00:00:00"/>
  </r>
  <r>
    <x v="1"/>
    <n v="18984954"/>
    <x v="1"/>
    <d v="2025-12-04T00:00:00"/>
    <x v="0"/>
    <x v="5"/>
    <x v="7"/>
    <d v="2026-04-15T00:00:00"/>
    <n v="132"/>
    <n v="4.4000000000000004"/>
    <n v="0"/>
    <n v="0"/>
    <n v="1"/>
    <x v="1"/>
    <n v="18.18904109589041"/>
    <x v="3"/>
    <n v="1"/>
    <d v="2007-10-01T00:00:00"/>
  </r>
  <r>
    <x v="1"/>
    <n v="18984983"/>
    <x v="0"/>
    <d v="2025-12-04T00:00:00"/>
    <x v="0"/>
    <x v="5"/>
    <x v="7"/>
    <m/>
    <n v="9999"/>
    <n v="333.3"/>
    <n v="0"/>
    <n v="0"/>
    <n v="0"/>
    <x v="1"/>
    <n v="20.597260273972601"/>
    <x v="3"/>
    <n v="1"/>
    <d v="2005-05-05T00:00:00"/>
  </r>
  <r>
    <x v="1"/>
    <n v="18984985"/>
    <x v="0"/>
    <d v="2025-12-04T00:00:00"/>
    <x v="0"/>
    <x v="5"/>
    <x v="7"/>
    <d v="2026-04-05T00:00:00"/>
    <n v="122"/>
    <n v="4.0666666666666664"/>
    <n v="0"/>
    <n v="0"/>
    <n v="1"/>
    <x v="1"/>
    <n v="20.356164383561644"/>
    <x v="3"/>
    <n v="1"/>
    <d v="2005-08-01T00:00:00"/>
  </r>
  <r>
    <x v="1"/>
    <n v="18984989"/>
    <x v="0"/>
    <d v="2025-12-04T00:00:00"/>
    <x v="0"/>
    <x v="5"/>
    <x v="7"/>
    <d v="2026-05-17T00:00:00"/>
    <n v="164"/>
    <n v="5.4666666666666668"/>
    <n v="0"/>
    <n v="0"/>
    <n v="1"/>
    <x v="1"/>
    <n v="18.887671232876713"/>
    <x v="3"/>
    <n v="1"/>
    <d v="2007-01-19T00:00:00"/>
  </r>
  <r>
    <x v="1"/>
    <n v="18984992"/>
    <x v="0"/>
    <d v="2025-12-04T00:00:00"/>
    <x v="0"/>
    <x v="5"/>
    <x v="7"/>
    <m/>
    <n v="9999"/>
    <n v="333.3"/>
    <n v="0"/>
    <n v="0"/>
    <n v="0"/>
    <x v="1"/>
    <n v="20.353424657534248"/>
    <x v="3"/>
    <n v="1"/>
    <d v="2005-08-02T00:00:00"/>
  </r>
  <r>
    <x v="1"/>
    <n v="18985001"/>
    <x v="0"/>
    <d v="2025-12-04T00:00:00"/>
    <x v="0"/>
    <x v="5"/>
    <x v="7"/>
    <d v="2026-01-31T00:00:00"/>
    <n v="58"/>
    <n v="1.9333333333333333"/>
    <n v="0"/>
    <n v="1"/>
    <n v="1"/>
    <x v="1"/>
    <n v="46.076712328767123"/>
    <x v="0"/>
    <n v="4"/>
    <d v="1979-11-18T00:00:00"/>
  </r>
  <r>
    <x v="1"/>
    <n v="18985058"/>
    <x v="1"/>
    <d v="2025-12-04T00:00:00"/>
    <x v="0"/>
    <x v="5"/>
    <x v="7"/>
    <m/>
    <n v="9999"/>
    <n v="333.3"/>
    <n v="0"/>
    <n v="0"/>
    <n v="0"/>
    <x v="1"/>
    <n v="19"/>
    <x v="3"/>
    <n v="1"/>
    <d v="2006-12-09T00:00:00"/>
  </r>
  <r>
    <x v="1"/>
    <n v="18985062"/>
    <x v="1"/>
    <d v="2025-12-04T00:00:00"/>
    <x v="0"/>
    <x v="5"/>
    <x v="7"/>
    <d v="2026-01-28T00:00:00"/>
    <n v="55"/>
    <n v="1.8333333333333333"/>
    <n v="0"/>
    <n v="1"/>
    <n v="1"/>
    <x v="1"/>
    <n v="18.747945205479454"/>
    <x v="3"/>
    <n v="1"/>
    <d v="2007-03-11T00:00:00"/>
  </r>
  <r>
    <x v="1"/>
    <n v="18985070"/>
    <x v="1"/>
    <d v="2025-12-04T00:00:00"/>
    <x v="0"/>
    <x v="5"/>
    <x v="7"/>
    <d v="2026-03-01T00:00:00"/>
    <n v="87"/>
    <n v="2.9"/>
    <n v="0"/>
    <n v="1"/>
    <n v="1"/>
    <x v="1"/>
    <n v="25.323287671232876"/>
    <x v="2"/>
    <n v="2"/>
    <d v="2000-08-14T00:00:00"/>
  </r>
  <r>
    <x v="1"/>
    <n v="18985143"/>
    <x v="0"/>
    <d v="2025-12-04T00:00:00"/>
    <x v="0"/>
    <x v="5"/>
    <x v="7"/>
    <d v="2026-03-01T00:00:00"/>
    <n v="87"/>
    <n v="2.9"/>
    <n v="0"/>
    <n v="1"/>
    <n v="1"/>
    <x v="1"/>
    <n v="19.038356164383561"/>
    <x v="3"/>
    <n v="1"/>
    <d v="2006-11-25T00:00:00"/>
  </r>
  <r>
    <x v="1"/>
    <n v="18985173"/>
    <x v="0"/>
    <d v="2025-12-04T00:00:00"/>
    <x v="0"/>
    <x v="5"/>
    <x v="7"/>
    <d v="2025-12-15T00:00:00"/>
    <n v="11"/>
    <n v="0.36666666666666664"/>
    <n v="1"/>
    <n v="1"/>
    <n v="1"/>
    <x v="1"/>
    <n v="25.391780821917809"/>
    <x v="2"/>
    <n v="2"/>
    <d v="2000-07-20T00:00:00"/>
  </r>
  <r>
    <x v="1"/>
    <n v="18985221"/>
    <x v="1"/>
    <d v="2025-12-04T00:00:00"/>
    <x v="0"/>
    <x v="5"/>
    <x v="7"/>
    <d v="2025-12-13T00:00:00"/>
    <n v="9"/>
    <n v="0.3"/>
    <n v="1"/>
    <n v="1"/>
    <n v="1"/>
    <x v="1"/>
    <n v="25.646575342465752"/>
    <x v="2"/>
    <n v="2"/>
    <d v="2000-04-18T00:00:00"/>
  </r>
  <r>
    <x v="1"/>
    <n v="18985233"/>
    <x v="0"/>
    <d v="2025-12-04T00:00:00"/>
    <x v="0"/>
    <x v="5"/>
    <x v="7"/>
    <d v="2025-12-31T00:00:00"/>
    <n v="27"/>
    <n v="0.9"/>
    <n v="1"/>
    <n v="1"/>
    <n v="1"/>
    <x v="1"/>
    <n v="19.986301369863014"/>
    <x v="3"/>
    <n v="1"/>
    <d v="2005-12-14T00:00:00"/>
  </r>
  <r>
    <x v="1"/>
    <n v="18985235"/>
    <x v="0"/>
    <d v="2025-12-04T00:00:00"/>
    <x v="0"/>
    <x v="5"/>
    <x v="7"/>
    <d v="2026-02-03T00:00:00"/>
    <n v="61"/>
    <n v="2.0333333333333332"/>
    <n v="0"/>
    <n v="1"/>
    <n v="1"/>
    <x v="1"/>
    <n v="19.065753424657533"/>
    <x v="3"/>
    <n v="1"/>
    <d v="2006-11-15T00:00:00"/>
  </r>
  <r>
    <x v="1"/>
    <n v="18985236"/>
    <x v="0"/>
    <d v="2025-12-04T00:00:00"/>
    <x v="0"/>
    <x v="5"/>
    <x v="7"/>
    <d v="2026-02-28T00:00:00"/>
    <n v="86"/>
    <n v="2.8666666666666667"/>
    <n v="0"/>
    <n v="1"/>
    <n v="1"/>
    <x v="1"/>
    <n v="21.504109589041096"/>
    <x v="2"/>
    <n v="2"/>
    <d v="2004-06-08T00:00:00"/>
  </r>
  <r>
    <x v="1"/>
    <n v="18985256"/>
    <x v="0"/>
    <d v="2025-12-04T00:00:00"/>
    <x v="0"/>
    <x v="5"/>
    <x v="7"/>
    <d v="2026-03-31T00:00:00"/>
    <n v="117"/>
    <n v="3.9"/>
    <n v="0"/>
    <n v="0"/>
    <n v="1"/>
    <x v="1"/>
    <n v="20.101369863013698"/>
    <x v="3"/>
    <n v="1"/>
    <d v="2005-11-02T00:00:00"/>
  </r>
  <r>
    <x v="1"/>
    <n v="18985267"/>
    <x v="0"/>
    <d v="2025-12-04T00:00:00"/>
    <x v="0"/>
    <x v="5"/>
    <x v="7"/>
    <m/>
    <n v="9999"/>
    <n v="333.3"/>
    <n v="0"/>
    <n v="0"/>
    <n v="0"/>
    <x v="0"/>
    <n v="23.4"/>
    <x v="2"/>
    <n v="2"/>
    <d v="2002-07-17T00:00:00"/>
  </r>
  <r>
    <x v="1"/>
    <n v="18985268"/>
    <x v="0"/>
    <d v="2025-12-04T00:00:00"/>
    <x v="0"/>
    <x v="5"/>
    <x v="7"/>
    <d v="2026-04-12T00:00:00"/>
    <n v="129"/>
    <n v="4.3"/>
    <n v="0"/>
    <n v="0"/>
    <n v="1"/>
    <x v="1"/>
    <n v="18.315068493150687"/>
    <x v="3"/>
    <n v="1"/>
    <d v="2007-08-16T00:00:00"/>
  </r>
  <r>
    <x v="1"/>
    <n v="18985287"/>
    <x v="1"/>
    <d v="2025-12-04T00:00:00"/>
    <x v="0"/>
    <x v="5"/>
    <x v="7"/>
    <d v="2026-01-02T00:00:00"/>
    <n v="29"/>
    <n v="0.96666666666666667"/>
    <n v="1"/>
    <n v="1"/>
    <n v="1"/>
    <x v="1"/>
    <n v="20.835616438356166"/>
    <x v="3"/>
    <n v="1"/>
    <d v="2005-02-07T00:00:00"/>
  </r>
  <r>
    <x v="1"/>
    <n v="18985290"/>
    <x v="0"/>
    <d v="2025-12-04T00:00:00"/>
    <x v="0"/>
    <x v="5"/>
    <x v="7"/>
    <m/>
    <n v="9999"/>
    <n v="333.3"/>
    <n v="0"/>
    <n v="0"/>
    <n v="0"/>
    <x v="1"/>
    <n v="19.002739726027396"/>
    <x v="3"/>
    <n v="1"/>
    <d v="2006-12-08T00:00:00"/>
  </r>
  <r>
    <x v="1"/>
    <n v="18985291"/>
    <x v="1"/>
    <d v="2025-12-04T00:00:00"/>
    <x v="0"/>
    <x v="5"/>
    <x v="7"/>
    <m/>
    <n v="9999"/>
    <n v="333.3"/>
    <n v="0"/>
    <n v="0"/>
    <n v="0"/>
    <x v="1"/>
    <n v="19.315068493150687"/>
    <x v="3"/>
    <n v="1"/>
    <d v="2006-08-16T00:00:00"/>
  </r>
  <r>
    <x v="1"/>
    <n v="18985371"/>
    <x v="0"/>
    <d v="2025-12-04T00:00:00"/>
    <x v="0"/>
    <x v="5"/>
    <x v="7"/>
    <d v="2025-12-15T00:00:00"/>
    <n v="11"/>
    <n v="0.36666666666666664"/>
    <n v="1"/>
    <n v="1"/>
    <n v="1"/>
    <x v="1"/>
    <n v="26.991780821917807"/>
    <x v="1"/>
    <n v="3"/>
    <d v="1998-12-14T00:00:00"/>
  </r>
  <r>
    <x v="1"/>
    <n v="18985570"/>
    <x v="0"/>
    <d v="2025-12-05T00:00:00"/>
    <x v="0"/>
    <x v="5"/>
    <x v="7"/>
    <m/>
    <n v="9999"/>
    <n v="333.3"/>
    <n v="0"/>
    <n v="0"/>
    <n v="0"/>
    <x v="0"/>
    <n v="31.528767123287672"/>
    <x v="0"/>
    <n v="4"/>
    <d v="1994-06-03T00:00:00"/>
  </r>
  <r>
    <x v="1"/>
    <n v="18985652"/>
    <x v="0"/>
    <d v="2025-12-05T00:00:00"/>
    <x v="0"/>
    <x v="5"/>
    <x v="7"/>
    <d v="2026-02-28T00:00:00"/>
    <n v="85"/>
    <n v="2.8333333333333335"/>
    <n v="0"/>
    <n v="1"/>
    <n v="1"/>
    <x v="0"/>
    <n v="18.356164383561644"/>
    <x v="3"/>
    <n v="1"/>
    <d v="2007-08-02T00:00:00"/>
  </r>
  <r>
    <x v="1"/>
    <n v="18985653"/>
    <x v="1"/>
    <d v="2025-12-05T00:00:00"/>
    <x v="0"/>
    <x v="5"/>
    <x v="7"/>
    <m/>
    <n v="9999"/>
    <n v="333.3"/>
    <n v="0"/>
    <n v="0"/>
    <n v="0"/>
    <x v="1"/>
    <n v="24.117808219178084"/>
    <x v="2"/>
    <n v="2"/>
    <d v="2001-10-29T00:00:00"/>
  </r>
  <r>
    <x v="1"/>
    <n v="18985712"/>
    <x v="0"/>
    <d v="2025-12-05T00:00:00"/>
    <x v="0"/>
    <x v="5"/>
    <x v="7"/>
    <d v="2026-04-15T00:00:00"/>
    <n v="131"/>
    <n v="4.3666666666666663"/>
    <n v="0"/>
    <n v="0"/>
    <n v="1"/>
    <x v="1"/>
    <n v="47.534246575342465"/>
    <x v="0"/>
    <n v="4"/>
    <d v="1978-06-05T00:00:00"/>
  </r>
  <r>
    <x v="1"/>
    <n v="18985737"/>
    <x v="0"/>
    <d v="2025-12-05T00:00:00"/>
    <x v="0"/>
    <x v="5"/>
    <x v="7"/>
    <d v="2026-02-22T00:00:00"/>
    <n v="79"/>
    <n v="2.6333333333333333"/>
    <n v="0"/>
    <n v="1"/>
    <n v="1"/>
    <x v="1"/>
    <n v="20.24931506849315"/>
    <x v="3"/>
    <n v="1"/>
    <d v="2005-09-10T00:00:00"/>
  </r>
  <r>
    <x v="1"/>
    <n v="18985785"/>
    <x v="1"/>
    <d v="2025-12-05T00:00:00"/>
    <x v="0"/>
    <x v="5"/>
    <x v="7"/>
    <m/>
    <n v="9999"/>
    <n v="333.3"/>
    <n v="0"/>
    <n v="0"/>
    <n v="0"/>
    <x v="1"/>
    <n v="20.12054794520548"/>
    <x v="3"/>
    <n v="1"/>
    <d v="2005-10-27T00:00:00"/>
  </r>
  <r>
    <x v="1"/>
    <n v="18985786"/>
    <x v="1"/>
    <d v="2025-12-05T00:00:00"/>
    <x v="0"/>
    <x v="5"/>
    <x v="7"/>
    <m/>
    <n v="9999"/>
    <n v="333.3"/>
    <n v="0"/>
    <n v="0"/>
    <n v="0"/>
    <x v="1"/>
    <n v="18.068493150684933"/>
    <x v="3"/>
    <n v="1"/>
    <d v="2007-11-15T00:00:00"/>
  </r>
  <r>
    <x v="1"/>
    <n v="18985787"/>
    <x v="1"/>
    <d v="2025-12-05T00:00:00"/>
    <x v="0"/>
    <x v="5"/>
    <x v="7"/>
    <m/>
    <n v="9999"/>
    <n v="333.3"/>
    <n v="0"/>
    <n v="0"/>
    <n v="0"/>
    <x v="0"/>
    <n v="18.123287671232877"/>
    <x v="3"/>
    <n v="1"/>
    <d v="2007-10-26T00:00:00"/>
  </r>
  <r>
    <x v="1"/>
    <n v="18985811"/>
    <x v="0"/>
    <d v="2025-12-05T00:00:00"/>
    <x v="0"/>
    <x v="5"/>
    <x v="7"/>
    <d v="2026-01-13T00:00:00"/>
    <n v="39"/>
    <n v="1.3"/>
    <n v="0"/>
    <n v="1"/>
    <n v="1"/>
    <x v="1"/>
    <n v="28.624657534246577"/>
    <x v="1"/>
    <n v="3"/>
    <d v="1997-04-28T00:00:00"/>
  </r>
  <r>
    <x v="1"/>
    <n v="18985853"/>
    <x v="0"/>
    <d v="2025-12-05T00:00:00"/>
    <x v="0"/>
    <x v="5"/>
    <x v="7"/>
    <m/>
    <n v="9999"/>
    <n v="333.3"/>
    <n v="0"/>
    <n v="0"/>
    <n v="0"/>
    <x v="1"/>
    <n v="28.638356164383563"/>
    <x v="1"/>
    <n v="3"/>
    <d v="1997-04-23T00:00:00"/>
  </r>
  <r>
    <x v="1"/>
    <n v="18985862"/>
    <x v="0"/>
    <d v="2025-12-05T00:00:00"/>
    <x v="0"/>
    <x v="5"/>
    <x v="7"/>
    <d v="2026-01-31T00:00:00"/>
    <n v="57"/>
    <n v="1.9"/>
    <n v="0"/>
    <n v="1"/>
    <n v="1"/>
    <x v="1"/>
    <n v="19.186301369863013"/>
    <x v="3"/>
    <n v="1"/>
    <d v="2006-10-03T00:00:00"/>
  </r>
  <r>
    <x v="1"/>
    <n v="18985865"/>
    <x v="1"/>
    <d v="2025-12-05T00:00:00"/>
    <x v="0"/>
    <x v="5"/>
    <x v="7"/>
    <d v="2025-12-13T00:00:00"/>
    <n v="8"/>
    <n v="0.26666666666666666"/>
    <n v="1"/>
    <n v="1"/>
    <n v="1"/>
    <x v="1"/>
    <n v="21.17808219178082"/>
    <x v="2"/>
    <n v="2"/>
    <d v="2004-10-06T00:00:00"/>
  </r>
  <r>
    <x v="1"/>
    <n v="18985868"/>
    <x v="0"/>
    <d v="2025-12-05T00:00:00"/>
    <x v="0"/>
    <x v="5"/>
    <x v="7"/>
    <d v="2026-02-16T00:00:00"/>
    <n v="73"/>
    <n v="2.4333333333333331"/>
    <n v="0"/>
    <n v="1"/>
    <n v="1"/>
    <x v="0"/>
    <n v="32.709589041095889"/>
    <x v="0"/>
    <n v="4"/>
    <d v="1993-03-29T00:00:00"/>
  </r>
  <r>
    <x v="1"/>
    <n v="18985874"/>
    <x v="0"/>
    <d v="2025-12-05T00:00:00"/>
    <x v="0"/>
    <x v="5"/>
    <x v="7"/>
    <d v="2025-12-31T00:00:00"/>
    <n v="26"/>
    <n v="0.8666666666666667"/>
    <n v="1"/>
    <n v="1"/>
    <n v="1"/>
    <x v="0"/>
    <n v="27.890410958904109"/>
    <x v="1"/>
    <n v="3"/>
    <d v="1998-01-21T00:00:00"/>
  </r>
  <r>
    <x v="1"/>
    <n v="18985881"/>
    <x v="0"/>
    <d v="2025-12-05T00:00:00"/>
    <x v="0"/>
    <x v="5"/>
    <x v="7"/>
    <m/>
    <n v="9999"/>
    <n v="333.3"/>
    <n v="0"/>
    <n v="0"/>
    <n v="0"/>
    <x v="0"/>
    <n v="51.142465753424659"/>
    <x v="0"/>
    <n v="4"/>
    <d v="1974-10-27T00:00:00"/>
  </r>
  <r>
    <x v="1"/>
    <n v="18985882"/>
    <x v="0"/>
    <d v="2025-12-05T00:00:00"/>
    <x v="0"/>
    <x v="5"/>
    <x v="7"/>
    <d v="2026-02-12T00:00:00"/>
    <n v="69"/>
    <n v="2.2999999999999998"/>
    <n v="0"/>
    <n v="1"/>
    <n v="1"/>
    <x v="0"/>
    <n v="34.980821917808221"/>
    <x v="0"/>
    <n v="4"/>
    <d v="1990-12-21T00:00:00"/>
  </r>
  <r>
    <x v="1"/>
    <n v="18985883"/>
    <x v="0"/>
    <d v="2025-12-05T00:00:00"/>
    <x v="0"/>
    <x v="5"/>
    <x v="7"/>
    <m/>
    <n v="9999"/>
    <n v="333.3"/>
    <n v="0"/>
    <n v="0"/>
    <n v="0"/>
    <x v="0"/>
    <n v="21.18904109589041"/>
    <x v="2"/>
    <n v="2"/>
    <d v="2004-10-02T00:00:00"/>
  </r>
  <r>
    <x v="1"/>
    <n v="18985893"/>
    <x v="0"/>
    <d v="2025-12-05T00:00:00"/>
    <x v="0"/>
    <x v="5"/>
    <x v="7"/>
    <d v="2026-02-17T00:00:00"/>
    <n v="74"/>
    <n v="2.4666666666666668"/>
    <n v="0"/>
    <n v="1"/>
    <n v="1"/>
    <x v="0"/>
    <n v="25.378082191780823"/>
    <x v="2"/>
    <n v="2"/>
    <d v="2000-07-26T00:00:00"/>
  </r>
  <r>
    <x v="1"/>
    <n v="18985894"/>
    <x v="0"/>
    <d v="2025-12-05T00:00:00"/>
    <x v="0"/>
    <x v="5"/>
    <x v="7"/>
    <m/>
    <n v="9999"/>
    <n v="333.3"/>
    <n v="0"/>
    <n v="0"/>
    <n v="0"/>
    <x v="0"/>
    <n v="18.901369863013699"/>
    <x v="3"/>
    <n v="1"/>
    <d v="2007-01-15T00:00:00"/>
  </r>
  <r>
    <x v="1"/>
    <n v="18985895"/>
    <x v="0"/>
    <d v="2025-12-05T00:00:00"/>
    <x v="0"/>
    <x v="5"/>
    <x v="7"/>
    <d v="2026-02-17T00:00:00"/>
    <n v="74"/>
    <n v="2.4666666666666668"/>
    <n v="0"/>
    <n v="1"/>
    <n v="1"/>
    <x v="0"/>
    <n v="36.11780821917808"/>
    <x v="0"/>
    <n v="4"/>
    <d v="1989-11-01T00:00:00"/>
  </r>
  <r>
    <x v="1"/>
    <n v="18985897"/>
    <x v="0"/>
    <d v="2025-12-05T00:00:00"/>
    <x v="0"/>
    <x v="5"/>
    <x v="7"/>
    <m/>
    <n v="9999"/>
    <n v="333.3"/>
    <n v="0"/>
    <n v="0"/>
    <n v="0"/>
    <x v="0"/>
    <n v="28.167123287671235"/>
    <x v="1"/>
    <n v="3"/>
    <d v="1997-10-12T00:00:00"/>
  </r>
  <r>
    <x v="1"/>
    <n v="18985929"/>
    <x v="0"/>
    <d v="2025-12-05T00:00:00"/>
    <x v="0"/>
    <x v="5"/>
    <x v="7"/>
    <d v="2025-12-18T00:00:00"/>
    <n v="13"/>
    <n v="0.43333333333333335"/>
    <n v="1"/>
    <n v="1"/>
    <n v="1"/>
    <x v="0"/>
    <n v="44.42739726027397"/>
    <x v="0"/>
    <n v="4"/>
    <d v="1981-07-13T00:00:00"/>
  </r>
  <r>
    <x v="1"/>
    <n v="18985930"/>
    <x v="0"/>
    <d v="2025-12-05T00:00:00"/>
    <x v="0"/>
    <x v="5"/>
    <x v="7"/>
    <m/>
    <n v="9999"/>
    <n v="333.3"/>
    <n v="0"/>
    <n v="0"/>
    <n v="0"/>
    <x v="0"/>
    <n v="33.852054794520548"/>
    <x v="0"/>
    <n v="4"/>
    <d v="1992-02-06T00:00:00"/>
  </r>
  <r>
    <x v="1"/>
    <n v="18985977"/>
    <x v="0"/>
    <d v="2025-12-05T00:00:00"/>
    <x v="0"/>
    <x v="5"/>
    <x v="7"/>
    <m/>
    <n v="9999"/>
    <n v="333.3"/>
    <n v="0"/>
    <n v="0"/>
    <n v="0"/>
    <x v="1"/>
    <n v="20.61917808219178"/>
    <x v="3"/>
    <n v="1"/>
    <d v="2005-04-28T00:00:00"/>
  </r>
  <r>
    <x v="1"/>
    <n v="18986018"/>
    <x v="0"/>
    <d v="2025-12-05T00:00:00"/>
    <x v="0"/>
    <x v="5"/>
    <x v="7"/>
    <m/>
    <n v="9999"/>
    <n v="333.3"/>
    <n v="0"/>
    <n v="0"/>
    <n v="0"/>
    <x v="0"/>
    <n v="23.372602739726027"/>
    <x v="2"/>
    <n v="2"/>
    <d v="2002-07-28T00:00:00"/>
  </r>
  <r>
    <x v="1"/>
    <n v="18986019"/>
    <x v="0"/>
    <d v="2025-12-05T00:00:00"/>
    <x v="0"/>
    <x v="5"/>
    <x v="7"/>
    <d v="2026-02-16T00:00:00"/>
    <n v="73"/>
    <n v="2.4333333333333331"/>
    <n v="0"/>
    <n v="1"/>
    <n v="1"/>
    <x v="0"/>
    <n v="21.446575342465753"/>
    <x v="2"/>
    <n v="2"/>
    <d v="2004-06-30T00:00:00"/>
  </r>
  <r>
    <x v="1"/>
    <n v="18986020"/>
    <x v="0"/>
    <d v="2025-12-05T00:00:00"/>
    <x v="0"/>
    <x v="5"/>
    <x v="7"/>
    <d v="2026-01-16T00:00:00"/>
    <n v="42"/>
    <n v="1.4"/>
    <n v="0"/>
    <n v="1"/>
    <n v="1"/>
    <x v="0"/>
    <n v="23.794520547945204"/>
    <x v="2"/>
    <n v="2"/>
    <d v="2002-02-24T00:00:00"/>
  </r>
  <r>
    <x v="0"/>
    <n v="18986145"/>
    <x v="0"/>
    <d v="2025-12-05T00:00:00"/>
    <x v="0"/>
    <x v="5"/>
    <x v="7"/>
    <d v="2026-02-16T00:00:00"/>
    <n v="73"/>
    <n v="2.4333333333333331"/>
    <n v="0"/>
    <n v="1"/>
    <n v="1"/>
    <x v="0"/>
    <n v="26.391780821917809"/>
    <x v="1"/>
    <n v="3"/>
    <d v="1999-07-22T00:00:00"/>
  </r>
  <r>
    <x v="0"/>
    <n v="18986146"/>
    <x v="0"/>
    <d v="2025-12-05T00:00:00"/>
    <x v="0"/>
    <x v="5"/>
    <x v="7"/>
    <m/>
    <n v="9999"/>
    <n v="333.3"/>
    <n v="0"/>
    <n v="0"/>
    <n v="0"/>
    <x v="0"/>
    <n v="33.61917808219178"/>
    <x v="0"/>
    <n v="4"/>
    <d v="1992-05-01T00:00:00"/>
  </r>
  <r>
    <x v="1"/>
    <n v="18986191"/>
    <x v="1"/>
    <d v="2026-03-11T00:00:00"/>
    <x v="1"/>
    <x v="0"/>
    <x v="5"/>
    <m/>
    <n v="9999"/>
    <n v="333.3"/>
    <n v="0"/>
    <n v="0"/>
    <n v="0"/>
    <x v="1"/>
    <n v="22.301369863013697"/>
    <x v="2"/>
    <n v="2"/>
    <d v="2003-11-27T00:00:00"/>
  </r>
  <r>
    <x v="1"/>
    <n v="18986204"/>
    <x v="1"/>
    <d v="2025-12-05T00:00:00"/>
    <x v="0"/>
    <x v="5"/>
    <x v="7"/>
    <d v="2026-03-31T00:00:00"/>
    <n v="116"/>
    <n v="3.8666666666666667"/>
    <n v="0"/>
    <n v="0"/>
    <n v="1"/>
    <x v="1"/>
    <n v="20.693150684931506"/>
    <x v="3"/>
    <n v="1"/>
    <d v="2005-04-01T00:00:00"/>
  </r>
  <r>
    <x v="0"/>
    <n v="18986214"/>
    <x v="0"/>
    <d v="2025-12-05T00:00:00"/>
    <x v="0"/>
    <x v="5"/>
    <x v="7"/>
    <d v="2026-01-15T00:00:00"/>
    <n v="41"/>
    <n v="1.3666666666666667"/>
    <n v="0"/>
    <n v="1"/>
    <n v="1"/>
    <x v="0"/>
    <n v="21.068493150684933"/>
    <x v="2"/>
    <n v="2"/>
    <d v="2004-11-15T00:00:00"/>
  </r>
  <r>
    <x v="0"/>
    <n v="18986215"/>
    <x v="0"/>
    <d v="2025-12-05T00:00:00"/>
    <x v="0"/>
    <x v="5"/>
    <x v="7"/>
    <m/>
    <n v="9999"/>
    <n v="333.3"/>
    <n v="0"/>
    <n v="0"/>
    <n v="0"/>
    <x v="0"/>
    <n v="25.550684931506851"/>
    <x v="2"/>
    <n v="2"/>
    <d v="2000-05-24T00:00:00"/>
  </r>
  <r>
    <x v="1"/>
    <n v="18986219"/>
    <x v="0"/>
    <d v="2025-12-05T00:00:00"/>
    <x v="0"/>
    <x v="5"/>
    <x v="7"/>
    <d v="2026-01-05T00:00:00"/>
    <n v="31"/>
    <n v="1.0333333333333334"/>
    <n v="0"/>
    <n v="1"/>
    <n v="1"/>
    <x v="0"/>
    <n v="23.580821917808219"/>
    <x v="2"/>
    <n v="2"/>
    <d v="2002-05-13T00:00:00"/>
  </r>
  <r>
    <x v="1"/>
    <n v="18986223"/>
    <x v="0"/>
    <d v="2025-12-05T00:00:00"/>
    <x v="0"/>
    <x v="5"/>
    <x v="7"/>
    <d v="2026-02-20T00:00:00"/>
    <n v="77"/>
    <n v="2.5666666666666669"/>
    <n v="0"/>
    <n v="1"/>
    <n v="1"/>
    <x v="1"/>
    <n v="19.775342465753425"/>
    <x v="3"/>
    <n v="1"/>
    <d v="2006-03-02T00:00:00"/>
  </r>
  <r>
    <x v="1"/>
    <n v="18986249"/>
    <x v="1"/>
    <d v="2025-12-05T00:00:00"/>
    <x v="0"/>
    <x v="5"/>
    <x v="7"/>
    <d v="2026-04-05T00:00:00"/>
    <n v="121"/>
    <n v="4.0333333333333332"/>
    <n v="0"/>
    <n v="0"/>
    <n v="1"/>
    <x v="1"/>
    <n v="21.887671232876713"/>
    <x v="2"/>
    <n v="2"/>
    <d v="2004-01-21T00:00:00"/>
  </r>
  <r>
    <x v="1"/>
    <n v="18986250"/>
    <x v="1"/>
    <d v="2025-12-05T00:00:00"/>
    <x v="0"/>
    <x v="5"/>
    <x v="7"/>
    <d v="2026-04-01T00:00:00"/>
    <n v="117"/>
    <n v="3.9"/>
    <n v="0"/>
    <n v="0"/>
    <n v="1"/>
    <x v="1"/>
    <n v="19.449315068493149"/>
    <x v="3"/>
    <n v="1"/>
    <d v="2006-06-29T00:00:00"/>
  </r>
  <r>
    <x v="1"/>
    <n v="18986251"/>
    <x v="0"/>
    <d v="2025-12-05T00:00:00"/>
    <x v="0"/>
    <x v="5"/>
    <x v="7"/>
    <d v="2026-04-30T00:00:00"/>
    <n v="146"/>
    <n v="4.8666666666666663"/>
    <n v="0"/>
    <n v="0"/>
    <n v="1"/>
    <x v="1"/>
    <n v="21.635616438356163"/>
    <x v="2"/>
    <n v="2"/>
    <d v="2004-04-22T00:00:00"/>
  </r>
  <r>
    <x v="1"/>
    <n v="18986252"/>
    <x v="0"/>
    <d v="2025-12-05T00:00:00"/>
    <x v="0"/>
    <x v="5"/>
    <x v="7"/>
    <d v="2026-01-11T00:00:00"/>
    <n v="37"/>
    <n v="1.2333333333333334"/>
    <n v="0"/>
    <n v="1"/>
    <n v="1"/>
    <x v="1"/>
    <n v="19.747945205479454"/>
    <x v="3"/>
    <n v="1"/>
    <d v="2006-03-12T00:00:00"/>
  </r>
  <r>
    <x v="1"/>
    <n v="18986253"/>
    <x v="1"/>
    <d v="2025-12-05T00:00:00"/>
    <x v="0"/>
    <x v="5"/>
    <x v="7"/>
    <m/>
    <n v="9999"/>
    <n v="333.3"/>
    <n v="0"/>
    <n v="0"/>
    <n v="0"/>
    <x v="1"/>
    <n v="21.997260273972604"/>
    <x v="2"/>
    <n v="2"/>
    <d v="2003-12-12T00:00:00"/>
  </r>
  <r>
    <x v="1"/>
    <n v="18986318"/>
    <x v="1"/>
    <d v="2025-12-05T00:00:00"/>
    <x v="0"/>
    <x v="5"/>
    <x v="7"/>
    <d v="2026-01-12T00:00:00"/>
    <n v="38"/>
    <n v="1.2666666666666666"/>
    <n v="0"/>
    <n v="1"/>
    <n v="1"/>
    <x v="0"/>
    <n v="22.109589041095891"/>
    <x v="2"/>
    <n v="2"/>
    <d v="2003-11-01T00:00:00"/>
  </r>
  <r>
    <x v="1"/>
    <n v="18986319"/>
    <x v="1"/>
    <d v="2025-12-05T00:00:00"/>
    <x v="0"/>
    <x v="5"/>
    <x v="7"/>
    <m/>
    <n v="9999"/>
    <n v="333.3"/>
    <n v="0"/>
    <n v="0"/>
    <n v="0"/>
    <x v="1"/>
    <n v="22.136986301369863"/>
    <x v="2"/>
    <n v="2"/>
    <d v="2003-10-22T00:00:00"/>
  </r>
  <r>
    <x v="1"/>
    <n v="18986326"/>
    <x v="0"/>
    <d v="2025-12-05T00:00:00"/>
    <x v="0"/>
    <x v="5"/>
    <x v="7"/>
    <m/>
    <n v="9999"/>
    <n v="333.3"/>
    <n v="0"/>
    <n v="0"/>
    <n v="0"/>
    <x v="0"/>
    <n v="22.005479452054793"/>
    <x v="2"/>
    <n v="2"/>
    <d v="2003-12-09T00:00:00"/>
  </r>
  <r>
    <x v="1"/>
    <n v="18986360"/>
    <x v="0"/>
    <d v="2025-12-06T00:00:00"/>
    <x v="0"/>
    <x v="5"/>
    <x v="7"/>
    <d v="2026-04-01T00:00:00"/>
    <n v="116"/>
    <n v="3.8666666666666667"/>
    <n v="0"/>
    <n v="0"/>
    <n v="1"/>
    <x v="1"/>
    <n v="38.19178082191781"/>
    <x v="0"/>
    <n v="4"/>
    <d v="1987-10-07T00:00:00"/>
  </r>
  <r>
    <x v="1"/>
    <n v="18986361"/>
    <x v="0"/>
    <d v="2025-12-06T00:00:00"/>
    <x v="0"/>
    <x v="5"/>
    <x v="7"/>
    <d v="2025-12-16T00:00:00"/>
    <n v="10"/>
    <n v="0.33333333333333331"/>
    <n v="1"/>
    <n v="1"/>
    <n v="1"/>
    <x v="1"/>
    <n v="21.021917808219179"/>
    <x v="2"/>
    <n v="2"/>
    <d v="2004-12-03T00:00:00"/>
  </r>
  <r>
    <x v="1"/>
    <n v="18986362"/>
    <x v="0"/>
    <d v="2025-12-06T00:00:00"/>
    <x v="0"/>
    <x v="5"/>
    <x v="7"/>
    <m/>
    <n v="9999"/>
    <n v="333.3"/>
    <n v="0"/>
    <n v="0"/>
    <n v="0"/>
    <x v="1"/>
    <n v="19.156164383561645"/>
    <x v="3"/>
    <n v="1"/>
    <d v="2006-10-15T00:00:00"/>
  </r>
  <r>
    <x v="1"/>
    <n v="18986363"/>
    <x v="1"/>
    <d v="2025-12-06T00:00:00"/>
    <x v="0"/>
    <x v="5"/>
    <x v="7"/>
    <d v="2026-01-21T00:00:00"/>
    <n v="46"/>
    <n v="1.5333333333333334"/>
    <n v="0"/>
    <n v="1"/>
    <n v="1"/>
    <x v="1"/>
    <n v="18.786301369863015"/>
    <x v="3"/>
    <n v="1"/>
    <d v="2007-02-27T00:00:00"/>
  </r>
  <r>
    <x v="1"/>
    <n v="18986364"/>
    <x v="1"/>
    <d v="2025-12-06T00:00:00"/>
    <x v="0"/>
    <x v="5"/>
    <x v="7"/>
    <d v="2026-03-04T00:00:00"/>
    <n v="88"/>
    <n v="2.9333333333333331"/>
    <n v="0"/>
    <n v="1"/>
    <n v="1"/>
    <x v="1"/>
    <n v="20.147945205479452"/>
    <x v="3"/>
    <n v="1"/>
    <d v="2005-10-18T00:00:00"/>
  </r>
  <r>
    <x v="1"/>
    <n v="18986378"/>
    <x v="0"/>
    <d v="2025-12-06T00:00:00"/>
    <x v="0"/>
    <x v="5"/>
    <x v="7"/>
    <m/>
    <n v="9999"/>
    <n v="333.3"/>
    <n v="0"/>
    <n v="0"/>
    <n v="0"/>
    <x v="1"/>
    <n v="20.476712328767125"/>
    <x v="3"/>
    <n v="1"/>
    <d v="2005-06-20T00:00:00"/>
  </r>
  <r>
    <x v="1"/>
    <n v="18986385"/>
    <x v="0"/>
    <d v="2025-12-06T00:00:00"/>
    <x v="0"/>
    <x v="5"/>
    <x v="7"/>
    <d v="2026-04-15T00:00:00"/>
    <n v="130"/>
    <n v="4.333333333333333"/>
    <n v="0"/>
    <n v="0"/>
    <n v="1"/>
    <x v="1"/>
    <n v="18.775342465753425"/>
    <x v="3"/>
    <n v="1"/>
    <d v="2007-03-03T00:00:00"/>
  </r>
  <r>
    <x v="1"/>
    <n v="18986387"/>
    <x v="0"/>
    <d v="2025-12-06T00:00:00"/>
    <x v="0"/>
    <x v="5"/>
    <x v="7"/>
    <m/>
    <n v="9999"/>
    <n v="333.3"/>
    <n v="0"/>
    <n v="0"/>
    <n v="0"/>
    <x v="1"/>
    <n v="20.027397260273972"/>
    <x v="3"/>
    <n v="1"/>
    <d v="2005-12-01T00:00:00"/>
  </r>
  <r>
    <x v="1"/>
    <n v="18986394"/>
    <x v="1"/>
    <d v="2025-12-06T00:00:00"/>
    <x v="0"/>
    <x v="5"/>
    <x v="7"/>
    <d v="2026-01-31T00:00:00"/>
    <n v="56"/>
    <n v="1.8666666666666667"/>
    <n v="0"/>
    <n v="1"/>
    <n v="1"/>
    <x v="1"/>
    <n v="19.252054794520546"/>
    <x v="3"/>
    <n v="1"/>
    <d v="2006-09-10T00:00:00"/>
  </r>
  <r>
    <x v="1"/>
    <n v="18986400"/>
    <x v="0"/>
    <d v="2025-12-06T00:00:00"/>
    <x v="0"/>
    <x v="5"/>
    <x v="7"/>
    <m/>
    <n v="9999"/>
    <n v="333.3"/>
    <n v="0"/>
    <n v="0"/>
    <n v="0"/>
    <x v="1"/>
    <n v="19.312328767123287"/>
    <x v="3"/>
    <n v="1"/>
    <d v="2006-08-19T00:00:00"/>
  </r>
  <r>
    <x v="1"/>
    <n v="18986417"/>
    <x v="0"/>
    <d v="2025-12-06T00:00:00"/>
    <x v="0"/>
    <x v="5"/>
    <x v="7"/>
    <d v="2026-02-28T00:00:00"/>
    <n v="84"/>
    <n v="2.8"/>
    <n v="0"/>
    <n v="1"/>
    <n v="1"/>
    <x v="1"/>
    <n v="20.539726027397261"/>
    <x v="3"/>
    <n v="1"/>
    <d v="2005-05-28T00:00:00"/>
  </r>
  <r>
    <x v="1"/>
    <n v="18986432"/>
    <x v="1"/>
    <d v="2025-12-06T00:00:00"/>
    <x v="0"/>
    <x v="5"/>
    <x v="7"/>
    <d v="2026-01-31T00:00:00"/>
    <n v="56"/>
    <n v="1.8666666666666667"/>
    <n v="0"/>
    <n v="1"/>
    <n v="1"/>
    <x v="1"/>
    <n v="20.517808219178082"/>
    <x v="3"/>
    <n v="1"/>
    <d v="2005-06-05T00:00:00"/>
  </r>
  <r>
    <x v="1"/>
    <n v="18986433"/>
    <x v="0"/>
    <d v="2025-12-06T00:00:00"/>
    <x v="0"/>
    <x v="5"/>
    <x v="7"/>
    <d v="2026-04-30T00:00:00"/>
    <n v="145"/>
    <n v="4.833333333333333"/>
    <n v="0"/>
    <n v="0"/>
    <n v="1"/>
    <x v="0"/>
    <n v="21.758904109589039"/>
    <x v="2"/>
    <n v="2"/>
    <d v="2004-03-09T00:00:00"/>
  </r>
  <r>
    <x v="1"/>
    <n v="18986446"/>
    <x v="1"/>
    <d v="2025-12-06T00:00:00"/>
    <x v="0"/>
    <x v="5"/>
    <x v="7"/>
    <m/>
    <n v="9999"/>
    <n v="333.3"/>
    <n v="0"/>
    <n v="0"/>
    <n v="0"/>
    <x v="0"/>
    <n v="19.991780821917807"/>
    <x v="3"/>
    <n v="1"/>
    <d v="2005-12-14T00:00:00"/>
  </r>
  <r>
    <x v="1"/>
    <n v="18986447"/>
    <x v="0"/>
    <d v="2025-12-06T00:00:00"/>
    <x v="0"/>
    <x v="5"/>
    <x v="7"/>
    <d v="2026-03-01T00:00:00"/>
    <n v="85"/>
    <n v="2.8333333333333335"/>
    <n v="0"/>
    <n v="1"/>
    <n v="1"/>
    <x v="0"/>
    <n v="18.589041095890412"/>
    <x v="3"/>
    <n v="1"/>
    <d v="2007-05-10T00:00:00"/>
  </r>
  <r>
    <x v="1"/>
    <n v="18986448"/>
    <x v="0"/>
    <d v="2025-12-06T00:00:00"/>
    <x v="0"/>
    <x v="5"/>
    <x v="7"/>
    <m/>
    <n v="9999"/>
    <n v="333.3"/>
    <n v="0"/>
    <n v="0"/>
    <n v="0"/>
    <x v="0"/>
    <n v="22.641095890410959"/>
    <x v="2"/>
    <n v="2"/>
    <d v="2003-04-22T00:00:00"/>
  </r>
  <r>
    <x v="1"/>
    <n v="18986768"/>
    <x v="0"/>
    <d v="2025-12-06T00:00:00"/>
    <x v="0"/>
    <x v="5"/>
    <x v="7"/>
    <m/>
    <n v="9999"/>
    <n v="333.3"/>
    <n v="0"/>
    <n v="0"/>
    <n v="0"/>
    <x v="0"/>
    <n v="30.126027397260273"/>
    <x v="1"/>
    <n v="3"/>
    <d v="1995-10-29T00:00:00"/>
  </r>
  <r>
    <x v="1"/>
    <n v="18986769"/>
    <x v="0"/>
    <d v="2025-12-06T00:00:00"/>
    <x v="0"/>
    <x v="5"/>
    <x v="7"/>
    <m/>
    <n v="9999"/>
    <n v="333.3"/>
    <n v="0"/>
    <n v="0"/>
    <n v="0"/>
    <x v="0"/>
    <n v="19.43013698630137"/>
    <x v="3"/>
    <n v="1"/>
    <d v="2006-07-07T00:00:00"/>
  </r>
  <r>
    <x v="1"/>
    <n v="18986771"/>
    <x v="0"/>
    <d v="2025-12-06T00:00:00"/>
    <x v="0"/>
    <x v="5"/>
    <x v="7"/>
    <m/>
    <n v="9999"/>
    <n v="333.3"/>
    <n v="0"/>
    <n v="0"/>
    <n v="0"/>
    <x v="0"/>
    <n v="19.734246575342464"/>
    <x v="3"/>
    <n v="1"/>
    <d v="2006-03-18T00:00:00"/>
  </r>
  <r>
    <x v="1"/>
    <n v="18986772"/>
    <x v="0"/>
    <d v="2025-12-06T00:00:00"/>
    <x v="0"/>
    <x v="5"/>
    <x v="7"/>
    <m/>
    <n v="9999"/>
    <n v="333.3"/>
    <n v="0"/>
    <n v="0"/>
    <n v="0"/>
    <x v="0"/>
    <n v="20.082191780821919"/>
    <x v="3"/>
    <n v="1"/>
    <d v="2005-11-11T00:00:00"/>
  </r>
  <r>
    <x v="1"/>
    <n v="18986786"/>
    <x v="1"/>
    <d v="2025-12-10T00:00:00"/>
    <x v="0"/>
    <x v="5"/>
    <x v="7"/>
    <d v="2026-04-01T00:00:00"/>
    <n v="112"/>
    <n v="3.7333333333333334"/>
    <n v="0"/>
    <n v="0"/>
    <n v="1"/>
    <x v="1"/>
    <n v="18.238356164383561"/>
    <x v="3"/>
    <n v="1"/>
    <d v="2007-09-19T00:00:00"/>
  </r>
  <r>
    <x v="1"/>
    <n v="18986790"/>
    <x v="0"/>
    <d v="2025-12-10T00:00:00"/>
    <x v="0"/>
    <x v="5"/>
    <x v="7"/>
    <d v="2026-03-31T00:00:00"/>
    <n v="111"/>
    <n v="3.7"/>
    <n v="0"/>
    <n v="0"/>
    <n v="1"/>
    <x v="1"/>
    <n v="24.063013698630137"/>
    <x v="2"/>
    <n v="2"/>
    <d v="2001-11-23T00:00:00"/>
  </r>
  <r>
    <x v="1"/>
    <n v="18986801"/>
    <x v="1"/>
    <d v="2025-12-10T00:00:00"/>
    <x v="0"/>
    <x v="5"/>
    <x v="7"/>
    <d v="2025-12-31T00:00:00"/>
    <n v="21"/>
    <n v="0.7"/>
    <n v="1"/>
    <n v="1"/>
    <n v="1"/>
    <x v="1"/>
    <n v="21.186301369863013"/>
    <x v="2"/>
    <n v="2"/>
    <d v="2004-10-08T00:00:00"/>
  </r>
  <r>
    <x v="1"/>
    <n v="18986808"/>
    <x v="1"/>
    <d v="2025-12-10T00:00:00"/>
    <x v="0"/>
    <x v="5"/>
    <x v="7"/>
    <d v="2026-01-15T00:00:00"/>
    <n v="36"/>
    <n v="1.2"/>
    <n v="0"/>
    <n v="1"/>
    <n v="1"/>
    <x v="1"/>
    <n v="27.375342465753423"/>
    <x v="1"/>
    <n v="3"/>
    <d v="1998-08-02T00:00:00"/>
  </r>
  <r>
    <x v="1"/>
    <n v="18986809"/>
    <x v="1"/>
    <d v="2025-12-10T00:00:00"/>
    <x v="0"/>
    <x v="5"/>
    <x v="7"/>
    <m/>
    <n v="9999"/>
    <n v="333.3"/>
    <n v="0"/>
    <n v="0"/>
    <n v="0"/>
    <x v="1"/>
    <n v="20.786301369863015"/>
    <x v="3"/>
    <n v="1"/>
    <d v="2005-03-03T00:00:00"/>
  </r>
  <r>
    <x v="1"/>
    <n v="18986812"/>
    <x v="1"/>
    <d v="2025-12-10T00:00:00"/>
    <x v="0"/>
    <x v="5"/>
    <x v="7"/>
    <d v="2026-02-15T00:00:00"/>
    <n v="67"/>
    <n v="2.2333333333333334"/>
    <n v="0"/>
    <n v="1"/>
    <n v="1"/>
    <x v="1"/>
    <n v="20.265753424657536"/>
    <x v="3"/>
    <n v="1"/>
    <d v="2005-09-09T00:00:00"/>
  </r>
  <r>
    <x v="1"/>
    <n v="18986818"/>
    <x v="0"/>
    <d v="2025-12-10T00:00:00"/>
    <x v="0"/>
    <x v="5"/>
    <x v="7"/>
    <d v="2025-12-12T00:00:00"/>
    <n v="2"/>
    <n v="6.6666666666666666E-2"/>
    <n v="1"/>
    <n v="1"/>
    <n v="1"/>
    <x v="1"/>
    <n v="21.142465753424659"/>
    <x v="2"/>
    <n v="2"/>
    <d v="2004-10-24T00:00:00"/>
  </r>
  <r>
    <x v="1"/>
    <n v="18986819"/>
    <x v="0"/>
    <d v="2025-12-10T00:00:00"/>
    <x v="0"/>
    <x v="5"/>
    <x v="7"/>
    <m/>
    <n v="9999"/>
    <n v="333.3"/>
    <n v="0"/>
    <n v="0"/>
    <n v="0"/>
    <x v="1"/>
    <n v="18.986301369863014"/>
    <x v="3"/>
    <n v="1"/>
    <d v="2006-12-20T00:00:00"/>
  </r>
  <r>
    <x v="1"/>
    <n v="18986825"/>
    <x v="1"/>
    <d v="2025-12-10T00:00:00"/>
    <x v="0"/>
    <x v="5"/>
    <x v="7"/>
    <d v="2026-01-14T00:00:00"/>
    <n v="35"/>
    <n v="1.1666666666666667"/>
    <n v="0"/>
    <n v="1"/>
    <n v="1"/>
    <x v="1"/>
    <n v="23.347945205479451"/>
    <x v="2"/>
    <n v="2"/>
    <d v="2002-08-11T00:00:00"/>
  </r>
  <r>
    <x v="1"/>
    <n v="18986828"/>
    <x v="0"/>
    <d v="2025-12-10T00:00:00"/>
    <x v="0"/>
    <x v="5"/>
    <x v="7"/>
    <m/>
    <n v="9999"/>
    <n v="333.3"/>
    <n v="0"/>
    <n v="0"/>
    <n v="0"/>
    <x v="1"/>
    <n v="19.887671232876713"/>
    <x v="3"/>
    <n v="1"/>
    <d v="2006-01-25T00:00:00"/>
  </r>
  <r>
    <x v="1"/>
    <n v="18986830"/>
    <x v="0"/>
    <d v="2025-12-10T00:00:00"/>
    <x v="0"/>
    <x v="5"/>
    <x v="7"/>
    <d v="2026-04-16T00:00:00"/>
    <n v="127"/>
    <n v="4.2333333333333334"/>
    <n v="0"/>
    <n v="0"/>
    <n v="1"/>
    <x v="1"/>
    <n v="27.356164383561644"/>
    <x v="1"/>
    <n v="3"/>
    <d v="1998-08-09T00:00:00"/>
  </r>
  <r>
    <x v="1"/>
    <n v="18986831"/>
    <x v="0"/>
    <d v="2025-12-10T00:00:00"/>
    <x v="0"/>
    <x v="5"/>
    <x v="7"/>
    <d v="2026-03-31T00:00:00"/>
    <n v="111"/>
    <n v="3.7"/>
    <n v="0"/>
    <n v="0"/>
    <n v="1"/>
    <x v="1"/>
    <n v="19.657534246575342"/>
    <x v="3"/>
    <n v="1"/>
    <d v="2006-04-19T00:00:00"/>
  </r>
  <r>
    <x v="1"/>
    <n v="18986834"/>
    <x v="0"/>
    <d v="2025-12-10T00:00:00"/>
    <x v="0"/>
    <x v="5"/>
    <x v="7"/>
    <m/>
    <n v="9999"/>
    <n v="333.3"/>
    <n v="0"/>
    <n v="0"/>
    <n v="0"/>
    <x v="1"/>
    <n v="25.021917808219179"/>
    <x v="2"/>
    <n v="2"/>
    <d v="2000-12-08T00:00:00"/>
  </r>
  <r>
    <x v="1"/>
    <n v="18986836"/>
    <x v="0"/>
    <d v="2025-12-10T00:00:00"/>
    <x v="0"/>
    <x v="5"/>
    <x v="7"/>
    <d v="2025-12-31T00:00:00"/>
    <n v="21"/>
    <n v="0.7"/>
    <n v="1"/>
    <n v="1"/>
    <n v="1"/>
    <x v="1"/>
    <n v="22.142465753424659"/>
    <x v="2"/>
    <n v="2"/>
    <d v="2003-10-25T00:00:00"/>
  </r>
  <r>
    <x v="1"/>
    <n v="18986840"/>
    <x v="0"/>
    <d v="2025-12-10T00:00:00"/>
    <x v="0"/>
    <x v="5"/>
    <x v="7"/>
    <m/>
    <n v="9999"/>
    <n v="333.3"/>
    <n v="0"/>
    <n v="0"/>
    <n v="0"/>
    <x v="1"/>
    <n v="19.827397260273973"/>
    <x v="3"/>
    <n v="1"/>
    <d v="2006-02-16T00:00:00"/>
  </r>
  <r>
    <x v="1"/>
    <n v="18986841"/>
    <x v="0"/>
    <d v="2025-12-10T00:00:00"/>
    <x v="0"/>
    <x v="5"/>
    <x v="7"/>
    <d v="2026-02-28T00:00:00"/>
    <n v="80"/>
    <n v="2.6666666666666665"/>
    <n v="0"/>
    <n v="1"/>
    <n v="1"/>
    <x v="1"/>
    <n v="19.863013698630137"/>
    <x v="3"/>
    <n v="1"/>
    <d v="2006-02-03T00:00:00"/>
  </r>
  <r>
    <x v="1"/>
    <n v="18986842"/>
    <x v="1"/>
    <d v="2025-12-10T00:00:00"/>
    <x v="0"/>
    <x v="5"/>
    <x v="7"/>
    <m/>
    <n v="9999"/>
    <n v="333.3"/>
    <n v="0"/>
    <n v="0"/>
    <n v="0"/>
    <x v="1"/>
    <n v="21.87123287671233"/>
    <x v="2"/>
    <n v="2"/>
    <d v="2004-02-01T00:00:00"/>
  </r>
  <r>
    <x v="1"/>
    <n v="18986843"/>
    <x v="0"/>
    <d v="2025-12-10T00:00:00"/>
    <x v="0"/>
    <x v="5"/>
    <x v="7"/>
    <d v="2026-01-20T00:00:00"/>
    <n v="41"/>
    <n v="1.3666666666666667"/>
    <n v="0"/>
    <n v="1"/>
    <n v="1"/>
    <x v="1"/>
    <n v="18.873972602739727"/>
    <x v="3"/>
    <n v="1"/>
    <d v="2007-01-30T00:00:00"/>
  </r>
  <r>
    <x v="1"/>
    <n v="18986846"/>
    <x v="0"/>
    <d v="2025-12-10T00:00:00"/>
    <x v="0"/>
    <x v="5"/>
    <x v="7"/>
    <d v="2026-03-02T00:00:00"/>
    <n v="82"/>
    <n v="2.7333333333333334"/>
    <n v="0"/>
    <n v="1"/>
    <n v="1"/>
    <x v="1"/>
    <n v="18.07123287671233"/>
    <x v="3"/>
    <n v="1"/>
    <d v="2007-11-19T00:00:00"/>
  </r>
  <r>
    <x v="1"/>
    <n v="18986848"/>
    <x v="0"/>
    <d v="2025-12-10T00:00:00"/>
    <x v="0"/>
    <x v="5"/>
    <x v="7"/>
    <d v="2026-04-15T00:00:00"/>
    <n v="126"/>
    <n v="4.2"/>
    <n v="0"/>
    <n v="0"/>
    <n v="1"/>
    <x v="1"/>
    <n v="21.224657534246575"/>
    <x v="2"/>
    <n v="2"/>
    <d v="2004-09-24T00:00:00"/>
  </r>
  <r>
    <x v="1"/>
    <n v="18986850"/>
    <x v="1"/>
    <d v="2026-01-16T00:00:00"/>
    <x v="1"/>
    <x v="6"/>
    <x v="8"/>
    <m/>
    <n v="9999"/>
    <n v="333.3"/>
    <n v="0"/>
    <n v="0"/>
    <n v="0"/>
    <x v="1"/>
    <n v="24.016438356164382"/>
    <x v="2"/>
    <n v="2"/>
    <d v="2002-01-16T00:00:00"/>
  </r>
  <r>
    <x v="1"/>
    <n v="18986943"/>
    <x v="0"/>
    <d v="2025-12-11T00:00:00"/>
    <x v="0"/>
    <x v="5"/>
    <x v="7"/>
    <d v="2026-04-17T00:00:00"/>
    <n v="127"/>
    <n v="4.2333333333333334"/>
    <n v="0"/>
    <n v="0"/>
    <n v="1"/>
    <x v="0"/>
    <n v="19.539726027397261"/>
    <x v="3"/>
    <n v="1"/>
    <d v="2006-06-02T00:00:00"/>
  </r>
  <r>
    <x v="1"/>
    <n v="18986971"/>
    <x v="1"/>
    <d v="2025-12-10T00:00:00"/>
    <x v="0"/>
    <x v="5"/>
    <x v="7"/>
    <d v="2026-03-01T00:00:00"/>
    <n v="81"/>
    <n v="2.7"/>
    <n v="0"/>
    <n v="1"/>
    <n v="1"/>
    <x v="0"/>
    <n v="18.843835616438355"/>
    <x v="3"/>
    <n v="1"/>
    <d v="2007-02-10T00:00:00"/>
  </r>
  <r>
    <x v="1"/>
    <n v="18986972"/>
    <x v="0"/>
    <d v="2025-12-10T00:00:00"/>
    <x v="0"/>
    <x v="5"/>
    <x v="7"/>
    <m/>
    <n v="9999"/>
    <n v="333.3"/>
    <n v="0"/>
    <n v="0"/>
    <n v="0"/>
    <x v="1"/>
    <n v="18.347945205479451"/>
    <x v="3"/>
    <n v="1"/>
    <d v="2007-08-10T00:00:00"/>
  </r>
  <r>
    <x v="1"/>
    <n v="18986973"/>
    <x v="1"/>
    <d v="2025-12-10T00:00:00"/>
    <x v="0"/>
    <x v="5"/>
    <x v="7"/>
    <m/>
    <n v="9999"/>
    <n v="333.3"/>
    <n v="0"/>
    <n v="0"/>
    <n v="0"/>
    <x v="1"/>
    <n v="24.350684931506848"/>
    <x v="2"/>
    <n v="2"/>
    <d v="2001-08-10T00:00:00"/>
  </r>
  <r>
    <x v="1"/>
    <n v="18987100"/>
    <x v="0"/>
    <d v="2025-12-12T00:00:00"/>
    <x v="0"/>
    <x v="5"/>
    <x v="7"/>
    <d v="2026-03-16T00:00:00"/>
    <n v="94"/>
    <n v="3.1333333333333333"/>
    <n v="0"/>
    <n v="0"/>
    <n v="1"/>
    <x v="0"/>
    <n v="22.323287671232876"/>
    <x v="2"/>
    <n v="2"/>
    <d v="2003-08-22T00:00:00"/>
  </r>
  <r>
    <x v="1"/>
    <n v="18987102"/>
    <x v="0"/>
    <d v="2025-12-12T00:00:00"/>
    <x v="0"/>
    <x v="5"/>
    <x v="7"/>
    <d v="2026-03-31T00:00:00"/>
    <n v="109"/>
    <n v="3.6333333333333333"/>
    <n v="0"/>
    <n v="0"/>
    <n v="1"/>
    <x v="0"/>
    <n v="22.797260273972604"/>
    <x v="2"/>
    <n v="2"/>
    <d v="2003-03-02T00:00:00"/>
  </r>
  <r>
    <x v="1"/>
    <n v="18987104"/>
    <x v="0"/>
    <d v="2025-12-12T00:00:00"/>
    <x v="0"/>
    <x v="5"/>
    <x v="7"/>
    <d v="2026-02-28T00:00:00"/>
    <n v="78"/>
    <n v="2.6"/>
    <n v="0"/>
    <n v="1"/>
    <n v="1"/>
    <x v="0"/>
    <n v="23.841095890410958"/>
    <x v="2"/>
    <n v="2"/>
    <d v="2002-02-14T00:00:00"/>
  </r>
  <r>
    <x v="1"/>
    <n v="18987263"/>
    <x v="0"/>
    <d v="2025-12-12T00:00:00"/>
    <x v="0"/>
    <x v="5"/>
    <x v="7"/>
    <m/>
    <n v="9999"/>
    <n v="333.3"/>
    <n v="0"/>
    <n v="0"/>
    <n v="0"/>
    <x v="0"/>
    <n v="18.865753424657534"/>
    <x v="3"/>
    <n v="1"/>
    <d v="2007-02-04T00:00:00"/>
  </r>
  <r>
    <x v="1"/>
    <n v="18987274"/>
    <x v="0"/>
    <d v="2025-12-12T00:00:00"/>
    <x v="0"/>
    <x v="5"/>
    <x v="7"/>
    <m/>
    <n v="9999"/>
    <n v="333.3"/>
    <n v="0"/>
    <n v="0"/>
    <n v="0"/>
    <x v="0"/>
    <n v="18.876712328767123"/>
    <x v="3"/>
    <n v="1"/>
    <d v="2007-01-31T00:00:00"/>
  </r>
  <r>
    <x v="1"/>
    <n v="18987323"/>
    <x v="0"/>
    <d v="2025-12-11T00:00:00"/>
    <x v="0"/>
    <x v="5"/>
    <x v="7"/>
    <m/>
    <n v="9999"/>
    <n v="333.3"/>
    <n v="0"/>
    <n v="0"/>
    <n v="0"/>
    <x v="0"/>
    <n v="26.12054794520548"/>
    <x v="1"/>
    <n v="3"/>
    <d v="1999-11-04T00:00:00"/>
  </r>
  <r>
    <x v="1"/>
    <n v="18987324"/>
    <x v="1"/>
    <d v="2025-12-11T00:00:00"/>
    <x v="0"/>
    <x v="5"/>
    <x v="7"/>
    <d v="2025-12-12T00:00:00"/>
    <n v="1"/>
    <n v="3.3333333333333333E-2"/>
    <n v="1"/>
    <n v="1"/>
    <n v="1"/>
    <x v="1"/>
    <n v="18.219178082191782"/>
    <x v="3"/>
    <n v="1"/>
    <d v="2007-09-27T00:00:00"/>
  </r>
  <r>
    <x v="1"/>
    <n v="18987325"/>
    <x v="0"/>
    <d v="2025-12-11T00:00:00"/>
    <x v="0"/>
    <x v="5"/>
    <x v="7"/>
    <d v="2026-03-08T00:00:00"/>
    <n v="87"/>
    <n v="2.9"/>
    <n v="0"/>
    <n v="1"/>
    <n v="1"/>
    <x v="1"/>
    <n v="23.893150684931506"/>
    <x v="2"/>
    <n v="2"/>
    <d v="2002-01-25T00:00:00"/>
  </r>
  <r>
    <x v="1"/>
    <n v="18987328"/>
    <x v="0"/>
    <d v="2025-12-11T00:00:00"/>
    <x v="0"/>
    <x v="5"/>
    <x v="7"/>
    <m/>
    <n v="9999"/>
    <n v="333.3"/>
    <n v="0"/>
    <n v="0"/>
    <n v="0"/>
    <x v="0"/>
    <n v="24.372602739726027"/>
    <x v="2"/>
    <n v="2"/>
    <d v="2001-08-03T00:00:00"/>
  </r>
  <r>
    <x v="1"/>
    <n v="18987330"/>
    <x v="0"/>
    <d v="2025-12-11T00:00:00"/>
    <x v="0"/>
    <x v="5"/>
    <x v="7"/>
    <m/>
    <n v="9999"/>
    <n v="333.3"/>
    <n v="0"/>
    <n v="0"/>
    <n v="0"/>
    <x v="0"/>
    <n v="24.084931506849315"/>
    <x v="2"/>
    <n v="2"/>
    <d v="2001-11-16T00:00:00"/>
  </r>
  <r>
    <x v="1"/>
    <n v="18987331"/>
    <x v="0"/>
    <d v="2026-03-18T00:00:00"/>
    <x v="1"/>
    <x v="0"/>
    <x v="5"/>
    <m/>
    <n v="9999"/>
    <n v="333.3"/>
    <n v="0"/>
    <n v="0"/>
    <n v="0"/>
    <x v="1"/>
    <n v="20.742465753424657"/>
    <x v="3"/>
    <n v="1"/>
    <d v="2005-06-25T00:00:00"/>
  </r>
  <r>
    <x v="1"/>
    <n v="18987332"/>
    <x v="0"/>
    <d v="2025-12-11T00:00:00"/>
    <x v="0"/>
    <x v="5"/>
    <x v="7"/>
    <d v="2026-03-02T00:00:00"/>
    <n v="81"/>
    <n v="2.7"/>
    <n v="0"/>
    <n v="1"/>
    <n v="1"/>
    <x v="1"/>
    <n v="21.30958904109589"/>
    <x v="2"/>
    <n v="2"/>
    <d v="2004-08-25T00:00:00"/>
  </r>
  <r>
    <x v="1"/>
    <n v="18987337"/>
    <x v="0"/>
    <d v="2025-12-11T00:00:00"/>
    <x v="0"/>
    <x v="5"/>
    <x v="7"/>
    <m/>
    <n v="9999"/>
    <n v="333.3"/>
    <n v="0"/>
    <n v="0"/>
    <n v="0"/>
    <x v="0"/>
    <n v="33.663013698630138"/>
    <x v="0"/>
    <n v="4"/>
    <d v="1992-04-21T00:00:00"/>
  </r>
  <r>
    <x v="0"/>
    <n v="18987343"/>
    <x v="0"/>
    <d v="2025-12-11T00:00:00"/>
    <x v="0"/>
    <x v="5"/>
    <x v="7"/>
    <d v="2026-03-10T00:00:00"/>
    <n v="89"/>
    <n v="2.9666666666666668"/>
    <n v="0"/>
    <n v="1"/>
    <n v="1"/>
    <x v="1"/>
    <n v="21.115068493150684"/>
    <x v="2"/>
    <n v="2"/>
    <d v="2004-11-04T00:00:00"/>
  </r>
  <r>
    <x v="1"/>
    <n v="18987344"/>
    <x v="0"/>
    <d v="2025-12-11T00:00:00"/>
    <x v="0"/>
    <x v="5"/>
    <x v="7"/>
    <d v="2026-03-31T00:00:00"/>
    <n v="110"/>
    <n v="3.6666666666666665"/>
    <n v="0"/>
    <n v="0"/>
    <n v="1"/>
    <x v="1"/>
    <n v="31.616438356164384"/>
    <x v="0"/>
    <n v="4"/>
    <d v="1994-05-08T00:00:00"/>
  </r>
  <r>
    <x v="0"/>
    <n v="18987345"/>
    <x v="0"/>
    <d v="2025-12-11T00:00:00"/>
    <x v="0"/>
    <x v="5"/>
    <x v="7"/>
    <d v="2026-01-31T00:00:00"/>
    <n v="51"/>
    <n v="1.7"/>
    <n v="0"/>
    <n v="1"/>
    <n v="1"/>
    <x v="1"/>
    <n v="20.287671232876711"/>
    <x v="3"/>
    <n v="1"/>
    <d v="2005-09-02T00:00:00"/>
  </r>
  <r>
    <x v="1"/>
    <n v="18987348"/>
    <x v="0"/>
    <d v="2025-12-11T00:00:00"/>
    <x v="0"/>
    <x v="5"/>
    <x v="7"/>
    <m/>
    <n v="9999"/>
    <n v="333.3"/>
    <n v="0"/>
    <n v="0"/>
    <n v="0"/>
    <x v="0"/>
    <n v="18.665753424657535"/>
    <x v="3"/>
    <n v="1"/>
    <d v="2007-04-17T00:00:00"/>
  </r>
  <r>
    <x v="1"/>
    <n v="18987349"/>
    <x v="1"/>
    <d v="2025-12-11T00:00:00"/>
    <x v="0"/>
    <x v="5"/>
    <x v="7"/>
    <d v="2026-01-18T00:00:00"/>
    <n v="38"/>
    <n v="1.2666666666666666"/>
    <n v="0"/>
    <n v="1"/>
    <n v="1"/>
    <x v="1"/>
    <n v="23.336986301369862"/>
    <x v="2"/>
    <n v="2"/>
    <d v="2002-08-16T00:00:00"/>
  </r>
  <r>
    <x v="1"/>
    <n v="18987351"/>
    <x v="1"/>
    <d v="2025-12-11T00:00:00"/>
    <x v="0"/>
    <x v="5"/>
    <x v="7"/>
    <d v="2026-02-14T00:00:00"/>
    <n v="65"/>
    <n v="2.1666666666666665"/>
    <n v="0"/>
    <n v="1"/>
    <n v="1"/>
    <x v="1"/>
    <n v="18.076712328767123"/>
    <x v="3"/>
    <n v="1"/>
    <d v="2007-11-18T00:00:00"/>
  </r>
  <r>
    <x v="1"/>
    <n v="18987353"/>
    <x v="0"/>
    <d v="2025-12-11T00:00:00"/>
    <x v="0"/>
    <x v="5"/>
    <x v="7"/>
    <m/>
    <n v="9999"/>
    <n v="333.3"/>
    <n v="0"/>
    <n v="0"/>
    <n v="0"/>
    <x v="0"/>
    <n v="33.446575342465756"/>
    <x v="0"/>
    <n v="4"/>
    <d v="1992-07-09T00:00:00"/>
  </r>
  <r>
    <x v="0"/>
    <n v="18987357"/>
    <x v="0"/>
    <d v="2025-12-11T00:00:00"/>
    <x v="0"/>
    <x v="5"/>
    <x v="7"/>
    <m/>
    <n v="9999"/>
    <n v="333.3"/>
    <n v="0"/>
    <n v="0"/>
    <n v="0"/>
    <x v="0"/>
    <n v="25.224657534246575"/>
    <x v="2"/>
    <n v="2"/>
    <d v="2000-09-26T00:00:00"/>
  </r>
  <r>
    <x v="1"/>
    <n v="18987359"/>
    <x v="0"/>
    <d v="2025-12-11T00:00:00"/>
    <x v="0"/>
    <x v="5"/>
    <x v="7"/>
    <m/>
    <n v="9999"/>
    <n v="333.3"/>
    <n v="0"/>
    <n v="0"/>
    <n v="0"/>
    <x v="0"/>
    <n v="39.139726027397259"/>
    <x v="0"/>
    <n v="4"/>
    <d v="1986-10-31T00:00:00"/>
  </r>
  <r>
    <x v="1"/>
    <n v="18987360"/>
    <x v="1"/>
    <d v="2025-12-11T00:00:00"/>
    <x v="0"/>
    <x v="5"/>
    <x v="7"/>
    <m/>
    <n v="9999"/>
    <n v="333.3"/>
    <n v="0"/>
    <n v="0"/>
    <n v="0"/>
    <x v="1"/>
    <n v="18.221917808219178"/>
    <x v="3"/>
    <n v="1"/>
    <d v="2007-09-26T00:00:00"/>
  </r>
  <r>
    <x v="1"/>
    <n v="18987367"/>
    <x v="0"/>
    <d v="2025-12-11T00:00:00"/>
    <x v="0"/>
    <x v="5"/>
    <x v="7"/>
    <m/>
    <n v="9999"/>
    <n v="333.3"/>
    <n v="0"/>
    <n v="0"/>
    <n v="0"/>
    <x v="0"/>
    <n v="19.926027397260274"/>
    <x v="3"/>
    <n v="1"/>
    <d v="2006-01-12T00:00:00"/>
  </r>
  <r>
    <x v="1"/>
    <n v="18987368"/>
    <x v="0"/>
    <d v="2025-12-11T00:00:00"/>
    <x v="0"/>
    <x v="5"/>
    <x v="7"/>
    <d v="2026-02-28T00:00:00"/>
    <n v="79"/>
    <n v="2.6333333333333333"/>
    <n v="0"/>
    <n v="1"/>
    <n v="1"/>
    <x v="0"/>
    <n v="19.098630136986301"/>
    <x v="3"/>
    <n v="1"/>
    <d v="2006-11-10T00:00:00"/>
  </r>
  <r>
    <x v="1"/>
    <n v="18987371"/>
    <x v="1"/>
    <d v="2025-12-11T00:00:00"/>
    <x v="0"/>
    <x v="5"/>
    <x v="7"/>
    <m/>
    <n v="9999"/>
    <n v="333.3"/>
    <n v="0"/>
    <n v="0"/>
    <n v="0"/>
    <x v="0"/>
    <n v="18.602739726027398"/>
    <x v="3"/>
    <n v="1"/>
    <d v="2007-05-10T00:00:00"/>
  </r>
  <r>
    <x v="1"/>
    <n v="18987372"/>
    <x v="0"/>
    <d v="2025-12-11T00:00:00"/>
    <x v="0"/>
    <x v="5"/>
    <x v="7"/>
    <m/>
    <n v="9999"/>
    <n v="333.3"/>
    <n v="0"/>
    <n v="0"/>
    <n v="0"/>
    <x v="0"/>
    <n v="22.816438356164383"/>
    <x v="2"/>
    <n v="2"/>
    <d v="2003-02-22T00:00:00"/>
  </r>
  <r>
    <x v="1"/>
    <n v="18987373"/>
    <x v="1"/>
    <d v="2025-12-11T00:00:00"/>
    <x v="0"/>
    <x v="5"/>
    <x v="7"/>
    <d v="2026-05-31T00:00:00"/>
    <n v="171"/>
    <n v="5.7"/>
    <n v="0"/>
    <n v="0"/>
    <n v="1"/>
    <x v="1"/>
    <n v="27.279452054794522"/>
    <x v="1"/>
    <n v="3"/>
    <d v="1998-09-07T00:00:00"/>
  </r>
  <r>
    <x v="1"/>
    <n v="18987375"/>
    <x v="1"/>
    <d v="2025-12-11T00:00:00"/>
    <x v="0"/>
    <x v="5"/>
    <x v="7"/>
    <m/>
    <n v="9999"/>
    <n v="333.3"/>
    <n v="0"/>
    <n v="0"/>
    <n v="0"/>
    <x v="1"/>
    <n v="19.002739726027396"/>
    <x v="3"/>
    <n v="1"/>
    <d v="2006-12-15T00:00:00"/>
  </r>
  <r>
    <x v="1"/>
    <n v="18987379"/>
    <x v="1"/>
    <d v="2025-12-11T00:00:00"/>
    <x v="0"/>
    <x v="5"/>
    <x v="7"/>
    <d v="2026-04-30T00:00:00"/>
    <n v="140"/>
    <n v="4.666666666666667"/>
    <n v="0"/>
    <n v="0"/>
    <n v="1"/>
    <x v="1"/>
    <n v="18.547945205479451"/>
    <x v="3"/>
    <n v="1"/>
    <d v="2007-05-30T00:00:00"/>
  </r>
  <r>
    <x v="1"/>
    <n v="18987380"/>
    <x v="0"/>
    <d v="2025-12-11T00:00:00"/>
    <x v="0"/>
    <x v="5"/>
    <x v="7"/>
    <d v="2026-03-31T00:00:00"/>
    <n v="110"/>
    <n v="3.6666666666666665"/>
    <n v="0"/>
    <n v="0"/>
    <n v="1"/>
    <x v="1"/>
    <n v="21.652054794520549"/>
    <x v="2"/>
    <n v="2"/>
    <d v="2004-04-22T00:00:00"/>
  </r>
  <r>
    <x v="1"/>
    <n v="18987382"/>
    <x v="0"/>
    <d v="2025-12-11T00:00:00"/>
    <x v="0"/>
    <x v="5"/>
    <x v="7"/>
    <d v="2026-04-01T00:00:00"/>
    <n v="111"/>
    <n v="3.7"/>
    <n v="0"/>
    <n v="0"/>
    <n v="1"/>
    <x v="1"/>
    <n v="19.142465753424659"/>
    <x v="3"/>
    <n v="1"/>
    <d v="2006-10-25T00:00:00"/>
  </r>
  <r>
    <x v="1"/>
    <n v="18987385"/>
    <x v="1"/>
    <d v="2025-12-11T00:00:00"/>
    <x v="0"/>
    <x v="5"/>
    <x v="7"/>
    <m/>
    <n v="9999"/>
    <n v="333.3"/>
    <n v="0"/>
    <n v="0"/>
    <n v="0"/>
    <x v="1"/>
    <n v="21.008219178082193"/>
    <x v="2"/>
    <n v="2"/>
    <d v="2004-12-13T00:00:00"/>
  </r>
  <r>
    <x v="1"/>
    <n v="18987388"/>
    <x v="0"/>
    <d v="2025-12-11T00:00:00"/>
    <x v="0"/>
    <x v="5"/>
    <x v="7"/>
    <m/>
    <n v="9999"/>
    <n v="333.3"/>
    <n v="0"/>
    <n v="0"/>
    <n v="0"/>
    <x v="0"/>
    <n v="18.621917808219177"/>
    <x v="3"/>
    <n v="1"/>
    <d v="2007-05-03T00:00:00"/>
  </r>
  <r>
    <x v="1"/>
    <n v="18987390"/>
    <x v="0"/>
    <d v="2025-12-11T00:00:00"/>
    <x v="0"/>
    <x v="5"/>
    <x v="7"/>
    <d v="2026-01-22T00:00:00"/>
    <n v="42"/>
    <n v="1.4"/>
    <n v="0"/>
    <n v="1"/>
    <n v="1"/>
    <x v="1"/>
    <n v="21.197260273972603"/>
    <x v="2"/>
    <n v="2"/>
    <d v="2004-10-05T00:00:00"/>
  </r>
  <r>
    <x v="0"/>
    <n v="18987405"/>
    <x v="0"/>
    <d v="2025-12-13T00:00:00"/>
    <x v="0"/>
    <x v="5"/>
    <x v="7"/>
    <d v="2026-04-01T00:00:00"/>
    <n v="109"/>
    <n v="3.6333333333333333"/>
    <n v="0"/>
    <n v="0"/>
    <n v="1"/>
    <x v="1"/>
    <n v="20.791780821917808"/>
    <x v="3"/>
    <n v="1"/>
    <d v="2005-03-04T00:00:00"/>
  </r>
  <r>
    <x v="1"/>
    <n v="18987406"/>
    <x v="0"/>
    <d v="2025-12-13T00:00:00"/>
    <x v="0"/>
    <x v="5"/>
    <x v="7"/>
    <d v="2026-03-31T00:00:00"/>
    <n v="108"/>
    <n v="3.6"/>
    <n v="0"/>
    <n v="0"/>
    <n v="1"/>
    <x v="1"/>
    <n v="19.328767123287673"/>
    <x v="3"/>
    <n v="1"/>
    <d v="2006-08-20T00:00:00"/>
  </r>
  <r>
    <x v="1"/>
    <n v="18987408"/>
    <x v="0"/>
    <d v="2025-12-13T00:00:00"/>
    <x v="0"/>
    <x v="5"/>
    <x v="7"/>
    <d v="2026-05-04T00:00:00"/>
    <n v="142"/>
    <n v="4.7333333333333334"/>
    <n v="0"/>
    <n v="0"/>
    <n v="1"/>
    <x v="0"/>
    <n v="27.383561643835616"/>
    <x v="1"/>
    <n v="3"/>
    <d v="1998-08-02T00:00:00"/>
  </r>
  <r>
    <x v="1"/>
    <n v="18987410"/>
    <x v="1"/>
    <d v="2025-12-13T00:00:00"/>
    <x v="0"/>
    <x v="5"/>
    <x v="7"/>
    <d v="2025-12-18T00:00:00"/>
    <n v="5"/>
    <n v="0.16666666666666666"/>
    <n v="1"/>
    <n v="1"/>
    <n v="1"/>
    <x v="0"/>
    <n v="24.715068493150685"/>
    <x v="2"/>
    <n v="2"/>
    <d v="2001-04-02T00:00:00"/>
  </r>
  <r>
    <x v="1"/>
    <n v="18987411"/>
    <x v="0"/>
    <d v="2025-12-13T00:00:00"/>
    <x v="0"/>
    <x v="5"/>
    <x v="7"/>
    <m/>
    <n v="9999"/>
    <n v="333.3"/>
    <n v="0"/>
    <n v="0"/>
    <n v="0"/>
    <x v="0"/>
    <n v="23.975342465753425"/>
    <x v="2"/>
    <n v="2"/>
    <d v="2001-12-28T00:00:00"/>
  </r>
  <r>
    <x v="1"/>
    <n v="18987423"/>
    <x v="1"/>
    <d v="2025-12-13T00:00:00"/>
    <x v="0"/>
    <x v="5"/>
    <x v="7"/>
    <d v="2026-03-18T00:00:00"/>
    <n v="95"/>
    <n v="3.1666666666666665"/>
    <n v="0"/>
    <n v="0"/>
    <n v="1"/>
    <x v="1"/>
    <n v="18.857534246575341"/>
    <x v="3"/>
    <n v="1"/>
    <d v="2007-02-08T00:00:00"/>
  </r>
  <r>
    <x v="1"/>
    <n v="18987432"/>
    <x v="0"/>
    <d v="2025-12-13T00:00:00"/>
    <x v="0"/>
    <x v="5"/>
    <x v="7"/>
    <d v="2026-04-15T00:00:00"/>
    <n v="123"/>
    <n v="4.0999999999999996"/>
    <n v="0"/>
    <n v="0"/>
    <n v="1"/>
    <x v="1"/>
    <n v="20.4986301369863"/>
    <x v="3"/>
    <n v="1"/>
    <d v="2005-06-19T00:00:00"/>
  </r>
  <r>
    <x v="1"/>
    <n v="18987436"/>
    <x v="1"/>
    <d v="2025-12-13T00:00:00"/>
    <x v="0"/>
    <x v="5"/>
    <x v="7"/>
    <d v="2026-02-04T00:00:00"/>
    <n v="53"/>
    <n v="1.7666666666666666"/>
    <n v="0"/>
    <n v="1"/>
    <n v="1"/>
    <x v="1"/>
    <n v="22.112328767123287"/>
    <x v="2"/>
    <n v="2"/>
    <d v="2003-11-08T00:00:00"/>
  </r>
  <r>
    <x v="1"/>
    <n v="18987437"/>
    <x v="0"/>
    <d v="2025-12-13T00:00:00"/>
    <x v="0"/>
    <x v="5"/>
    <x v="7"/>
    <d v="2026-04-12T00:00:00"/>
    <n v="120"/>
    <n v="4"/>
    <n v="0"/>
    <n v="0"/>
    <n v="1"/>
    <x v="1"/>
    <n v="20.364383561643837"/>
    <x v="3"/>
    <n v="1"/>
    <d v="2005-08-07T00:00:00"/>
  </r>
  <r>
    <x v="1"/>
    <n v="18987497"/>
    <x v="1"/>
    <d v="2025-12-13T00:00:00"/>
    <x v="0"/>
    <x v="5"/>
    <x v="7"/>
    <d v="2026-05-04T00:00:00"/>
    <n v="142"/>
    <n v="4.7333333333333334"/>
    <n v="0"/>
    <n v="0"/>
    <n v="1"/>
    <x v="1"/>
    <n v="19.399999999999999"/>
    <x v="3"/>
    <n v="1"/>
    <d v="2006-07-25T00:00:00"/>
  </r>
  <r>
    <x v="0"/>
    <n v="18987498"/>
    <x v="0"/>
    <d v="2025-12-13T00:00:00"/>
    <x v="0"/>
    <x v="5"/>
    <x v="7"/>
    <d v="2026-03-12T00:00:00"/>
    <n v="89"/>
    <n v="2.9666666666666668"/>
    <n v="0"/>
    <n v="1"/>
    <n v="1"/>
    <x v="1"/>
    <n v="18.994520547945207"/>
    <x v="3"/>
    <n v="1"/>
    <d v="2006-12-20T00:00:00"/>
  </r>
  <r>
    <x v="1"/>
    <n v="18987499"/>
    <x v="0"/>
    <d v="2025-12-13T00:00:00"/>
    <x v="0"/>
    <x v="5"/>
    <x v="7"/>
    <d v="2026-01-01T00:00:00"/>
    <n v="19"/>
    <n v="0.6333333333333333"/>
    <n v="1"/>
    <n v="1"/>
    <n v="1"/>
    <x v="1"/>
    <n v="18.723287671232878"/>
    <x v="3"/>
    <n v="1"/>
    <d v="2007-03-29T00:00:00"/>
  </r>
  <r>
    <x v="0"/>
    <n v="18987500"/>
    <x v="0"/>
    <d v="2025-12-13T00:00:00"/>
    <x v="0"/>
    <x v="5"/>
    <x v="7"/>
    <d v="2026-03-15T00:00:00"/>
    <n v="92"/>
    <n v="3.0666666666666669"/>
    <n v="0"/>
    <n v="0"/>
    <n v="1"/>
    <x v="1"/>
    <n v="18.413698630136988"/>
    <x v="3"/>
    <n v="1"/>
    <d v="2007-07-20T00:00:00"/>
  </r>
  <r>
    <x v="0"/>
    <n v="18987502"/>
    <x v="0"/>
    <d v="2025-12-13T00:00:00"/>
    <x v="0"/>
    <x v="5"/>
    <x v="7"/>
    <d v="2026-03-22T00:00:00"/>
    <n v="99"/>
    <n v="3.3"/>
    <n v="0"/>
    <n v="0"/>
    <n v="1"/>
    <x v="1"/>
    <n v="18.652054794520549"/>
    <x v="3"/>
    <n v="1"/>
    <d v="2007-04-24T00:00:00"/>
  </r>
  <r>
    <x v="1"/>
    <n v="18987523"/>
    <x v="1"/>
    <d v="2025-12-13T00:00:00"/>
    <x v="0"/>
    <x v="5"/>
    <x v="7"/>
    <d v="2025-12-31T00:00:00"/>
    <n v="18"/>
    <n v="0.6"/>
    <n v="1"/>
    <n v="1"/>
    <n v="1"/>
    <x v="1"/>
    <n v="19.92876712328767"/>
    <x v="3"/>
    <n v="1"/>
    <d v="2006-01-13T00:00:00"/>
  </r>
  <r>
    <x v="1"/>
    <n v="18987537"/>
    <x v="0"/>
    <d v="2025-12-13T00:00:00"/>
    <x v="0"/>
    <x v="5"/>
    <x v="7"/>
    <d v="2026-02-17T00:00:00"/>
    <n v="66"/>
    <n v="2.2000000000000002"/>
    <n v="0"/>
    <n v="1"/>
    <n v="1"/>
    <x v="1"/>
    <n v="19.726027397260275"/>
    <x v="3"/>
    <n v="1"/>
    <d v="2006-03-28T00:00:00"/>
  </r>
  <r>
    <x v="1"/>
    <n v="18987589"/>
    <x v="0"/>
    <d v="2025-12-11T00:00:00"/>
    <x v="0"/>
    <x v="5"/>
    <x v="7"/>
    <m/>
    <n v="9999"/>
    <n v="333.3"/>
    <n v="0"/>
    <n v="0"/>
    <n v="0"/>
    <x v="0"/>
    <n v="22.208219178082192"/>
    <x v="2"/>
    <n v="2"/>
    <d v="2003-10-02T00:00:00"/>
  </r>
  <r>
    <x v="1"/>
    <n v="18987632"/>
    <x v="0"/>
    <d v="2025-12-15T00:00:00"/>
    <x v="0"/>
    <x v="5"/>
    <x v="7"/>
    <d v="2025-12-31T00:00:00"/>
    <n v="16"/>
    <n v="0.53333333333333333"/>
    <n v="1"/>
    <n v="1"/>
    <n v="1"/>
    <x v="1"/>
    <n v="22.731506849315068"/>
    <x v="2"/>
    <n v="2"/>
    <d v="2003-03-29T00:00:00"/>
  </r>
  <r>
    <x v="1"/>
    <n v="18987654"/>
    <x v="1"/>
    <d v="2025-12-15T00:00:00"/>
    <x v="0"/>
    <x v="5"/>
    <x v="7"/>
    <d v="2026-04-14T00:00:00"/>
    <n v="120"/>
    <n v="4"/>
    <n v="0"/>
    <n v="0"/>
    <n v="1"/>
    <x v="1"/>
    <n v="23.731506849315068"/>
    <x v="2"/>
    <n v="2"/>
    <d v="2002-03-29T00:00:00"/>
  </r>
  <r>
    <x v="1"/>
    <n v="18987656"/>
    <x v="0"/>
    <d v="2025-12-15T00:00:00"/>
    <x v="0"/>
    <x v="5"/>
    <x v="7"/>
    <m/>
    <n v="9999"/>
    <n v="333.3"/>
    <n v="0"/>
    <n v="0"/>
    <n v="0"/>
    <x v="1"/>
    <n v="33.756164383561647"/>
    <x v="0"/>
    <n v="4"/>
    <d v="1992-03-22T00:00:00"/>
  </r>
  <r>
    <x v="1"/>
    <n v="18987693"/>
    <x v="1"/>
    <d v="2025-12-15T00:00:00"/>
    <x v="0"/>
    <x v="5"/>
    <x v="7"/>
    <m/>
    <n v="9999"/>
    <n v="333.3"/>
    <n v="0"/>
    <n v="0"/>
    <n v="0"/>
    <x v="1"/>
    <n v="20.55890410958904"/>
    <x v="3"/>
    <n v="1"/>
    <d v="2005-05-30T00:00:00"/>
  </r>
  <r>
    <x v="1"/>
    <n v="18987747"/>
    <x v="0"/>
    <d v="2025-12-15T00:00:00"/>
    <x v="0"/>
    <x v="5"/>
    <x v="7"/>
    <d v="2026-05-01T00:00:00"/>
    <n v="137"/>
    <n v="4.5666666666666664"/>
    <n v="0"/>
    <n v="0"/>
    <n v="1"/>
    <x v="1"/>
    <n v="25.087671232876712"/>
    <x v="2"/>
    <n v="2"/>
    <d v="2000-11-19T00:00:00"/>
  </r>
  <r>
    <x v="1"/>
    <n v="18987754"/>
    <x v="0"/>
    <d v="2025-12-15T00:00:00"/>
    <x v="0"/>
    <x v="5"/>
    <x v="7"/>
    <m/>
    <n v="9999"/>
    <n v="333.3"/>
    <n v="0"/>
    <n v="0"/>
    <n v="0"/>
    <x v="1"/>
    <n v="19.860273972602741"/>
    <x v="3"/>
    <n v="1"/>
    <d v="2006-02-09T00:00:00"/>
  </r>
  <r>
    <x v="1"/>
    <n v="18987756"/>
    <x v="0"/>
    <d v="2025-12-15T00:00:00"/>
    <x v="0"/>
    <x v="5"/>
    <x v="7"/>
    <d v="2026-03-31T00:00:00"/>
    <n v="106"/>
    <n v="3.5333333333333332"/>
    <n v="0"/>
    <n v="0"/>
    <n v="1"/>
    <x v="1"/>
    <n v="18.813698630136987"/>
    <x v="3"/>
    <n v="1"/>
    <d v="2007-02-26T00:00:00"/>
  </r>
  <r>
    <x v="1"/>
    <n v="18987783"/>
    <x v="1"/>
    <d v="2025-12-15T00:00:00"/>
    <x v="0"/>
    <x v="5"/>
    <x v="7"/>
    <m/>
    <n v="9999"/>
    <n v="333.3"/>
    <n v="0"/>
    <n v="0"/>
    <n v="0"/>
    <x v="1"/>
    <n v="20.164383561643834"/>
    <x v="3"/>
    <n v="1"/>
    <d v="2005-10-21T00:00:00"/>
  </r>
  <r>
    <x v="1"/>
    <n v="18987832"/>
    <x v="1"/>
    <d v="2025-12-12T00:00:00"/>
    <x v="0"/>
    <x v="5"/>
    <x v="7"/>
    <d v="2026-03-15T00:00:00"/>
    <n v="93"/>
    <n v="3.1"/>
    <n v="0"/>
    <n v="0"/>
    <n v="1"/>
    <x v="0"/>
    <n v="21.063013698630137"/>
    <x v="2"/>
    <n v="2"/>
    <d v="2004-11-24T00:00:00"/>
  </r>
  <r>
    <x v="1"/>
    <n v="18987926"/>
    <x v="0"/>
    <d v="2025-12-12T00:00:00"/>
    <x v="0"/>
    <x v="5"/>
    <x v="7"/>
    <m/>
    <n v="9999"/>
    <n v="333.3"/>
    <n v="0"/>
    <n v="0"/>
    <n v="0"/>
    <x v="1"/>
    <n v="20.482191780821918"/>
    <x v="3"/>
    <n v="1"/>
    <d v="2005-06-24T00:00:00"/>
  </r>
  <r>
    <x v="1"/>
    <n v="18987932"/>
    <x v="0"/>
    <d v="2025-12-12T00:00:00"/>
    <x v="0"/>
    <x v="5"/>
    <x v="7"/>
    <d v="2026-03-31T00:00:00"/>
    <n v="109"/>
    <n v="3.6333333333333333"/>
    <n v="0"/>
    <n v="0"/>
    <n v="1"/>
    <x v="1"/>
    <n v="20.115068493150684"/>
    <x v="3"/>
    <n v="1"/>
    <d v="2005-11-05T00:00:00"/>
  </r>
  <r>
    <x v="1"/>
    <n v="18987943"/>
    <x v="1"/>
    <d v="2025-12-12T00:00:00"/>
    <x v="0"/>
    <x v="5"/>
    <x v="7"/>
    <d v="2026-03-31T00:00:00"/>
    <n v="109"/>
    <n v="3.6333333333333333"/>
    <n v="0"/>
    <n v="0"/>
    <n v="1"/>
    <x v="0"/>
    <n v="19.734246575342464"/>
    <x v="3"/>
    <n v="1"/>
    <d v="2006-03-24T00:00:00"/>
  </r>
  <r>
    <x v="1"/>
    <n v="18987944"/>
    <x v="0"/>
    <d v="2025-12-12T00:00:00"/>
    <x v="0"/>
    <x v="5"/>
    <x v="7"/>
    <d v="2026-02-10T00:00:00"/>
    <n v="60"/>
    <n v="2"/>
    <n v="0"/>
    <n v="1"/>
    <n v="1"/>
    <x v="1"/>
    <n v="20.4986301369863"/>
    <x v="3"/>
    <n v="1"/>
    <d v="2005-06-18T00:00:00"/>
  </r>
  <r>
    <x v="1"/>
    <n v="18987951"/>
    <x v="0"/>
    <d v="2025-12-12T00:00:00"/>
    <x v="0"/>
    <x v="5"/>
    <x v="7"/>
    <m/>
    <n v="9999"/>
    <n v="333.3"/>
    <n v="0"/>
    <n v="0"/>
    <n v="0"/>
    <x v="1"/>
    <n v="18.684931506849313"/>
    <x v="3"/>
    <n v="1"/>
    <d v="2007-04-11T00:00:00"/>
  </r>
  <r>
    <x v="1"/>
    <n v="18988026"/>
    <x v="1"/>
    <d v="2025-12-12T00:00:00"/>
    <x v="0"/>
    <x v="5"/>
    <x v="7"/>
    <d v="2026-03-01T00:00:00"/>
    <n v="79"/>
    <n v="2.6333333333333333"/>
    <n v="0"/>
    <n v="1"/>
    <n v="1"/>
    <x v="1"/>
    <n v="18.504109589041096"/>
    <x v="3"/>
    <n v="1"/>
    <d v="2007-06-16T00:00:00"/>
  </r>
  <r>
    <x v="1"/>
    <n v="18988028"/>
    <x v="1"/>
    <d v="2025-12-12T00:00:00"/>
    <x v="0"/>
    <x v="5"/>
    <x v="7"/>
    <m/>
    <n v="9999"/>
    <n v="333.3"/>
    <n v="0"/>
    <n v="0"/>
    <n v="0"/>
    <x v="1"/>
    <n v="19.830136986301369"/>
    <x v="3"/>
    <n v="1"/>
    <d v="2006-02-17T00:00:00"/>
  </r>
  <r>
    <x v="1"/>
    <n v="18988066"/>
    <x v="0"/>
    <d v="2025-12-12T00:00:00"/>
    <x v="0"/>
    <x v="5"/>
    <x v="7"/>
    <d v="2026-01-06T00:00:00"/>
    <n v="25"/>
    <n v="0.83333333333333337"/>
    <n v="1"/>
    <n v="1"/>
    <n v="1"/>
    <x v="1"/>
    <n v="22.326027397260273"/>
    <x v="2"/>
    <n v="2"/>
    <d v="2003-08-21T00:00:00"/>
  </r>
  <r>
    <x v="1"/>
    <n v="18988081"/>
    <x v="1"/>
    <d v="2025-12-12T00:00:00"/>
    <x v="0"/>
    <x v="5"/>
    <x v="7"/>
    <d v="2026-04-01T00:00:00"/>
    <n v="110"/>
    <n v="3.6666666666666665"/>
    <n v="0"/>
    <n v="0"/>
    <n v="1"/>
    <x v="1"/>
    <n v="18.528767123287672"/>
    <x v="3"/>
    <n v="1"/>
    <d v="2007-06-07T00:00:00"/>
  </r>
  <r>
    <x v="1"/>
    <n v="18988085"/>
    <x v="1"/>
    <d v="2025-12-12T00:00:00"/>
    <x v="0"/>
    <x v="5"/>
    <x v="7"/>
    <d v="2026-03-10T00:00:00"/>
    <n v="88"/>
    <n v="2.9333333333333331"/>
    <n v="0"/>
    <n v="1"/>
    <n v="1"/>
    <x v="0"/>
    <n v="28.008219178082193"/>
    <x v="1"/>
    <n v="3"/>
    <d v="1997-12-16T00:00:00"/>
  </r>
  <r>
    <x v="1"/>
    <n v="18988247"/>
    <x v="1"/>
    <d v="2025-12-12T00:00:00"/>
    <x v="0"/>
    <x v="5"/>
    <x v="7"/>
    <d v="2025-12-16T00:00:00"/>
    <n v="4"/>
    <n v="0.13333333333333333"/>
    <n v="1"/>
    <n v="1"/>
    <n v="1"/>
    <x v="1"/>
    <n v="20.304109589041097"/>
    <x v="3"/>
    <n v="1"/>
    <d v="2005-08-28T00:00:00"/>
  </r>
  <r>
    <x v="1"/>
    <n v="18988552"/>
    <x v="0"/>
    <d v="2025-12-12T00:00:00"/>
    <x v="0"/>
    <x v="5"/>
    <x v="7"/>
    <d v="2026-03-15T00:00:00"/>
    <n v="93"/>
    <n v="3.1"/>
    <n v="0"/>
    <n v="0"/>
    <n v="1"/>
    <x v="0"/>
    <n v="27.797260273972604"/>
    <x v="1"/>
    <n v="3"/>
    <d v="1998-03-03T00:00:00"/>
  </r>
  <r>
    <x v="1"/>
    <n v="18988565"/>
    <x v="0"/>
    <d v="2025-12-12T00:00:00"/>
    <x v="0"/>
    <x v="5"/>
    <x v="7"/>
    <d v="2026-03-15T00:00:00"/>
    <n v="93"/>
    <n v="3.1"/>
    <n v="0"/>
    <n v="0"/>
    <n v="1"/>
    <x v="0"/>
    <n v="19.317808219178083"/>
    <x v="3"/>
    <n v="1"/>
    <d v="2006-08-23T00:00:00"/>
  </r>
  <r>
    <x v="1"/>
    <n v="18988566"/>
    <x v="0"/>
    <d v="2025-12-12T00:00:00"/>
    <x v="0"/>
    <x v="5"/>
    <x v="7"/>
    <m/>
    <n v="9999"/>
    <n v="333.3"/>
    <n v="0"/>
    <n v="0"/>
    <n v="0"/>
    <x v="1"/>
    <n v="23.476712328767125"/>
    <x v="2"/>
    <n v="2"/>
    <d v="2002-06-27T00:00:00"/>
  </r>
  <r>
    <x v="1"/>
    <n v="18988573"/>
    <x v="1"/>
    <d v="2025-12-12T00:00:00"/>
    <x v="0"/>
    <x v="5"/>
    <x v="7"/>
    <m/>
    <n v="9999"/>
    <n v="333.3"/>
    <n v="0"/>
    <n v="0"/>
    <n v="0"/>
    <x v="1"/>
    <n v="20.542465753424658"/>
    <x v="3"/>
    <n v="1"/>
    <d v="2005-06-02T00:00:00"/>
  </r>
  <r>
    <x v="1"/>
    <n v="18988666"/>
    <x v="0"/>
    <d v="2026-04-09T00:00:00"/>
    <x v="1"/>
    <x v="2"/>
    <x v="11"/>
    <m/>
    <n v="9999"/>
    <n v="333.3"/>
    <n v="0"/>
    <n v="0"/>
    <n v="0"/>
    <x v="0"/>
    <n v="18.600000000000001"/>
    <x v="3"/>
    <n v="1"/>
    <d v="2007-09-07T00:00:00"/>
  </r>
  <r>
    <x v="1"/>
    <n v="18988686"/>
    <x v="1"/>
    <d v="2025-12-16T00:00:00"/>
    <x v="0"/>
    <x v="5"/>
    <x v="7"/>
    <m/>
    <n v="9999"/>
    <n v="333.3"/>
    <n v="0"/>
    <n v="0"/>
    <n v="0"/>
    <x v="0"/>
    <n v="22.19178082191781"/>
    <x v="2"/>
    <n v="2"/>
    <d v="2003-10-13T00:00:00"/>
  </r>
  <r>
    <x v="1"/>
    <n v="18988706"/>
    <x v="0"/>
    <d v="2025-12-12T00:00:00"/>
    <x v="0"/>
    <x v="5"/>
    <x v="7"/>
    <d v="2026-03-08T00:00:00"/>
    <n v="86"/>
    <n v="2.8666666666666667"/>
    <n v="0"/>
    <n v="1"/>
    <n v="1"/>
    <x v="1"/>
    <n v="18.693150684931506"/>
    <x v="3"/>
    <n v="1"/>
    <d v="2007-04-08T00:00:00"/>
  </r>
  <r>
    <x v="1"/>
    <n v="18988735"/>
    <x v="0"/>
    <d v="2025-12-16T00:00:00"/>
    <x v="0"/>
    <x v="5"/>
    <x v="7"/>
    <d v="2026-02-15T00:00:00"/>
    <n v="61"/>
    <n v="2.0333333333333332"/>
    <n v="0"/>
    <n v="1"/>
    <n v="1"/>
    <x v="0"/>
    <n v="18.863013698630137"/>
    <x v="3"/>
    <n v="1"/>
    <d v="2007-02-09T00:00:00"/>
  </r>
  <r>
    <x v="1"/>
    <n v="18988749"/>
    <x v="0"/>
    <d v="2025-12-12T00:00:00"/>
    <x v="0"/>
    <x v="5"/>
    <x v="7"/>
    <m/>
    <n v="9999"/>
    <n v="333.3"/>
    <n v="0"/>
    <n v="0"/>
    <n v="0"/>
    <x v="1"/>
    <n v="21.476712328767125"/>
    <x v="2"/>
    <n v="2"/>
    <d v="2004-06-26T00:00:00"/>
  </r>
  <r>
    <x v="1"/>
    <n v="18988883"/>
    <x v="0"/>
    <d v="2025-12-17T00:00:00"/>
    <x v="0"/>
    <x v="5"/>
    <x v="7"/>
    <m/>
    <n v="9999"/>
    <n v="333.3"/>
    <n v="0"/>
    <n v="0"/>
    <n v="0"/>
    <x v="0"/>
    <n v="19.665753424657535"/>
    <x v="3"/>
    <n v="1"/>
    <d v="2006-04-23T00:00:00"/>
  </r>
  <r>
    <x v="1"/>
    <n v="18988929"/>
    <x v="0"/>
    <d v="2025-12-17T00:00:00"/>
    <x v="0"/>
    <x v="5"/>
    <x v="7"/>
    <d v="2026-05-01T00:00:00"/>
    <n v="135"/>
    <n v="4.5"/>
    <n v="0"/>
    <n v="0"/>
    <n v="1"/>
    <x v="0"/>
    <n v="21.397260273972602"/>
    <x v="2"/>
    <n v="2"/>
    <d v="2004-07-30T00:00:00"/>
  </r>
  <r>
    <x v="0"/>
    <n v="18988960"/>
    <x v="1"/>
    <d v="2026-05-04T00:00:00"/>
    <x v="1"/>
    <x v="1"/>
    <x v="1"/>
    <m/>
    <n v="9999"/>
    <n v="333.3"/>
    <n v="0"/>
    <n v="0"/>
    <n v="0"/>
    <x v="1"/>
    <n v="19.402739726027399"/>
    <x v="3"/>
    <n v="1"/>
    <d v="2006-12-13T00:00:00"/>
  </r>
  <r>
    <x v="1"/>
    <n v="18988967"/>
    <x v="1"/>
    <d v="2025-12-16T00:00:00"/>
    <x v="0"/>
    <x v="5"/>
    <x v="7"/>
    <m/>
    <n v="9999"/>
    <n v="333.3"/>
    <n v="0"/>
    <n v="0"/>
    <n v="0"/>
    <x v="1"/>
    <n v="20.093150684931508"/>
    <x v="3"/>
    <n v="1"/>
    <d v="2005-11-17T00:00:00"/>
  </r>
  <r>
    <x v="1"/>
    <n v="18988970"/>
    <x v="0"/>
    <d v="2025-12-16T00:00:00"/>
    <x v="0"/>
    <x v="5"/>
    <x v="7"/>
    <d v="2026-04-26T00:00:00"/>
    <n v="131"/>
    <n v="4.3666666666666663"/>
    <n v="0"/>
    <n v="0"/>
    <n v="1"/>
    <x v="1"/>
    <n v="19.87123287671233"/>
    <x v="3"/>
    <n v="1"/>
    <d v="2006-02-06T00:00:00"/>
  </r>
  <r>
    <x v="1"/>
    <n v="18988972"/>
    <x v="1"/>
    <d v="2025-12-16T00:00:00"/>
    <x v="0"/>
    <x v="5"/>
    <x v="7"/>
    <d v="2026-02-01T00:00:00"/>
    <n v="47"/>
    <n v="1.5666666666666667"/>
    <n v="0"/>
    <n v="1"/>
    <n v="1"/>
    <x v="1"/>
    <n v="19.698630136986303"/>
    <x v="3"/>
    <n v="1"/>
    <d v="2006-04-10T00:00:00"/>
  </r>
  <r>
    <x v="0"/>
    <n v="18988982"/>
    <x v="0"/>
    <d v="2025-12-16T00:00:00"/>
    <x v="0"/>
    <x v="5"/>
    <x v="7"/>
    <d v="2025-12-31T00:00:00"/>
    <n v="15"/>
    <n v="0.5"/>
    <n v="1"/>
    <n v="1"/>
    <n v="1"/>
    <x v="1"/>
    <n v="18.232876712328768"/>
    <x v="3"/>
    <n v="1"/>
    <d v="2007-09-27T00:00:00"/>
  </r>
  <r>
    <x v="1"/>
    <n v="18988988"/>
    <x v="1"/>
    <d v="2025-12-16T00:00:00"/>
    <x v="0"/>
    <x v="5"/>
    <x v="7"/>
    <m/>
    <n v="9999"/>
    <n v="333.3"/>
    <n v="0"/>
    <n v="0"/>
    <n v="0"/>
    <x v="1"/>
    <n v="18.816438356164383"/>
    <x v="3"/>
    <n v="1"/>
    <d v="2007-02-26T00:00:00"/>
  </r>
  <r>
    <x v="1"/>
    <n v="18988993"/>
    <x v="1"/>
    <d v="2025-12-16T00:00:00"/>
    <x v="0"/>
    <x v="5"/>
    <x v="7"/>
    <m/>
    <n v="9999"/>
    <n v="333.3"/>
    <n v="0"/>
    <n v="0"/>
    <n v="0"/>
    <x v="1"/>
    <n v="20.849315068493151"/>
    <x v="3"/>
    <n v="1"/>
    <d v="2005-02-14T00:00:00"/>
  </r>
  <r>
    <x v="1"/>
    <n v="18989002"/>
    <x v="0"/>
    <d v="2025-12-16T00:00:00"/>
    <x v="0"/>
    <x v="5"/>
    <x v="7"/>
    <d v="2026-01-11T00:00:00"/>
    <n v="26"/>
    <n v="0.8666666666666667"/>
    <n v="1"/>
    <n v="1"/>
    <n v="1"/>
    <x v="1"/>
    <n v="24.164383561643834"/>
    <x v="2"/>
    <n v="2"/>
    <d v="2001-10-23T00:00:00"/>
  </r>
  <r>
    <x v="1"/>
    <n v="18989007"/>
    <x v="0"/>
    <d v="2025-12-16T00:00:00"/>
    <x v="0"/>
    <x v="5"/>
    <x v="7"/>
    <d v="2026-03-09T00:00:00"/>
    <n v="83"/>
    <n v="2.7666666666666666"/>
    <n v="0"/>
    <n v="1"/>
    <n v="1"/>
    <x v="1"/>
    <n v="18.791780821917808"/>
    <x v="3"/>
    <n v="1"/>
    <d v="2007-03-07T00:00:00"/>
  </r>
  <r>
    <x v="1"/>
    <n v="18989019"/>
    <x v="0"/>
    <d v="2025-12-16T00:00:00"/>
    <x v="0"/>
    <x v="5"/>
    <x v="7"/>
    <m/>
    <n v="9999"/>
    <n v="333.3"/>
    <n v="0"/>
    <n v="0"/>
    <n v="0"/>
    <x v="1"/>
    <n v="29.756164383561643"/>
    <x v="1"/>
    <n v="3"/>
    <d v="1996-03-22T00:00:00"/>
  </r>
  <r>
    <x v="1"/>
    <n v="18989020"/>
    <x v="0"/>
    <d v="2025-12-16T00:00:00"/>
    <x v="0"/>
    <x v="5"/>
    <x v="7"/>
    <m/>
    <n v="9999"/>
    <n v="333.3"/>
    <n v="0"/>
    <n v="0"/>
    <n v="0"/>
    <x v="1"/>
    <n v="24.126027397260273"/>
    <x v="2"/>
    <n v="2"/>
    <d v="2001-11-06T00:00:00"/>
  </r>
  <r>
    <x v="1"/>
    <n v="18989021"/>
    <x v="0"/>
    <d v="2025-12-16T00:00:00"/>
    <x v="0"/>
    <x v="5"/>
    <x v="7"/>
    <m/>
    <n v="9999"/>
    <n v="333.3"/>
    <n v="0"/>
    <n v="0"/>
    <n v="0"/>
    <x v="1"/>
    <n v="18.449315068493149"/>
    <x v="3"/>
    <n v="1"/>
    <d v="2007-07-10T00:00:00"/>
  </r>
  <r>
    <x v="1"/>
    <n v="18989024"/>
    <x v="0"/>
    <d v="2025-12-16T00:00:00"/>
    <x v="0"/>
    <x v="5"/>
    <x v="7"/>
    <d v="2026-04-12T00:00:00"/>
    <n v="117"/>
    <n v="3.9"/>
    <n v="0"/>
    <n v="0"/>
    <n v="1"/>
    <x v="1"/>
    <n v="19.093150684931508"/>
    <x v="3"/>
    <n v="1"/>
    <d v="2006-11-17T00:00:00"/>
  </r>
  <r>
    <x v="1"/>
    <n v="18989135"/>
    <x v="0"/>
    <d v="2025-12-17T00:00:00"/>
    <x v="0"/>
    <x v="5"/>
    <x v="7"/>
    <m/>
    <n v="9999"/>
    <n v="333.3"/>
    <n v="0"/>
    <n v="0"/>
    <n v="0"/>
    <x v="0"/>
    <n v="18.654794520547945"/>
    <x v="3"/>
    <n v="1"/>
    <d v="2007-04-27T00:00:00"/>
  </r>
  <r>
    <x v="1"/>
    <n v="18989138"/>
    <x v="0"/>
    <d v="2025-12-17T00:00:00"/>
    <x v="0"/>
    <x v="5"/>
    <x v="7"/>
    <m/>
    <n v="9999"/>
    <n v="333.3"/>
    <n v="0"/>
    <n v="0"/>
    <n v="0"/>
    <x v="0"/>
    <n v="18.775342465753425"/>
    <x v="3"/>
    <n v="1"/>
    <d v="2007-03-14T00:00:00"/>
  </r>
  <r>
    <x v="1"/>
    <n v="18989146"/>
    <x v="0"/>
    <d v="2025-12-17T00:00:00"/>
    <x v="0"/>
    <x v="5"/>
    <x v="7"/>
    <d v="2026-04-01T00:00:00"/>
    <n v="105"/>
    <n v="3.5"/>
    <n v="0"/>
    <n v="0"/>
    <n v="1"/>
    <x v="0"/>
    <n v="21.397260273972602"/>
    <x v="2"/>
    <n v="2"/>
    <d v="2004-07-30T00:00:00"/>
  </r>
  <r>
    <x v="1"/>
    <n v="18989285"/>
    <x v="0"/>
    <d v="2026-01-19T00:00:00"/>
    <x v="1"/>
    <x v="6"/>
    <x v="8"/>
    <d v="2026-03-31T00:00:00"/>
    <n v="71"/>
    <n v="2.3666666666666667"/>
    <n v="0"/>
    <n v="1"/>
    <n v="1"/>
    <x v="0"/>
    <n v="18.890410958904109"/>
    <x v="3"/>
    <n v="1"/>
    <d v="2007-03-05T00:00:00"/>
  </r>
  <r>
    <x v="1"/>
    <n v="18989331"/>
    <x v="0"/>
    <d v="2025-12-18T00:00:00"/>
    <x v="0"/>
    <x v="5"/>
    <x v="7"/>
    <d v="2026-01-01T00:00:00"/>
    <n v="14"/>
    <n v="0.46666666666666667"/>
    <n v="1"/>
    <n v="1"/>
    <n v="1"/>
    <x v="1"/>
    <n v="19.463013698630139"/>
    <x v="3"/>
    <n v="1"/>
    <d v="2006-07-07T00:00:00"/>
  </r>
  <r>
    <x v="1"/>
    <n v="18989353"/>
    <x v="0"/>
    <d v="2025-12-18T00:00:00"/>
    <x v="0"/>
    <x v="5"/>
    <x v="7"/>
    <m/>
    <n v="9999"/>
    <n v="333.3"/>
    <n v="0"/>
    <n v="0"/>
    <n v="0"/>
    <x v="1"/>
    <n v="19.287671232876711"/>
    <x v="3"/>
    <n v="1"/>
    <d v="2006-09-09T00:00:00"/>
  </r>
  <r>
    <x v="1"/>
    <n v="18989367"/>
    <x v="1"/>
    <d v="2025-12-18T00:00:00"/>
    <x v="0"/>
    <x v="5"/>
    <x v="7"/>
    <m/>
    <n v="9999"/>
    <n v="333.3"/>
    <n v="0"/>
    <n v="0"/>
    <n v="0"/>
    <x v="1"/>
    <n v="18.232876712328768"/>
    <x v="3"/>
    <n v="1"/>
    <d v="2007-09-29T00:00:00"/>
  </r>
  <r>
    <x v="1"/>
    <n v="18989385"/>
    <x v="0"/>
    <d v="2025-12-18T00:00:00"/>
    <x v="0"/>
    <x v="5"/>
    <x v="7"/>
    <m/>
    <n v="9999"/>
    <n v="333.3"/>
    <n v="0"/>
    <n v="0"/>
    <n v="0"/>
    <x v="1"/>
    <n v="20.145205479452056"/>
    <x v="3"/>
    <n v="1"/>
    <d v="2005-10-31T00:00:00"/>
  </r>
  <r>
    <x v="1"/>
    <n v="18989386"/>
    <x v="0"/>
    <d v="2025-12-18T00:00:00"/>
    <x v="0"/>
    <x v="5"/>
    <x v="7"/>
    <d v="2026-03-29T00:00:00"/>
    <n v="101"/>
    <n v="3.3666666666666667"/>
    <n v="0"/>
    <n v="0"/>
    <n v="1"/>
    <x v="1"/>
    <n v="20.775342465753425"/>
    <x v="3"/>
    <n v="1"/>
    <d v="2005-03-15T00:00:00"/>
  </r>
  <r>
    <x v="1"/>
    <n v="18989389"/>
    <x v="0"/>
    <d v="2025-12-18T00:00:00"/>
    <x v="0"/>
    <x v="5"/>
    <x v="7"/>
    <d v="2026-01-18T00:00:00"/>
    <n v="31"/>
    <n v="1.0333333333333334"/>
    <n v="0"/>
    <n v="1"/>
    <n v="1"/>
    <x v="0"/>
    <n v="24.427397260273974"/>
    <x v="2"/>
    <n v="2"/>
    <d v="2001-07-21T00:00:00"/>
  </r>
  <r>
    <x v="1"/>
    <n v="18989390"/>
    <x v="0"/>
    <d v="2025-12-18T00:00:00"/>
    <x v="0"/>
    <x v="5"/>
    <x v="7"/>
    <m/>
    <n v="9999"/>
    <n v="333.3"/>
    <n v="0"/>
    <n v="0"/>
    <n v="0"/>
    <x v="0"/>
    <n v="25.438356164383563"/>
    <x v="2"/>
    <n v="2"/>
    <d v="2000-07-17T00:00:00"/>
  </r>
  <r>
    <x v="1"/>
    <n v="18989403"/>
    <x v="0"/>
    <d v="2025-12-18T00:00:00"/>
    <x v="0"/>
    <x v="5"/>
    <x v="7"/>
    <m/>
    <n v="9999"/>
    <n v="333.3"/>
    <n v="0"/>
    <n v="0"/>
    <n v="0"/>
    <x v="0"/>
    <n v="19.010958904109589"/>
    <x v="3"/>
    <n v="1"/>
    <d v="2006-12-19T00:00:00"/>
  </r>
  <r>
    <x v="1"/>
    <n v="18989418"/>
    <x v="0"/>
    <d v="2025-12-17T00:00:00"/>
    <x v="0"/>
    <x v="5"/>
    <x v="7"/>
    <d v="2026-04-05T00:00:00"/>
    <n v="109"/>
    <n v="3.6333333333333333"/>
    <n v="0"/>
    <n v="0"/>
    <n v="1"/>
    <x v="1"/>
    <n v="19.484931506849314"/>
    <x v="3"/>
    <n v="1"/>
    <d v="2006-06-28T00:00:00"/>
  </r>
  <r>
    <x v="1"/>
    <n v="18989432"/>
    <x v="0"/>
    <d v="2025-12-17T00:00:00"/>
    <x v="0"/>
    <x v="5"/>
    <x v="7"/>
    <d v="2026-04-01T00:00:00"/>
    <n v="105"/>
    <n v="3.5"/>
    <n v="0"/>
    <n v="0"/>
    <n v="1"/>
    <x v="1"/>
    <n v="23.665753424657535"/>
    <x v="2"/>
    <n v="2"/>
    <d v="2002-04-24T00:00:00"/>
  </r>
  <r>
    <x v="1"/>
    <n v="18989442"/>
    <x v="1"/>
    <d v="2025-12-17T00:00:00"/>
    <x v="0"/>
    <x v="5"/>
    <x v="7"/>
    <d v="2026-03-15T00:00:00"/>
    <n v="88"/>
    <n v="2.9333333333333331"/>
    <n v="0"/>
    <n v="1"/>
    <n v="1"/>
    <x v="1"/>
    <n v="19.789041095890411"/>
    <x v="3"/>
    <n v="1"/>
    <d v="2006-03-09T00:00:00"/>
  </r>
  <r>
    <x v="1"/>
    <n v="18989444"/>
    <x v="0"/>
    <d v="2025-12-17T00:00:00"/>
    <x v="0"/>
    <x v="5"/>
    <x v="7"/>
    <d v="2026-06-01T00:00:00"/>
    <n v="166"/>
    <n v="5.5333333333333332"/>
    <n v="0"/>
    <n v="0"/>
    <n v="1"/>
    <x v="1"/>
    <n v="24.358904109589041"/>
    <x v="2"/>
    <n v="2"/>
    <d v="2001-08-14T00:00:00"/>
  </r>
  <r>
    <x v="1"/>
    <n v="18989454"/>
    <x v="0"/>
    <d v="2025-12-17T00:00:00"/>
    <x v="0"/>
    <x v="5"/>
    <x v="7"/>
    <d v="2026-04-18T00:00:00"/>
    <n v="122"/>
    <n v="4.0666666666666664"/>
    <n v="0"/>
    <n v="0"/>
    <n v="1"/>
    <x v="1"/>
    <n v="24.726027397260275"/>
    <x v="2"/>
    <n v="2"/>
    <d v="2001-04-02T00:00:00"/>
  </r>
  <r>
    <x v="1"/>
    <n v="18989456"/>
    <x v="0"/>
    <d v="2025-12-17T00:00:00"/>
    <x v="0"/>
    <x v="5"/>
    <x v="7"/>
    <d v="2026-02-15T00:00:00"/>
    <n v="60"/>
    <n v="2"/>
    <n v="0"/>
    <n v="1"/>
    <n v="1"/>
    <x v="1"/>
    <n v="20.936986301369863"/>
    <x v="3"/>
    <n v="1"/>
    <d v="2005-01-14T00:00:00"/>
  </r>
  <r>
    <x v="1"/>
    <n v="18989459"/>
    <x v="0"/>
    <d v="2025-12-17T00:00:00"/>
    <x v="0"/>
    <x v="5"/>
    <x v="7"/>
    <m/>
    <n v="9999"/>
    <n v="333.3"/>
    <n v="0"/>
    <n v="0"/>
    <n v="0"/>
    <x v="1"/>
    <n v="18.399999999999999"/>
    <x v="3"/>
    <n v="1"/>
    <d v="2007-07-29T00:00:00"/>
  </r>
  <r>
    <x v="1"/>
    <n v="18989583"/>
    <x v="0"/>
    <d v="2025-12-18T00:00:00"/>
    <x v="0"/>
    <x v="5"/>
    <x v="7"/>
    <m/>
    <n v="9999"/>
    <n v="333.3"/>
    <n v="0"/>
    <n v="0"/>
    <n v="0"/>
    <x v="1"/>
    <n v="22.358904109589041"/>
    <x v="2"/>
    <n v="2"/>
    <d v="2003-08-15T00:00:00"/>
  </r>
  <r>
    <x v="1"/>
    <n v="18989593"/>
    <x v="0"/>
    <d v="2025-12-18T00:00:00"/>
    <x v="0"/>
    <x v="5"/>
    <x v="7"/>
    <d v="2026-05-31T00:00:00"/>
    <n v="164"/>
    <n v="5.4666666666666668"/>
    <n v="0"/>
    <n v="0"/>
    <n v="1"/>
    <x v="1"/>
    <n v="20.663013698630138"/>
    <x v="3"/>
    <n v="1"/>
    <d v="2005-04-25T00:00:00"/>
  </r>
  <r>
    <x v="1"/>
    <n v="18989607"/>
    <x v="1"/>
    <d v="2025-12-17T00:00:00"/>
    <x v="0"/>
    <x v="5"/>
    <x v="7"/>
    <d v="2026-02-17T00:00:00"/>
    <n v="62"/>
    <n v="2.0666666666666669"/>
    <n v="0"/>
    <n v="1"/>
    <n v="1"/>
    <x v="1"/>
    <n v="18.273972602739725"/>
    <x v="3"/>
    <n v="1"/>
    <d v="2007-09-13T00:00:00"/>
  </r>
  <r>
    <x v="1"/>
    <n v="18989608"/>
    <x v="1"/>
    <d v="2025-12-17T00:00:00"/>
    <x v="0"/>
    <x v="5"/>
    <x v="7"/>
    <d v="2026-03-08T00:00:00"/>
    <n v="81"/>
    <n v="2.7"/>
    <n v="0"/>
    <n v="1"/>
    <n v="1"/>
    <x v="1"/>
    <n v="20.427397260273974"/>
    <x v="3"/>
    <n v="1"/>
    <d v="2005-07-19T00:00:00"/>
  </r>
  <r>
    <x v="0"/>
    <n v="18989668"/>
    <x v="0"/>
    <d v="2025-12-17T00:00:00"/>
    <x v="0"/>
    <x v="5"/>
    <x v="7"/>
    <m/>
    <n v="9999"/>
    <n v="333.3"/>
    <n v="0"/>
    <n v="0"/>
    <n v="0"/>
    <x v="1"/>
    <n v="23.150684931506849"/>
    <x v="2"/>
    <n v="2"/>
    <d v="2002-10-29T00:00:00"/>
  </r>
  <r>
    <x v="1"/>
    <n v="18989709"/>
    <x v="0"/>
    <d v="2025-12-19T00:00:00"/>
    <x v="0"/>
    <x v="5"/>
    <x v="7"/>
    <m/>
    <n v="9999"/>
    <n v="333.3"/>
    <n v="0"/>
    <n v="0"/>
    <n v="0"/>
    <x v="0"/>
    <n v="20.419178082191781"/>
    <x v="3"/>
    <n v="1"/>
    <d v="2005-07-24T00:00:00"/>
  </r>
  <r>
    <x v="0"/>
    <n v="18989710"/>
    <x v="1"/>
    <d v="2025-12-19T00:00:00"/>
    <x v="0"/>
    <x v="5"/>
    <x v="7"/>
    <m/>
    <n v="9999"/>
    <n v="333.3"/>
    <n v="0"/>
    <n v="0"/>
    <n v="0"/>
    <x v="0"/>
    <n v="18.852054794520548"/>
    <x v="3"/>
    <n v="1"/>
    <d v="2007-02-16T00:00:00"/>
  </r>
  <r>
    <x v="1"/>
    <n v="18989788"/>
    <x v="1"/>
    <d v="2026-03-17T00:00:00"/>
    <x v="1"/>
    <x v="0"/>
    <x v="5"/>
    <d v="2026-03-31T00:00:00"/>
    <n v="14"/>
    <n v="0.46666666666666667"/>
    <n v="1"/>
    <n v="1"/>
    <n v="1"/>
    <x v="1"/>
    <n v="20.134246575342466"/>
    <x v="3"/>
    <n v="1"/>
    <d v="2006-02-01T00:00:00"/>
  </r>
  <r>
    <x v="1"/>
    <n v="18989828"/>
    <x v="0"/>
    <d v="2025-12-19T00:00:00"/>
    <x v="0"/>
    <x v="5"/>
    <x v="7"/>
    <d v="2026-02-01T00:00:00"/>
    <n v="44"/>
    <n v="1.4666666666666666"/>
    <n v="0"/>
    <n v="1"/>
    <n v="1"/>
    <x v="1"/>
    <n v="21.63013698630137"/>
    <x v="2"/>
    <n v="2"/>
    <d v="2004-05-08T00:00:00"/>
  </r>
  <r>
    <x v="1"/>
    <n v="18989854"/>
    <x v="1"/>
    <d v="2025-12-19T00:00:00"/>
    <x v="0"/>
    <x v="5"/>
    <x v="7"/>
    <d v="2026-04-01T00:00:00"/>
    <n v="103"/>
    <n v="3.4333333333333331"/>
    <n v="0"/>
    <n v="0"/>
    <n v="1"/>
    <x v="1"/>
    <n v="18.463013698630139"/>
    <x v="3"/>
    <n v="1"/>
    <d v="2007-07-08T00:00:00"/>
  </r>
  <r>
    <x v="1"/>
    <n v="18989855"/>
    <x v="0"/>
    <d v="2025-12-19T00:00:00"/>
    <x v="0"/>
    <x v="5"/>
    <x v="7"/>
    <m/>
    <n v="9999"/>
    <n v="333.3"/>
    <n v="0"/>
    <n v="0"/>
    <n v="0"/>
    <x v="1"/>
    <n v="19.44109589041096"/>
    <x v="3"/>
    <n v="1"/>
    <d v="2006-07-16T00:00:00"/>
  </r>
  <r>
    <x v="1"/>
    <n v="18989859"/>
    <x v="0"/>
    <d v="2025-12-19T00:00:00"/>
    <x v="0"/>
    <x v="5"/>
    <x v="7"/>
    <m/>
    <n v="9999"/>
    <n v="333.3"/>
    <n v="0"/>
    <n v="0"/>
    <n v="0"/>
    <x v="1"/>
    <n v="21.372602739726027"/>
    <x v="2"/>
    <n v="2"/>
    <d v="2004-08-10T00:00:00"/>
  </r>
  <r>
    <x v="1"/>
    <n v="18989866"/>
    <x v="0"/>
    <d v="2025-12-19T00:00:00"/>
    <x v="0"/>
    <x v="5"/>
    <x v="7"/>
    <m/>
    <n v="9999"/>
    <n v="333.3"/>
    <n v="0"/>
    <n v="0"/>
    <n v="0"/>
    <x v="1"/>
    <n v="20.709589041095889"/>
    <x v="3"/>
    <n v="1"/>
    <d v="2005-04-09T00:00:00"/>
  </r>
  <r>
    <x v="1"/>
    <n v="18989891"/>
    <x v="0"/>
    <d v="2025-12-19T00:00:00"/>
    <x v="0"/>
    <x v="5"/>
    <x v="7"/>
    <m/>
    <n v="9999"/>
    <n v="333.3"/>
    <n v="0"/>
    <n v="0"/>
    <n v="0"/>
    <x v="1"/>
    <n v="19.090410958904108"/>
    <x v="3"/>
    <n v="1"/>
    <d v="2006-11-21T00:00:00"/>
  </r>
  <r>
    <x v="1"/>
    <n v="18989928"/>
    <x v="0"/>
    <d v="2025-12-19T00:00:00"/>
    <x v="0"/>
    <x v="5"/>
    <x v="7"/>
    <m/>
    <n v="9999"/>
    <n v="333.3"/>
    <n v="0"/>
    <n v="0"/>
    <n v="0"/>
    <x v="1"/>
    <n v="19.156164383561645"/>
    <x v="3"/>
    <n v="1"/>
    <d v="2006-10-28T00:00:00"/>
  </r>
  <r>
    <x v="1"/>
    <n v="18989931"/>
    <x v="0"/>
    <d v="2025-12-19T00:00:00"/>
    <x v="0"/>
    <x v="5"/>
    <x v="7"/>
    <d v="2026-04-30T00:00:00"/>
    <n v="132"/>
    <n v="4.4000000000000004"/>
    <n v="0"/>
    <n v="0"/>
    <n v="1"/>
    <x v="1"/>
    <n v="18.18904109589041"/>
    <x v="3"/>
    <n v="1"/>
    <d v="2007-10-16T00:00:00"/>
  </r>
  <r>
    <x v="1"/>
    <n v="18989932"/>
    <x v="0"/>
    <d v="2025-12-19T00:00:00"/>
    <x v="0"/>
    <x v="5"/>
    <x v="7"/>
    <d v="2026-02-10T00:00:00"/>
    <n v="53"/>
    <n v="1.7666666666666666"/>
    <n v="0"/>
    <n v="1"/>
    <n v="1"/>
    <x v="1"/>
    <n v="18.893150684931506"/>
    <x v="3"/>
    <n v="1"/>
    <d v="2007-02-01T00:00:00"/>
  </r>
  <r>
    <x v="1"/>
    <n v="18989935"/>
    <x v="1"/>
    <d v="2025-12-19T00:00:00"/>
    <x v="0"/>
    <x v="5"/>
    <x v="7"/>
    <d v="2026-02-01T00:00:00"/>
    <n v="44"/>
    <n v="1.4666666666666666"/>
    <n v="0"/>
    <n v="1"/>
    <n v="1"/>
    <x v="1"/>
    <n v="19.246575342465754"/>
    <x v="3"/>
    <n v="1"/>
    <d v="2006-09-25T00:00:00"/>
  </r>
  <r>
    <x v="1"/>
    <n v="18989964"/>
    <x v="0"/>
    <d v="2025-12-19T00:00:00"/>
    <x v="0"/>
    <x v="5"/>
    <x v="7"/>
    <d v="2026-03-29T00:00:00"/>
    <n v="100"/>
    <n v="3.3333333333333335"/>
    <n v="0"/>
    <n v="0"/>
    <n v="1"/>
    <x v="1"/>
    <n v="22.531506849315068"/>
    <x v="2"/>
    <n v="2"/>
    <d v="2003-06-14T00:00:00"/>
  </r>
  <r>
    <x v="1"/>
    <n v="18990122"/>
    <x v="0"/>
    <d v="2025-12-19T00:00:00"/>
    <x v="0"/>
    <x v="5"/>
    <x v="7"/>
    <d v="2026-05-01T00:00:00"/>
    <n v="133"/>
    <n v="4.4333333333333336"/>
    <n v="0"/>
    <n v="0"/>
    <n v="1"/>
    <x v="0"/>
    <n v="18.805479452054794"/>
    <x v="3"/>
    <n v="1"/>
    <d v="2007-03-05T00:00:00"/>
  </r>
  <r>
    <x v="1"/>
    <n v="18990130"/>
    <x v="0"/>
    <d v="2025-12-19T00:00:00"/>
    <x v="0"/>
    <x v="5"/>
    <x v="7"/>
    <d v="2026-02-15T00:00:00"/>
    <n v="58"/>
    <n v="1.9333333333333333"/>
    <n v="0"/>
    <n v="1"/>
    <n v="1"/>
    <x v="0"/>
    <n v="21.747945205479454"/>
    <x v="2"/>
    <n v="2"/>
    <d v="2004-03-26T00:00:00"/>
  </r>
  <r>
    <x v="1"/>
    <n v="18990191"/>
    <x v="0"/>
    <d v="2025-12-20T00:00:00"/>
    <x v="0"/>
    <x v="5"/>
    <x v="7"/>
    <m/>
    <n v="9999"/>
    <n v="333.3"/>
    <n v="0"/>
    <n v="0"/>
    <n v="0"/>
    <x v="0"/>
    <n v="20.82191780821918"/>
    <x v="3"/>
    <n v="1"/>
    <d v="2005-02-28T00:00:00"/>
  </r>
  <r>
    <x v="1"/>
    <n v="18990192"/>
    <x v="0"/>
    <d v="2025-12-20T00:00:00"/>
    <x v="0"/>
    <x v="5"/>
    <x v="7"/>
    <m/>
    <n v="9999"/>
    <n v="333.3"/>
    <n v="0"/>
    <n v="0"/>
    <n v="0"/>
    <x v="0"/>
    <n v="19.221917808219178"/>
    <x v="3"/>
    <n v="1"/>
    <d v="2006-10-05T00:00:00"/>
  </r>
  <r>
    <x v="1"/>
    <n v="18990202"/>
    <x v="0"/>
    <d v="2025-12-20T00:00:00"/>
    <x v="0"/>
    <x v="5"/>
    <x v="7"/>
    <m/>
    <n v="9999"/>
    <n v="333.3"/>
    <n v="0"/>
    <n v="0"/>
    <n v="0"/>
    <x v="1"/>
    <n v="18.534246575342465"/>
    <x v="3"/>
    <n v="1"/>
    <d v="2007-06-13T00:00:00"/>
  </r>
  <r>
    <x v="1"/>
    <n v="18990215"/>
    <x v="0"/>
    <d v="2025-12-20T00:00:00"/>
    <x v="0"/>
    <x v="5"/>
    <x v="7"/>
    <d v="2026-03-01T00:00:00"/>
    <n v="71"/>
    <n v="2.3666666666666667"/>
    <n v="0"/>
    <n v="1"/>
    <n v="1"/>
    <x v="1"/>
    <n v="18.142465753424659"/>
    <x v="3"/>
    <n v="1"/>
    <d v="2007-11-03T00:00:00"/>
  </r>
  <r>
    <x v="1"/>
    <n v="18990217"/>
    <x v="0"/>
    <d v="2025-12-20T00:00:00"/>
    <x v="0"/>
    <x v="5"/>
    <x v="7"/>
    <d v="2026-05-31T00:00:00"/>
    <n v="162"/>
    <n v="5.4"/>
    <n v="0"/>
    <n v="0"/>
    <n v="1"/>
    <x v="1"/>
    <n v="23.084931506849315"/>
    <x v="2"/>
    <n v="2"/>
    <d v="2002-11-25T00:00:00"/>
  </r>
  <r>
    <x v="1"/>
    <n v="18990223"/>
    <x v="0"/>
    <d v="2025-12-20T00:00:00"/>
    <x v="0"/>
    <x v="5"/>
    <x v="7"/>
    <d v="2026-02-04T00:00:00"/>
    <n v="46"/>
    <n v="1.5333333333333334"/>
    <n v="0"/>
    <n v="1"/>
    <n v="1"/>
    <x v="1"/>
    <n v="20.254794520547946"/>
    <x v="3"/>
    <n v="1"/>
    <d v="2005-09-23T00:00:00"/>
  </r>
  <r>
    <x v="1"/>
    <n v="18990311"/>
    <x v="0"/>
    <d v="2025-12-19T00:00:00"/>
    <x v="0"/>
    <x v="5"/>
    <x v="7"/>
    <m/>
    <n v="9999"/>
    <n v="333.3"/>
    <n v="0"/>
    <n v="0"/>
    <n v="0"/>
    <x v="1"/>
    <n v="30.013698630136986"/>
    <x v="1"/>
    <n v="3"/>
    <d v="1995-12-22T00:00:00"/>
  </r>
  <r>
    <x v="1"/>
    <n v="18990333"/>
    <x v="1"/>
    <d v="2025-12-22T00:00:00"/>
    <x v="0"/>
    <x v="5"/>
    <x v="7"/>
    <d v="2026-01-02T00:00:00"/>
    <n v="11"/>
    <n v="0.36666666666666664"/>
    <n v="1"/>
    <n v="1"/>
    <n v="1"/>
    <x v="1"/>
    <n v="23.142465753424659"/>
    <x v="2"/>
    <n v="2"/>
    <d v="2002-11-06T00:00:00"/>
  </r>
  <r>
    <x v="1"/>
    <n v="18990358"/>
    <x v="1"/>
    <d v="2025-12-22T00:00:00"/>
    <x v="0"/>
    <x v="5"/>
    <x v="7"/>
    <m/>
    <n v="9999"/>
    <n v="333.3"/>
    <n v="0"/>
    <n v="0"/>
    <n v="0"/>
    <x v="1"/>
    <n v="23.271232876712329"/>
    <x v="2"/>
    <n v="2"/>
    <d v="2002-09-20T00:00:00"/>
  </r>
  <r>
    <x v="1"/>
    <n v="18990359"/>
    <x v="1"/>
    <d v="2025-12-22T00:00:00"/>
    <x v="0"/>
    <x v="5"/>
    <x v="7"/>
    <d v="2026-02-02T00:00:00"/>
    <n v="42"/>
    <n v="1.4"/>
    <n v="0"/>
    <n v="1"/>
    <n v="1"/>
    <x v="1"/>
    <n v="31.213698630136985"/>
    <x v="0"/>
    <n v="4"/>
    <d v="1994-10-13T00:00:00"/>
  </r>
  <r>
    <x v="1"/>
    <n v="18990362"/>
    <x v="0"/>
    <d v="2025-12-22T00:00:00"/>
    <x v="0"/>
    <x v="5"/>
    <x v="7"/>
    <d v="2026-02-01T00:00:00"/>
    <n v="41"/>
    <n v="1.3666666666666667"/>
    <n v="0"/>
    <n v="1"/>
    <n v="1"/>
    <x v="1"/>
    <n v="19.394520547945206"/>
    <x v="3"/>
    <n v="1"/>
    <d v="2006-08-05T00:00:00"/>
  </r>
  <r>
    <x v="1"/>
    <n v="18990364"/>
    <x v="1"/>
    <d v="2025-12-22T00:00:00"/>
    <x v="0"/>
    <x v="5"/>
    <x v="7"/>
    <m/>
    <n v="9999"/>
    <n v="333.3"/>
    <n v="0"/>
    <n v="0"/>
    <n v="0"/>
    <x v="1"/>
    <n v="18.487671232876714"/>
    <x v="3"/>
    <n v="1"/>
    <d v="2007-07-02T00:00:00"/>
  </r>
  <r>
    <x v="1"/>
    <n v="18990365"/>
    <x v="0"/>
    <d v="2025-12-22T00:00:00"/>
    <x v="0"/>
    <x v="5"/>
    <x v="7"/>
    <d v="2026-01-15T00:00:00"/>
    <n v="24"/>
    <n v="0.8"/>
    <n v="1"/>
    <n v="1"/>
    <n v="1"/>
    <x v="1"/>
    <n v="24.726027397260275"/>
    <x v="2"/>
    <n v="2"/>
    <d v="2001-04-07T00:00:00"/>
  </r>
  <r>
    <x v="1"/>
    <n v="18990366"/>
    <x v="1"/>
    <d v="2025-12-22T00:00:00"/>
    <x v="0"/>
    <x v="5"/>
    <x v="7"/>
    <d v="2026-02-28T00:00:00"/>
    <n v="68"/>
    <n v="2.2666666666666666"/>
    <n v="0"/>
    <n v="1"/>
    <n v="1"/>
    <x v="1"/>
    <n v="19.115068493150684"/>
    <x v="3"/>
    <n v="1"/>
    <d v="2006-11-15T00:00:00"/>
  </r>
  <r>
    <x v="1"/>
    <n v="18990367"/>
    <x v="0"/>
    <d v="2025-12-22T00:00:00"/>
    <x v="0"/>
    <x v="5"/>
    <x v="7"/>
    <m/>
    <n v="9999"/>
    <n v="333.3"/>
    <n v="0"/>
    <n v="0"/>
    <n v="0"/>
    <x v="1"/>
    <n v="18.205479452054796"/>
    <x v="3"/>
    <n v="1"/>
    <d v="2007-10-13T00:00:00"/>
  </r>
  <r>
    <x v="1"/>
    <n v="18990386"/>
    <x v="1"/>
    <d v="2025-12-22T00:00:00"/>
    <x v="0"/>
    <x v="5"/>
    <x v="7"/>
    <d v="2026-03-31T00:00:00"/>
    <n v="99"/>
    <n v="3.3"/>
    <n v="0"/>
    <n v="0"/>
    <n v="1"/>
    <x v="0"/>
    <n v="18.717808219178082"/>
    <x v="3"/>
    <n v="1"/>
    <d v="2007-04-09T00:00:00"/>
  </r>
  <r>
    <x v="1"/>
    <n v="18990388"/>
    <x v="0"/>
    <d v="2025-12-22T00:00:00"/>
    <x v="0"/>
    <x v="5"/>
    <x v="7"/>
    <m/>
    <n v="9999"/>
    <n v="333.3"/>
    <n v="0"/>
    <n v="0"/>
    <n v="0"/>
    <x v="1"/>
    <n v="33.56986301369863"/>
    <x v="0"/>
    <n v="4"/>
    <d v="1992-06-05T00:00:00"/>
  </r>
  <r>
    <x v="1"/>
    <n v="18990395"/>
    <x v="0"/>
    <d v="2025-12-22T00:00:00"/>
    <x v="0"/>
    <x v="5"/>
    <x v="7"/>
    <m/>
    <n v="9999"/>
    <n v="333.3"/>
    <n v="0"/>
    <n v="0"/>
    <n v="0"/>
    <x v="1"/>
    <n v="20.978082191780821"/>
    <x v="3"/>
    <n v="1"/>
    <d v="2005-01-04T00:00:00"/>
  </r>
  <r>
    <x v="1"/>
    <n v="18990406"/>
    <x v="0"/>
    <d v="2025-12-22T00:00:00"/>
    <x v="0"/>
    <x v="5"/>
    <x v="7"/>
    <d v="2026-04-01T00:00:00"/>
    <n v="100"/>
    <n v="3.3333333333333335"/>
    <n v="0"/>
    <n v="0"/>
    <n v="1"/>
    <x v="1"/>
    <n v="33.736986301369861"/>
    <x v="0"/>
    <n v="4"/>
    <d v="1992-04-05T00:00:00"/>
  </r>
  <r>
    <x v="1"/>
    <n v="18990450"/>
    <x v="0"/>
    <d v="2025-12-22T00:00:00"/>
    <x v="0"/>
    <x v="5"/>
    <x v="7"/>
    <d v="2026-03-02T00:00:00"/>
    <n v="70"/>
    <n v="2.3333333333333335"/>
    <n v="0"/>
    <n v="1"/>
    <n v="1"/>
    <x v="0"/>
    <n v="21.098630136986301"/>
    <x v="2"/>
    <n v="2"/>
    <d v="2004-11-21T00:00:00"/>
  </r>
  <r>
    <x v="0"/>
    <n v="18990655"/>
    <x v="0"/>
    <d v="2025-12-16T00:00:00"/>
    <x v="0"/>
    <x v="5"/>
    <x v="7"/>
    <d v="2026-02-28T00:00:00"/>
    <n v="74"/>
    <n v="2.4666666666666668"/>
    <n v="0"/>
    <n v="1"/>
    <n v="1"/>
    <x v="1"/>
    <n v="20.032876712328768"/>
    <x v="3"/>
    <n v="1"/>
    <d v="2005-12-09T00:00:00"/>
  </r>
  <r>
    <x v="1"/>
    <n v="18990737"/>
    <x v="0"/>
    <d v="2026-03-25T00:00:00"/>
    <x v="1"/>
    <x v="0"/>
    <x v="5"/>
    <m/>
    <n v="9999"/>
    <n v="333.3"/>
    <n v="0"/>
    <n v="0"/>
    <n v="0"/>
    <x v="1"/>
    <n v="18.961643835616439"/>
    <x v="3"/>
    <n v="1"/>
    <d v="2007-04-13T00:00:00"/>
  </r>
  <r>
    <x v="1"/>
    <n v="18990809"/>
    <x v="1"/>
    <d v="2025-12-23T00:00:00"/>
    <x v="0"/>
    <x v="5"/>
    <x v="7"/>
    <m/>
    <n v="9999"/>
    <n v="333.3"/>
    <n v="0"/>
    <n v="0"/>
    <n v="0"/>
    <x v="1"/>
    <n v="22.726027397260275"/>
    <x v="2"/>
    <n v="2"/>
    <d v="2003-04-08T00:00:00"/>
  </r>
  <r>
    <x v="1"/>
    <n v="18990810"/>
    <x v="0"/>
    <d v="2025-12-23T00:00:00"/>
    <x v="0"/>
    <x v="5"/>
    <x v="7"/>
    <d v="2026-02-16T00:00:00"/>
    <n v="55"/>
    <n v="1.8333333333333333"/>
    <n v="0"/>
    <n v="1"/>
    <n v="1"/>
    <x v="1"/>
    <n v="21.476712328767125"/>
    <x v="2"/>
    <n v="2"/>
    <d v="2004-07-07T00:00:00"/>
  </r>
  <r>
    <x v="1"/>
    <n v="18990811"/>
    <x v="0"/>
    <d v="2025-12-23T00:00:00"/>
    <x v="0"/>
    <x v="5"/>
    <x v="7"/>
    <d v="2026-03-31T00:00:00"/>
    <n v="98"/>
    <n v="3.2666666666666666"/>
    <n v="0"/>
    <n v="0"/>
    <n v="1"/>
    <x v="1"/>
    <n v="18.150684931506849"/>
    <x v="3"/>
    <n v="1"/>
    <d v="2007-11-03T00:00:00"/>
  </r>
  <r>
    <x v="1"/>
    <n v="18990822"/>
    <x v="0"/>
    <d v="2025-12-23T00:00:00"/>
    <x v="0"/>
    <x v="5"/>
    <x v="7"/>
    <m/>
    <n v="9999"/>
    <n v="333.3"/>
    <n v="0"/>
    <n v="0"/>
    <n v="0"/>
    <x v="1"/>
    <n v="21.30958904109589"/>
    <x v="2"/>
    <n v="2"/>
    <d v="2004-09-06T00:00:00"/>
  </r>
  <r>
    <x v="1"/>
    <n v="18990824"/>
    <x v="1"/>
    <d v="2025-12-23T00:00:00"/>
    <x v="0"/>
    <x v="5"/>
    <x v="7"/>
    <d v="2026-03-16T00:00:00"/>
    <n v="83"/>
    <n v="2.7666666666666666"/>
    <n v="0"/>
    <n v="1"/>
    <n v="1"/>
    <x v="1"/>
    <n v="23.109589041095891"/>
    <x v="2"/>
    <n v="2"/>
    <d v="2002-11-19T00:00:00"/>
  </r>
  <r>
    <x v="1"/>
    <n v="18990836"/>
    <x v="0"/>
    <d v="2025-12-23T00:00:00"/>
    <x v="0"/>
    <x v="5"/>
    <x v="7"/>
    <m/>
    <n v="9999"/>
    <n v="333.3"/>
    <n v="0"/>
    <n v="0"/>
    <n v="0"/>
    <x v="1"/>
    <n v="22.416438356164385"/>
    <x v="2"/>
    <n v="2"/>
    <d v="2003-07-30T00:00:00"/>
  </r>
  <r>
    <x v="1"/>
    <n v="18990841"/>
    <x v="0"/>
    <d v="2025-12-23T00:00:00"/>
    <x v="0"/>
    <x v="5"/>
    <x v="7"/>
    <d v="2026-02-01T00:00:00"/>
    <n v="40"/>
    <n v="1.3333333333333333"/>
    <n v="0"/>
    <n v="1"/>
    <n v="1"/>
    <x v="1"/>
    <n v="22.657534246575342"/>
    <x v="2"/>
    <n v="2"/>
    <d v="2003-05-03T00:00:00"/>
  </r>
  <r>
    <x v="1"/>
    <n v="18990921"/>
    <x v="0"/>
    <d v="2025-12-23T00:00:00"/>
    <x v="0"/>
    <x v="5"/>
    <x v="7"/>
    <m/>
    <n v="9999"/>
    <n v="333.3"/>
    <n v="0"/>
    <n v="0"/>
    <n v="0"/>
    <x v="1"/>
    <n v="21.049315068493151"/>
    <x v="2"/>
    <n v="2"/>
    <d v="2004-12-10T00:00:00"/>
  </r>
  <r>
    <x v="1"/>
    <n v="18990959"/>
    <x v="0"/>
    <d v="2025-12-24T00:00:00"/>
    <x v="0"/>
    <x v="5"/>
    <x v="7"/>
    <d v="2026-04-01T00:00:00"/>
    <n v="98"/>
    <n v="3.2666666666666666"/>
    <n v="0"/>
    <n v="0"/>
    <n v="1"/>
    <x v="1"/>
    <n v="18.832876712328765"/>
    <x v="3"/>
    <n v="1"/>
    <d v="2007-02-28T00:00:00"/>
  </r>
  <r>
    <x v="1"/>
    <n v="18990960"/>
    <x v="1"/>
    <d v="2025-12-24T00:00:00"/>
    <x v="0"/>
    <x v="5"/>
    <x v="7"/>
    <m/>
    <n v="9999"/>
    <n v="333.3"/>
    <n v="0"/>
    <n v="0"/>
    <n v="0"/>
    <x v="1"/>
    <n v="24.109589041095891"/>
    <x v="2"/>
    <n v="2"/>
    <d v="2001-11-20T00:00:00"/>
  </r>
  <r>
    <x v="1"/>
    <n v="18990961"/>
    <x v="0"/>
    <d v="2025-12-24T00:00:00"/>
    <x v="0"/>
    <x v="5"/>
    <x v="7"/>
    <d v="2026-03-31T00:00:00"/>
    <n v="97"/>
    <n v="3.2333333333333334"/>
    <n v="0"/>
    <n v="0"/>
    <n v="1"/>
    <x v="1"/>
    <n v="18.838356164383562"/>
    <x v="3"/>
    <n v="1"/>
    <d v="2007-02-26T00:00:00"/>
  </r>
  <r>
    <x v="1"/>
    <n v="18991028"/>
    <x v="0"/>
    <d v="2025-12-24T00:00:00"/>
    <x v="0"/>
    <x v="5"/>
    <x v="7"/>
    <d v="2026-04-05T00:00:00"/>
    <n v="102"/>
    <n v="3.4"/>
    <n v="0"/>
    <n v="0"/>
    <n v="1"/>
    <x v="1"/>
    <n v="20.13150684931507"/>
    <x v="3"/>
    <n v="1"/>
    <d v="2005-11-11T00:00:00"/>
  </r>
  <r>
    <x v="1"/>
    <n v="18991029"/>
    <x v="0"/>
    <d v="2025-12-24T00:00:00"/>
    <x v="0"/>
    <x v="5"/>
    <x v="7"/>
    <d v="2026-03-15T00:00:00"/>
    <n v="81"/>
    <n v="2.7"/>
    <n v="0"/>
    <n v="1"/>
    <n v="1"/>
    <x v="1"/>
    <n v="20.087671232876712"/>
    <x v="3"/>
    <n v="1"/>
    <d v="2005-11-27T00:00:00"/>
  </r>
  <r>
    <x v="1"/>
    <n v="18991054"/>
    <x v="0"/>
    <d v="2025-12-24T00:00:00"/>
    <x v="0"/>
    <x v="5"/>
    <x v="7"/>
    <d v="2026-02-08T00:00:00"/>
    <n v="46"/>
    <n v="1.5333333333333334"/>
    <n v="0"/>
    <n v="1"/>
    <n v="1"/>
    <x v="1"/>
    <n v="20.438356164383563"/>
    <x v="3"/>
    <n v="1"/>
    <d v="2005-07-22T00:00:00"/>
  </r>
  <r>
    <x v="1"/>
    <n v="18991063"/>
    <x v="0"/>
    <d v="2025-12-24T00:00:00"/>
    <x v="0"/>
    <x v="5"/>
    <x v="7"/>
    <d v="2026-03-31T00:00:00"/>
    <n v="97"/>
    <n v="3.2333333333333334"/>
    <n v="0"/>
    <n v="0"/>
    <n v="1"/>
    <x v="1"/>
    <n v="19.506849315068493"/>
    <x v="3"/>
    <n v="1"/>
    <d v="2006-06-27T00:00:00"/>
  </r>
  <r>
    <x v="1"/>
    <n v="18991064"/>
    <x v="1"/>
    <d v="2025-12-24T00:00:00"/>
    <x v="0"/>
    <x v="5"/>
    <x v="7"/>
    <d v="2026-01-01T00:00:00"/>
    <n v="8"/>
    <n v="0.26666666666666666"/>
    <n v="1"/>
    <n v="1"/>
    <n v="1"/>
    <x v="1"/>
    <n v="21.638356164383563"/>
    <x v="2"/>
    <n v="2"/>
    <d v="2004-05-10T00:00:00"/>
  </r>
  <r>
    <x v="1"/>
    <n v="18991220"/>
    <x v="0"/>
    <d v="2025-12-26T00:00:00"/>
    <x v="0"/>
    <x v="5"/>
    <x v="7"/>
    <d v="2026-01-01T00:00:00"/>
    <n v="6"/>
    <n v="0.2"/>
    <n v="1"/>
    <n v="1"/>
    <n v="1"/>
    <x v="1"/>
    <n v="20.646575342465752"/>
    <x v="3"/>
    <n v="1"/>
    <d v="2005-05-09T00:00:00"/>
  </r>
  <r>
    <x v="1"/>
    <n v="18991221"/>
    <x v="0"/>
    <d v="2025-12-26T00:00:00"/>
    <x v="0"/>
    <x v="5"/>
    <x v="7"/>
    <d v="2026-03-03T00:00:00"/>
    <n v="67"/>
    <n v="2.2333333333333334"/>
    <n v="0"/>
    <n v="1"/>
    <n v="1"/>
    <x v="1"/>
    <n v="20.463013698630139"/>
    <x v="3"/>
    <n v="1"/>
    <d v="2005-07-15T00:00:00"/>
  </r>
  <r>
    <x v="1"/>
    <n v="18991239"/>
    <x v="1"/>
    <d v="2025-12-26T00:00:00"/>
    <x v="0"/>
    <x v="5"/>
    <x v="7"/>
    <d v="2026-03-31T00:00:00"/>
    <n v="95"/>
    <n v="3.1666666666666665"/>
    <n v="0"/>
    <n v="0"/>
    <n v="1"/>
    <x v="1"/>
    <n v="18.358904109589041"/>
    <x v="3"/>
    <n v="1"/>
    <d v="2007-08-22T00:00:00"/>
  </r>
  <r>
    <x v="1"/>
    <n v="18991259"/>
    <x v="0"/>
    <d v="2025-12-26T00:00:00"/>
    <x v="0"/>
    <x v="5"/>
    <x v="7"/>
    <d v="2026-02-01T00:00:00"/>
    <n v="37"/>
    <n v="1.2333333333333334"/>
    <n v="0"/>
    <n v="1"/>
    <n v="1"/>
    <x v="1"/>
    <n v="18.109589041095891"/>
    <x v="3"/>
    <n v="1"/>
    <d v="2007-11-21T00:00:00"/>
  </r>
  <r>
    <x v="1"/>
    <n v="18991281"/>
    <x v="1"/>
    <d v="2025-12-26T00:00:00"/>
    <x v="0"/>
    <x v="5"/>
    <x v="7"/>
    <d v="2026-03-20T00:00:00"/>
    <n v="84"/>
    <n v="2.8"/>
    <n v="0"/>
    <n v="1"/>
    <n v="1"/>
    <x v="1"/>
    <n v="24.397260273972602"/>
    <x v="2"/>
    <n v="2"/>
    <d v="2001-08-09T00:00:00"/>
  </r>
  <r>
    <x v="1"/>
    <n v="18991340"/>
    <x v="0"/>
    <d v="2025-12-26T00:00:00"/>
    <x v="0"/>
    <x v="5"/>
    <x v="7"/>
    <m/>
    <n v="9999"/>
    <n v="333.3"/>
    <n v="0"/>
    <n v="0"/>
    <n v="0"/>
    <x v="1"/>
    <n v="18.06027397260274"/>
    <x v="3"/>
    <n v="1"/>
    <d v="2007-12-09T00:00:00"/>
  </r>
  <r>
    <x v="1"/>
    <n v="18991456"/>
    <x v="0"/>
    <d v="2025-12-26T00:00:00"/>
    <x v="0"/>
    <x v="5"/>
    <x v="7"/>
    <m/>
    <n v="9999"/>
    <n v="333.3"/>
    <n v="0"/>
    <n v="0"/>
    <n v="0"/>
    <x v="1"/>
    <n v="18.208219178082192"/>
    <x v="3"/>
    <n v="1"/>
    <d v="2007-10-16T00:00:00"/>
  </r>
  <r>
    <x v="1"/>
    <n v="18991457"/>
    <x v="1"/>
    <d v="2025-12-26T00:00:00"/>
    <x v="0"/>
    <x v="5"/>
    <x v="7"/>
    <d v="2026-01-21T00:00:00"/>
    <n v="26"/>
    <n v="0.8666666666666667"/>
    <n v="1"/>
    <n v="1"/>
    <n v="1"/>
    <x v="1"/>
    <n v="26.372602739726027"/>
    <x v="1"/>
    <n v="3"/>
    <d v="1999-08-19T00:00:00"/>
  </r>
  <r>
    <x v="1"/>
    <n v="18991671"/>
    <x v="0"/>
    <d v="2025-12-29T00:00:00"/>
    <x v="0"/>
    <x v="5"/>
    <x v="7"/>
    <d v="2026-01-15T00:00:00"/>
    <n v="17"/>
    <n v="0.56666666666666665"/>
    <n v="1"/>
    <n v="1"/>
    <n v="1"/>
    <x v="1"/>
    <n v="19.24931506849315"/>
    <x v="3"/>
    <n v="1"/>
    <d v="2006-10-04T00:00:00"/>
  </r>
  <r>
    <x v="1"/>
    <n v="18991683"/>
    <x v="0"/>
    <d v="2025-12-29T00:00:00"/>
    <x v="0"/>
    <x v="5"/>
    <x v="7"/>
    <m/>
    <n v="9999"/>
    <n v="333.3"/>
    <n v="0"/>
    <n v="0"/>
    <n v="0"/>
    <x v="1"/>
    <n v="18.542465753424658"/>
    <x v="3"/>
    <n v="1"/>
    <d v="2007-06-19T00:00:00"/>
  </r>
  <r>
    <x v="1"/>
    <n v="18991687"/>
    <x v="0"/>
    <d v="2025-12-29T00:00:00"/>
    <x v="0"/>
    <x v="5"/>
    <x v="7"/>
    <d v="2026-03-01T00:00:00"/>
    <n v="62"/>
    <n v="2.0666666666666669"/>
    <n v="0"/>
    <n v="1"/>
    <n v="1"/>
    <x v="1"/>
    <n v="19.931506849315067"/>
    <x v="3"/>
    <n v="1"/>
    <d v="2006-01-28T00:00:00"/>
  </r>
  <r>
    <x v="1"/>
    <n v="18991688"/>
    <x v="0"/>
    <d v="2025-12-29T00:00:00"/>
    <x v="0"/>
    <x v="5"/>
    <x v="7"/>
    <d v="2026-03-02T00:00:00"/>
    <n v="63"/>
    <n v="2.1"/>
    <n v="0"/>
    <n v="1"/>
    <n v="1"/>
    <x v="1"/>
    <n v="20.4986301369863"/>
    <x v="3"/>
    <n v="1"/>
    <d v="2005-07-05T00:00:00"/>
  </r>
  <r>
    <x v="1"/>
    <n v="18991689"/>
    <x v="1"/>
    <d v="2025-12-29T00:00:00"/>
    <x v="0"/>
    <x v="5"/>
    <x v="7"/>
    <m/>
    <n v="9999"/>
    <n v="333.3"/>
    <n v="0"/>
    <n v="0"/>
    <n v="0"/>
    <x v="1"/>
    <n v="24.254794520547946"/>
    <x v="2"/>
    <n v="2"/>
    <d v="2001-10-03T00:00:00"/>
  </r>
  <r>
    <x v="1"/>
    <n v="18991690"/>
    <x v="0"/>
    <d v="2025-12-29T00:00:00"/>
    <x v="0"/>
    <x v="5"/>
    <x v="7"/>
    <d v="2026-01-06T00:00:00"/>
    <n v="8"/>
    <n v="0.26666666666666666"/>
    <n v="1"/>
    <n v="1"/>
    <n v="1"/>
    <x v="1"/>
    <n v="18.632876712328766"/>
    <x v="3"/>
    <n v="1"/>
    <d v="2007-05-17T00:00:00"/>
  </r>
  <r>
    <x v="1"/>
    <n v="18991694"/>
    <x v="0"/>
    <d v="2025-12-29T00:00:00"/>
    <x v="0"/>
    <x v="5"/>
    <x v="7"/>
    <d v="2026-02-03T00:00:00"/>
    <n v="36"/>
    <n v="1.2"/>
    <n v="0"/>
    <n v="1"/>
    <n v="1"/>
    <x v="1"/>
    <n v="18.454794520547946"/>
    <x v="3"/>
    <n v="1"/>
    <d v="2007-07-21T00:00:00"/>
  </r>
  <r>
    <x v="1"/>
    <n v="18991704"/>
    <x v="0"/>
    <d v="2025-12-29T00:00:00"/>
    <x v="0"/>
    <x v="5"/>
    <x v="7"/>
    <d v="2026-03-15T00:00:00"/>
    <n v="76"/>
    <n v="2.5333333333333332"/>
    <n v="0"/>
    <n v="1"/>
    <n v="1"/>
    <x v="1"/>
    <n v="18.358904109589041"/>
    <x v="3"/>
    <n v="1"/>
    <d v="2007-08-25T00:00:00"/>
  </r>
  <r>
    <x v="1"/>
    <n v="18991899"/>
    <x v="1"/>
    <d v="2025-12-29T00:00:00"/>
    <x v="0"/>
    <x v="5"/>
    <x v="7"/>
    <d v="2026-02-18T00:00:00"/>
    <n v="51"/>
    <n v="1.7"/>
    <n v="0"/>
    <n v="1"/>
    <n v="1"/>
    <x v="0"/>
    <n v="20.917808219178081"/>
    <x v="3"/>
    <n v="1"/>
    <d v="2005-02-02T00:00:00"/>
  </r>
  <r>
    <x v="1"/>
    <n v="18991945"/>
    <x v="0"/>
    <d v="2025-12-30T00:00:00"/>
    <x v="0"/>
    <x v="5"/>
    <x v="7"/>
    <m/>
    <n v="9999"/>
    <n v="333.3"/>
    <n v="0"/>
    <n v="0"/>
    <n v="0"/>
    <x v="0"/>
    <n v="19.81917808219178"/>
    <x v="3"/>
    <n v="1"/>
    <d v="2006-03-11T00:00:00"/>
  </r>
  <r>
    <x v="1"/>
    <n v="18991946"/>
    <x v="1"/>
    <d v="2025-12-30T00:00:00"/>
    <x v="0"/>
    <x v="5"/>
    <x v="7"/>
    <d v="2026-03-01T00:00:00"/>
    <n v="61"/>
    <n v="2.0333333333333332"/>
    <n v="0"/>
    <n v="1"/>
    <n v="1"/>
    <x v="0"/>
    <n v="20.301369863013697"/>
    <x v="3"/>
    <n v="1"/>
    <d v="2005-09-16T00:00:00"/>
  </r>
  <r>
    <x v="1"/>
    <n v="18992132"/>
    <x v="1"/>
    <d v="2026-01-02T00:00:00"/>
    <x v="1"/>
    <x v="6"/>
    <x v="8"/>
    <m/>
    <n v="9999"/>
    <n v="333.3"/>
    <n v="0"/>
    <n v="0"/>
    <n v="0"/>
    <x v="1"/>
    <n v="22.6"/>
    <x v="2"/>
    <n v="2"/>
    <d v="2003-06-03T00:00:00"/>
  </r>
  <r>
    <x v="1"/>
    <n v="18992140"/>
    <x v="0"/>
    <d v="2026-01-02T00:00:00"/>
    <x v="1"/>
    <x v="6"/>
    <x v="8"/>
    <d v="2026-03-10T00:00:00"/>
    <n v="67"/>
    <n v="2.2333333333333334"/>
    <n v="0"/>
    <n v="1"/>
    <n v="1"/>
    <x v="1"/>
    <n v="24.624657534246577"/>
    <x v="2"/>
    <n v="2"/>
    <d v="2001-05-25T00:00:00"/>
  </r>
  <r>
    <x v="1"/>
    <n v="18992147"/>
    <x v="0"/>
    <d v="2026-01-02T00:00:00"/>
    <x v="1"/>
    <x v="6"/>
    <x v="8"/>
    <d v="2026-04-16T00:00:00"/>
    <n v="104"/>
    <n v="3.4666666666666668"/>
    <n v="0"/>
    <n v="0"/>
    <n v="1"/>
    <x v="1"/>
    <n v="18.734246575342464"/>
    <x v="3"/>
    <n v="1"/>
    <d v="2007-04-14T00:00:00"/>
  </r>
  <r>
    <x v="1"/>
    <n v="18992152"/>
    <x v="1"/>
    <d v="2026-01-02T00:00:00"/>
    <x v="1"/>
    <x v="6"/>
    <x v="8"/>
    <d v="2026-04-02T00:00:00"/>
    <n v="90"/>
    <n v="3"/>
    <n v="0"/>
    <n v="1"/>
    <n v="1"/>
    <x v="1"/>
    <n v="20.416438356164385"/>
    <x v="3"/>
    <n v="1"/>
    <d v="2005-08-08T00:00:00"/>
  </r>
  <r>
    <x v="1"/>
    <n v="18992153"/>
    <x v="0"/>
    <d v="2026-01-02T00:00:00"/>
    <x v="1"/>
    <x v="6"/>
    <x v="8"/>
    <d v="2026-01-14T00:00:00"/>
    <n v="12"/>
    <n v="0.4"/>
    <n v="1"/>
    <n v="1"/>
    <n v="1"/>
    <x v="1"/>
    <n v="40.31232876712329"/>
    <x v="0"/>
    <n v="4"/>
    <d v="1985-09-20T00:00:00"/>
  </r>
  <r>
    <x v="1"/>
    <n v="18992154"/>
    <x v="0"/>
    <d v="2026-01-02T00:00:00"/>
    <x v="1"/>
    <x v="6"/>
    <x v="8"/>
    <d v="2026-03-31T00:00:00"/>
    <n v="88"/>
    <n v="2.9333333333333331"/>
    <n v="0"/>
    <n v="1"/>
    <n v="1"/>
    <x v="1"/>
    <n v="18.693150684931506"/>
    <x v="3"/>
    <n v="1"/>
    <d v="2007-04-29T00:00:00"/>
  </r>
  <r>
    <x v="1"/>
    <n v="18992168"/>
    <x v="0"/>
    <d v="2026-01-02T00:00:00"/>
    <x v="1"/>
    <x v="6"/>
    <x v="8"/>
    <m/>
    <n v="9999"/>
    <n v="333.3"/>
    <n v="0"/>
    <n v="0"/>
    <n v="0"/>
    <x v="1"/>
    <n v="20.468493150684932"/>
    <x v="3"/>
    <n v="1"/>
    <d v="2005-07-20T00:00:00"/>
  </r>
  <r>
    <x v="1"/>
    <n v="18992169"/>
    <x v="1"/>
    <d v="2026-01-02T00:00:00"/>
    <x v="1"/>
    <x v="6"/>
    <x v="8"/>
    <m/>
    <n v="9999"/>
    <n v="333.3"/>
    <n v="0"/>
    <n v="0"/>
    <n v="0"/>
    <x v="1"/>
    <n v="21.915068493150685"/>
    <x v="2"/>
    <n v="2"/>
    <d v="2004-02-08T00:00:00"/>
  </r>
  <r>
    <x v="1"/>
    <n v="18992170"/>
    <x v="0"/>
    <d v="2026-01-02T00:00:00"/>
    <x v="1"/>
    <x v="6"/>
    <x v="8"/>
    <m/>
    <n v="9999"/>
    <n v="333.3"/>
    <n v="0"/>
    <n v="0"/>
    <n v="0"/>
    <x v="1"/>
    <n v="19.624657534246577"/>
    <x v="3"/>
    <n v="1"/>
    <d v="2006-05-24T00:00:00"/>
  </r>
  <r>
    <x v="1"/>
    <n v="18992171"/>
    <x v="0"/>
    <d v="2026-01-02T00:00:00"/>
    <x v="1"/>
    <x v="6"/>
    <x v="8"/>
    <d v="2026-01-06T00:00:00"/>
    <n v="4"/>
    <n v="0.13333333333333333"/>
    <n v="1"/>
    <n v="1"/>
    <n v="1"/>
    <x v="1"/>
    <n v="19.347945205479451"/>
    <x v="3"/>
    <n v="1"/>
    <d v="2006-09-02T00:00:00"/>
  </r>
  <r>
    <x v="1"/>
    <n v="18992172"/>
    <x v="0"/>
    <d v="2026-01-02T00:00:00"/>
    <x v="1"/>
    <x v="6"/>
    <x v="8"/>
    <d v="2026-02-28T00:00:00"/>
    <n v="57"/>
    <n v="1.9"/>
    <n v="0"/>
    <n v="1"/>
    <n v="1"/>
    <x v="1"/>
    <n v="20.849315068493151"/>
    <x v="3"/>
    <n v="1"/>
    <d v="2005-03-03T00:00:00"/>
  </r>
  <r>
    <x v="1"/>
    <n v="18992174"/>
    <x v="1"/>
    <d v="2026-01-02T00:00:00"/>
    <x v="1"/>
    <x v="6"/>
    <x v="8"/>
    <d v="2026-02-01T00:00:00"/>
    <n v="30"/>
    <n v="1"/>
    <n v="1"/>
    <n v="1"/>
    <n v="1"/>
    <x v="1"/>
    <n v="20.624657534246577"/>
    <x v="3"/>
    <n v="1"/>
    <d v="2005-05-24T00:00:00"/>
  </r>
  <r>
    <x v="1"/>
    <n v="18992177"/>
    <x v="0"/>
    <d v="2026-01-02T00:00:00"/>
    <x v="1"/>
    <x v="6"/>
    <x v="8"/>
    <m/>
    <n v="9999"/>
    <n v="333.3"/>
    <n v="0"/>
    <n v="0"/>
    <n v="0"/>
    <x v="1"/>
    <n v="21.221917808219178"/>
    <x v="2"/>
    <n v="2"/>
    <d v="2004-10-18T00:00:00"/>
  </r>
  <r>
    <x v="1"/>
    <n v="18992178"/>
    <x v="0"/>
    <d v="2026-01-02T00:00:00"/>
    <x v="1"/>
    <x v="6"/>
    <x v="8"/>
    <d v="2026-04-30T00:00:00"/>
    <n v="118"/>
    <n v="3.9333333333333331"/>
    <n v="0"/>
    <n v="0"/>
    <n v="1"/>
    <x v="1"/>
    <n v="18.339726027397262"/>
    <x v="3"/>
    <n v="1"/>
    <d v="2007-09-05T00:00:00"/>
  </r>
  <r>
    <x v="1"/>
    <n v="18992237"/>
    <x v="0"/>
    <d v="2026-01-02T00:00:00"/>
    <x v="1"/>
    <x v="6"/>
    <x v="8"/>
    <m/>
    <n v="9999"/>
    <n v="333.3"/>
    <n v="0"/>
    <n v="0"/>
    <n v="0"/>
    <x v="1"/>
    <n v="18.75068493150685"/>
    <x v="3"/>
    <n v="1"/>
    <d v="2007-04-08T00:00:00"/>
  </r>
  <r>
    <x v="1"/>
    <n v="18992242"/>
    <x v="1"/>
    <d v="2026-01-02T00:00:00"/>
    <x v="1"/>
    <x v="6"/>
    <x v="8"/>
    <d v="2026-03-15T00:00:00"/>
    <n v="72"/>
    <n v="2.4"/>
    <n v="0"/>
    <n v="1"/>
    <n v="1"/>
    <x v="1"/>
    <n v="19.136986301369863"/>
    <x v="3"/>
    <n v="1"/>
    <d v="2006-11-18T00:00:00"/>
  </r>
  <r>
    <x v="1"/>
    <n v="18992316"/>
    <x v="0"/>
    <d v="2026-01-02T00:00:00"/>
    <x v="1"/>
    <x v="6"/>
    <x v="8"/>
    <d v="2026-04-01T00:00:00"/>
    <n v="89"/>
    <n v="2.9666666666666668"/>
    <n v="0"/>
    <n v="1"/>
    <n v="1"/>
    <x v="0"/>
    <n v="21.813698630136987"/>
    <x v="2"/>
    <n v="2"/>
    <d v="2004-03-16T00:00:00"/>
  </r>
  <r>
    <x v="1"/>
    <n v="18992369"/>
    <x v="1"/>
    <d v="2026-01-02T00:00:00"/>
    <x v="1"/>
    <x v="6"/>
    <x v="8"/>
    <d v="2026-04-30T00:00:00"/>
    <n v="118"/>
    <n v="3.9333333333333331"/>
    <n v="0"/>
    <n v="0"/>
    <n v="1"/>
    <x v="1"/>
    <n v="20.857534246575341"/>
    <x v="3"/>
    <n v="1"/>
    <d v="2005-02-28T00:00:00"/>
  </r>
  <r>
    <x v="1"/>
    <n v="18992374"/>
    <x v="0"/>
    <d v="2026-01-02T00:00:00"/>
    <x v="1"/>
    <x v="6"/>
    <x v="8"/>
    <m/>
    <n v="9999"/>
    <n v="333.3"/>
    <n v="0"/>
    <n v="0"/>
    <n v="0"/>
    <x v="1"/>
    <n v="19.227397260273971"/>
    <x v="3"/>
    <n v="1"/>
    <d v="2006-10-16T00:00:00"/>
  </r>
  <r>
    <x v="1"/>
    <n v="18992402"/>
    <x v="0"/>
    <d v="2026-01-02T00:00:00"/>
    <x v="1"/>
    <x v="6"/>
    <x v="8"/>
    <m/>
    <n v="9999"/>
    <n v="333.3"/>
    <n v="0"/>
    <n v="0"/>
    <n v="0"/>
    <x v="1"/>
    <n v="58.802739726027397"/>
    <x v="0"/>
    <n v="4"/>
    <d v="1967-03-30T00:00:00"/>
  </r>
  <r>
    <x v="1"/>
    <n v="18993521"/>
    <x v="1"/>
    <d v="2026-01-08T00:00:00"/>
    <x v="1"/>
    <x v="6"/>
    <x v="8"/>
    <d v="2026-03-31T00:00:00"/>
    <n v="82"/>
    <n v="2.7333333333333334"/>
    <n v="0"/>
    <n v="1"/>
    <n v="1"/>
    <x v="0"/>
    <n v="19.301369863013697"/>
    <x v="3"/>
    <n v="1"/>
    <d v="2006-09-25T00:00:00"/>
  </r>
  <r>
    <x v="1"/>
    <n v="18993526"/>
    <x v="0"/>
    <d v="2026-01-08T00:00:00"/>
    <x v="1"/>
    <x v="6"/>
    <x v="8"/>
    <d v="2026-05-31T00:00:00"/>
    <n v="143"/>
    <n v="4.7666666666666666"/>
    <n v="0"/>
    <n v="0"/>
    <n v="1"/>
    <x v="0"/>
    <n v="19.43013698630137"/>
    <x v="3"/>
    <n v="1"/>
    <d v="2006-08-09T00:00:00"/>
  </r>
  <r>
    <x v="1"/>
    <n v="18993712"/>
    <x v="1"/>
    <d v="2026-01-09T00:00:00"/>
    <x v="1"/>
    <x v="6"/>
    <x v="8"/>
    <d v="2026-04-30T00:00:00"/>
    <n v="111"/>
    <n v="3.7"/>
    <n v="0"/>
    <n v="0"/>
    <n v="1"/>
    <x v="1"/>
    <n v="19.232876712328768"/>
    <x v="3"/>
    <n v="1"/>
    <d v="2006-10-21T00:00:00"/>
  </r>
  <r>
    <x v="1"/>
    <n v="18993713"/>
    <x v="1"/>
    <d v="2026-01-09T00:00:00"/>
    <x v="1"/>
    <x v="6"/>
    <x v="8"/>
    <m/>
    <n v="9999"/>
    <n v="333.3"/>
    <n v="0"/>
    <n v="0"/>
    <n v="0"/>
    <x v="1"/>
    <n v="20.230136986301371"/>
    <x v="3"/>
    <n v="1"/>
    <d v="2005-10-22T00:00:00"/>
  </r>
  <r>
    <x v="1"/>
    <n v="18993714"/>
    <x v="0"/>
    <d v="2026-01-09T00:00:00"/>
    <x v="1"/>
    <x v="6"/>
    <x v="8"/>
    <d v="2026-04-10T00:00:00"/>
    <n v="91"/>
    <n v="3.0333333333333332"/>
    <n v="0"/>
    <n v="0"/>
    <n v="1"/>
    <x v="1"/>
    <n v="19.608219178082191"/>
    <x v="3"/>
    <n v="1"/>
    <d v="2006-06-06T00:00:00"/>
  </r>
  <r>
    <x v="1"/>
    <n v="18993742"/>
    <x v="0"/>
    <d v="2026-01-09T00:00:00"/>
    <x v="1"/>
    <x v="6"/>
    <x v="8"/>
    <d v="2026-03-31T00:00:00"/>
    <n v="81"/>
    <n v="2.7"/>
    <n v="0"/>
    <n v="1"/>
    <n v="1"/>
    <x v="1"/>
    <n v="19.93972602739726"/>
    <x v="3"/>
    <n v="1"/>
    <d v="2006-02-05T00:00:00"/>
  </r>
  <r>
    <x v="1"/>
    <n v="18993745"/>
    <x v="1"/>
    <d v="2026-01-09T00:00:00"/>
    <x v="1"/>
    <x v="6"/>
    <x v="8"/>
    <m/>
    <n v="9999"/>
    <n v="333.3"/>
    <n v="0"/>
    <n v="0"/>
    <n v="0"/>
    <x v="1"/>
    <n v="18.306849315068494"/>
    <x v="3"/>
    <n v="1"/>
    <d v="2007-09-24T00:00:00"/>
  </r>
  <r>
    <x v="1"/>
    <n v="18993747"/>
    <x v="0"/>
    <d v="2026-01-09T00:00:00"/>
    <x v="1"/>
    <x v="6"/>
    <x v="8"/>
    <d v="2026-04-09T00:00:00"/>
    <n v="90"/>
    <n v="3"/>
    <n v="0"/>
    <n v="1"/>
    <n v="1"/>
    <x v="1"/>
    <n v="18.961643835616439"/>
    <x v="3"/>
    <n v="1"/>
    <d v="2007-01-28T00:00:00"/>
  </r>
  <r>
    <x v="1"/>
    <n v="18993748"/>
    <x v="0"/>
    <d v="2026-01-09T00:00:00"/>
    <x v="1"/>
    <x v="6"/>
    <x v="8"/>
    <d v="2026-05-04T00:00:00"/>
    <n v="115"/>
    <n v="3.8333333333333335"/>
    <n v="0"/>
    <n v="0"/>
    <n v="1"/>
    <x v="1"/>
    <n v="21.232876712328768"/>
    <x v="2"/>
    <n v="2"/>
    <d v="2004-10-21T00:00:00"/>
  </r>
  <r>
    <x v="1"/>
    <n v="18993750"/>
    <x v="1"/>
    <d v="2026-01-09T00:00:00"/>
    <x v="1"/>
    <x v="6"/>
    <x v="8"/>
    <m/>
    <n v="9999"/>
    <n v="333.3"/>
    <n v="0"/>
    <n v="0"/>
    <n v="0"/>
    <x v="1"/>
    <n v="19.484931506849314"/>
    <x v="3"/>
    <n v="1"/>
    <d v="2006-07-21T00:00:00"/>
  </r>
  <r>
    <x v="1"/>
    <n v="18993754"/>
    <x v="0"/>
    <d v="2026-01-09T00:00:00"/>
    <x v="1"/>
    <x v="6"/>
    <x v="8"/>
    <d v="2026-05-30T00:00:00"/>
    <n v="141"/>
    <n v="4.7"/>
    <n v="0"/>
    <n v="0"/>
    <n v="1"/>
    <x v="0"/>
    <n v="21.515068493150686"/>
    <x v="2"/>
    <n v="2"/>
    <d v="2004-07-10T00:00:00"/>
  </r>
  <r>
    <x v="1"/>
    <n v="18993784"/>
    <x v="1"/>
    <d v="2026-01-09T00:00:00"/>
    <x v="1"/>
    <x v="6"/>
    <x v="8"/>
    <d v="2026-04-01T00:00:00"/>
    <n v="82"/>
    <n v="2.7333333333333334"/>
    <n v="0"/>
    <n v="1"/>
    <n v="1"/>
    <x v="1"/>
    <n v="21.06027397260274"/>
    <x v="2"/>
    <n v="2"/>
    <d v="2004-12-23T00:00:00"/>
  </r>
  <r>
    <x v="1"/>
    <n v="18993786"/>
    <x v="1"/>
    <d v="2026-01-09T00:00:00"/>
    <x v="1"/>
    <x v="6"/>
    <x v="8"/>
    <m/>
    <n v="9999"/>
    <n v="333.3"/>
    <n v="0"/>
    <n v="0"/>
    <n v="0"/>
    <x v="1"/>
    <n v="21.205479452054796"/>
    <x v="2"/>
    <n v="2"/>
    <d v="2004-10-31T00:00:00"/>
  </r>
  <r>
    <x v="1"/>
    <n v="18993789"/>
    <x v="0"/>
    <d v="2026-01-09T00:00:00"/>
    <x v="1"/>
    <x v="6"/>
    <x v="8"/>
    <d v="2026-03-01T00:00:00"/>
    <n v="51"/>
    <n v="1.7"/>
    <n v="0"/>
    <n v="1"/>
    <n v="1"/>
    <x v="1"/>
    <n v="22.224657534246575"/>
    <x v="2"/>
    <n v="2"/>
    <d v="2003-10-25T00:00:00"/>
  </r>
  <r>
    <x v="1"/>
    <n v="18993798"/>
    <x v="1"/>
    <d v="2026-01-09T00:00:00"/>
    <x v="1"/>
    <x v="6"/>
    <x v="8"/>
    <d v="2026-02-05T00:00:00"/>
    <n v="27"/>
    <n v="0.9"/>
    <n v="1"/>
    <n v="1"/>
    <n v="1"/>
    <x v="1"/>
    <n v="22.512328767123286"/>
    <x v="2"/>
    <n v="2"/>
    <d v="2003-07-12T00:00:00"/>
  </r>
  <r>
    <x v="1"/>
    <n v="18993805"/>
    <x v="0"/>
    <d v="2026-01-09T00:00:00"/>
    <x v="1"/>
    <x v="6"/>
    <x v="8"/>
    <d v="2026-05-03T00:00:00"/>
    <n v="114"/>
    <n v="3.8"/>
    <n v="0"/>
    <n v="0"/>
    <n v="1"/>
    <x v="1"/>
    <n v="19.531506849315068"/>
    <x v="3"/>
    <n v="1"/>
    <d v="2006-07-04T00:00:00"/>
  </r>
  <r>
    <x v="1"/>
    <n v="18993807"/>
    <x v="0"/>
    <d v="2026-01-09T00:00:00"/>
    <x v="1"/>
    <x v="6"/>
    <x v="8"/>
    <m/>
    <n v="9999"/>
    <n v="333.3"/>
    <n v="0"/>
    <n v="0"/>
    <n v="0"/>
    <x v="0"/>
    <n v="34.205479452054796"/>
    <x v="0"/>
    <n v="4"/>
    <d v="1991-11-04T00:00:00"/>
  </r>
  <r>
    <x v="1"/>
    <n v="18993808"/>
    <x v="0"/>
    <d v="2026-01-09T00:00:00"/>
    <x v="1"/>
    <x v="6"/>
    <x v="8"/>
    <m/>
    <n v="9999"/>
    <n v="333.3"/>
    <n v="0"/>
    <n v="0"/>
    <n v="0"/>
    <x v="0"/>
    <n v="23.082191780821919"/>
    <x v="2"/>
    <n v="2"/>
    <d v="2002-12-16T00:00:00"/>
  </r>
  <r>
    <x v="1"/>
    <n v="18993817"/>
    <x v="0"/>
    <d v="2026-01-09T00:00:00"/>
    <x v="1"/>
    <x v="6"/>
    <x v="8"/>
    <d v="2026-05-15T00:00:00"/>
    <n v="126"/>
    <n v="4.2"/>
    <n v="0"/>
    <n v="0"/>
    <n v="1"/>
    <x v="1"/>
    <n v="19.282191780821918"/>
    <x v="3"/>
    <n v="1"/>
    <d v="2006-10-03T00:00:00"/>
  </r>
  <r>
    <x v="1"/>
    <n v="18993818"/>
    <x v="1"/>
    <d v="2026-01-09T00:00:00"/>
    <x v="1"/>
    <x v="6"/>
    <x v="8"/>
    <d v="2026-03-30T00:00:00"/>
    <n v="80"/>
    <n v="2.6666666666666665"/>
    <n v="0"/>
    <n v="1"/>
    <n v="1"/>
    <x v="1"/>
    <n v="18.898630136986302"/>
    <x v="3"/>
    <n v="1"/>
    <d v="2007-02-20T00:00:00"/>
  </r>
  <r>
    <x v="1"/>
    <n v="18993849"/>
    <x v="0"/>
    <d v="2026-01-09T00:00:00"/>
    <x v="1"/>
    <x v="6"/>
    <x v="8"/>
    <d v="2026-03-03T00:00:00"/>
    <n v="53"/>
    <n v="1.7666666666666666"/>
    <n v="0"/>
    <n v="1"/>
    <n v="1"/>
    <x v="1"/>
    <n v="22.687671232876713"/>
    <x v="2"/>
    <n v="2"/>
    <d v="2003-05-09T00:00:00"/>
  </r>
  <r>
    <x v="1"/>
    <n v="18993858"/>
    <x v="0"/>
    <d v="2026-01-09T00:00:00"/>
    <x v="1"/>
    <x v="6"/>
    <x v="8"/>
    <d v="2026-02-28T00:00:00"/>
    <n v="50"/>
    <n v="1.6666666666666667"/>
    <n v="0"/>
    <n v="1"/>
    <n v="1"/>
    <x v="1"/>
    <n v="19.589041095890412"/>
    <x v="3"/>
    <n v="1"/>
    <d v="2006-06-13T00:00:00"/>
  </r>
  <r>
    <x v="1"/>
    <n v="18993863"/>
    <x v="1"/>
    <d v="2026-01-09T00:00:00"/>
    <x v="1"/>
    <x v="6"/>
    <x v="8"/>
    <d v="2026-03-15T00:00:00"/>
    <n v="65"/>
    <n v="2.1666666666666665"/>
    <n v="0"/>
    <n v="1"/>
    <n v="1"/>
    <x v="0"/>
    <n v="20.375342465753423"/>
    <x v="3"/>
    <n v="1"/>
    <d v="2005-08-30T00:00:00"/>
  </r>
  <r>
    <x v="1"/>
    <n v="18993878"/>
    <x v="1"/>
    <d v="2026-01-09T00:00:00"/>
    <x v="1"/>
    <x v="6"/>
    <x v="8"/>
    <d v="2026-05-31T00:00:00"/>
    <n v="142"/>
    <n v="4.7333333333333334"/>
    <n v="0"/>
    <n v="0"/>
    <n v="1"/>
    <x v="1"/>
    <n v="19.276712328767122"/>
    <x v="3"/>
    <n v="1"/>
    <d v="2006-10-05T00:00:00"/>
  </r>
  <r>
    <x v="1"/>
    <n v="18993999"/>
    <x v="1"/>
    <d v="2026-01-09T00:00:00"/>
    <x v="1"/>
    <x v="6"/>
    <x v="8"/>
    <m/>
    <n v="9999"/>
    <n v="333.3"/>
    <n v="0"/>
    <n v="0"/>
    <n v="0"/>
    <x v="1"/>
    <n v="20.101369863013698"/>
    <x v="3"/>
    <n v="1"/>
    <d v="2005-12-08T00:00:00"/>
  </r>
  <r>
    <x v="1"/>
    <n v="18994001"/>
    <x v="0"/>
    <d v="2026-01-09T00:00:00"/>
    <x v="1"/>
    <x v="6"/>
    <x v="8"/>
    <m/>
    <n v="9999"/>
    <n v="333.3"/>
    <n v="0"/>
    <n v="0"/>
    <n v="0"/>
    <x v="1"/>
    <n v="19.134246575342466"/>
    <x v="3"/>
    <n v="1"/>
    <d v="2006-11-26T00:00:00"/>
  </r>
  <r>
    <x v="1"/>
    <n v="18994393"/>
    <x v="1"/>
    <d v="2026-01-12T00:00:00"/>
    <x v="1"/>
    <x v="6"/>
    <x v="8"/>
    <m/>
    <n v="9999"/>
    <n v="333.3"/>
    <n v="0"/>
    <n v="0"/>
    <n v="0"/>
    <x v="1"/>
    <n v="19.295890410958904"/>
    <x v="3"/>
    <n v="1"/>
    <d v="2006-10-01T00:00:00"/>
  </r>
  <r>
    <x v="1"/>
    <n v="18994394"/>
    <x v="0"/>
    <d v="2026-01-12T00:00:00"/>
    <x v="1"/>
    <x v="6"/>
    <x v="8"/>
    <m/>
    <n v="9999"/>
    <n v="333.3"/>
    <n v="0"/>
    <n v="0"/>
    <n v="0"/>
    <x v="1"/>
    <n v="23.953424657534246"/>
    <x v="2"/>
    <n v="2"/>
    <d v="2002-02-04T00:00:00"/>
  </r>
  <r>
    <x v="1"/>
    <n v="18994870"/>
    <x v="0"/>
    <d v="2026-01-13T00:00:00"/>
    <x v="1"/>
    <x v="6"/>
    <x v="8"/>
    <d v="2026-01-14T00:00:00"/>
    <n v="1"/>
    <n v="3.3333333333333333E-2"/>
    <n v="1"/>
    <n v="1"/>
    <n v="1"/>
    <x v="0"/>
    <n v="19.161643835616438"/>
    <x v="3"/>
    <n v="1"/>
    <d v="2006-11-20T00:00:00"/>
  </r>
  <r>
    <x v="1"/>
    <n v="18995116"/>
    <x v="1"/>
    <d v="2026-01-14T00:00:00"/>
    <x v="1"/>
    <x v="6"/>
    <x v="8"/>
    <m/>
    <n v="9999"/>
    <n v="333.3"/>
    <n v="0"/>
    <n v="0"/>
    <n v="0"/>
    <x v="0"/>
    <n v="18.421917808219177"/>
    <x v="3"/>
    <n v="1"/>
    <d v="2007-08-18T00:00:00"/>
  </r>
  <r>
    <x v="1"/>
    <n v="18995117"/>
    <x v="1"/>
    <d v="2026-01-14T00:00:00"/>
    <x v="1"/>
    <x v="6"/>
    <x v="8"/>
    <d v="2026-04-15T00:00:00"/>
    <n v="91"/>
    <n v="3.0333333333333332"/>
    <n v="0"/>
    <n v="0"/>
    <n v="1"/>
    <x v="0"/>
    <n v="20.082191780821919"/>
    <x v="3"/>
    <n v="1"/>
    <d v="2005-12-20T00:00:00"/>
  </r>
  <r>
    <x v="1"/>
    <n v="18995118"/>
    <x v="0"/>
    <d v="2026-01-14T00:00:00"/>
    <x v="1"/>
    <x v="6"/>
    <x v="8"/>
    <d v="2026-05-31T00:00:00"/>
    <n v="137"/>
    <n v="4.5666666666666664"/>
    <n v="0"/>
    <n v="0"/>
    <n v="1"/>
    <x v="0"/>
    <n v="18.175342465753424"/>
    <x v="3"/>
    <n v="1"/>
    <d v="2007-11-16T00:00:00"/>
  </r>
  <r>
    <x v="1"/>
    <n v="18995162"/>
    <x v="0"/>
    <d v="2026-01-14T00:00:00"/>
    <x v="1"/>
    <x v="6"/>
    <x v="8"/>
    <m/>
    <n v="9999"/>
    <n v="333.3"/>
    <n v="0"/>
    <n v="0"/>
    <n v="0"/>
    <x v="0"/>
    <n v="28.997260273972604"/>
    <x v="1"/>
    <n v="3"/>
    <d v="1997-01-22T00:00:00"/>
  </r>
  <r>
    <x v="1"/>
    <n v="18995571"/>
    <x v="1"/>
    <d v="2026-01-15T00:00:00"/>
    <x v="1"/>
    <x v="6"/>
    <x v="8"/>
    <d v="2026-03-04T00:00:00"/>
    <n v="48"/>
    <n v="1.6"/>
    <n v="0"/>
    <n v="1"/>
    <n v="1"/>
    <x v="0"/>
    <n v="20.942465753424656"/>
    <x v="3"/>
    <n v="1"/>
    <d v="2005-02-10T00:00:00"/>
  </r>
  <r>
    <x v="1"/>
    <n v="18995581"/>
    <x v="0"/>
    <d v="2026-01-15T00:00:00"/>
    <x v="1"/>
    <x v="6"/>
    <x v="8"/>
    <d v="2026-02-11T00:00:00"/>
    <n v="27"/>
    <n v="0.9"/>
    <n v="1"/>
    <n v="1"/>
    <n v="1"/>
    <x v="0"/>
    <n v="21.975342465753425"/>
    <x v="2"/>
    <n v="2"/>
    <d v="2004-01-30T00:00:00"/>
  </r>
  <r>
    <x v="1"/>
    <n v="18995651"/>
    <x v="0"/>
    <d v="2026-01-15T00:00:00"/>
    <x v="1"/>
    <x v="6"/>
    <x v="8"/>
    <d v="2026-03-04T00:00:00"/>
    <n v="48"/>
    <n v="1.6"/>
    <n v="0"/>
    <n v="1"/>
    <n v="1"/>
    <x v="0"/>
    <n v="21.857534246575341"/>
    <x v="2"/>
    <n v="2"/>
    <d v="2004-03-13T00:00:00"/>
  </r>
  <r>
    <x v="1"/>
    <n v="18995799"/>
    <x v="0"/>
    <d v="2026-01-16T00:00:00"/>
    <x v="1"/>
    <x v="6"/>
    <x v="8"/>
    <d v="2026-04-14T00:00:00"/>
    <n v="88"/>
    <n v="2.9333333333333331"/>
    <n v="0"/>
    <n v="1"/>
    <n v="1"/>
    <x v="1"/>
    <n v="19.013698630136986"/>
    <x v="3"/>
    <n v="1"/>
    <d v="2007-01-16T00:00:00"/>
  </r>
  <r>
    <x v="1"/>
    <n v="18995812"/>
    <x v="0"/>
    <d v="2026-01-16T00:00:00"/>
    <x v="1"/>
    <x v="6"/>
    <x v="8"/>
    <m/>
    <n v="9999"/>
    <n v="333.3"/>
    <n v="0"/>
    <n v="0"/>
    <n v="0"/>
    <x v="1"/>
    <n v="19.761643835616439"/>
    <x v="3"/>
    <n v="1"/>
    <d v="2006-04-18T00:00:00"/>
  </r>
  <r>
    <x v="1"/>
    <n v="18995813"/>
    <x v="0"/>
    <d v="2026-01-16T00:00:00"/>
    <x v="1"/>
    <x v="6"/>
    <x v="8"/>
    <d v="2026-03-14T00:00:00"/>
    <n v="57"/>
    <n v="1.9"/>
    <n v="0"/>
    <n v="1"/>
    <n v="1"/>
    <x v="1"/>
    <n v="21.446575342465753"/>
    <x v="2"/>
    <n v="2"/>
    <d v="2004-08-11T00:00:00"/>
  </r>
  <r>
    <x v="1"/>
    <n v="18995817"/>
    <x v="0"/>
    <d v="2026-01-22T00:00:00"/>
    <x v="1"/>
    <x v="6"/>
    <x v="8"/>
    <d v="2026-04-15T00:00:00"/>
    <n v="83"/>
    <n v="2.7666666666666666"/>
    <n v="0"/>
    <n v="1"/>
    <n v="1"/>
    <x v="1"/>
    <n v="21.17808219178082"/>
    <x v="2"/>
    <n v="2"/>
    <d v="2004-11-23T00:00:00"/>
  </r>
  <r>
    <x v="1"/>
    <n v="18995830"/>
    <x v="0"/>
    <d v="2026-01-16T00:00:00"/>
    <x v="1"/>
    <x v="6"/>
    <x v="8"/>
    <d v="2026-03-01T00:00:00"/>
    <n v="44"/>
    <n v="1.4666666666666666"/>
    <n v="0"/>
    <n v="1"/>
    <n v="1"/>
    <x v="1"/>
    <n v="23.575342465753426"/>
    <x v="2"/>
    <n v="2"/>
    <d v="2002-06-26T00:00:00"/>
  </r>
  <r>
    <x v="1"/>
    <n v="18995847"/>
    <x v="0"/>
    <d v="2026-01-16T00:00:00"/>
    <x v="1"/>
    <x v="6"/>
    <x v="8"/>
    <d v="2026-03-08T00:00:00"/>
    <n v="51"/>
    <n v="1.7"/>
    <n v="0"/>
    <n v="1"/>
    <n v="1"/>
    <x v="1"/>
    <n v="23.863013698630137"/>
    <x v="2"/>
    <n v="2"/>
    <d v="2002-03-13T00:00:00"/>
  </r>
  <r>
    <x v="1"/>
    <n v="18995890"/>
    <x v="0"/>
    <d v="2026-01-16T00:00:00"/>
    <x v="1"/>
    <x v="6"/>
    <x v="8"/>
    <d v="2026-02-01T00:00:00"/>
    <n v="16"/>
    <n v="0.53333333333333333"/>
    <n v="1"/>
    <n v="1"/>
    <n v="1"/>
    <x v="1"/>
    <n v="22.123287671232877"/>
    <x v="2"/>
    <n v="2"/>
    <d v="2003-12-08T00:00:00"/>
  </r>
  <r>
    <x v="1"/>
    <n v="18995893"/>
    <x v="0"/>
    <d v="2026-01-16T00:00:00"/>
    <x v="1"/>
    <x v="6"/>
    <x v="8"/>
    <m/>
    <n v="9999"/>
    <n v="333.3"/>
    <n v="0"/>
    <n v="0"/>
    <n v="0"/>
    <x v="1"/>
    <n v="19.701369863013699"/>
    <x v="3"/>
    <n v="1"/>
    <d v="2006-05-10T00:00:00"/>
  </r>
  <r>
    <x v="1"/>
    <n v="18995949"/>
    <x v="0"/>
    <d v="2026-01-16T00:00:00"/>
    <x v="1"/>
    <x v="6"/>
    <x v="8"/>
    <d v="2026-01-31T00:00:00"/>
    <n v="15"/>
    <n v="0.5"/>
    <n v="1"/>
    <n v="1"/>
    <n v="1"/>
    <x v="1"/>
    <n v="34.019178082191779"/>
    <x v="0"/>
    <n v="4"/>
    <d v="1992-01-18T00:00:00"/>
  </r>
  <r>
    <x v="1"/>
    <n v="18995997"/>
    <x v="1"/>
    <d v="2026-01-16T00:00:00"/>
    <x v="1"/>
    <x v="6"/>
    <x v="8"/>
    <d v="2026-03-15T00:00:00"/>
    <n v="58"/>
    <n v="1.9333333333333333"/>
    <n v="0"/>
    <n v="1"/>
    <n v="1"/>
    <x v="1"/>
    <n v="20.194520547945206"/>
    <x v="3"/>
    <n v="1"/>
    <d v="2005-11-11T00:00:00"/>
  </r>
  <r>
    <x v="1"/>
    <n v="18996072"/>
    <x v="0"/>
    <d v="2026-01-16T00:00:00"/>
    <x v="1"/>
    <x v="6"/>
    <x v="8"/>
    <d v="2026-03-31T00:00:00"/>
    <n v="74"/>
    <n v="2.4666666666666668"/>
    <n v="0"/>
    <n v="1"/>
    <n v="1"/>
    <x v="1"/>
    <n v="21.123287671232877"/>
    <x v="2"/>
    <n v="2"/>
    <d v="2004-12-07T00:00:00"/>
  </r>
  <r>
    <x v="1"/>
    <n v="18996174"/>
    <x v="0"/>
    <d v="2026-01-16T00:00:00"/>
    <x v="1"/>
    <x v="6"/>
    <x v="8"/>
    <d v="2026-03-29T00:00:00"/>
    <n v="72"/>
    <n v="2.4"/>
    <n v="0"/>
    <n v="1"/>
    <n v="1"/>
    <x v="1"/>
    <n v="19.104109589041094"/>
    <x v="3"/>
    <n v="1"/>
    <d v="2006-12-14T00:00:00"/>
  </r>
  <r>
    <x v="1"/>
    <n v="18996334"/>
    <x v="1"/>
    <d v="2026-01-19T00:00:00"/>
    <x v="1"/>
    <x v="6"/>
    <x v="8"/>
    <m/>
    <n v="9999"/>
    <n v="333.3"/>
    <n v="0"/>
    <n v="0"/>
    <n v="0"/>
    <x v="0"/>
    <n v="18.205479452054796"/>
    <x v="3"/>
    <n v="1"/>
    <d v="2007-11-10T00:00:00"/>
  </r>
  <r>
    <x v="1"/>
    <n v="18996335"/>
    <x v="1"/>
    <d v="2026-01-19T00:00:00"/>
    <x v="1"/>
    <x v="6"/>
    <x v="8"/>
    <d v="2026-03-16T00:00:00"/>
    <n v="56"/>
    <n v="1.8666666666666667"/>
    <n v="0"/>
    <n v="1"/>
    <n v="1"/>
    <x v="0"/>
    <n v="20.427397260273974"/>
    <x v="3"/>
    <n v="1"/>
    <d v="2005-08-21T00:00:00"/>
  </r>
  <r>
    <x v="1"/>
    <n v="18996337"/>
    <x v="0"/>
    <d v="2026-01-19T00:00:00"/>
    <x v="1"/>
    <x v="6"/>
    <x v="8"/>
    <d v="2026-03-02T00:00:00"/>
    <n v="42"/>
    <n v="1.4"/>
    <n v="0"/>
    <n v="1"/>
    <n v="1"/>
    <x v="0"/>
    <n v="21.835616438356166"/>
    <x v="2"/>
    <n v="2"/>
    <d v="2004-03-25T00:00:00"/>
  </r>
  <r>
    <x v="1"/>
    <n v="18996338"/>
    <x v="0"/>
    <d v="2026-01-19T00:00:00"/>
    <x v="1"/>
    <x v="6"/>
    <x v="8"/>
    <d v="2026-02-08T00:00:00"/>
    <n v="20"/>
    <n v="0.66666666666666663"/>
    <n v="1"/>
    <n v="1"/>
    <n v="1"/>
    <x v="0"/>
    <n v="20.145205479452056"/>
    <x v="3"/>
    <n v="1"/>
    <d v="2005-12-02T00:00:00"/>
  </r>
  <r>
    <x v="1"/>
    <n v="18996365"/>
    <x v="0"/>
    <d v="2026-01-19T00:00:00"/>
    <x v="1"/>
    <x v="6"/>
    <x v="8"/>
    <d v="2026-02-02T00:00:00"/>
    <n v="14"/>
    <n v="0.46666666666666667"/>
    <n v="1"/>
    <n v="1"/>
    <n v="1"/>
    <x v="0"/>
    <n v="19.547945205479451"/>
    <x v="3"/>
    <n v="1"/>
    <d v="2006-07-08T00:00:00"/>
  </r>
  <r>
    <x v="1"/>
    <n v="18996725"/>
    <x v="0"/>
    <d v="2026-01-20T00:00:00"/>
    <x v="1"/>
    <x v="6"/>
    <x v="8"/>
    <d v="2026-05-12T00:00:00"/>
    <n v="112"/>
    <n v="3.7333333333333334"/>
    <n v="0"/>
    <n v="0"/>
    <n v="1"/>
    <x v="1"/>
    <n v="21.123287671232877"/>
    <x v="2"/>
    <n v="2"/>
    <d v="2004-12-11T00:00:00"/>
  </r>
  <r>
    <x v="1"/>
    <n v="18996744"/>
    <x v="0"/>
    <d v="2026-01-20T00:00:00"/>
    <x v="1"/>
    <x v="6"/>
    <x v="8"/>
    <m/>
    <n v="9999"/>
    <n v="333.3"/>
    <n v="0"/>
    <n v="0"/>
    <n v="0"/>
    <x v="1"/>
    <n v="19.076712328767123"/>
    <x v="3"/>
    <n v="1"/>
    <d v="2006-12-28T00:00:00"/>
  </r>
  <r>
    <x v="1"/>
    <n v="18996945"/>
    <x v="0"/>
    <d v="2026-01-21T00:00:00"/>
    <x v="1"/>
    <x v="6"/>
    <x v="8"/>
    <m/>
    <n v="9999"/>
    <n v="333.3"/>
    <n v="0"/>
    <n v="0"/>
    <n v="0"/>
    <x v="1"/>
    <n v="19.24931506849315"/>
    <x v="3"/>
    <n v="1"/>
    <d v="2006-10-27T00:00:00"/>
  </r>
  <r>
    <x v="1"/>
    <n v="18996961"/>
    <x v="0"/>
    <d v="2026-01-21T00:00:00"/>
    <x v="1"/>
    <x v="6"/>
    <x v="8"/>
    <m/>
    <n v="9999"/>
    <n v="333.3"/>
    <n v="0"/>
    <n v="0"/>
    <n v="0"/>
    <x v="1"/>
    <n v="20.293150684931508"/>
    <x v="3"/>
    <n v="1"/>
    <d v="2005-10-11T00:00:00"/>
  </r>
  <r>
    <x v="1"/>
    <n v="18996967"/>
    <x v="0"/>
    <d v="2026-01-21T00:00:00"/>
    <x v="1"/>
    <x v="6"/>
    <x v="8"/>
    <m/>
    <n v="9999"/>
    <n v="333.3"/>
    <n v="0"/>
    <n v="0"/>
    <n v="0"/>
    <x v="1"/>
    <n v="21.347945205479451"/>
    <x v="2"/>
    <n v="2"/>
    <d v="2004-09-21T00:00:00"/>
  </r>
  <r>
    <x v="1"/>
    <n v="18997001"/>
    <x v="0"/>
    <d v="2026-01-21T00:00:00"/>
    <x v="1"/>
    <x v="6"/>
    <x v="8"/>
    <m/>
    <n v="9999"/>
    <n v="333.3"/>
    <n v="0"/>
    <n v="0"/>
    <n v="0"/>
    <x v="1"/>
    <n v="20.945205479452056"/>
    <x v="3"/>
    <n v="1"/>
    <d v="2005-02-15T00:00:00"/>
  </r>
  <r>
    <x v="1"/>
    <n v="18997017"/>
    <x v="0"/>
    <d v="2026-01-21T00:00:00"/>
    <x v="1"/>
    <x v="6"/>
    <x v="8"/>
    <m/>
    <n v="9999"/>
    <n v="333.3"/>
    <n v="0"/>
    <n v="0"/>
    <n v="0"/>
    <x v="1"/>
    <n v="23.706849315068492"/>
    <x v="2"/>
    <n v="2"/>
    <d v="2002-05-14T00:00:00"/>
  </r>
  <r>
    <x v="1"/>
    <n v="18997042"/>
    <x v="0"/>
    <d v="2026-01-21T00:00:00"/>
    <x v="1"/>
    <x v="6"/>
    <x v="8"/>
    <d v="2026-03-31T00:00:00"/>
    <n v="69"/>
    <n v="2.2999999999999998"/>
    <n v="0"/>
    <n v="1"/>
    <n v="1"/>
    <x v="1"/>
    <n v="20.087671232876712"/>
    <x v="3"/>
    <n v="1"/>
    <d v="2005-12-25T00:00:00"/>
  </r>
  <r>
    <x v="1"/>
    <n v="18997043"/>
    <x v="1"/>
    <d v="2026-01-21T00:00:00"/>
    <x v="1"/>
    <x v="6"/>
    <x v="8"/>
    <d v="2026-04-01T00:00:00"/>
    <n v="70"/>
    <n v="2.3333333333333335"/>
    <n v="0"/>
    <n v="1"/>
    <n v="1"/>
    <x v="1"/>
    <n v="18.797260273972604"/>
    <x v="3"/>
    <n v="1"/>
    <d v="2007-04-10T00:00:00"/>
  </r>
  <r>
    <x v="0"/>
    <n v="18997112"/>
    <x v="0"/>
    <d v="2026-05-15T00:00:00"/>
    <x v="1"/>
    <x v="1"/>
    <x v="1"/>
    <d v="2026-05-31T00:00:00"/>
    <n v="16"/>
    <n v="0.53333333333333333"/>
    <n v="1"/>
    <n v="1"/>
    <n v="1"/>
    <x v="1"/>
    <n v="20.769863013698629"/>
    <x v="3"/>
    <n v="1"/>
    <d v="2005-08-12T00:00:00"/>
  </r>
  <r>
    <x v="1"/>
    <n v="18997388"/>
    <x v="0"/>
    <d v="2026-01-22T00:00:00"/>
    <x v="1"/>
    <x v="6"/>
    <x v="8"/>
    <m/>
    <n v="9999"/>
    <n v="333.3"/>
    <n v="0"/>
    <n v="0"/>
    <n v="0"/>
    <x v="1"/>
    <n v="23.723287671232878"/>
    <x v="2"/>
    <n v="2"/>
    <d v="2002-05-09T00:00:00"/>
  </r>
  <r>
    <x v="1"/>
    <n v="18997400"/>
    <x v="0"/>
    <d v="2026-01-22T00:00:00"/>
    <x v="1"/>
    <x v="6"/>
    <x v="8"/>
    <d v="2026-03-15T00:00:00"/>
    <n v="52"/>
    <n v="1.7333333333333334"/>
    <n v="0"/>
    <n v="1"/>
    <n v="1"/>
    <x v="0"/>
    <n v="19.857534246575341"/>
    <x v="3"/>
    <n v="1"/>
    <d v="2006-03-20T00:00:00"/>
  </r>
  <r>
    <x v="1"/>
    <n v="18997427"/>
    <x v="0"/>
    <d v="2026-01-22T00:00:00"/>
    <x v="1"/>
    <x v="6"/>
    <x v="8"/>
    <d v="2026-02-03T00:00:00"/>
    <n v="12"/>
    <n v="0.4"/>
    <n v="1"/>
    <n v="1"/>
    <n v="1"/>
    <x v="0"/>
    <n v="22.049315068493151"/>
    <x v="2"/>
    <n v="2"/>
    <d v="2004-01-10T00:00:00"/>
  </r>
  <r>
    <x v="1"/>
    <n v="18997428"/>
    <x v="0"/>
    <d v="2026-01-22T00:00:00"/>
    <x v="1"/>
    <x v="6"/>
    <x v="8"/>
    <d v="2026-02-28T00:00:00"/>
    <n v="37"/>
    <n v="1.2333333333333334"/>
    <n v="0"/>
    <n v="1"/>
    <n v="1"/>
    <x v="1"/>
    <n v="19.484931506849314"/>
    <x v="3"/>
    <n v="1"/>
    <d v="2006-08-03T00:00:00"/>
  </r>
  <r>
    <x v="1"/>
    <n v="18997436"/>
    <x v="0"/>
    <d v="2026-01-22T00:00:00"/>
    <x v="1"/>
    <x v="6"/>
    <x v="8"/>
    <d v="2026-04-01T00:00:00"/>
    <n v="69"/>
    <n v="2.2999999999999998"/>
    <n v="0"/>
    <n v="1"/>
    <n v="1"/>
    <x v="0"/>
    <n v="18.301369863013697"/>
    <x v="3"/>
    <n v="1"/>
    <d v="2007-10-09T00:00:00"/>
  </r>
  <r>
    <x v="1"/>
    <n v="18997440"/>
    <x v="0"/>
    <d v="2026-01-22T00:00:00"/>
    <x v="1"/>
    <x v="6"/>
    <x v="8"/>
    <d v="2026-03-28T00:00:00"/>
    <n v="65"/>
    <n v="2.1666666666666665"/>
    <n v="0"/>
    <n v="1"/>
    <n v="1"/>
    <x v="0"/>
    <n v="20.465753424657535"/>
    <x v="3"/>
    <n v="1"/>
    <d v="2005-08-10T00:00:00"/>
  </r>
  <r>
    <x v="1"/>
    <n v="18997448"/>
    <x v="1"/>
    <d v="2026-01-22T00:00:00"/>
    <x v="1"/>
    <x v="6"/>
    <x v="8"/>
    <m/>
    <n v="9999"/>
    <n v="333.3"/>
    <n v="0"/>
    <n v="0"/>
    <n v="0"/>
    <x v="1"/>
    <n v="18.991780821917807"/>
    <x v="3"/>
    <n v="1"/>
    <d v="2007-01-30T00:00:00"/>
  </r>
  <r>
    <x v="1"/>
    <n v="18997466"/>
    <x v="1"/>
    <d v="2026-01-22T00:00:00"/>
    <x v="1"/>
    <x v="6"/>
    <x v="8"/>
    <d v="2026-03-31T00:00:00"/>
    <n v="68"/>
    <n v="2.2666666666666666"/>
    <n v="0"/>
    <n v="1"/>
    <n v="1"/>
    <x v="1"/>
    <n v="20.509589041095889"/>
    <x v="3"/>
    <n v="1"/>
    <d v="2005-07-25T00:00:00"/>
  </r>
  <r>
    <x v="1"/>
    <n v="18997692"/>
    <x v="1"/>
    <d v="2026-01-23T00:00:00"/>
    <x v="1"/>
    <x v="6"/>
    <x v="8"/>
    <m/>
    <n v="9999"/>
    <n v="333.3"/>
    <n v="0"/>
    <n v="0"/>
    <n v="0"/>
    <x v="1"/>
    <n v="21.257534246575343"/>
    <x v="2"/>
    <n v="2"/>
    <d v="2004-10-26T00:00:00"/>
  </r>
  <r>
    <x v="1"/>
    <n v="18997708"/>
    <x v="0"/>
    <d v="2026-01-23T00:00:00"/>
    <x v="1"/>
    <x v="6"/>
    <x v="8"/>
    <d v="2026-03-29T00:00:00"/>
    <n v="65"/>
    <n v="2.1666666666666665"/>
    <n v="0"/>
    <n v="1"/>
    <n v="1"/>
    <x v="1"/>
    <n v="22.232876712328768"/>
    <x v="2"/>
    <n v="2"/>
    <d v="2003-11-05T00:00:00"/>
  </r>
  <r>
    <x v="1"/>
    <n v="18997709"/>
    <x v="0"/>
    <d v="2026-01-23T00:00:00"/>
    <x v="1"/>
    <x v="6"/>
    <x v="8"/>
    <d v="2026-02-06T00:00:00"/>
    <n v="14"/>
    <n v="0.46666666666666667"/>
    <n v="1"/>
    <n v="1"/>
    <n v="1"/>
    <x v="1"/>
    <n v="22.983561643835618"/>
    <x v="2"/>
    <n v="2"/>
    <d v="2003-02-04T00:00:00"/>
  </r>
  <r>
    <x v="1"/>
    <n v="18997711"/>
    <x v="1"/>
    <d v="2026-01-23T00:00:00"/>
    <x v="1"/>
    <x v="6"/>
    <x v="8"/>
    <m/>
    <n v="9999"/>
    <n v="333.3"/>
    <n v="0"/>
    <n v="0"/>
    <n v="0"/>
    <x v="1"/>
    <n v="18.479452054794521"/>
    <x v="3"/>
    <n v="1"/>
    <d v="2007-08-06T00:00:00"/>
  </r>
  <r>
    <x v="1"/>
    <n v="18997716"/>
    <x v="0"/>
    <d v="2026-01-23T00:00:00"/>
    <x v="1"/>
    <x v="6"/>
    <x v="8"/>
    <d v="2026-03-23T00:00:00"/>
    <n v="59"/>
    <n v="1.9666666666666666"/>
    <n v="0"/>
    <n v="1"/>
    <n v="1"/>
    <x v="1"/>
    <n v="20.304109589041097"/>
    <x v="3"/>
    <n v="1"/>
    <d v="2005-10-09T00:00:00"/>
  </r>
  <r>
    <x v="1"/>
    <n v="18997728"/>
    <x v="0"/>
    <d v="2026-01-23T00:00:00"/>
    <x v="1"/>
    <x v="6"/>
    <x v="8"/>
    <m/>
    <n v="9999"/>
    <n v="333.3"/>
    <n v="0"/>
    <n v="0"/>
    <n v="0"/>
    <x v="1"/>
    <n v="20.564383561643837"/>
    <x v="3"/>
    <n v="1"/>
    <d v="2005-07-06T00:00:00"/>
  </r>
  <r>
    <x v="1"/>
    <n v="18997729"/>
    <x v="0"/>
    <d v="2026-01-23T00:00:00"/>
    <x v="1"/>
    <x v="6"/>
    <x v="8"/>
    <m/>
    <n v="9999"/>
    <n v="333.3"/>
    <n v="0"/>
    <n v="0"/>
    <n v="0"/>
    <x v="1"/>
    <n v="22.402739726027399"/>
    <x v="2"/>
    <n v="2"/>
    <d v="2003-09-04T00:00:00"/>
  </r>
  <r>
    <x v="1"/>
    <n v="18997994"/>
    <x v="0"/>
    <d v="2026-01-26T00:00:00"/>
    <x v="1"/>
    <x v="6"/>
    <x v="8"/>
    <d v="2026-02-01T00:00:00"/>
    <n v="6"/>
    <n v="0.2"/>
    <n v="1"/>
    <n v="1"/>
    <n v="1"/>
    <x v="1"/>
    <n v="21.032876712328768"/>
    <x v="2"/>
    <n v="2"/>
    <d v="2005-01-19T00:00:00"/>
  </r>
  <r>
    <x v="1"/>
    <n v="18997995"/>
    <x v="1"/>
    <d v="2026-01-26T00:00:00"/>
    <x v="1"/>
    <x v="6"/>
    <x v="8"/>
    <m/>
    <n v="9999"/>
    <n v="333.3"/>
    <n v="0"/>
    <n v="0"/>
    <n v="0"/>
    <x v="1"/>
    <n v="18.142465753424659"/>
    <x v="3"/>
    <n v="1"/>
    <d v="2007-12-10T00:00:00"/>
  </r>
  <r>
    <x v="1"/>
    <n v="18997997"/>
    <x v="1"/>
    <d v="2026-01-26T00:00:00"/>
    <x v="1"/>
    <x v="6"/>
    <x v="8"/>
    <d v="2026-02-01T00:00:00"/>
    <n v="6"/>
    <n v="0.2"/>
    <n v="1"/>
    <n v="1"/>
    <n v="1"/>
    <x v="1"/>
    <n v="23.786301369863015"/>
    <x v="2"/>
    <n v="2"/>
    <d v="2002-04-20T00:00:00"/>
  </r>
  <r>
    <x v="1"/>
    <n v="18998003"/>
    <x v="0"/>
    <d v="2026-01-26T00:00:00"/>
    <x v="1"/>
    <x v="6"/>
    <x v="8"/>
    <m/>
    <n v="9999"/>
    <n v="333.3"/>
    <n v="0"/>
    <n v="0"/>
    <n v="0"/>
    <x v="1"/>
    <n v="18.649315068493152"/>
    <x v="3"/>
    <n v="1"/>
    <d v="2007-06-08T00:00:00"/>
  </r>
  <r>
    <x v="1"/>
    <n v="18998004"/>
    <x v="0"/>
    <d v="2026-01-26T00:00:00"/>
    <x v="1"/>
    <x v="6"/>
    <x v="8"/>
    <m/>
    <n v="9999"/>
    <n v="333.3"/>
    <n v="0"/>
    <n v="0"/>
    <n v="0"/>
    <x v="0"/>
    <n v="35.0027397260274"/>
    <x v="0"/>
    <n v="4"/>
    <d v="1991-02-03T00:00:00"/>
  </r>
  <r>
    <x v="1"/>
    <n v="18998530"/>
    <x v="1"/>
    <d v="2026-01-27T00:00:00"/>
    <x v="1"/>
    <x v="6"/>
    <x v="8"/>
    <m/>
    <n v="9999"/>
    <n v="333.3"/>
    <n v="0"/>
    <n v="0"/>
    <n v="0"/>
    <x v="0"/>
    <n v="24.241095890410961"/>
    <x v="2"/>
    <n v="2"/>
    <d v="2001-11-06T00:00:00"/>
  </r>
  <r>
    <x v="1"/>
    <n v="18998535"/>
    <x v="1"/>
    <d v="2026-01-27T00:00:00"/>
    <x v="1"/>
    <x v="6"/>
    <x v="8"/>
    <d v="2026-02-11T00:00:00"/>
    <n v="15"/>
    <n v="0.5"/>
    <n v="1"/>
    <n v="1"/>
    <n v="1"/>
    <x v="0"/>
    <n v="18.682191780821917"/>
    <x v="3"/>
    <n v="1"/>
    <d v="2007-05-28T00:00:00"/>
  </r>
  <r>
    <x v="1"/>
    <n v="18998538"/>
    <x v="0"/>
    <d v="2026-01-27T00:00:00"/>
    <x v="1"/>
    <x v="6"/>
    <x v="8"/>
    <d v="2026-05-15T00:00:00"/>
    <n v="108"/>
    <n v="3.6"/>
    <n v="0"/>
    <n v="0"/>
    <n v="1"/>
    <x v="1"/>
    <n v="20.931506849315067"/>
    <x v="3"/>
    <n v="1"/>
    <d v="2005-02-26T00:00:00"/>
  </r>
  <r>
    <x v="1"/>
    <n v="18998540"/>
    <x v="0"/>
    <d v="2026-01-27T00:00:00"/>
    <x v="1"/>
    <x v="6"/>
    <x v="8"/>
    <d v="2026-03-05T00:00:00"/>
    <n v="37"/>
    <n v="1.2333333333333334"/>
    <n v="0"/>
    <n v="1"/>
    <n v="1"/>
    <x v="1"/>
    <n v="20.279452054794522"/>
    <x v="3"/>
    <n v="1"/>
    <d v="2005-10-22T00:00:00"/>
  </r>
  <r>
    <x v="1"/>
    <n v="18998541"/>
    <x v="1"/>
    <d v="2026-01-27T00:00:00"/>
    <x v="1"/>
    <x v="6"/>
    <x v="8"/>
    <d v="2026-04-01T00:00:00"/>
    <n v="64"/>
    <n v="2.1333333333333333"/>
    <n v="0"/>
    <n v="1"/>
    <n v="1"/>
    <x v="1"/>
    <n v="20.934246575342467"/>
    <x v="3"/>
    <n v="1"/>
    <d v="2005-02-25T00:00:00"/>
  </r>
  <r>
    <x v="1"/>
    <n v="18998561"/>
    <x v="0"/>
    <d v="2026-01-27T00:00:00"/>
    <x v="1"/>
    <x v="6"/>
    <x v="8"/>
    <d v="2026-04-15T00:00:00"/>
    <n v="78"/>
    <n v="2.6"/>
    <n v="0"/>
    <n v="1"/>
    <n v="1"/>
    <x v="1"/>
    <n v="19.805479452054794"/>
    <x v="3"/>
    <n v="1"/>
    <d v="2006-04-13T00:00:00"/>
  </r>
  <r>
    <x v="1"/>
    <n v="18998564"/>
    <x v="0"/>
    <d v="2026-01-27T00:00:00"/>
    <x v="1"/>
    <x v="6"/>
    <x v="8"/>
    <d v="2026-03-31T00:00:00"/>
    <n v="63"/>
    <n v="2.1"/>
    <n v="0"/>
    <n v="1"/>
    <n v="1"/>
    <x v="1"/>
    <n v="25.328767123287673"/>
    <x v="2"/>
    <n v="2"/>
    <d v="2000-10-05T00:00:00"/>
  </r>
  <r>
    <x v="1"/>
    <n v="18998584"/>
    <x v="0"/>
    <d v="2026-01-27T00:00:00"/>
    <x v="1"/>
    <x v="6"/>
    <x v="8"/>
    <d v="2026-03-05T00:00:00"/>
    <n v="37"/>
    <n v="1.2333333333333334"/>
    <n v="0"/>
    <n v="1"/>
    <n v="1"/>
    <x v="1"/>
    <n v="19.399999999999999"/>
    <x v="3"/>
    <n v="1"/>
    <d v="2006-09-08T00:00:00"/>
  </r>
  <r>
    <x v="1"/>
    <n v="18998587"/>
    <x v="0"/>
    <d v="2026-01-27T00:00:00"/>
    <x v="1"/>
    <x v="6"/>
    <x v="8"/>
    <d v="2026-03-31T00:00:00"/>
    <n v="63"/>
    <n v="2.1"/>
    <n v="0"/>
    <n v="1"/>
    <n v="1"/>
    <x v="1"/>
    <n v="24.468493150684932"/>
    <x v="2"/>
    <n v="2"/>
    <d v="2001-08-15T00:00:00"/>
  </r>
  <r>
    <x v="1"/>
    <n v="18998613"/>
    <x v="1"/>
    <d v="2026-01-27T00:00:00"/>
    <x v="1"/>
    <x v="6"/>
    <x v="8"/>
    <m/>
    <n v="9999"/>
    <n v="333.3"/>
    <n v="0"/>
    <n v="0"/>
    <n v="0"/>
    <x v="1"/>
    <n v="24.857534246575341"/>
    <x v="2"/>
    <n v="2"/>
    <d v="2001-03-26T00:00:00"/>
  </r>
  <r>
    <x v="0"/>
    <n v="18998635"/>
    <x v="1"/>
    <d v="2026-01-27T00:00:00"/>
    <x v="1"/>
    <x v="6"/>
    <x v="8"/>
    <m/>
    <n v="9999"/>
    <n v="333.3"/>
    <n v="0"/>
    <n v="0"/>
    <n v="0"/>
    <x v="1"/>
    <n v="22.967123287671232"/>
    <x v="2"/>
    <n v="2"/>
    <d v="2003-02-14T00:00:00"/>
  </r>
  <r>
    <x v="1"/>
    <n v="18998636"/>
    <x v="0"/>
    <d v="2026-01-27T00:00:00"/>
    <x v="1"/>
    <x v="6"/>
    <x v="8"/>
    <d v="2026-05-10T00:00:00"/>
    <n v="103"/>
    <n v="3.4333333333333331"/>
    <n v="0"/>
    <n v="0"/>
    <n v="1"/>
    <x v="0"/>
    <n v="24.893150684931506"/>
    <x v="2"/>
    <n v="2"/>
    <d v="2001-03-13T00:00:00"/>
  </r>
  <r>
    <x v="1"/>
    <n v="18998642"/>
    <x v="0"/>
    <d v="2026-01-27T00:00:00"/>
    <x v="1"/>
    <x v="6"/>
    <x v="8"/>
    <d v="2026-03-30T00:00:00"/>
    <n v="62"/>
    <n v="2.0666666666666669"/>
    <n v="0"/>
    <n v="1"/>
    <n v="1"/>
    <x v="1"/>
    <n v="18.841095890410958"/>
    <x v="3"/>
    <n v="1"/>
    <d v="2007-03-31T00:00:00"/>
  </r>
  <r>
    <x v="1"/>
    <n v="18998665"/>
    <x v="0"/>
    <d v="2026-01-27T00:00:00"/>
    <x v="1"/>
    <x v="6"/>
    <x v="8"/>
    <d v="2026-03-01T00:00:00"/>
    <n v="33"/>
    <n v="1.1000000000000001"/>
    <n v="0"/>
    <n v="1"/>
    <n v="1"/>
    <x v="1"/>
    <n v="18.046575342465754"/>
    <x v="3"/>
    <n v="1"/>
    <d v="2008-01-15T00:00:00"/>
  </r>
  <r>
    <x v="1"/>
    <n v="18998668"/>
    <x v="0"/>
    <d v="2026-01-27T00:00:00"/>
    <x v="1"/>
    <x v="6"/>
    <x v="8"/>
    <d v="2026-04-07T00:00:00"/>
    <n v="70"/>
    <n v="2.3333333333333335"/>
    <n v="0"/>
    <n v="1"/>
    <n v="1"/>
    <x v="0"/>
    <n v="23.068493150684933"/>
    <x v="2"/>
    <n v="2"/>
    <d v="2003-01-08T00:00:00"/>
  </r>
  <r>
    <x v="1"/>
    <n v="18998676"/>
    <x v="1"/>
    <d v="2026-01-27T00:00:00"/>
    <x v="1"/>
    <x v="6"/>
    <x v="8"/>
    <d v="2026-04-01T00:00:00"/>
    <n v="64"/>
    <n v="2.1333333333333333"/>
    <n v="0"/>
    <n v="1"/>
    <n v="1"/>
    <x v="0"/>
    <n v="22.068493150684933"/>
    <x v="2"/>
    <n v="2"/>
    <d v="2004-01-08T00:00:00"/>
  </r>
  <r>
    <x v="1"/>
    <n v="18998689"/>
    <x v="0"/>
    <d v="2026-01-27T00:00:00"/>
    <x v="1"/>
    <x v="6"/>
    <x v="8"/>
    <m/>
    <n v="9999"/>
    <n v="333.3"/>
    <n v="0"/>
    <n v="0"/>
    <n v="0"/>
    <x v="0"/>
    <n v="18.846575342465755"/>
    <x v="3"/>
    <n v="1"/>
    <d v="2007-03-29T00:00:00"/>
  </r>
  <r>
    <x v="1"/>
    <n v="18998891"/>
    <x v="0"/>
    <d v="2026-01-28T00:00:00"/>
    <x v="1"/>
    <x v="6"/>
    <x v="8"/>
    <m/>
    <n v="9999"/>
    <n v="333.3"/>
    <n v="0"/>
    <n v="0"/>
    <n v="0"/>
    <x v="1"/>
    <n v="23"/>
    <x v="2"/>
    <n v="2"/>
    <d v="2003-02-03T00:00:00"/>
  </r>
  <r>
    <x v="1"/>
    <n v="18998905"/>
    <x v="0"/>
    <d v="2026-01-28T00:00:00"/>
    <x v="1"/>
    <x v="6"/>
    <x v="8"/>
    <d v="2026-04-30T00:00:00"/>
    <n v="92"/>
    <n v="3.0666666666666669"/>
    <n v="0"/>
    <n v="0"/>
    <n v="1"/>
    <x v="0"/>
    <n v="19.19178082191781"/>
    <x v="3"/>
    <n v="1"/>
    <d v="2006-11-24T00:00:00"/>
  </r>
  <r>
    <x v="1"/>
    <n v="18998910"/>
    <x v="0"/>
    <d v="2026-01-28T00:00:00"/>
    <x v="1"/>
    <x v="6"/>
    <x v="8"/>
    <m/>
    <n v="9999"/>
    <n v="333.3"/>
    <n v="0"/>
    <n v="0"/>
    <n v="0"/>
    <x v="1"/>
    <n v="18.67945205479452"/>
    <x v="3"/>
    <n v="1"/>
    <d v="2007-05-30T00:00:00"/>
  </r>
  <r>
    <x v="1"/>
    <n v="18998911"/>
    <x v="1"/>
    <d v="2026-01-28T00:00:00"/>
    <x v="1"/>
    <x v="6"/>
    <x v="8"/>
    <m/>
    <n v="9999"/>
    <n v="333.3"/>
    <n v="0"/>
    <n v="0"/>
    <n v="0"/>
    <x v="1"/>
    <n v="22.18904109589041"/>
    <x v="2"/>
    <n v="2"/>
    <d v="2003-11-26T00:00:00"/>
  </r>
  <r>
    <x v="1"/>
    <n v="18998936"/>
    <x v="1"/>
    <d v="2026-01-28T00:00:00"/>
    <x v="1"/>
    <x v="6"/>
    <x v="8"/>
    <d v="2026-03-31T00:00:00"/>
    <n v="62"/>
    <n v="2.0666666666666669"/>
    <n v="0"/>
    <n v="1"/>
    <n v="1"/>
    <x v="0"/>
    <n v="22.18904109589041"/>
    <x v="2"/>
    <n v="2"/>
    <d v="2003-11-26T00:00:00"/>
  </r>
  <r>
    <x v="1"/>
    <n v="18998937"/>
    <x v="1"/>
    <d v="2026-01-28T00:00:00"/>
    <x v="1"/>
    <x v="6"/>
    <x v="8"/>
    <m/>
    <n v="9999"/>
    <n v="333.3"/>
    <n v="0"/>
    <n v="0"/>
    <n v="0"/>
    <x v="0"/>
    <n v="21.797260273972604"/>
    <x v="2"/>
    <n v="2"/>
    <d v="2004-04-17T00:00:00"/>
  </r>
  <r>
    <x v="0"/>
    <n v="18999000"/>
    <x v="0"/>
    <d v="2026-01-28T00:00:00"/>
    <x v="1"/>
    <x v="6"/>
    <x v="8"/>
    <d v="2026-06-01T00:00:00"/>
    <n v="124"/>
    <n v="4.1333333333333337"/>
    <n v="0"/>
    <n v="0"/>
    <n v="1"/>
    <x v="1"/>
    <n v="30.745205479452054"/>
    <x v="1"/>
    <n v="3"/>
    <d v="1995-05-09T00:00:00"/>
  </r>
  <r>
    <x v="0"/>
    <n v="18999002"/>
    <x v="0"/>
    <d v="2026-01-28T00:00:00"/>
    <x v="1"/>
    <x v="6"/>
    <x v="8"/>
    <m/>
    <n v="9999"/>
    <n v="333.3"/>
    <n v="0"/>
    <n v="0"/>
    <n v="0"/>
    <x v="1"/>
    <n v="18.534246575342465"/>
    <x v="3"/>
    <n v="1"/>
    <d v="2007-07-22T00:00:00"/>
  </r>
  <r>
    <x v="1"/>
    <n v="18999003"/>
    <x v="0"/>
    <d v="2026-01-28T00:00:00"/>
    <x v="1"/>
    <x v="6"/>
    <x v="8"/>
    <m/>
    <n v="9999"/>
    <n v="333.3"/>
    <n v="0"/>
    <n v="0"/>
    <n v="0"/>
    <x v="0"/>
    <n v="20.150684931506849"/>
    <x v="3"/>
    <n v="1"/>
    <d v="2005-12-09T00:00:00"/>
  </r>
  <r>
    <x v="1"/>
    <n v="18999056"/>
    <x v="0"/>
    <d v="2026-01-28T00:00:00"/>
    <x v="1"/>
    <x v="6"/>
    <x v="8"/>
    <m/>
    <n v="9999"/>
    <n v="333.3"/>
    <n v="0"/>
    <n v="0"/>
    <n v="0"/>
    <x v="1"/>
    <n v="23.030136986301368"/>
    <x v="2"/>
    <n v="2"/>
    <d v="2003-01-23T00:00:00"/>
  </r>
  <r>
    <x v="1"/>
    <n v="18999092"/>
    <x v="0"/>
    <d v="2026-01-28T00:00:00"/>
    <x v="1"/>
    <x v="6"/>
    <x v="8"/>
    <m/>
    <n v="9999"/>
    <n v="333.3"/>
    <n v="0"/>
    <n v="0"/>
    <n v="0"/>
    <x v="0"/>
    <n v="21.084931506849315"/>
    <x v="2"/>
    <n v="2"/>
    <d v="2005-01-02T00:00:00"/>
  </r>
  <r>
    <x v="1"/>
    <n v="18999114"/>
    <x v="1"/>
    <d v="2026-01-28T00:00:00"/>
    <x v="1"/>
    <x v="6"/>
    <x v="8"/>
    <d v="2026-03-31T00:00:00"/>
    <n v="62"/>
    <n v="2.0666666666666669"/>
    <n v="0"/>
    <n v="1"/>
    <n v="1"/>
    <x v="1"/>
    <n v="20.526027397260275"/>
    <x v="3"/>
    <n v="1"/>
    <d v="2005-07-25T00:00:00"/>
  </r>
  <r>
    <x v="1"/>
    <n v="18999136"/>
    <x v="1"/>
    <d v="2026-01-28T00:00:00"/>
    <x v="1"/>
    <x v="6"/>
    <x v="8"/>
    <d v="2026-03-04T00:00:00"/>
    <n v="35"/>
    <n v="1.1666666666666667"/>
    <n v="0"/>
    <n v="1"/>
    <n v="1"/>
    <x v="0"/>
    <n v="23.383561643835616"/>
    <x v="2"/>
    <n v="2"/>
    <d v="2002-09-16T00:00:00"/>
  </r>
  <r>
    <x v="1"/>
    <n v="18999228"/>
    <x v="0"/>
    <d v="2026-01-29T00:00:00"/>
    <x v="1"/>
    <x v="6"/>
    <x v="8"/>
    <d v="2026-02-09T00:00:00"/>
    <n v="11"/>
    <n v="0.36666666666666664"/>
    <n v="1"/>
    <n v="1"/>
    <n v="1"/>
    <x v="1"/>
    <n v="20.443835616438356"/>
    <x v="3"/>
    <n v="1"/>
    <d v="2005-08-25T00:00:00"/>
  </r>
  <r>
    <x v="1"/>
    <n v="18999247"/>
    <x v="1"/>
    <d v="2026-01-29T00:00:00"/>
    <x v="1"/>
    <x v="6"/>
    <x v="8"/>
    <d v="2026-03-30T00:00:00"/>
    <n v="60"/>
    <n v="2"/>
    <n v="0"/>
    <n v="1"/>
    <n v="1"/>
    <x v="1"/>
    <n v="18.841095890410958"/>
    <x v="3"/>
    <n v="1"/>
    <d v="2007-04-02T00:00:00"/>
  </r>
  <r>
    <x v="1"/>
    <n v="18999290"/>
    <x v="1"/>
    <d v="2026-01-29T00:00:00"/>
    <x v="1"/>
    <x v="6"/>
    <x v="8"/>
    <m/>
    <n v="9999"/>
    <n v="333.3"/>
    <n v="0"/>
    <n v="0"/>
    <n v="0"/>
    <x v="1"/>
    <n v="19.252054794520546"/>
    <x v="3"/>
    <n v="1"/>
    <d v="2006-11-03T00:00:00"/>
  </r>
  <r>
    <x v="1"/>
    <n v="18999311"/>
    <x v="1"/>
    <d v="2026-01-29T00:00:00"/>
    <x v="1"/>
    <x v="6"/>
    <x v="8"/>
    <d v="2026-03-22T00:00:00"/>
    <n v="52"/>
    <n v="1.7333333333333334"/>
    <n v="0"/>
    <n v="1"/>
    <n v="1"/>
    <x v="1"/>
    <n v="20.783561643835615"/>
    <x v="3"/>
    <n v="1"/>
    <d v="2005-04-23T00:00:00"/>
  </r>
  <r>
    <x v="1"/>
    <n v="18999330"/>
    <x v="0"/>
    <d v="2026-01-29T00:00:00"/>
    <x v="1"/>
    <x v="6"/>
    <x v="8"/>
    <d v="2026-03-31T00:00:00"/>
    <n v="61"/>
    <n v="2.0333333333333332"/>
    <n v="0"/>
    <n v="1"/>
    <n v="1"/>
    <x v="1"/>
    <n v="19.169863013698631"/>
    <x v="3"/>
    <n v="1"/>
    <d v="2006-12-03T00:00:00"/>
  </r>
  <r>
    <x v="1"/>
    <n v="18999331"/>
    <x v="1"/>
    <d v="2026-01-29T00:00:00"/>
    <x v="1"/>
    <x v="6"/>
    <x v="8"/>
    <d v="2026-04-25T00:00:00"/>
    <n v="86"/>
    <n v="2.8666666666666667"/>
    <n v="0"/>
    <n v="1"/>
    <n v="1"/>
    <x v="1"/>
    <n v="20.986301369863014"/>
    <x v="3"/>
    <n v="1"/>
    <d v="2005-02-08T00:00:00"/>
  </r>
  <r>
    <x v="1"/>
    <n v="18999522"/>
    <x v="0"/>
    <d v="2026-01-30T00:00:00"/>
    <x v="1"/>
    <x v="6"/>
    <x v="8"/>
    <m/>
    <n v="9999"/>
    <n v="333.3"/>
    <n v="0"/>
    <n v="0"/>
    <n v="0"/>
    <x v="1"/>
    <n v="22.093150684931508"/>
    <x v="2"/>
    <n v="2"/>
    <d v="2004-01-02T00:00:00"/>
  </r>
  <r>
    <x v="1"/>
    <n v="18999524"/>
    <x v="0"/>
    <d v="2026-01-30T00:00:00"/>
    <x v="1"/>
    <x v="6"/>
    <x v="8"/>
    <m/>
    <n v="9999"/>
    <n v="333.3"/>
    <n v="0"/>
    <n v="0"/>
    <n v="0"/>
    <x v="1"/>
    <n v="18.92876712328767"/>
    <x v="3"/>
    <n v="1"/>
    <d v="2007-03-02T00:00:00"/>
  </r>
  <r>
    <x v="1"/>
    <n v="18999525"/>
    <x v="0"/>
    <d v="2026-01-30T00:00:00"/>
    <x v="1"/>
    <x v="6"/>
    <x v="8"/>
    <d v="2026-05-31T00:00:00"/>
    <n v="121"/>
    <n v="4.0333333333333332"/>
    <n v="0"/>
    <n v="0"/>
    <n v="1"/>
    <x v="1"/>
    <n v="22.052054794520547"/>
    <x v="2"/>
    <n v="2"/>
    <d v="2004-01-17T00:00:00"/>
  </r>
  <r>
    <x v="1"/>
    <n v="18999526"/>
    <x v="0"/>
    <d v="2026-01-30T00:00:00"/>
    <x v="1"/>
    <x v="6"/>
    <x v="8"/>
    <d v="2026-02-01T00:00:00"/>
    <n v="2"/>
    <n v="6.6666666666666666E-2"/>
    <n v="1"/>
    <n v="1"/>
    <n v="1"/>
    <x v="1"/>
    <n v="20.252054794520546"/>
    <x v="3"/>
    <n v="1"/>
    <d v="2005-11-04T00:00:00"/>
  </r>
  <r>
    <x v="1"/>
    <n v="18999527"/>
    <x v="0"/>
    <d v="2026-01-30T00:00:00"/>
    <x v="1"/>
    <x v="6"/>
    <x v="8"/>
    <d v="2026-05-02T00:00:00"/>
    <n v="92"/>
    <n v="3.0666666666666669"/>
    <n v="0"/>
    <n v="0"/>
    <n v="1"/>
    <x v="1"/>
    <n v="23.30958904109589"/>
    <x v="2"/>
    <n v="2"/>
    <d v="2002-10-15T00:00:00"/>
  </r>
  <r>
    <x v="1"/>
    <n v="18999529"/>
    <x v="0"/>
    <d v="2026-01-30T00:00:00"/>
    <x v="1"/>
    <x v="6"/>
    <x v="8"/>
    <m/>
    <n v="9999"/>
    <n v="333.3"/>
    <n v="0"/>
    <n v="0"/>
    <n v="0"/>
    <x v="1"/>
    <n v="20.208219178082192"/>
    <x v="3"/>
    <n v="1"/>
    <d v="2005-11-20T00:00:00"/>
  </r>
  <r>
    <x v="1"/>
    <n v="18999530"/>
    <x v="0"/>
    <d v="2026-01-30T00:00:00"/>
    <x v="1"/>
    <x v="6"/>
    <x v="8"/>
    <d v="2026-04-15T00:00:00"/>
    <n v="75"/>
    <n v="2.5"/>
    <n v="0"/>
    <n v="1"/>
    <n v="1"/>
    <x v="1"/>
    <n v="19.375342465753423"/>
    <x v="3"/>
    <n v="1"/>
    <d v="2006-09-20T00:00:00"/>
  </r>
  <r>
    <x v="1"/>
    <n v="18999537"/>
    <x v="1"/>
    <d v="2026-01-30T00:00:00"/>
    <x v="1"/>
    <x v="6"/>
    <x v="8"/>
    <m/>
    <n v="9999"/>
    <n v="333.3"/>
    <n v="0"/>
    <n v="0"/>
    <n v="0"/>
    <x v="1"/>
    <n v="18.054794520547944"/>
    <x v="3"/>
    <n v="1"/>
    <d v="2008-01-15T00:00:00"/>
  </r>
  <r>
    <x v="1"/>
    <n v="18999538"/>
    <x v="0"/>
    <d v="2026-01-30T00:00:00"/>
    <x v="1"/>
    <x v="6"/>
    <x v="8"/>
    <m/>
    <n v="9999"/>
    <n v="333.3"/>
    <n v="0"/>
    <n v="0"/>
    <n v="0"/>
    <x v="1"/>
    <n v="19.17808219178082"/>
    <x v="3"/>
    <n v="1"/>
    <d v="2006-12-01T00:00:00"/>
  </r>
  <r>
    <x v="1"/>
    <n v="18999740"/>
    <x v="0"/>
    <d v="2026-02-02T00:00:00"/>
    <x v="1"/>
    <x v="7"/>
    <x v="15"/>
    <d v="2026-04-01T00:00:00"/>
    <n v="58"/>
    <n v="1.9333333333333333"/>
    <n v="0"/>
    <n v="1"/>
    <n v="1"/>
    <x v="0"/>
    <n v="22.758904109589039"/>
    <x v="2"/>
    <n v="2"/>
    <d v="2003-05-07T00:00:00"/>
  </r>
  <r>
    <x v="1"/>
    <n v="18999789"/>
    <x v="1"/>
    <d v="2026-02-02T00:00:00"/>
    <x v="1"/>
    <x v="7"/>
    <x v="15"/>
    <m/>
    <n v="9999"/>
    <n v="333.3"/>
    <n v="0"/>
    <n v="0"/>
    <n v="0"/>
    <x v="1"/>
    <n v="19.523287671232875"/>
    <x v="3"/>
    <n v="1"/>
    <d v="2006-07-31T00:00:00"/>
  </r>
  <r>
    <x v="0"/>
    <n v="18999799"/>
    <x v="0"/>
    <d v="2026-02-02T00:00:00"/>
    <x v="1"/>
    <x v="7"/>
    <x v="15"/>
    <m/>
    <n v="9999"/>
    <n v="333.3"/>
    <n v="0"/>
    <n v="0"/>
    <n v="0"/>
    <x v="1"/>
    <n v="39.704109589041096"/>
    <x v="0"/>
    <n v="4"/>
    <d v="1986-05-31T00:00:00"/>
  </r>
  <r>
    <x v="1"/>
    <n v="18999801"/>
    <x v="0"/>
    <d v="2026-02-02T00:00:00"/>
    <x v="1"/>
    <x v="7"/>
    <x v="15"/>
    <m/>
    <n v="9999"/>
    <n v="333.3"/>
    <n v="0"/>
    <n v="0"/>
    <n v="0"/>
    <x v="0"/>
    <n v="20.673972602739727"/>
    <x v="3"/>
    <n v="1"/>
    <d v="2005-06-06T00:00:00"/>
  </r>
  <r>
    <x v="1"/>
    <n v="18999813"/>
    <x v="0"/>
    <d v="2026-02-02T00:00:00"/>
    <x v="1"/>
    <x v="7"/>
    <x v="15"/>
    <m/>
    <n v="9999"/>
    <n v="333.3"/>
    <n v="0"/>
    <n v="0"/>
    <n v="0"/>
    <x v="1"/>
    <n v="19.895890410958906"/>
    <x v="3"/>
    <n v="1"/>
    <d v="2006-03-17T00:00:00"/>
  </r>
  <r>
    <x v="1"/>
    <n v="18999816"/>
    <x v="1"/>
    <d v="2026-02-02T00:00:00"/>
    <x v="1"/>
    <x v="7"/>
    <x v="15"/>
    <d v="2026-04-06T00:00:00"/>
    <n v="63"/>
    <n v="2.1"/>
    <n v="0"/>
    <n v="1"/>
    <n v="1"/>
    <x v="1"/>
    <n v="22.583561643835615"/>
    <x v="2"/>
    <n v="2"/>
    <d v="2003-07-10T00:00:00"/>
  </r>
  <r>
    <x v="1"/>
    <n v="18999883"/>
    <x v="1"/>
    <d v="2026-02-02T00:00:00"/>
    <x v="1"/>
    <x v="7"/>
    <x v="15"/>
    <m/>
    <n v="9999"/>
    <n v="333.3"/>
    <n v="0"/>
    <n v="0"/>
    <n v="0"/>
    <x v="0"/>
    <n v="28.339726027397262"/>
    <x v="1"/>
    <n v="3"/>
    <d v="1997-10-08T00:00:00"/>
  </r>
  <r>
    <x v="1"/>
    <n v="18999886"/>
    <x v="0"/>
    <d v="2026-02-02T00:00:00"/>
    <x v="1"/>
    <x v="7"/>
    <x v="15"/>
    <d v="2026-05-15T00:00:00"/>
    <n v="102"/>
    <n v="3.4"/>
    <n v="0"/>
    <n v="0"/>
    <n v="1"/>
    <x v="1"/>
    <n v="19.687671232876713"/>
    <x v="3"/>
    <n v="1"/>
    <d v="2006-06-01T00:00:00"/>
  </r>
  <r>
    <x v="1"/>
    <n v="18999887"/>
    <x v="0"/>
    <d v="2026-02-02T00:00:00"/>
    <x v="1"/>
    <x v="7"/>
    <x v="15"/>
    <m/>
    <n v="9999"/>
    <n v="333.3"/>
    <n v="0"/>
    <n v="0"/>
    <n v="0"/>
    <x v="1"/>
    <n v="19.36986301369863"/>
    <x v="3"/>
    <n v="1"/>
    <d v="2006-09-25T00:00:00"/>
  </r>
  <r>
    <x v="1"/>
    <n v="18999888"/>
    <x v="0"/>
    <d v="2026-02-02T00:00:00"/>
    <x v="1"/>
    <x v="7"/>
    <x v="15"/>
    <d v="2026-03-31T00:00:00"/>
    <n v="57"/>
    <n v="1.9"/>
    <n v="0"/>
    <n v="1"/>
    <n v="1"/>
    <x v="1"/>
    <n v="20.013698630136986"/>
    <x v="3"/>
    <n v="1"/>
    <d v="2006-02-02T00:00:00"/>
  </r>
  <r>
    <x v="1"/>
    <n v="18999890"/>
    <x v="1"/>
    <d v="2026-02-02T00:00:00"/>
    <x v="1"/>
    <x v="7"/>
    <x v="15"/>
    <m/>
    <n v="9999"/>
    <n v="333.3"/>
    <n v="0"/>
    <n v="0"/>
    <n v="0"/>
    <x v="1"/>
    <n v="19.663013698630138"/>
    <x v="3"/>
    <n v="1"/>
    <d v="2006-06-10T00:00:00"/>
  </r>
  <r>
    <x v="1"/>
    <n v="18999891"/>
    <x v="1"/>
    <d v="2026-02-02T00:00:00"/>
    <x v="1"/>
    <x v="7"/>
    <x v="15"/>
    <d v="2026-04-07T00:00:00"/>
    <n v="64"/>
    <n v="2.1333333333333333"/>
    <n v="0"/>
    <n v="1"/>
    <n v="1"/>
    <x v="1"/>
    <n v="27.906849315068492"/>
    <x v="1"/>
    <n v="3"/>
    <d v="1998-03-15T00:00:00"/>
  </r>
  <r>
    <x v="1"/>
    <n v="18999980"/>
    <x v="0"/>
    <d v="2026-02-02T00:00:00"/>
    <x v="1"/>
    <x v="7"/>
    <x v="15"/>
    <m/>
    <n v="9999"/>
    <n v="333.3"/>
    <n v="0"/>
    <n v="0"/>
    <n v="0"/>
    <x v="1"/>
    <n v="23.906849315068492"/>
    <x v="2"/>
    <n v="2"/>
    <d v="2002-03-14T00:00:00"/>
  </r>
  <r>
    <x v="1"/>
    <n v="19000399"/>
    <x v="0"/>
    <d v="2026-02-03T00:00:00"/>
    <x v="1"/>
    <x v="7"/>
    <x v="15"/>
    <m/>
    <n v="9999"/>
    <n v="333.3"/>
    <n v="0"/>
    <n v="0"/>
    <n v="0"/>
    <x v="1"/>
    <n v="19.416438356164385"/>
    <x v="3"/>
    <n v="1"/>
    <d v="2006-09-09T00:00:00"/>
  </r>
  <r>
    <x v="1"/>
    <n v="19000411"/>
    <x v="1"/>
    <d v="2026-02-03T00:00:00"/>
    <x v="1"/>
    <x v="7"/>
    <x v="15"/>
    <d v="2026-03-31T00:00:00"/>
    <n v="56"/>
    <n v="1.8666666666666667"/>
    <n v="0"/>
    <n v="1"/>
    <n v="1"/>
    <x v="1"/>
    <n v="19.024657534246575"/>
    <x v="3"/>
    <n v="1"/>
    <d v="2007-01-30T00:00:00"/>
  </r>
  <r>
    <x v="1"/>
    <n v="19000412"/>
    <x v="0"/>
    <d v="2026-02-03T00:00:00"/>
    <x v="1"/>
    <x v="7"/>
    <x v="15"/>
    <m/>
    <n v="9999"/>
    <n v="333.3"/>
    <n v="0"/>
    <n v="0"/>
    <n v="0"/>
    <x v="1"/>
    <n v="20.43013698630137"/>
    <x v="3"/>
    <n v="1"/>
    <d v="2005-09-04T00:00:00"/>
  </r>
  <r>
    <x v="1"/>
    <n v="19000447"/>
    <x v="0"/>
    <d v="2026-02-03T00:00:00"/>
    <x v="1"/>
    <x v="7"/>
    <x v="15"/>
    <m/>
    <n v="9999"/>
    <n v="333.3"/>
    <n v="0"/>
    <n v="0"/>
    <n v="0"/>
    <x v="0"/>
    <n v="21.87945205479452"/>
    <x v="2"/>
    <n v="2"/>
    <d v="2004-03-24T00:00:00"/>
  </r>
  <r>
    <x v="1"/>
    <n v="19000448"/>
    <x v="1"/>
    <d v="2026-02-03T00:00:00"/>
    <x v="1"/>
    <x v="7"/>
    <x v="15"/>
    <m/>
    <n v="9999"/>
    <n v="333.3"/>
    <n v="0"/>
    <n v="0"/>
    <n v="0"/>
    <x v="1"/>
    <n v="19.923287671232877"/>
    <x v="3"/>
    <n v="1"/>
    <d v="2006-03-08T00:00:00"/>
  </r>
  <r>
    <x v="1"/>
    <n v="19000449"/>
    <x v="0"/>
    <d v="2026-02-03T00:00:00"/>
    <x v="1"/>
    <x v="7"/>
    <x v="15"/>
    <d v="2026-03-02T00:00:00"/>
    <n v="27"/>
    <n v="0.9"/>
    <n v="1"/>
    <n v="1"/>
    <n v="1"/>
    <x v="1"/>
    <n v="19.841095890410958"/>
    <x v="3"/>
    <n v="1"/>
    <d v="2006-04-07T00:00:00"/>
  </r>
  <r>
    <x v="1"/>
    <n v="19000450"/>
    <x v="0"/>
    <d v="2026-02-03T00:00:00"/>
    <x v="1"/>
    <x v="7"/>
    <x v="15"/>
    <m/>
    <n v="9999"/>
    <n v="333.3"/>
    <n v="0"/>
    <n v="0"/>
    <n v="0"/>
    <x v="0"/>
    <n v="23.975342465753425"/>
    <x v="2"/>
    <n v="2"/>
    <d v="2002-02-18T00:00:00"/>
  </r>
  <r>
    <x v="1"/>
    <n v="19000478"/>
    <x v="1"/>
    <d v="2026-02-03T00:00:00"/>
    <x v="1"/>
    <x v="7"/>
    <x v="15"/>
    <m/>
    <n v="9999"/>
    <n v="333.3"/>
    <n v="0"/>
    <n v="0"/>
    <n v="0"/>
    <x v="1"/>
    <n v="19.052054794520547"/>
    <x v="3"/>
    <n v="1"/>
    <d v="2007-01-20T00:00:00"/>
  </r>
  <r>
    <x v="1"/>
    <n v="19000487"/>
    <x v="1"/>
    <d v="2026-02-03T00:00:00"/>
    <x v="1"/>
    <x v="7"/>
    <x v="15"/>
    <d v="2026-03-31T00:00:00"/>
    <n v="56"/>
    <n v="1.8666666666666667"/>
    <n v="0"/>
    <n v="1"/>
    <n v="1"/>
    <x v="0"/>
    <n v="20.769863013698629"/>
    <x v="3"/>
    <n v="1"/>
    <d v="2005-05-03T00:00:00"/>
  </r>
  <r>
    <x v="1"/>
    <n v="19000541"/>
    <x v="0"/>
    <d v="2026-02-03T00:00:00"/>
    <x v="1"/>
    <x v="7"/>
    <x v="15"/>
    <d v="2026-02-05T00:00:00"/>
    <n v="2"/>
    <n v="6.6666666666666666E-2"/>
    <n v="1"/>
    <n v="1"/>
    <n v="1"/>
    <x v="0"/>
    <n v="24.890410958904109"/>
    <x v="2"/>
    <n v="2"/>
    <d v="2001-03-21T00:00:00"/>
  </r>
  <r>
    <x v="1"/>
    <n v="19000886"/>
    <x v="0"/>
    <d v="2026-02-05T00:00:00"/>
    <x v="1"/>
    <x v="7"/>
    <x v="15"/>
    <m/>
    <n v="9999"/>
    <n v="333.3"/>
    <n v="0"/>
    <n v="0"/>
    <n v="0"/>
    <x v="0"/>
    <n v="27.572602739726026"/>
    <x v="1"/>
    <n v="3"/>
    <d v="1998-07-18T00:00:00"/>
  </r>
  <r>
    <x v="1"/>
    <n v="19000887"/>
    <x v="0"/>
    <d v="2026-02-05T00:00:00"/>
    <x v="1"/>
    <x v="7"/>
    <x v="15"/>
    <m/>
    <n v="9999"/>
    <n v="333.3"/>
    <n v="0"/>
    <n v="0"/>
    <n v="0"/>
    <x v="0"/>
    <n v="20.676712328767124"/>
    <x v="3"/>
    <n v="1"/>
    <d v="2005-06-08T00:00:00"/>
  </r>
  <r>
    <x v="1"/>
    <n v="19000900"/>
    <x v="0"/>
    <d v="2026-02-05T00:00:00"/>
    <x v="1"/>
    <x v="7"/>
    <x v="15"/>
    <m/>
    <n v="9999"/>
    <n v="333.3"/>
    <n v="0"/>
    <n v="0"/>
    <n v="0"/>
    <x v="1"/>
    <n v="19.865753424657534"/>
    <x v="3"/>
    <n v="1"/>
    <d v="2006-03-31T00:00:00"/>
  </r>
  <r>
    <x v="1"/>
    <n v="19000901"/>
    <x v="0"/>
    <d v="2026-02-05T00:00:00"/>
    <x v="1"/>
    <x v="7"/>
    <x v="15"/>
    <d v="2026-04-01T00:00:00"/>
    <n v="55"/>
    <n v="1.8333333333333333"/>
    <n v="0"/>
    <n v="1"/>
    <n v="1"/>
    <x v="1"/>
    <n v="22.553424657534247"/>
    <x v="2"/>
    <n v="2"/>
    <d v="2003-07-24T00:00:00"/>
  </r>
  <r>
    <x v="1"/>
    <n v="19000902"/>
    <x v="1"/>
    <d v="2026-02-05T00:00:00"/>
    <x v="1"/>
    <x v="7"/>
    <x v="15"/>
    <m/>
    <n v="9999"/>
    <n v="333.3"/>
    <n v="0"/>
    <n v="0"/>
    <n v="0"/>
    <x v="1"/>
    <n v="20.846575342465755"/>
    <x v="3"/>
    <n v="1"/>
    <d v="2005-04-07T00:00:00"/>
  </r>
  <r>
    <x v="1"/>
    <n v="19000905"/>
    <x v="0"/>
    <d v="2026-02-05T00:00:00"/>
    <x v="1"/>
    <x v="7"/>
    <x v="15"/>
    <m/>
    <n v="9999"/>
    <n v="333.3"/>
    <n v="0"/>
    <n v="0"/>
    <n v="0"/>
    <x v="1"/>
    <n v="19.517808219178082"/>
    <x v="3"/>
    <n v="1"/>
    <d v="2006-08-05T00:00:00"/>
  </r>
  <r>
    <x v="1"/>
    <n v="19000906"/>
    <x v="1"/>
    <d v="2026-02-05T00:00:00"/>
    <x v="1"/>
    <x v="7"/>
    <x v="15"/>
    <d v="2026-04-01T00:00:00"/>
    <n v="55"/>
    <n v="1.8333333333333333"/>
    <n v="0"/>
    <n v="1"/>
    <n v="1"/>
    <x v="0"/>
    <n v="21.301369863013697"/>
    <x v="2"/>
    <n v="2"/>
    <d v="2004-10-23T00:00:00"/>
  </r>
  <r>
    <x v="1"/>
    <n v="19000910"/>
    <x v="1"/>
    <d v="2026-02-05T00:00:00"/>
    <x v="1"/>
    <x v="7"/>
    <x v="15"/>
    <d v="2026-03-04T00:00:00"/>
    <n v="27"/>
    <n v="0.9"/>
    <n v="1"/>
    <n v="1"/>
    <n v="1"/>
    <x v="0"/>
    <n v="20.947945205479453"/>
    <x v="3"/>
    <n v="1"/>
    <d v="2005-03-01T00:00:00"/>
  </r>
  <r>
    <x v="1"/>
    <n v="19000943"/>
    <x v="0"/>
    <d v="2026-02-05T00:00:00"/>
    <x v="1"/>
    <x v="7"/>
    <x v="15"/>
    <d v="2026-03-05T00:00:00"/>
    <n v="28"/>
    <n v="0.93333333333333335"/>
    <n v="1"/>
    <n v="1"/>
    <n v="1"/>
    <x v="1"/>
    <n v="26.643835616438356"/>
    <x v="1"/>
    <n v="3"/>
    <d v="1999-06-22T00:00:00"/>
  </r>
  <r>
    <x v="1"/>
    <n v="19000944"/>
    <x v="0"/>
    <d v="2026-02-05T00:00:00"/>
    <x v="1"/>
    <x v="7"/>
    <x v="15"/>
    <d v="2026-05-31T00:00:00"/>
    <n v="115"/>
    <n v="3.8333333333333335"/>
    <n v="0"/>
    <n v="0"/>
    <n v="1"/>
    <x v="1"/>
    <n v="29.701369863013699"/>
    <x v="1"/>
    <n v="3"/>
    <d v="1996-06-01T00:00:00"/>
  </r>
  <r>
    <x v="1"/>
    <n v="19001136"/>
    <x v="0"/>
    <d v="2026-02-06T00:00:00"/>
    <x v="1"/>
    <x v="7"/>
    <x v="15"/>
    <d v="2026-04-05T00:00:00"/>
    <n v="58"/>
    <n v="1.9333333333333333"/>
    <n v="0"/>
    <n v="1"/>
    <n v="1"/>
    <x v="0"/>
    <n v="23.783561643835615"/>
    <x v="2"/>
    <n v="2"/>
    <d v="2002-05-02T00:00:00"/>
  </r>
  <r>
    <x v="1"/>
    <n v="19001137"/>
    <x v="0"/>
    <d v="2026-02-06T00:00:00"/>
    <x v="1"/>
    <x v="7"/>
    <x v="15"/>
    <m/>
    <n v="9999"/>
    <n v="333.3"/>
    <n v="0"/>
    <n v="0"/>
    <n v="0"/>
    <x v="0"/>
    <n v="26.975342465753425"/>
    <x v="1"/>
    <n v="3"/>
    <d v="1999-02-22T00:00:00"/>
  </r>
  <r>
    <x v="1"/>
    <n v="19001138"/>
    <x v="1"/>
    <d v="2026-02-06T00:00:00"/>
    <x v="1"/>
    <x v="7"/>
    <x v="15"/>
    <d v="2026-04-01T00:00:00"/>
    <n v="54"/>
    <n v="1.8"/>
    <n v="0"/>
    <n v="1"/>
    <n v="1"/>
    <x v="0"/>
    <n v="23.06027397260274"/>
    <x v="2"/>
    <n v="2"/>
    <d v="2003-01-21T00:00:00"/>
  </r>
  <r>
    <x v="1"/>
    <n v="19001157"/>
    <x v="0"/>
    <d v="2026-02-06T00:00:00"/>
    <x v="1"/>
    <x v="7"/>
    <x v="15"/>
    <m/>
    <n v="9999"/>
    <n v="333.3"/>
    <n v="0"/>
    <n v="0"/>
    <n v="0"/>
    <x v="0"/>
    <n v="20.290410958904111"/>
    <x v="3"/>
    <n v="1"/>
    <d v="2005-10-28T00:00:00"/>
  </r>
  <r>
    <x v="1"/>
    <n v="19001160"/>
    <x v="0"/>
    <d v="2026-02-06T00:00:00"/>
    <x v="1"/>
    <x v="7"/>
    <x v="15"/>
    <m/>
    <n v="9999"/>
    <n v="333.3"/>
    <n v="0"/>
    <n v="0"/>
    <n v="0"/>
    <x v="1"/>
    <n v="21.394520547945206"/>
    <x v="2"/>
    <n v="2"/>
    <d v="2004-09-20T00:00:00"/>
  </r>
  <r>
    <x v="1"/>
    <n v="19001161"/>
    <x v="0"/>
    <d v="2026-02-06T00:00:00"/>
    <x v="1"/>
    <x v="7"/>
    <x v="15"/>
    <m/>
    <n v="9999"/>
    <n v="333.3"/>
    <n v="0"/>
    <n v="0"/>
    <n v="0"/>
    <x v="1"/>
    <n v="20.408219178082192"/>
    <x v="3"/>
    <n v="1"/>
    <d v="2005-09-15T00:00:00"/>
  </r>
  <r>
    <x v="1"/>
    <n v="19001164"/>
    <x v="0"/>
    <d v="2026-02-06T00:00:00"/>
    <x v="1"/>
    <x v="7"/>
    <x v="15"/>
    <m/>
    <n v="9999"/>
    <n v="333.3"/>
    <n v="0"/>
    <n v="0"/>
    <n v="0"/>
    <x v="1"/>
    <n v="23.523287671232875"/>
    <x v="2"/>
    <n v="2"/>
    <d v="2002-08-05T00:00:00"/>
  </r>
  <r>
    <x v="1"/>
    <n v="19001218"/>
    <x v="0"/>
    <d v="2026-02-06T00:00:00"/>
    <x v="1"/>
    <x v="7"/>
    <x v="15"/>
    <m/>
    <n v="9999"/>
    <n v="333.3"/>
    <n v="0"/>
    <n v="0"/>
    <n v="0"/>
    <x v="0"/>
    <n v="21.454794520547946"/>
    <x v="2"/>
    <n v="2"/>
    <d v="2004-08-29T00:00:00"/>
  </r>
  <r>
    <x v="1"/>
    <n v="19001222"/>
    <x v="1"/>
    <d v="2026-02-06T00:00:00"/>
    <x v="1"/>
    <x v="7"/>
    <x v="15"/>
    <d v="2026-03-10T00:00:00"/>
    <n v="32"/>
    <n v="1.0666666666666667"/>
    <n v="0"/>
    <n v="1"/>
    <n v="1"/>
    <x v="0"/>
    <n v="19.953424657534246"/>
    <x v="3"/>
    <n v="1"/>
    <d v="2006-02-28T00:00:00"/>
  </r>
  <r>
    <x v="1"/>
    <n v="19001331"/>
    <x v="0"/>
    <d v="2026-02-06T00:00:00"/>
    <x v="1"/>
    <x v="7"/>
    <x v="15"/>
    <m/>
    <n v="9999"/>
    <n v="333.3"/>
    <n v="0"/>
    <n v="0"/>
    <n v="0"/>
    <x v="0"/>
    <n v="20.764383561643836"/>
    <x v="3"/>
    <n v="1"/>
    <d v="2005-05-08T00:00:00"/>
  </r>
  <r>
    <x v="1"/>
    <n v="19001519"/>
    <x v="1"/>
    <d v="2026-02-09T00:00:00"/>
    <x v="1"/>
    <x v="7"/>
    <x v="15"/>
    <d v="2026-04-06T00:00:00"/>
    <n v="56"/>
    <n v="1.8666666666666667"/>
    <n v="0"/>
    <n v="1"/>
    <n v="1"/>
    <x v="0"/>
    <n v="18.468493150684932"/>
    <x v="3"/>
    <n v="1"/>
    <d v="2007-08-27T00:00:00"/>
  </r>
  <r>
    <x v="1"/>
    <n v="19001895"/>
    <x v="1"/>
    <d v="2026-02-10T00:00:00"/>
    <x v="1"/>
    <x v="7"/>
    <x v="15"/>
    <d v="2026-03-31T00:00:00"/>
    <n v="49"/>
    <n v="1.6333333333333333"/>
    <n v="0"/>
    <n v="1"/>
    <n v="1"/>
    <x v="1"/>
    <n v="18.12876712328767"/>
    <x v="3"/>
    <n v="1"/>
    <d v="2007-12-30T00:00:00"/>
  </r>
  <r>
    <x v="1"/>
    <n v="19001931"/>
    <x v="1"/>
    <d v="2026-02-10T00:00:00"/>
    <x v="1"/>
    <x v="7"/>
    <x v="15"/>
    <d v="2026-03-31T00:00:00"/>
    <n v="49"/>
    <n v="1.6333333333333333"/>
    <n v="0"/>
    <n v="1"/>
    <n v="1"/>
    <x v="1"/>
    <n v="18.87945205479452"/>
    <x v="3"/>
    <n v="1"/>
    <d v="2007-03-31T00:00:00"/>
  </r>
  <r>
    <x v="1"/>
    <n v="19001940"/>
    <x v="0"/>
    <d v="2026-02-10T00:00:00"/>
    <x v="1"/>
    <x v="7"/>
    <x v="15"/>
    <d v="2026-03-10T00:00:00"/>
    <n v="28"/>
    <n v="0.93333333333333335"/>
    <n v="1"/>
    <n v="1"/>
    <n v="1"/>
    <x v="1"/>
    <n v="27.547945205479451"/>
    <x v="1"/>
    <n v="3"/>
    <d v="1998-08-01T00:00:00"/>
  </r>
  <r>
    <x v="0"/>
    <n v="19001947"/>
    <x v="0"/>
    <d v="2026-02-10T00:00:00"/>
    <x v="1"/>
    <x v="7"/>
    <x v="15"/>
    <m/>
    <n v="9999"/>
    <n v="333.3"/>
    <n v="0"/>
    <n v="0"/>
    <n v="0"/>
    <x v="1"/>
    <n v="23.476712328767125"/>
    <x v="2"/>
    <n v="2"/>
    <d v="2002-08-26T00:00:00"/>
  </r>
  <r>
    <x v="1"/>
    <n v="19001965"/>
    <x v="0"/>
    <d v="2026-02-10T00:00:00"/>
    <x v="1"/>
    <x v="7"/>
    <x v="15"/>
    <d v="2026-05-13T00:00:00"/>
    <n v="92"/>
    <n v="3.0666666666666669"/>
    <n v="0"/>
    <n v="0"/>
    <n v="1"/>
    <x v="1"/>
    <n v="45.9972602739726"/>
    <x v="0"/>
    <n v="4"/>
    <d v="1980-02-23T00:00:00"/>
  </r>
  <r>
    <x v="1"/>
    <n v="19002056"/>
    <x v="1"/>
    <d v="2026-02-10T00:00:00"/>
    <x v="1"/>
    <x v="7"/>
    <x v="15"/>
    <d v="2026-02-28T00:00:00"/>
    <n v="18"/>
    <n v="0.6"/>
    <n v="1"/>
    <n v="1"/>
    <n v="1"/>
    <x v="1"/>
    <n v="21.468493150684932"/>
    <x v="2"/>
    <n v="2"/>
    <d v="2004-08-28T00:00:00"/>
  </r>
  <r>
    <x v="1"/>
    <n v="19002063"/>
    <x v="0"/>
    <d v="2026-02-10T00:00:00"/>
    <x v="1"/>
    <x v="7"/>
    <x v="15"/>
    <d v="2026-02-28T00:00:00"/>
    <n v="18"/>
    <n v="0.6"/>
    <n v="1"/>
    <n v="1"/>
    <n v="1"/>
    <x v="1"/>
    <n v="20.391780821917809"/>
    <x v="3"/>
    <n v="1"/>
    <d v="2005-09-25T00:00:00"/>
  </r>
  <r>
    <x v="0"/>
    <n v="19002067"/>
    <x v="0"/>
    <d v="2026-02-10T00:00:00"/>
    <x v="1"/>
    <x v="7"/>
    <x v="15"/>
    <d v="2026-03-08T00:00:00"/>
    <n v="26"/>
    <n v="0.8666666666666667"/>
    <n v="1"/>
    <n v="1"/>
    <n v="1"/>
    <x v="1"/>
    <n v="34.520547945205479"/>
    <x v="0"/>
    <n v="4"/>
    <d v="1991-08-13T00:00:00"/>
  </r>
  <r>
    <x v="1"/>
    <n v="19002265"/>
    <x v="0"/>
    <d v="2026-02-11T00:00:00"/>
    <x v="1"/>
    <x v="7"/>
    <x v="15"/>
    <d v="2026-03-14T00:00:00"/>
    <n v="31"/>
    <n v="1.0333333333333334"/>
    <n v="0"/>
    <n v="1"/>
    <n v="1"/>
    <x v="1"/>
    <n v="18.717808219178082"/>
    <x v="3"/>
    <n v="1"/>
    <d v="2007-05-30T00:00:00"/>
  </r>
  <r>
    <x v="1"/>
    <n v="19002277"/>
    <x v="0"/>
    <d v="2026-02-11T00:00:00"/>
    <x v="1"/>
    <x v="7"/>
    <x v="15"/>
    <m/>
    <n v="9999"/>
    <n v="333.3"/>
    <n v="0"/>
    <n v="0"/>
    <n v="0"/>
    <x v="1"/>
    <n v="19.709589041095889"/>
    <x v="3"/>
    <n v="1"/>
    <d v="2006-06-02T00:00:00"/>
  </r>
  <r>
    <x v="1"/>
    <n v="19002805"/>
    <x v="0"/>
    <d v="2026-02-13T00:00:00"/>
    <x v="1"/>
    <x v="7"/>
    <x v="15"/>
    <m/>
    <n v="9999"/>
    <n v="333.3"/>
    <n v="0"/>
    <n v="0"/>
    <n v="0"/>
    <x v="1"/>
    <n v="32.580821917808223"/>
    <x v="0"/>
    <n v="4"/>
    <d v="1993-07-24T00:00:00"/>
  </r>
  <r>
    <x v="1"/>
    <n v="19002817"/>
    <x v="0"/>
    <d v="2026-02-13T00:00:00"/>
    <x v="1"/>
    <x v="7"/>
    <x v="15"/>
    <d v="2026-03-31T00:00:00"/>
    <n v="46"/>
    <n v="1.5333333333333334"/>
    <n v="0"/>
    <n v="1"/>
    <n v="1"/>
    <x v="1"/>
    <n v="20.323287671232876"/>
    <x v="3"/>
    <n v="1"/>
    <d v="2005-10-23T00:00:00"/>
  </r>
  <r>
    <x v="1"/>
    <n v="19002858"/>
    <x v="0"/>
    <d v="2026-02-13T00:00:00"/>
    <x v="1"/>
    <x v="7"/>
    <x v="15"/>
    <m/>
    <n v="9999"/>
    <n v="333.3"/>
    <n v="0"/>
    <n v="0"/>
    <n v="0"/>
    <x v="1"/>
    <n v="21.030136986301368"/>
    <x v="2"/>
    <n v="2"/>
    <d v="2005-02-07T00:00:00"/>
  </r>
  <r>
    <x v="1"/>
    <n v="19002928"/>
    <x v="1"/>
    <d v="2026-02-13T00:00:00"/>
    <x v="1"/>
    <x v="7"/>
    <x v="15"/>
    <m/>
    <n v="9999"/>
    <n v="333.3"/>
    <n v="0"/>
    <n v="0"/>
    <n v="0"/>
    <x v="0"/>
    <n v="21.243835616438357"/>
    <x v="2"/>
    <n v="2"/>
    <d v="2004-11-21T00:00:00"/>
  </r>
  <r>
    <x v="1"/>
    <n v="19002997"/>
    <x v="0"/>
    <d v="2026-02-13T00:00:00"/>
    <x v="1"/>
    <x v="7"/>
    <x v="15"/>
    <d v="2026-04-15T00:00:00"/>
    <n v="61"/>
    <n v="2.0333333333333332"/>
    <n v="0"/>
    <n v="1"/>
    <n v="1"/>
    <x v="1"/>
    <n v="23.043835616438358"/>
    <x v="2"/>
    <n v="2"/>
    <d v="2003-02-03T00:00:00"/>
  </r>
  <r>
    <x v="1"/>
    <n v="19003053"/>
    <x v="1"/>
    <d v="2026-02-13T00:00:00"/>
    <x v="1"/>
    <x v="7"/>
    <x v="15"/>
    <d v="2026-04-30T00:00:00"/>
    <n v="76"/>
    <n v="2.5333333333333332"/>
    <n v="0"/>
    <n v="1"/>
    <n v="1"/>
    <x v="1"/>
    <n v="18.786301369863015"/>
    <x v="3"/>
    <n v="1"/>
    <d v="2007-05-07T00:00:00"/>
  </r>
  <r>
    <x v="1"/>
    <n v="19003054"/>
    <x v="0"/>
    <d v="2026-02-13T00:00:00"/>
    <x v="1"/>
    <x v="7"/>
    <x v="15"/>
    <d v="2026-03-31T00:00:00"/>
    <n v="46"/>
    <n v="1.5333333333333334"/>
    <n v="0"/>
    <n v="1"/>
    <n v="1"/>
    <x v="1"/>
    <n v="20.736986301369864"/>
    <x v="3"/>
    <n v="1"/>
    <d v="2005-05-25T00:00:00"/>
  </r>
  <r>
    <x v="1"/>
    <n v="19003056"/>
    <x v="0"/>
    <d v="2026-02-13T00:00:00"/>
    <x v="1"/>
    <x v="7"/>
    <x v="15"/>
    <m/>
    <n v="9999"/>
    <n v="333.3"/>
    <n v="0"/>
    <n v="0"/>
    <n v="0"/>
    <x v="1"/>
    <n v="20.136986301369863"/>
    <x v="3"/>
    <n v="1"/>
    <d v="2005-12-30T00:00:00"/>
  </r>
  <r>
    <x v="1"/>
    <n v="19003063"/>
    <x v="0"/>
    <d v="2026-02-13T00:00:00"/>
    <x v="1"/>
    <x v="7"/>
    <x v="15"/>
    <d v="2026-03-15T00:00:00"/>
    <n v="30"/>
    <n v="1"/>
    <n v="1"/>
    <n v="1"/>
    <n v="1"/>
    <x v="1"/>
    <n v="20.402739726027399"/>
    <x v="3"/>
    <n v="1"/>
    <d v="2005-09-24T00:00:00"/>
  </r>
  <r>
    <x v="1"/>
    <n v="19003101"/>
    <x v="0"/>
    <d v="2026-02-13T00:00:00"/>
    <x v="1"/>
    <x v="7"/>
    <x v="15"/>
    <d v="2026-03-31T00:00:00"/>
    <n v="46"/>
    <n v="1.5333333333333334"/>
    <n v="0"/>
    <n v="1"/>
    <n v="1"/>
    <x v="1"/>
    <n v="22.602739726027398"/>
    <x v="2"/>
    <n v="2"/>
    <d v="2003-07-14T00:00:00"/>
  </r>
  <r>
    <x v="1"/>
    <n v="19003102"/>
    <x v="1"/>
    <d v="2026-02-13T00:00:00"/>
    <x v="1"/>
    <x v="7"/>
    <x v="15"/>
    <m/>
    <n v="9999"/>
    <n v="333.3"/>
    <n v="0"/>
    <n v="0"/>
    <n v="0"/>
    <x v="1"/>
    <n v="19.621917808219177"/>
    <x v="3"/>
    <n v="1"/>
    <d v="2006-07-06T00:00:00"/>
  </r>
  <r>
    <x v="1"/>
    <n v="19003104"/>
    <x v="0"/>
    <d v="2026-02-13T00:00:00"/>
    <x v="1"/>
    <x v="7"/>
    <x v="15"/>
    <d v="2026-05-04T00:00:00"/>
    <n v="80"/>
    <n v="2.6666666666666665"/>
    <n v="0"/>
    <n v="1"/>
    <n v="1"/>
    <x v="1"/>
    <n v="18.739726027397261"/>
    <x v="3"/>
    <n v="1"/>
    <d v="2007-05-24T00:00:00"/>
  </r>
  <r>
    <x v="1"/>
    <n v="19003138"/>
    <x v="0"/>
    <d v="2026-02-13T00:00:00"/>
    <x v="1"/>
    <x v="7"/>
    <x v="15"/>
    <m/>
    <n v="9999"/>
    <n v="333.3"/>
    <n v="0"/>
    <n v="0"/>
    <n v="0"/>
    <x v="0"/>
    <n v="25.161643835616438"/>
    <x v="2"/>
    <n v="2"/>
    <d v="2000-12-22T00:00:00"/>
  </r>
  <r>
    <x v="1"/>
    <n v="19003144"/>
    <x v="0"/>
    <d v="2026-02-13T00:00:00"/>
    <x v="1"/>
    <x v="7"/>
    <x v="15"/>
    <m/>
    <n v="9999"/>
    <n v="333.3"/>
    <n v="0"/>
    <n v="0"/>
    <n v="0"/>
    <x v="0"/>
    <n v="23.454794520547946"/>
    <x v="2"/>
    <n v="2"/>
    <d v="2002-09-06T00:00:00"/>
  </r>
  <r>
    <x v="1"/>
    <n v="19003159"/>
    <x v="0"/>
    <d v="2026-02-13T00:00:00"/>
    <x v="1"/>
    <x v="7"/>
    <x v="15"/>
    <m/>
    <n v="9999"/>
    <n v="333.3"/>
    <n v="0"/>
    <n v="0"/>
    <n v="0"/>
    <x v="1"/>
    <n v="21.279452054794522"/>
    <x v="2"/>
    <n v="2"/>
    <d v="2004-11-08T00:00:00"/>
  </r>
  <r>
    <x v="1"/>
    <n v="19003167"/>
    <x v="0"/>
    <d v="2026-02-13T00:00:00"/>
    <x v="1"/>
    <x v="7"/>
    <x v="15"/>
    <m/>
    <n v="9999"/>
    <n v="333.3"/>
    <n v="0"/>
    <n v="0"/>
    <n v="0"/>
    <x v="1"/>
    <n v="22.728767123287671"/>
    <x v="2"/>
    <n v="2"/>
    <d v="2003-05-29T00:00:00"/>
  </r>
  <r>
    <x v="1"/>
    <n v="19003175"/>
    <x v="0"/>
    <d v="2026-02-13T00:00:00"/>
    <x v="1"/>
    <x v="7"/>
    <x v="15"/>
    <d v="2026-05-19T00:00:00"/>
    <n v="95"/>
    <n v="3.1666666666666665"/>
    <n v="0"/>
    <n v="0"/>
    <n v="1"/>
    <x v="0"/>
    <n v="24.134246575342466"/>
    <x v="2"/>
    <n v="2"/>
    <d v="2002-01-01T00:00:00"/>
  </r>
  <r>
    <x v="1"/>
    <n v="19003224"/>
    <x v="0"/>
    <d v="2026-02-13T00:00:00"/>
    <x v="1"/>
    <x v="7"/>
    <x v="15"/>
    <m/>
    <n v="9999"/>
    <n v="333.3"/>
    <n v="0"/>
    <n v="0"/>
    <n v="0"/>
    <x v="1"/>
    <n v="20.610958904109587"/>
    <x v="3"/>
    <n v="1"/>
    <d v="2005-07-10T00:00:00"/>
  </r>
  <r>
    <x v="0"/>
    <n v="19003229"/>
    <x v="0"/>
    <d v="2026-02-13T00:00:00"/>
    <x v="1"/>
    <x v="7"/>
    <x v="15"/>
    <m/>
    <n v="9999"/>
    <n v="333.3"/>
    <n v="0"/>
    <n v="0"/>
    <n v="0"/>
    <x v="1"/>
    <n v="18.473972602739725"/>
    <x v="3"/>
    <n v="1"/>
    <d v="2007-08-29T00:00:00"/>
  </r>
  <r>
    <x v="1"/>
    <n v="19003234"/>
    <x v="0"/>
    <d v="2026-02-13T00:00:00"/>
    <x v="1"/>
    <x v="7"/>
    <x v="15"/>
    <m/>
    <n v="9999"/>
    <n v="333.3"/>
    <n v="0"/>
    <n v="0"/>
    <n v="0"/>
    <x v="0"/>
    <n v="21.446575342465753"/>
    <x v="2"/>
    <n v="2"/>
    <d v="2004-09-08T00:00:00"/>
  </r>
  <r>
    <x v="1"/>
    <n v="19003236"/>
    <x v="0"/>
    <d v="2026-02-13T00:00:00"/>
    <x v="1"/>
    <x v="7"/>
    <x v="15"/>
    <d v="2026-03-05T00:00:00"/>
    <n v="20"/>
    <n v="0.66666666666666663"/>
    <n v="1"/>
    <n v="1"/>
    <n v="1"/>
    <x v="0"/>
    <n v="18.734246575342464"/>
    <x v="3"/>
    <n v="1"/>
    <d v="2007-05-26T00:00:00"/>
  </r>
  <r>
    <x v="1"/>
    <n v="19003300"/>
    <x v="0"/>
    <d v="2026-02-13T00:00:00"/>
    <x v="1"/>
    <x v="7"/>
    <x v="15"/>
    <d v="2026-03-02T00:00:00"/>
    <n v="17"/>
    <n v="0.56666666666666665"/>
    <n v="1"/>
    <n v="1"/>
    <n v="1"/>
    <x v="1"/>
    <n v="24.139726027397259"/>
    <x v="2"/>
    <n v="2"/>
    <d v="2001-12-30T00:00:00"/>
  </r>
  <r>
    <x v="1"/>
    <n v="19003302"/>
    <x v="1"/>
    <d v="2026-02-13T00:00:00"/>
    <x v="1"/>
    <x v="7"/>
    <x v="15"/>
    <m/>
    <n v="9999"/>
    <n v="333.3"/>
    <n v="0"/>
    <n v="0"/>
    <n v="0"/>
    <x v="1"/>
    <n v="18.413698630136988"/>
    <x v="3"/>
    <n v="1"/>
    <d v="2007-09-20T00:00:00"/>
  </r>
  <r>
    <x v="1"/>
    <n v="19003306"/>
    <x v="1"/>
    <d v="2026-02-13T00:00:00"/>
    <x v="1"/>
    <x v="7"/>
    <x v="15"/>
    <d v="2026-03-22T00:00:00"/>
    <n v="37"/>
    <n v="1.2333333333333334"/>
    <n v="0"/>
    <n v="1"/>
    <n v="1"/>
    <x v="1"/>
    <n v="22.150684931506849"/>
    <x v="2"/>
    <n v="2"/>
    <d v="2003-12-26T00:00:00"/>
  </r>
  <r>
    <x v="1"/>
    <n v="19003307"/>
    <x v="0"/>
    <d v="2026-02-13T00:00:00"/>
    <x v="1"/>
    <x v="7"/>
    <x v="15"/>
    <m/>
    <n v="9999"/>
    <n v="333.3"/>
    <n v="0"/>
    <n v="0"/>
    <n v="0"/>
    <x v="1"/>
    <n v="21.575342465753426"/>
    <x v="2"/>
    <n v="2"/>
    <d v="2004-07-23T00:00:00"/>
  </r>
  <r>
    <x v="1"/>
    <n v="19003313"/>
    <x v="0"/>
    <d v="2026-02-13T00:00:00"/>
    <x v="1"/>
    <x v="7"/>
    <x v="15"/>
    <m/>
    <n v="9999"/>
    <n v="333.3"/>
    <n v="0"/>
    <n v="0"/>
    <n v="0"/>
    <x v="0"/>
    <n v="20.323287671232876"/>
    <x v="3"/>
    <n v="1"/>
    <d v="2005-10-23T00:00:00"/>
  </r>
  <r>
    <x v="1"/>
    <n v="19003339"/>
    <x v="1"/>
    <d v="2026-02-13T00:00:00"/>
    <x v="1"/>
    <x v="7"/>
    <x v="15"/>
    <d v="2026-04-10T00:00:00"/>
    <n v="56"/>
    <n v="1.8666666666666667"/>
    <n v="0"/>
    <n v="1"/>
    <n v="1"/>
    <x v="1"/>
    <n v="20.69041095890411"/>
    <x v="3"/>
    <n v="1"/>
    <d v="2005-06-11T00:00:00"/>
  </r>
  <r>
    <x v="1"/>
    <n v="19003341"/>
    <x v="1"/>
    <d v="2026-02-13T00:00:00"/>
    <x v="1"/>
    <x v="7"/>
    <x v="15"/>
    <d v="2026-03-31T00:00:00"/>
    <n v="46"/>
    <n v="1.5333333333333334"/>
    <n v="0"/>
    <n v="1"/>
    <n v="1"/>
    <x v="1"/>
    <n v="20.55890410958904"/>
    <x v="3"/>
    <n v="1"/>
    <d v="2005-07-29T00:00:00"/>
  </r>
  <r>
    <x v="1"/>
    <n v="19003418"/>
    <x v="0"/>
    <d v="2026-02-13T00:00:00"/>
    <x v="1"/>
    <x v="7"/>
    <x v="15"/>
    <d v="2026-03-31T00:00:00"/>
    <n v="46"/>
    <n v="1.5333333333333334"/>
    <n v="0"/>
    <n v="1"/>
    <n v="1"/>
    <x v="1"/>
    <n v="22.873972602739727"/>
    <x v="2"/>
    <n v="2"/>
    <d v="2003-04-06T00:00:00"/>
  </r>
  <r>
    <x v="1"/>
    <n v="19003550"/>
    <x v="0"/>
    <d v="2026-02-16T00:00:00"/>
    <x v="1"/>
    <x v="7"/>
    <x v="15"/>
    <m/>
    <n v="9999"/>
    <n v="333.3"/>
    <n v="0"/>
    <n v="0"/>
    <n v="0"/>
    <x v="1"/>
    <n v="22.115068493150684"/>
    <x v="2"/>
    <n v="2"/>
    <d v="2004-01-11T00:00:00"/>
  </r>
  <r>
    <x v="1"/>
    <n v="19003634"/>
    <x v="0"/>
    <d v="2026-02-16T00:00:00"/>
    <x v="1"/>
    <x v="7"/>
    <x v="15"/>
    <m/>
    <n v="9999"/>
    <n v="333.3"/>
    <n v="0"/>
    <n v="0"/>
    <n v="0"/>
    <x v="1"/>
    <n v="19.002739726027396"/>
    <x v="3"/>
    <n v="1"/>
    <d v="2007-02-20T00:00:00"/>
  </r>
  <r>
    <x v="0"/>
    <n v="19003641"/>
    <x v="1"/>
    <d v="2026-02-16T00:00:00"/>
    <x v="1"/>
    <x v="7"/>
    <x v="15"/>
    <d v="2026-02-28T00:00:00"/>
    <n v="12"/>
    <n v="0.4"/>
    <n v="1"/>
    <n v="1"/>
    <n v="1"/>
    <x v="1"/>
    <n v="20.158904109589042"/>
    <x v="3"/>
    <n v="1"/>
    <d v="2005-12-25T00:00:00"/>
  </r>
  <r>
    <x v="1"/>
    <n v="19003646"/>
    <x v="0"/>
    <d v="2026-02-16T00:00:00"/>
    <x v="1"/>
    <x v="7"/>
    <x v="15"/>
    <m/>
    <n v="9999"/>
    <n v="333.3"/>
    <n v="0"/>
    <n v="0"/>
    <n v="0"/>
    <x v="1"/>
    <n v="25.671232876712327"/>
    <x v="2"/>
    <n v="2"/>
    <d v="2000-06-22T00:00:00"/>
  </r>
  <r>
    <x v="1"/>
    <n v="19003674"/>
    <x v="0"/>
    <d v="2026-02-13T00:00:00"/>
    <x v="1"/>
    <x v="7"/>
    <x v="15"/>
    <d v="2026-03-12T00:00:00"/>
    <n v="27"/>
    <n v="0.9"/>
    <n v="1"/>
    <n v="1"/>
    <n v="1"/>
    <x v="1"/>
    <n v="28.315068493150687"/>
    <x v="1"/>
    <n v="3"/>
    <d v="1997-10-28T00:00:00"/>
  </r>
  <r>
    <x v="1"/>
    <n v="19003727"/>
    <x v="0"/>
    <d v="2026-02-16T00:00:00"/>
    <x v="1"/>
    <x v="7"/>
    <x v="15"/>
    <m/>
    <n v="9999"/>
    <n v="333.3"/>
    <n v="0"/>
    <n v="0"/>
    <n v="0"/>
    <x v="1"/>
    <n v="18.87945205479452"/>
    <x v="3"/>
    <n v="1"/>
    <d v="2007-04-06T00:00:00"/>
  </r>
  <r>
    <x v="1"/>
    <n v="19003728"/>
    <x v="0"/>
    <d v="2026-02-16T00:00:00"/>
    <x v="1"/>
    <x v="7"/>
    <x v="15"/>
    <m/>
    <n v="9999"/>
    <n v="333.3"/>
    <n v="0"/>
    <n v="0"/>
    <n v="0"/>
    <x v="1"/>
    <n v="33.358904109589041"/>
    <x v="0"/>
    <n v="4"/>
    <d v="1992-10-16T00:00:00"/>
  </r>
  <r>
    <x v="1"/>
    <n v="19003744"/>
    <x v="1"/>
    <d v="2026-02-16T00:00:00"/>
    <x v="1"/>
    <x v="7"/>
    <x v="15"/>
    <d v="2026-03-31T00:00:00"/>
    <n v="43"/>
    <n v="1.4333333333333333"/>
    <n v="0"/>
    <n v="1"/>
    <n v="1"/>
    <x v="1"/>
    <n v="23.172602739726027"/>
    <x v="2"/>
    <n v="2"/>
    <d v="2002-12-21T00:00:00"/>
  </r>
  <r>
    <x v="1"/>
    <n v="19003801"/>
    <x v="1"/>
    <d v="2026-02-16T00:00:00"/>
    <x v="1"/>
    <x v="7"/>
    <x v="15"/>
    <m/>
    <n v="9999"/>
    <n v="333.3"/>
    <n v="0"/>
    <n v="0"/>
    <n v="0"/>
    <x v="0"/>
    <n v="18.153424657534245"/>
    <x v="3"/>
    <n v="1"/>
    <d v="2007-12-27T00:00:00"/>
  </r>
  <r>
    <x v="1"/>
    <n v="19003848"/>
    <x v="0"/>
    <d v="2026-02-16T00:00:00"/>
    <x v="1"/>
    <x v="7"/>
    <x v="15"/>
    <m/>
    <n v="9999"/>
    <n v="333.3"/>
    <n v="0"/>
    <n v="0"/>
    <n v="0"/>
    <x v="1"/>
    <n v="19.460273972602739"/>
    <x v="3"/>
    <n v="1"/>
    <d v="2006-09-06T00:00:00"/>
  </r>
  <r>
    <x v="1"/>
    <n v="19003983"/>
    <x v="0"/>
    <d v="2026-02-17T00:00:00"/>
    <x v="1"/>
    <x v="7"/>
    <x v="15"/>
    <m/>
    <n v="9999"/>
    <n v="333.3"/>
    <n v="0"/>
    <n v="0"/>
    <n v="0"/>
    <x v="1"/>
    <n v="19.893150684931506"/>
    <x v="3"/>
    <n v="1"/>
    <d v="2006-04-02T00:00:00"/>
  </r>
  <r>
    <x v="1"/>
    <n v="19004032"/>
    <x v="1"/>
    <d v="2026-02-17T00:00:00"/>
    <x v="1"/>
    <x v="7"/>
    <x v="15"/>
    <d v="2026-03-19T00:00:00"/>
    <n v="30"/>
    <n v="1"/>
    <n v="1"/>
    <n v="1"/>
    <n v="1"/>
    <x v="1"/>
    <n v="20.334246575342465"/>
    <x v="3"/>
    <n v="1"/>
    <d v="2005-10-23T00:00:00"/>
  </r>
  <r>
    <x v="1"/>
    <n v="19004036"/>
    <x v="1"/>
    <d v="2026-02-17T00:00:00"/>
    <x v="1"/>
    <x v="7"/>
    <x v="15"/>
    <m/>
    <n v="9999"/>
    <n v="333.3"/>
    <n v="0"/>
    <n v="0"/>
    <n v="0"/>
    <x v="1"/>
    <n v="20.254794520547946"/>
    <x v="3"/>
    <n v="1"/>
    <d v="2005-11-21T00:00:00"/>
  </r>
  <r>
    <x v="0"/>
    <n v="19004045"/>
    <x v="0"/>
    <d v="2026-02-17T00:00:00"/>
    <x v="1"/>
    <x v="7"/>
    <x v="15"/>
    <m/>
    <n v="9999"/>
    <n v="333.3"/>
    <n v="0"/>
    <n v="0"/>
    <n v="0"/>
    <x v="1"/>
    <n v="26.638356164383563"/>
    <x v="1"/>
    <n v="3"/>
    <d v="1999-07-06T00:00:00"/>
  </r>
  <r>
    <x v="1"/>
    <n v="19004050"/>
    <x v="0"/>
    <d v="2026-02-17T00:00:00"/>
    <x v="1"/>
    <x v="7"/>
    <x v="15"/>
    <m/>
    <n v="9999"/>
    <n v="333.3"/>
    <n v="0"/>
    <n v="0"/>
    <n v="0"/>
    <x v="1"/>
    <n v="19.024657534246575"/>
    <x v="3"/>
    <n v="1"/>
    <d v="2007-02-13T00:00:00"/>
  </r>
  <r>
    <x v="1"/>
    <n v="19004052"/>
    <x v="0"/>
    <d v="2026-02-17T00:00:00"/>
    <x v="1"/>
    <x v="7"/>
    <x v="15"/>
    <m/>
    <n v="9999"/>
    <n v="333.3"/>
    <n v="0"/>
    <n v="0"/>
    <n v="0"/>
    <x v="1"/>
    <n v="20.287671232876711"/>
    <x v="3"/>
    <n v="1"/>
    <d v="2005-11-09T00:00:00"/>
  </r>
  <r>
    <x v="1"/>
    <n v="19004055"/>
    <x v="1"/>
    <d v="2026-02-17T00:00:00"/>
    <x v="1"/>
    <x v="7"/>
    <x v="15"/>
    <m/>
    <n v="9999"/>
    <n v="333.3"/>
    <n v="0"/>
    <n v="0"/>
    <n v="0"/>
    <x v="1"/>
    <n v="20.989041095890411"/>
    <x v="3"/>
    <n v="1"/>
    <d v="2005-02-26T00:00:00"/>
  </r>
  <r>
    <x v="1"/>
    <n v="19004056"/>
    <x v="0"/>
    <d v="2026-02-17T00:00:00"/>
    <x v="1"/>
    <x v="7"/>
    <x v="15"/>
    <m/>
    <n v="9999"/>
    <n v="333.3"/>
    <n v="0"/>
    <n v="0"/>
    <n v="0"/>
    <x v="1"/>
    <n v="19.583561643835615"/>
    <x v="3"/>
    <n v="1"/>
    <d v="2006-07-24T00:00:00"/>
  </r>
  <r>
    <x v="0"/>
    <n v="19004071"/>
    <x v="0"/>
    <d v="2026-02-17T00:00:00"/>
    <x v="1"/>
    <x v="7"/>
    <x v="15"/>
    <m/>
    <n v="9999"/>
    <n v="333.3"/>
    <n v="0"/>
    <n v="0"/>
    <n v="0"/>
    <x v="1"/>
    <n v="45.832876712328769"/>
    <x v="0"/>
    <n v="4"/>
    <d v="1980-04-30T00:00:00"/>
  </r>
  <r>
    <x v="1"/>
    <n v="19004082"/>
    <x v="1"/>
    <d v="2026-02-17T00:00:00"/>
    <x v="1"/>
    <x v="7"/>
    <x v="15"/>
    <m/>
    <n v="9999"/>
    <n v="333.3"/>
    <n v="0"/>
    <n v="0"/>
    <n v="0"/>
    <x v="1"/>
    <n v="20.079452054794519"/>
    <x v="3"/>
    <n v="1"/>
    <d v="2006-01-24T00:00:00"/>
  </r>
  <r>
    <x v="1"/>
    <n v="19004106"/>
    <x v="0"/>
    <d v="2026-02-17T00:00:00"/>
    <x v="1"/>
    <x v="7"/>
    <x v="15"/>
    <d v="2026-03-30T00:00:00"/>
    <n v="41"/>
    <n v="1.3666666666666667"/>
    <n v="0"/>
    <n v="1"/>
    <n v="1"/>
    <x v="1"/>
    <n v="21.027397260273972"/>
    <x v="2"/>
    <n v="2"/>
    <d v="2005-02-12T00:00:00"/>
  </r>
  <r>
    <x v="0"/>
    <n v="19004143"/>
    <x v="0"/>
    <d v="2026-02-17T00:00:00"/>
    <x v="1"/>
    <x v="7"/>
    <x v="15"/>
    <m/>
    <n v="9999"/>
    <n v="333.3"/>
    <n v="0"/>
    <n v="0"/>
    <n v="0"/>
    <x v="1"/>
    <n v="20.12054794520548"/>
    <x v="3"/>
    <n v="1"/>
    <d v="2006-01-09T00:00:00"/>
  </r>
  <r>
    <x v="1"/>
    <n v="19004168"/>
    <x v="1"/>
    <d v="2026-02-17T00:00:00"/>
    <x v="1"/>
    <x v="7"/>
    <x v="15"/>
    <m/>
    <n v="9999"/>
    <n v="333.3"/>
    <n v="0"/>
    <n v="0"/>
    <n v="0"/>
    <x v="1"/>
    <n v="18.142465753424659"/>
    <x v="3"/>
    <n v="1"/>
    <d v="2008-01-01T00:00:00"/>
  </r>
  <r>
    <x v="1"/>
    <n v="19004169"/>
    <x v="0"/>
    <d v="2026-02-17T00:00:00"/>
    <x v="1"/>
    <x v="7"/>
    <x v="15"/>
    <d v="2026-05-12T00:00:00"/>
    <n v="84"/>
    <n v="2.8"/>
    <n v="0"/>
    <n v="1"/>
    <n v="1"/>
    <x v="1"/>
    <n v="21.035616438356165"/>
    <x v="2"/>
    <n v="2"/>
    <d v="2005-02-09T00:00:00"/>
  </r>
  <r>
    <x v="0"/>
    <n v="19004391"/>
    <x v="0"/>
    <d v="2026-02-18T00:00:00"/>
    <x v="1"/>
    <x v="7"/>
    <x v="15"/>
    <m/>
    <n v="9999"/>
    <n v="333.3"/>
    <n v="0"/>
    <n v="0"/>
    <n v="0"/>
    <x v="1"/>
    <n v="29.786301369863015"/>
    <x v="1"/>
    <n v="3"/>
    <d v="1996-05-14T00:00:00"/>
  </r>
  <r>
    <x v="1"/>
    <n v="19004449"/>
    <x v="0"/>
    <d v="2026-02-18T00:00:00"/>
    <x v="1"/>
    <x v="7"/>
    <x v="15"/>
    <d v="2026-03-01T00:00:00"/>
    <n v="11"/>
    <n v="0.36666666666666664"/>
    <n v="1"/>
    <n v="1"/>
    <n v="1"/>
    <x v="1"/>
    <n v="29.81917808219178"/>
    <x v="1"/>
    <n v="3"/>
    <d v="1996-05-02T00:00:00"/>
  </r>
  <r>
    <x v="1"/>
    <n v="19004451"/>
    <x v="0"/>
    <d v="2026-02-18T00:00:00"/>
    <x v="1"/>
    <x v="7"/>
    <x v="15"/>
    <d v="2026-04-01T00:00:00"/>
    <n v="42"/>
    <n v="1.4"/>
    <n v="0"/>
    <n v="1"/>
    <n v="1"/>
    <x v="1"/>
    <n v="21.802739726027397"/>
    <x v="2"/>
    <n v="2"/>
    <d v="2004-05-06T00:00:00"/>
  </r>
  <r>
    <x v="1"/>
    <n v="19004539"/>
    <x v="0"/>
    <d v="2026-02-17T00:00:00"/>
    <x v="1"/>
    <x v="7"/>
    <x v="15"/>
    <d v="2026-03-16T00:00:00"/>
    <n v="27"/>
    <n v="0.9"/>
    <n v="1"/>
    <n v="1"/>
    <n v="1"/>
    <x v="0"/>
    <n v="26.471232876712328"/>
    <x v="1"/>
    <n v="3"/>
    <d v="1999-09-05T00:00:00"/>
  </r>
  <r>
    <x v="1"/>
    <n v="19004543"/>
    <x v="1"/>
    <d v="2026-02-17T00:00:00"/>
    <x v="1"/>
    <x v="7"/>
    <x v="15"/>
    <d v="2026-03-31T00:00:00"/>
    <n v="42"/>
    <n v="1.4"/>
    <n v="0"/>
    <n v="1"/>
    <n v="1"/>
    <x v="1"/>
    <n v="19.30958904109589"/>
    <x v="3"/>
    <n v="1"/>
    <d v="2006-11-01T00:00:00"/>
  </r>
  <r>
    <x v="1"/>
    <n v="19004544"/>
    <x v="0"/>
    <d v="2026-02-17T00:00:00"/>
    <x v="1"/>
    <x v="7"/>
    <x v="15"/>
    <d v="2026-03-10T00:00:00"/>
    <n v="21"/>
    <n v="0.7"/>
    <n v="1"/>
    <n v="1"/>
    <n v="1"/>
    <x v="0"/>
    <n v="30.208219178082192"/>
    <x v="1"/>
    <n v="3"/>
    <d v="1995-12-11T00:00:00"/>
  </r>
  <r>
    <x v="1"/>
    <n v="19004636"/>
    <x v="0"/>
    <d v="2026-02-19T00:00:00"/>
    <x v="1"/>
    <x v="7"/>
    <x v="15"/>
    <d v="2026-03-01T00:00:00"/>
    <n v="10"/>
    <n v="0.33333333333333331"/>
    <n v="1"/>
    <n v="1"/>
    <n v="1"/>
    <x v="1"/>
    <n v="20.397260273972602"/>
    <x v="3"/>
    <n v="1"/>
    <d v="2005-10-02T00:00:00"/>
  </r>
  <r>
    <x v="1"/>
    <n v="19004637"/>
    <x v="0"/>
    <d v="2026-02-19T00:00:00"/>
    <x v="1"/>
    <x v="7"/>
    <x v="15"/>
    <m/>
    <n v="9999"/>
    <n v="333.3"/>
    <n v="0"/>
    <n v="0"/>
    <n v="0"/>
    <x v="1"/>
    <n v="18.19178082191781"/>
    <x v="3"/>
    <n v="1"/>
    <d v="2007-12-16T00:00:00"/>
  </r>
  <r>
    <x v="1"/>
    <n v="19004813"/>
    <x v="1"/>
    <d v="2026-02-20T00:00:00"/>
    <x v="1"/>
    <x v="7"/>
    <x v="15"/>
    <m/>
    <n v="9999"/>
    <n v="333.3"/>
    <n v="0"/>
    <n v="0"/>
    <n v="0"/>
    <x v="0"/>
    <n v="18.435616438356163"/>
    <x v="3"/>
    <n v="1"/>
    <d v="2007-09-19T00:00:00"/>
  </r>
  <r>
    <x v="1"/>
    <n v="19004834"/>
    <x v="0"/>
    <d v="2026-02-20T00:00:00"/>
    <x v="1"/>
    <x v="7"/>
    <x v="15"/>
    <m/>
    <n v="9999"/>
    <n v="333.3"/>
    <n v="0"/>
    <n v="0"/>
    <n v="0"/>
    <x v="1"/>
    <n v="23.82191780821918"/>
    <x v="2"/>
    <n v="2"/>
    <d v="2002-05-02T00:00:00"/>
  </r>
  <r>
    <x v="1"/>
    <n v="19004844"/>
    <x v="0"/>
    <d v="2026-02-20T00:00:00"/>
    <x v="1"/>
    <x v="7"/>
    <x v="15"/>
    <m/>
    <n v="9999"/>
    <n v="333.3"/>
    <n v="0"/>
    <n v="0"/>
    <n v="0"/>
    <x v="1"/>
    <n v="18.704109589041096"/>
    <x v="3"/>
    <n v="1"/>
    <d v="2007-06-13T00:00:00"/>
  </r>
  <r>
    <x v="1"/>
    <n v="19004871"/>
    <x v="0"/>
    <d v="2026-02-20T00:00:00"/>
    <x v="1"/>
    <x v="7"/>
    <x v="15"/>
    <d v="2026-04-23T00:00:00"/>
    <n v="62"/>
    <n v="2.0666666666666669"/>
    <n v="0"/>
    <n v="1"/>
    <n v="1"/>
    <x v="1"/>
    <n v="19.490410958904111"/>
    <x v="3"/>
    <n v="1"/>
    <d v="2006-08-30T00:00:00"/>
  </r>
  <r>
    <x v="0"/>
    <n v="19004915"/>
    <x v="0"/>
    <d v="2026-02-20T00:00:00"/>
    <x v="1"/>
    <x v="7"/>
    <x v="15"/>
    <d v="2026-05-31T00:00:00"/>
    <n v="100"/>
    <n v="3.3333333333333335"/>
    <n v="0"/>
    <n v="0"/>
    <n v="1"/>
    <x v="1"/>
    <n v="48.863013698630134"/>
    <x v="0"/>
    <n v="4"/>
    <d v="1977-04-23T00:00:00"/>
  </r>
  <r>
    <x v="1"/>
    <n v="19005077"/>
    <x v="0"/>
    <d v="2026-02-23T00:00:00"/>
    <x v="1"/>
    <x v="7"/>
    <x v="15"/>
    <m/>
    <n v="9999"/>
    <n v="333.3"/>
    <n v="0"/>
    <n v="0"/>
    <n v="0"/>
    <x v="1"/>
    <n v="28.778082191780822"/>
    <x v="1"/>
    <n v="3"/>
    <d v="1997-05-22T00:00:00"/>
  </r>
  <r>
    <x v="1"/>
    <n v="19005084"/>
    <x v="1"/>
    <d v="2026-02-23T00:00:00"/>
    <x v="1"/>
    <x v="7"/>
    <x v="15"/>
    <d v="2026-05-11T00:00:00"/>
    <n v="77"/>
    <n v="2.5666666666666669"/>
    <n v="0"/>
    <n v="1"/>
    <n v="1"/>
    <x v="1"/>
    <n v="20.142465753424659"/>
    <x v="3"/>
    <n v="1"/>
    <d v="2006-01-07T00:00:00"/>
  </r>
  <r>
    <x v="1"/>
    <n v="19005085"/>
    <x v="0"/>
    <d v="2026-02-23T00:00:00"/>
    <x v="1"/>
    <x v="7"/>
    <x v="15"/>
    <m/>
    <n v="9999"/>
    <n v="333.3"/>
    <n v="0"/>
    <n v="0"/>
    <n v="0"/>
    <x v="1"/>
    <n v="20.961643835616439"/>
    <x v="3"/>
    <n v="1"/>
    <d v="2005-03-14T00:00:00"/>
  </r>
  <r>
    <x v="0"/>
    <n v="19005093"/>
    <x v="0"/>
    <d v="2026-02-23T00:00:00"/>
    <x v="1"/>
    <x v="7"/>
    <x v="15"/>
    <m/>
    <n v="9999"/>
    <n v="333.3"/>
    <n v="0"/>
    <n v="0"/>
    <n v="0"/>
    <x v="1"/>
    <n v="20.635616438356163"/>
    <x v="3"/>
    <n v="1"/>
    <d v="2005-07-11T00:00:00"/>
  </r>
  <r>
    <x v="1"/>
    <n v="19005142"/>
    <x v="0"/>
    <d v="2026-02-23T00:00:00"/>
    <x v="1"/>
    <x v="7"/>
    <x v="15"/>
    <m/>
    <n v="9999"/>
    <n v="333.3"/>
    <n v="0"/>
    <n v="0"/>
    <n v="0"/>
    <x v="1"/>
    <n v="19.917808219178081"/>
    <x v="3"/>
    <n v="1"/>
    <d v="2006-03-30T00:00:00"/>
  </r>
  <r>
    <x v="1"/>
    <n v="19005143"/>
    <x v="1"/>
    <d v="2026-02-23T00:00:00"/>
    <x v="1"/>
    <x v="7"/>
    <x v="15"/>
    <m/>
    <n v="9999"/>
    <n v="333.3"/>
    <n v="0"/>
    <n v="0"/>
    <n v="0"/>
    <x v="1"/>
    <n v="22.452054794520549"/>
    <x v="2"/>
    <n v="2"/>
    <d v="2003-09-17T00:00:00"/>
  </r>
  <r>
    <x v="1"/>
    <n v="19005144"/>
    <x v="1"/>
    <d v="2026-02-23T00:00:00"/>
    <x v="1"/>
    <x v="7"/>
    <x v="15"/>
    <d v="2026-03-11T00:00:00"/>
    <n v="16"/>
    <n v="0.53333333333333333"/>
    <n v="1"/>
    <n v="1"/>
    <n v="1"/>
    <x v="1"/>
    <n v="20.317808219178083"/>
    <x v="3"/>
    <n v="1"/>
    <d v="2005-11-04T00:00:00"/>
  </r>
  <r>
    <x v="1"/>
    <n v="19005145"/>
    <x v="0"/>
    <d v="2026-02-23T00:00:00"/>
    <x v="1"/>
    <x v="7"/>
    <x v="15"/>
    <m/>
    <n v="9999"/>
    <n v="333.3"/>
    <n v="0"/>
    <n v="0"/>
    <n v="0"/>
    <x v="1"/>
    <n v="21.112328767123287"/>
    <x v="2"/>
    <n v="2"/>
    <d v="2005-01-18T00:00:00"/>
  </r>
  <r>
    <x v="1"/>
    <n v="19005156"/>
    <x v="0"/>
    <d v="2026-02-23T00:00:00"/>
    <x v="1"/>
    <x v="7"/>
    <x v="15"/>
    <d v="2026-03-01T00:00:00"/>
    <n v="6"/>
    <n v="0.2"/>
    <n v="1"/>
    <n v="1"/>
    <n v="1"/>
    <x v="1"/>
    <n v="21.572602739726026"/>
    <x v="2"/>
    <n v="2"/>
    <d v="2004-08-03T00:00:00"/>
  </r>
  <r>
    <x v="1"/>
    <n v="19005224"/>
    <x v="0"/>
    <d v="2026-02-23T00:00:00"/>
    <x v="1"/>
    <x v="7"/>
    <x v="15"/>
    <m/>
    <n v="9999"/>
    <n v="333.3"/>
    <n v="0"/>
    <n v="0"/>
    <n v="0"/>
    <x v="1"/>
    <n v="19.356164383561644"/>
    <x v="3"/>
    <n v="1"/>
    <d v="2006-10-21T00:00:00"/>
  </r>
  <r>
    <x v="1"/>
    <n v="19005229"/>
    <x v="0"/>
    <d v="2026-02-23T00:00:00"/>
    <x v="1"/>
    <x v="7"/>
    <x v="15"/>
    <m/>
    <n v="9999"/>
    <n v="333.3"/>
    <n v="0"/>
    <n v="0"/>
    <n v="0"/>
    <x v="1"/>
    <n v="22.227397260273971"/>
    <x v="2"/>
    <n v="2"/>
    <d v="2003-12-08T00:00:00"/>
  </r>
  <r>
    <x v="1"/>
    <n v="19005234"/>
    <x v="1"/>
    <d v="2026-02-23T00:00:00"/>
    <x v="1"/>
    <x v="7"/>
    <x v="15"/>
    <m/>
    <n v="9999"/>
    <n v="333.3"/>
    <n v="0"/>
    <n v="0"/>
    <n v="0"/>
    <x v="1"/>
    <n v="20.016438356164382"/>
    <x v="3"/>
    <n v="1"/>
    <d v="2006-02-22T00:00:00"/>
  </r>
  <r>
    <x v="1"/>
    <n v="19005235"/>
    <x v="0"/>
    <d v="2026-02-23T00:00:00"/>
    <x v="1"/>
    <x v="7"/>
    <x v="15"/>
    <m/>
    <n v="9999"/>
    <n v="333.3"/>
    <n v="0"/>
    <n v="0"/>
    <n v="0"/>
    <x v="1"/>
    <n v="25.090410958904108"/>
    <x v="2"/>
    <n v="2"/>
    <d v="2001-01-27T00:00:00"/>
  </r>
  <r>
    <x v="1"/>
    <n v="19005237"/>
    <x v="0"/>
    <d v="2026-02-23T00:00:00"/>
    <x v="1"/>
    <x v="7"/>
    <x v="15"/>
    <m/>
    <n v="9999"/>
    <n v="333.3"/>
    <n v="0"/>
    <n v="0"/>
    <n v="0"/>
    <x v="1"/>
    <n v="20.608219178082191"/>
    <x v="3"/>
    <n v="1"/>
    <d v="2005-07-21T00:00:00"/>
  </r>
  <r>
    <x v="1"/>
    <n v="19005275"/>
    <x v="0"/>
    <d v="2026-02-23T00:00:00"/>
    <x v="1"/>
    <x v="7"/>
    <x v="15"/>
    <m/>
    <n v="9999"/>
    <n v="333.3"/>
    <n v="0"/>
    <n v="0"/>
    <n v="0"/>
    <x v="1"/>
    <n v="18.969863013698632"/>
    <x v="3"/>
    <n v="1"/>
    <d v="2007-03-11T00:00:00"/>
  </r>
  <r>
    <x v="1"/>
    <n v="19005456"/>
    <x v="0"/>
    <d v="2026-02-24T00:00:00"/>
    <x v="1"/>
    <x v="7"/>
    <x v="15"/>
    <m/>
    <n v="9999"/>
    <n v="333.3"/>
    <n v="0"/>
    <n v="0"/>
    <n v="0"/>
    <x v="1"/>
    <n v="21.484931506849314"/>
    <x v="2"/>
    <n v="2"/>
    <d v="2004-09-05T00:00:00"/>
  </r>
  <r>
    <x v="1"/>
    <n v="19005467"/>
    <x v="0"/>
    <d v="2026-02-24T00:00:00"/>
    <x v="1"/>
    <x v="7"/>
    <x v="15"/>
    <m/>
    <n v="9999"/>
    <n v="333.3"/>
    <n v="0"/>
    <n v="0"/>
    <n v="0"/>
    <x v="1"/>
    <n v="21.975342465753425"/>
    <x v="2"/>
    <n v="2"/>
    <d v="2004-03-10T00:00:00"/>
  </r>
  <r>
    <x v="1"/>
    <n v="19005470"/>
    <x v="1"/>
    <d v="2026-02-24T00:00:00"/>
    <x v="1"/>
    <x v="7"/>
    <x v="15"/>
    <d v="2026-04-24T00:00:00"/>
    <n v="59"/>
    <n v="1.9666666666666666"/>
    <n v="0"/>
    <n v="1"/>
    <n v="1"/>
    <x v="1"/>
    <n v="18.252054794520546"/>
    <x v="3"/>
    <n v="1"/>
    <d v="2007-11-29T00:00:00"/>
  </r>
  <r>
    <x v="1"/>
    <n v="19005475"/>
    <x v="1"/>
    <d v="2026-02-24T00:00:00"/>
    <x v="1"/>
    <x v="7"/>
    <x v="15"/>
    <m/>
    <n v="9999"/>
    <n v="333.3"/>
    <n v="0"/>
    <n v="0"/>
    <n v="0"/>
    <x v="1"/>
    <n v="19.575342465753426"/>
    <x v="3"/>
    <n v="1"/>
    <d v="2006-08-03T00:00:00"/>
  </r>
  <r>
    <x v="1"/>
    <n v="19005499"/>
    <x v="0"/>
    <d v="2026-02-24T00:00:00"/>
    <x v="1"/>
    <x v="7"/>
    <x v="15"/>
    <m/>
    <n v="9999"/>
    <n v="333.3"/>
    <n v="0"/>
    <n v="0"/>
    <n v="0"/>
    <x v="1"/>
    <n v="18.961643835616439"/>
    <x v="3"/>
    <n v="1"/>
    <d v="2007-03-15T00:00:00"/>
  </r>
  <r>
    <x v="1"/>
    <n v="19005545"/>
    <x v="1"/>
    <d v="2026-02-24T00:00:00"/>
    <x v="1"/>
    <x v="7"/>
    <x v="15"/>
    <d v="2026-03-31T00:00:00"/>
    <n v="35"/>
    <n v="1.1666666666666667"/>
    <n v="0"/>
    <n v="1"/>
    <n v="1"/>
    <x v="1"/>
    <n v="19.142465753424659"/>
    <x v="3"/>
    <n v="1"/>
    <d v="2007-01-08T00:00:00"/>
  </r>
  <r>
    <x v="1"/>
    <n v="19005547"/>
    <x v="0"/>
    <d v="2026-02-24T00:00:00"/>
    <x v="1"/>
    <x v="7"/>
    <x v="15"/>
    <d v="2026-03-09T00:00:00"/>
    <n v="13"/>
    <n v="0.43333333333333335"/>
    <n v="1"/>
    <n v="1"/>
    <n v="1"/>
    <x v="1"/>
    <n v="21.065753424657533"/>
    <x v="2"/>
    <n v="2"/>
    <d v="2005-02-05T00:00:00"/>
  </r>
  <r>
    <x v="1"/>
    <n v="19005554"/>
    <x v="1"/>
    <d v="2026-02-24T00:00:00"/>
    <x v="1"/>
    <x v="7"/>
    <x v="15"/>
    <m/>
    <n v="9999"/>
    <n v="333.3"/>
    <n v="0"/>
    <n v="0"/>
    <n v="0"/>
    <x v="1"/>
    <n v="20.243835616438357"/>
    <x v="3"/>
    <n v="1"/>
    <d v="2005-12-02T00:00:00"/>
  </r>
  <r>
    <x v="1"/>
    <n v="19005555"/>
    <x v="0"/>
    <d v="2026-02-24T00:00:00"/>
    <x v="1"/>
    <x v="7"/>
    <x v="15"/>
    <m/>
    <n v="9999"/>
    <n v="333.3"/>
    <n v="0"/>
    <n v="0"/>
    <n v="0"/>
    <x v="1"/>
    <n v="21.82191780821918"/>
    <x v="2"/>
    <n v="2"/>
    <d v="2004-05-05T00:00:00"/>
  </r>
  <r>
    <x v="0"/>
    <n v="19005572"/>
    <x v="0"/>
    <d v="2026-02-24T00:00:00"/>
    <x v="1"/>
    <x v="7"/>
    <x v="15"/>
    <d v="2026-03-02T00:00:00"/>
    <n v="6"/>
    <n v="0.2"/>
    <n v="1"/>
    <n v="1"/>
    <n v="1"/>
    <x v="1"/>
    <n v="35.136986301369866"/>
    <x v="0"/>
    <n v="4"/>
    <d v="1991-01-14T00:00:00"/>
  </r>
  <r>
    <x v="1"/>
    <n v="19005576"/>
    <x v="0"/>
    <d v="2026-02-24T00:00:00"/>
    <x v="1"/>
    <x v="7"/>
    <x v="15"/>
    <m/>
    <n v="9999"/>
    <n v="333.3"/>
    <n v="0"/>
    <n v="0"/>
    <n v="0"/>
    <x v="1"/>
    <n v="19.232876712328768"/>
    <x v="3"/>
    <n v="1"/>
    <d v="2006-12-06T00:00:00"/>
  </r>
  <r>
    <x v="1"/>
    <n v="19005615"/>
    <x v="0"/>
    <d v="2026-02-24T00:00:00"/>
    <x v="1"/>
    <x v="7"/>
    <x v="15"/>
    <m/>
    <n v="9999"/>
    <n v="333.3"/>
    <n v="0"/>
    <n v="0"/>
    <n v="0"/>
    <x v="1"/>
    <n v="38.350684931506848"/>
    <x v="0"/>
    <n v="4"/>
    <d v="1987-10-29T00:00:00"/>
  </r>
  <r>
    <x v="1"/>
    <n v="19005616"/>
    <x v="0"/>
    <d v="2026-02-24T00:00:00"/>
    <x v="1"/>
    <x v="7"/>
    <x v="15"/>
    <m/>
    <n v="9999"/>
    <n v="333.3"/>
    <n v="0"/>
    <n v="0"/>
    <n v="0"/>
    <x v="1"/>
    <n v="20.534246575342465"/>
    <x v="3"/>
    <n v="1"/>
    <d v="2005-08-18T00:00:00"/>
  </r>
  <r>
    <x v="1"/>
    <n v="19005623"/>
    <x v="0"/>
    <d v="2026-02-24T00:00:00"/>
    <x v="1"/>
    <x v="7"/>
    <x v="15"/>
    <m/>
    <n v="9999"/>
    <n v="333.3"/>
    <n v="0"/>
    <n v="0"/>
    <n v="0"/>
    <x v="1"/>
    <n v="22.063013698630137"/>
    <x v="2"/>
    <n v="2"/>
    <d v="2004-02-07T00:00:00"/>
  </r>
  <r>
    <x v="1"/>
    <n v="19005770"/>
    <x v="0"/>
    <d v="2026-02-25T00:00:00"/>
    <x v="1"/>
    <x v="7"/>
    <x v="15"/>
    <d v="2026-04-30T00:00:00"/>
    <n v="64"/>
    <n v="2.1333333333333333"/>
    <n v="0"/>
    <n v="1"/>
    <n v="1"/>
    <x v="1"/>
    <n v="19.460273972602739"/>
    <x v="3"/>
    <n v="1"/>
    <d v="2006-09-15T00:00:00"/>
  </r>
  <r>
    <x v="1"/>
    <n v="19005773"/>
    <x v="0"/>
    <d v="2026-02-25T00:00:00"/>
    <x v="1"/>
    <x v="7"/>
    <x v="15"/>
    <m/>
    <n v="9999"/>
    <n v="333.3"/>
    <n v="0"/>
    <n v="0"/>
    <n v="0"/>
    <x v="1"/>
    <n v="22.013698630136986"/>
    <x v="2"/>
    <n v="2"/>
    <d v="2004-02-26T00:00:00"/>
  </r>
  <r>
    <x v="0"/>
    <n v="19005793"/>
    <x v="0"/>
    <d v="2026-02-25T00:00:00"/>
    <x v="1"/>
    <x v="7"/>
    <x v="15"/>
    <d v="2026-03-11T00:00:00"/>
    <n v="14"/>
    <n v="0.46666666666666667"/>
    <n v="1"/>
    <n v="1"/>
    <n v="1"/>
    <x v="1"/>
    <n v="34.010958904109586"/>
    <x v="0"/>
    <n v="4"/>
    <d v="1992-03-01T00:00:00"/>
  </r>
  <r>
    <x v="1"/>
    <n v="19005833"/>
    <x v="0"/>
    <d v="2026-02-25T00:00:00"/>
    <x v="1"/>
    <x v="7"/>
    <x v="15"/>
    <m/>
    <n v="9999"/>
    <n v="333.3"/>
    <n v="0"/>
    <n v="0"/>
    <n v="0"/>
    <x v="0"/>
    <n v="23.268493150684932"/>
    <x v="2"/>
    <n v="2"/>
    <d v="2002-11-25T00:00:00"/>
  </r>
  <r>
    <x v="1"/>
    <n v="19005867"/>
    <x v="1"/>
    <d v="2026-02-25T00:00:00"/>
    <x v="1"/>
    <x v="7"/>
    <x v="15"/>
    <d v="2026-04-30T00:00:00"/>
    <n v="64"/>
    <n v="2.1333333333333333"/>
    <n v="0"/>
    <n v="1"/>
    <n v="1"/>
    <x v="1"/>
    <n v="22.457534246575342"/>
    <x v="2"/>
    <n v="2"/>
    <d v="2003-09-17T00:00:00"/>
  </r>
  <r>
    <x v="0"/>
    <n v="19005868"/>
    <x v="0"/>
    <d v="2026-02-25T00:00:00"/>
    <x v="1"/>
    <x v="7"/>
    <x v="15"/>
    <m/>
    <n v="9999"/>
    <n v="333.3"/>
    <n v="0"/>
    <n v="0"/>
    <n v="0"/>
    <x v="1"/>
    <n v="18.523287671232875"/>
    <x v="3"/>
    <n v="1"/>
    <d v="2007-08-23T00:00:00"/>
  </r>
  <r>
    <x v="1"/>
    <n v="19005869"/>
    <x v="1"/>
    <d v="2026-02-25T00:00:00"/>
    <x v="1"/>
    <x v="7"/>
    <x v="15"/>
    <m/>
    <n v="9999"/>
    <n v="333.3"/>
    <n v="0"/>
    <n v="0"/>
    <n v="0"/>
    <x v="1"/>
    <n v="19.556164383561644"/>
    <x v="3"/>
    <n v="1"/>
    <d v="2006-08-11T00:00:00"/>
  </r>
  <r>
    <x v="1"/>
    <n v="19005875"/>
    <x v="0"/>
    <d v="2026-02-25T00:00:00"/>
    <x v="1"/>
    <x v="7"/>
    <x v="15"/>
    <m/>
    <n v="9999"/>
    <n v="333.3"/>
    <n v="0"/>
    <n v="0"/>
    <n v="0"/>
    <x v="1"/>
    <n v="24.578082191780823"/>
    <x v="2"/>
    <n v="2"/>
    <d v="2001-08-04T00:00:00"/>
  </r>
  <r>
    <x v="1"/>
    <n v="19005926"/>
    <x v="0"/>
    <d v="2026-02-25T00:00:00"/>
    <x v="1"/>
    <x v="7"/>
    <x v="15"/>
    <m/>
    <n v="9999"/>
    <n v="333.3"/>
    <n v="0"/>
    <n v="0"/>
    <n v="0"/>
    <x v="1"/>
    <n v="18.419178082191781"/>
    <x v="3"/>
    <n v="1"/>
    <d v="2007-09-30T00:00:00"/>
  </r>
  <r>
    <x v="1"/>
    <n v="19005930"/>
    <x v="0"/>
    <d v="2026-02-23T00:00:00"/>
    <x v="1"/>
    <x v="7"/>
    <x v="15"/>
    <m/>
    <n v="9999"/>
    <n v="333.3"/>
    <n v="0"/>
    <n v="0"/>
    <n v="0"/>
    <x v="1"/>
    <n v="23.021917808219179"/>
    <x v="2"/>
    <n v="2"/>
    <d v="2003-02-21T00:00:00"/>
  </r>
  <r>
    <x v="1"/>
    <n v="19005933"/>
    <x v="0"/>
    <d v="2026-02-25T00:00:00"/>
    <x v="1"/>
    <x v="7"/>
    <x v="15"/>
    <d v="2026-05-31T00:00:00"/>
    <n v="95"/>
    <n v="3.1666666666666665"/>
    <n v="0"/>
    <n v="0"/>
    <n v="1"/>
    <x v="0"/>
    <n v="22.243835616438357"/>
    <x v="2"/>
    <n v="2"/>
    <d v="2003-12-04T00:00:00"/>
  </r>
  <r>
    <x v="1"/>
    <n v="19006052"/>
    <x v="0"/>
    <d v="2026-02-26T00:00:00"/>
    <x v="1"/>
    <x v="7"/>
    <x v="15"/>
    <m/>
    <n v="9999"/>
    <n v="333.3"/>
    <n v="0"/>
    <n v="0"/>
    <n v="0"/>
    <x v="1"/>
    <n v="19.079452054794519"/>
    <x v="3"/>
    <n v="1"/>
    <d v="2007-02-02T00:00:00"/>
  </r>
  <r>
    <x v="1"/>
    <n v="19006067"/>
    <x v="0"/>
    <d v="2026-02-26T00:00:00"/>
    <x v="1"/>
    <x v="7"/>
    <x v="15"/>
    <m/>
    <n v="9999"/>
    <n v="333.3"/>
    <n v="0"/>
    <n v="0"/>
    <n v="0"/>
    <x v="0"/>
    <n v="18.624657534246577"/>
    <x v="3"/>
    <n v="1"/>
    <d v="2007-07-18T00:00:00"/>
  </r>
  <r>
    <x v="0"/>
    <n v="19006077"/>
    <x v="1"/>
    <d v="2026-02-26T00:00:00"/>
    <x v="1"/>
    <x v="7"/>
    <x v="15"/>
    <d v="2026-03-04T00:00:00"/>
    <n v="6"/>
    <n v="0.2"/>
    <n v="1"/>
    <n v="1"/>
    <n v="1"/>
    <x v="0"/>
    <n v="22.934246575342467"/>
    <x v="2"/>
    <n v="2"/>
    <d v="2003-03-28T00:00:00"/>
  </r>
  <r>
    <x v="1"/>
    <n v="19006115"/>
    <x v="0"/>
    <d v="2026-02-25T00:00:00"/>
    <x v="1"/>
    <x v="7"/>
    <x v="15"/>
    <m/>
    <n v="9999"/>
    <n v="333.3"/>
    <n v="0"/>
    <n v="0"/>
    <n v="0"/>
    <x v="1"/>
    <n v="19.126027397260273"/>
    <x v="3"/>
    <n v="1"/>
    <d v="2007-01-15T00:00:00"/>
  </r>
  <r>
    <x v="1"/>
    <n v="19006242"/>
    <x v="1"/>
    <d v="2026-02-27T00:00:00"/>
    <x v="1"/>
    <x v="7"/>
    <x v="15"/>
    <d v="2026-05-15T00:00:00"/>
    <n v="77"/>
    <n v="2.5666666666666669"/>
    <n v="0"/>
    <n v="1"/>
    <n v="1"/>
    <x v="1"/>
    <n v="18.736986301369864"/>
    <x v="3"/>
    <n v="1"/>
    <d v="2007-06-08T00:00:00"/>
  </r>
  <r>
    <x v="1"/>
    <n v="19006254"/>
    <x v="0"/>
    <d v="2026-03-04T00:00:00"/>
    <x v="1"/>
    <x v="0"/>
    <x v="5"/>
    <d v="2026-04-16T00:00:00"/>
    <n v="43"/>
    <n v="1.4333333333333333"/>
    <n v="0"/>
    <n v="1"/>
    <n v="1"/>
    <x v="1"/>
    <n v="32.868493150684934"/>
    <x v="0"/>
    <n v="4"/>
    <d v="1993-04-29T00:00:00"/>
  </r>
  <r>
    <x v="1"/>
    <n v="19006487"/>
    <x v="1"/>
    <d v="2026-03-02T00:00:00"/>
    <x v="1"/>
    <x v="0"/>
    <x v="5"/>
    <m/>
    <n v="9999"/>
    <n v="333.3"/>
    <n v="0"/>
    <n v="0"/>
    <n v="0"/>
    <x v="0"/>
    <n v="18.227397260273971"/>
    <x v="3"/>
    <n v="1"/>
    <d v="2007-12-14T00:00:00"/>
  </r>
  <r>
    <x v="1"/>
    <n v="19006501"/>
    <x v="0"/>
    <d v="2026-03-02T00:00:00"/>
    <x v="1"/>
    <x v="0"/>
    <x v="5"/>
    <m/>
    <n v="9999"/>
    <n v="333.3"/>
    <n v="0"/>
    <n v="0"/>
    <n v="0"/>
    <x v="0"/>
    <n v="20.786301369863015"/>
    <x v="3"/>
    <n v="1"/>
    <d v="2005-05-24T00:00:00"/>
  </r>
  <r>
    <x v="1"/>
    <n v="19006504"/>
    <x v="0"/>
    <d v="2026-03-02T00:00:00"/>
    <x v="1"/>
    <x v="0"/>
    <x v="5"/>
    <m/>
    <n v="9999"/>
    <n v="333.3"/>
    <n v="0"/>
    <n v="0"/>
    <n v="0"/>
    <x v="0"/>
    <n v="21.931506849315067"/>
    <x v="2"/>
    <n v="2"/>
    <d v="2004-04-01T00:00:00"/>
  </r>
  <r>
    <x v="1"/>
    <n v="19006876"/>
    <x v="0"/>
    <d v="2026-03-03T00:00:00"/>
    <x v="1"/>
    <x v="0"/>
    <x v="5"/>
    <m/>
    <n v="9999"/>
    <n v="333.3"/>
    <n v="0"/>
    <n v="0"/>
    <n v="0"/>
    <x v="0"/>
    <n v="18.087671232876712"/>
    <x v="3"/>
    <n v="1"/>
    <d v="2008-02-04T00:00:00"/>
  </r>
  <r>
    <x v="1"/>
    <n v="19006878"/>
    <x v="0"/>
    <d v="2026-03-03T00:00:00"/>
    <x v="1"/>
    <x v="0"/>
    <x v="5"/>
    <m/>
    <n v="9999"/>
    <n v="333.3"/>
    <n v="0"/>
    <n v="0"/>
    <n v="0"/>
    <x v="0"/>
    <n v="18.175342465753424"/>
    <x v="3"/>
    <n v="1"/>
    <d v="2008-01-03T00:00:00"/>
  </r>
  <r>
    <x v="1"/>
    <n v="19006880"/>
    <x v="1"/>
    <d v="2026-03-03T00:00:00"/>
    <x v="1"/>
    <x v="0"/>
    <x v="5"/>
    <d v="2026-03-05T00:00:00"/>
    <n v="2"/>
    <n v="6.6666666666666666E-2"/>
    <n v="1"/>
    <n v="1"/>
    <n v="1"/>
    <x v="0"/>
    <n v="27.12876712328767"/>
    <x v="1"/>
    <n v="3"/>
    <d v="1999-01-22T00:00:00"/>
  </r>
  <r>
    <x v="1"/>
    <n v="19006896"/>
    <x v="0"/>
    <d v="2026-03-03T00:00:00"/>
    <x v="1"/>
    <x v="0"/>
    <x v="5"/>
    <m/>
    <n v="9999"/>
    <n v="333.3"/>
    <n v="0"/>
    <n v="0"/>
    <n v="0"/>
    <x v="1"/>
    <n v="22.736986301369864"/>
    <x v="2"/>
    <n v="2"/>
    <d v="2003-06-13T00:00:00"/>
  </r>
  <r>
    <x v="1"/>
    <n v="19006897"/>
    <x v="0"/>
    <d v="2026-03-03T00:00:00"/>
    <x v="1"/>
    <x v="0"/>
    <x v="5"/>
    <d v="2026-05-01T00:00:00"/>
    <n v="59"/>
    <n v="1.9666666666666666"/>
    <n v="0"/>
    <n v="1"/>
    <n v="1"/>
    <x v="0"/>
    <n v="20.306849315068494"/>
    <x v="3"/>
    <n v="1"/>
    <d v="2005-11-16T00:00:00"/>
  </r>
  <r>
    <x v="1"/>
    <n v="19006907"/>
    <x v="0"/>
    <d v="2026-03-02T00:00:00"/>
    <x v="1"/>
    <x v="0"/>
    <x v="5"/>
    <m/>
    <n v="9999"/>
    <n v="333.3"/>
    <n v="0"/>
    <n v="0"/>
    <n v="0"/>
    <x v="1"/>
    <n v="20.572602739726026"/>
    <x v="3"/>
    <n v="1"/>
    <d v="2005-08-10T00:00:00"/>
  </r>
  <r>
    <x v="1"/>
    <n v="19006908"/>
    <x v="0"/>
    <d v="2026-03-03T00:00:00"/>
    <x v="1"/>
    <x v="0"/>
    <x v="5"/>
    <m/>
    <n v="9999"/>
    <n v="333.3"/>
    <n v="0"/>
    <n v="0"/>
    <n v="0"/>
    <x v="0"/>
    <n v="22.043835616438358"/>
    <x v="2"/>
    <n v="2"/>
    <d v="2004-02-21T00:00:00"/>
  </r>
  <r>
    <x v="1"/>
    <n v="19007203"/>
    <x v="1"/>
    <d v="2026-03-04T00:00:00"/>
    <x v="1"/>
    <x v="0"/>
    <x v="5"/>
    <d v="2026-04-12T00:00:00"/>
    <n v="39"/>
    <n v="1.3"/>
    <n v="0"/>
    <n v="1"/>
    <n v="1"/>
    <x v="1"/>
    <n v="21.731506849315068"/>
    <x v="2"/>
    <n v="2"/>
    <d v="2004-06-15T00:00:00"/>
  </r>
  <r>
    <x v="1"/>
    <n v="19007230"/>
    <x v="0"/>
    <d v="2026-03-04T00:00:00"/>
    <x v="1"/>
    <x v="0"/>
    <x v="5"/>
    <d v="2026-04-30T00:00:00"/>
    <n v="57"/>
    <n v="1.9"/>
    <n v="0"/>
    <n v="1"/>
    <n v="1"/>
    <x v="1"/>
    <n v="21.183561643835617"/>
    <x v="2"/>
    <n v="2"/>
    <d v="2005-01-01T00:00:00"/>
  </r>
  <r>
    <x v="1"/>
    <n v="19007232"/>
    <x v="0"/>
    <d v="2026-03-04T00:00:00"/>
    <x v="1"/>
    <x v="0"/>
    <x v="5"/>
    <m/>
    <n v="9999"/>
    <n v="333.3"/>
    <n v="0"/>
    <n v="0"/>
    <n v="0"/>
    <x v="1"/>
    <n v="18.81095890410959"/>
    <x v="3"/>
    <n v="1"/>
    <d v="2007-05-17T00:00:00"/>
  </r>
  <r>
    <x v="0"/>
    <n v="19007265"/>
    <x v="1"/>
    <d v="2026-03-04T00:00:00"/>
    <x v="1"/>
    <x v="0"/>
    <x v="5"/>
    <m/>
    <n v="9999"/>
    <n v="333.3"/>
    <n v="0"/>
    <n v="0"/>
    <n v="0"/>
    <x v="1"/>
    <n v="22.169863013698631"/>
    <x v="2"/>
    <n v="2"/>
    <d v="2004-01-07T00:00:00"/>
  </r>
  <r>
    <x v="1"/>
    <n v="19007281"/>
    <x v="0"/>
    <d v="2026-03-04T00:00:00"/>
    <x v="1"/>
    <x v="0"/>
    <x v="5"/>
    <d v="2026-04-01T00:00:00"/>
    <n v="28"/>
    <n v="0.93333333333333335"/>
    <n v="1"/>
    <n v="1"/>
    <n v="1"/>
    <x v="0"/>
    <n v="22.235616438356164"/>
    <x v="2"/>
    <n v="2"/>
    <d v="2003-12-14T00:00:00"/>
  </r>
  <r>
    <x v="1"/>
    <n v="19007289"/>
    <x v="0"/>
    <d v="2026-03-04T00:00:00"/>
    <x v="1"/>
    <x v="0"/>
    <x v="5"/>
    <d v="2026-04-30T00:00:00"/>
    <n v="57"/>
    <n v="1.9"/>
    <n v="0"/>
    <n v="1"/>
    <n v="1"/>
    <x v="1"/>
    <n v="20.279452054794522"/>
    <x v="3"/>
    <n v="1"/>
    <d v="2005-11-27T00:00:00"/>
  </r>
  <r>
    <x v="1"/>
    <n v="19007297"/>
    <x v="1"/>
    <d v="2026-03-04T00:00:00"/>
    <x v="1"/>
    <x v="0"/>
    <x v="5"/>
    <m/>
    <n v="9999"/>
    <n v="333.3"/>
    <n v="0"/>
    <n v="0"/>
    <n v="0"/>
    <x v="1"/>
    <n v="18.057534246575344"/>
    <x v="3"/>
    <n v="1"/>
    <d v="2008-02-16T00:00:00"/>
  </r>
  <r>
    <x v="1"/>
    <n v="19007298"/>
    <x v="0"/>
    <d v="2026-03-04T00:00:00"/>
    <x v="1"/>
    <x v="0"/>
    <x v="5"/>
    <m/>
    <n v="9999"/>
    <n v="333.3"/>
    <n v="0"/>
    <n v="0"/>
    <n v="0"/>
    <x v="1"/>
    <n v="29.915068493150685"/>
    <x v="1"/>
    <n v="3"/>
    <d v="1996-04-11T00:00:00"/>
  </r>
  <r>
    <x v="1"/>
    <n v="19007299"/>
    <x v="0"/>
    <d v="2026-03-04T00:00:00"/>
    <x v="1"/>
    <x v="0"/>
    <x v="5"/>
    <m/>
    <n v="9999"/>
    <n v="333.3"/>
    <n v="0"/>
    <n v="0"/>
    <n v="0"/>
    <x v="1"/>
    <n v="20"/>
    <x v="3"/>
    <n v="1"/>
    <d v="2006-03-09T00:00:00"/>
  </r>
  <r>
    <x v="1"/>
    <n v="19007300"/>
    <x v="0"/>
    <d v="2026-03-04T00:00:00"/>
    <x v="1"/>
    <x v="0"/>
    <x v="5"/>
    <m/>
    <n v="9999"/>
    <n v="333.3"/>
    <n v="0"/>
    <n v="0"/>
    <n v="0"/>
    <x v="1"/>
    <n v="18.87945205479452"/>
    <x v="3"/>
    <n v="1"/>
    <d v="2007-04-22T00:00:00"/>
  </r>
  <r>
    <x v="1"/>
    <n v="19007301"/>
    <x v="0"/>
    <d v="2026-03-04T00:00:00"/>
    <x v="1"/>
    <x v="0"/>
    <x v="5"/>
    <m/>
    <n v="9999"/>
    <n v="333.3"/>
    <n v="0"/>
    <n v="0"/>
    <n v="0"/>
    <x v="1"/>
    <n v="19.876712328767123"/>
    <x v="3"/>
    <n v="1"/>
    <d v="2006-04-23T00:00:00"/>
  </r>
  <r>
    <x v="0"/>
    <n v="19007302"/>
    <x v="1"/>
    <d v="2026-03-04T00:00:00"/>
    <x v="1"/>
    <x v="0"/>
    <x v="5"/>
    <d v="2026-05-31T00:00:00"/>
    <n v="88"/>
    <n v="2.9333333333333331"/>
    <n v="0"/>
    <n v="1"/>
    <n v="1"/>
    <x v="1"/>
    <n v="22.589041095890412"/>
    <x v="2"/>
    <n v="2"/>
    <d v="2003-08-07T00:00:00"/>
  </r>
  <r>
    <x v="1"/>
    <n v="19007329"/>
    <x v="0"/>
    <d v="2026-03-04T00:00:00"/>
    <x v="1"/>
    <x v="0"/>
    <x v="5"/>
    <m/>
    <n v="9999"/>
    <n v="333.3"/>
    <n v="0"/>
    <n v="0"/>
    <n v="0"/>
    <x v="0"/>
    <n v="23.449315068493149"/>
    <x v="2"/>
    <n v="2"/>
    <d v="2002-09-27T00:00:00"/>
  </r>
  <r>
    <x v="0"/>
    <n v="19007332"/>
    <x v="1"/>
    <d v="2026-03-04T00:00:00"/>
    <x v="1"/>
    <x v="0"/>
    <x v="5"/>
    <d v="2026-05-04T00:00:00"/>
    <n v="61"/>
    <n v="2.0333333333333332"/>
    <n v="0"/>
    <n v="1"/>
    <n v="1"/>
    <x v="0"/>
    <n v="24.482191780821918"/>
    <x v="2"/>
    <n v="2"/>
    <d v="2001-09-15T00:00:00"/>
  </r>
  <r>
    <x v="1"/>
    <n v="19007349"/>
    <x v="1"/>
    <d v="2026-03-04T00:00:00"/>
    <x v="1"/>
    <x v="0"/>
    <x v="5"/>
    <m/>
    <n v="9999"/>
    <n v="333.3"/>
    <n v="0"/>
    <n v="0"/>
    <n v="0"/>
    <x v="0"/>
    <n v="21.81917808219178"/>
    <x v="2"/>
    <n v="2"/>
    <d v="2004-05-14T00:00:00"/>
  </r>
  <r>
    <x v="1"/>
    <n v="19007538"/>
    <x v="0"/>
    <d v="2026-03-05T00:00:00"/>
    <x v="1"/>
    <x v="0"/>
    <x v="5"/>
    <m/>
    <n v="9999"/>
    <n v="333.3"/>
    <n v="0"/>
    <n v="0"/>
    <n v="0"/>
    <x v="1"/>
    <n v="19.553424657534247"/>
    <x v="3"/>
    <n v="1"/>
    <d v="2006-08-20T00:00:00"/>
  </r>
  <r>
    <x v="1"/>
    <n v="19007539"/>
    <x v="0"/>
    <d v="2026-03-05T00:00:00"/>
    <x v="1"/>
    <x v="0"/>
    <x v="5"/>
    <d v="2026-03-06T00:00:00"/>
    <n v="1"/>
    <n v="3.3333333333333333E-2"/>
    <n v="1"/>
    <n v="1"/>
    <n v="1"/>
    <x v="1"/>
    <n v="23.079452054794519"/>
    <x v="2"/>
    <n v="2"/>
    <d v="2003-02-10T00:00:00"/>
  </r>
  <r>
    <x v="1"/>
    <n v="19007540"/>
    <x v="0"/>
    <d v="2026-03-05T00:00:00"/>
    <x v="1"/>
    <x v="0"/>
    <x v="5"/>
    <m/>
    <n v="9999"/>
    <n v="333.3"/>
    <n v="0"/>
    <n v="0"/>
    <n v="0"/>
    <x v="1"/>
    <n v="20.567123287671233"/>
    <x v="3"/>
    <n v="1"/>
    <d v="2005-08-15T00:00:00"/>
  </r>
  <r>
    <x v="1"/>
    <n v="19007541"/>
    <x v="0"/>
    <d v="2026-03-05T00:00:00"/>
    <x v="1"/>
    <x v="0"/>
    <x v="5"/>
    <d v="2026-04-14T00:00:00"/>
    <n v="40"/>
    <n v="1.3333333333333333"/>
    <n v="0"/>
    <n v="1"/>
    <n v="1"/>
    <x v="1"/>
    <n v="19.183561643835617"/>
    <x v="3"/>
    <n v="1"/>
    <d v="2007-01-02T00:00:00"/>
  </r>
  <r>
    <x v="1"/>
    <n v="19007542"/>
    <x v="1"/>
    <d v="2026-03-05T00:00:00"/>
    <x v="1"/>
    <x v="0"/>
    <x v="5"/>
    <m/>
    <n v="9999"/>
    <n v="333.3"/>
    <n v="0"/>
    <n v="0"/>
    <n v="0"/>
    <x v="1"/>
    <n v="18.69041095890411"/>
    <x v="3"/>
    <n v="1"/>
    <d v="2007-07-01T00:00:00"/>
  </r>
  <r>
    <x v="1"/>
    <n v="19007543"/>
    <x v="0"/>
    <d v="2026-03-05T00:00:00"/>
    <x v="1"/>
    <x v="0"/>
    <x v="5"/>
    <m/>
    <n v="9999"/>
    <n v="333.3"/>
    <n v="0"/>
    <n v="0"/>
    <n v="0"/>
    <x v="1"/>
    <n v="22.956164383561642"/>
    <x v="2"/>
    <n v="2"/>
    <d v="2003-03-27T00:00:00"/>
  </r>
  <r>
    <x v="1"/>
    <n v="19007552"/>
    <x v="0"/>
    <d v="2026-03-05T00:00:00"/>
    <x v="1"/>
    <x v="0"/>
    <x v="5"/>
    <m/>
    <n v="9999"/>
    <n v="333.3"/>
    <n v="0"/>
    <n v="0"/>
    <n v="0"/>
    <x v="1"/>
    <n v="22.016438356164382"/>
    <x v="2"/>
    <n v="2"/>
    <d v="2004-03-04T00:00:00"/>
  </r>
  <r>
    <x v="1"/>
    <n v="19007553"/>
    <x v="0"/>
    <d v="2026-03-05T00:00:00"/>
    <x v="1"/>
    <x v="0"/>
    <x v="5"/>
    <m/>
    <n v="9999"/>
    <n v="333.3"/>
    <n v="0"/>
    <n v="0"/>
    <n v="0"/>
    <x v="1"/>
    <n v="20.717808219178082"/>
    <x v="3"/>
    <n v="1"/>
    <d v="2005-06-21T00:00:00"/>
  </r>
  <r>
    <x v="1"/>
    <n v="19007630"/>
    <x v="1"/>
    <d v="2026-03-05T00:00:00"/>
    <x v="1"/>
    <x v="0"/>
    <x v="5"/>
    <d v="2026-04-12T00:00:00"/>
    <n v="38"/>
    <n v="1.2666666666666666"/>
    <n v="0"/>
    <n v="1"/>
    <n v="1"/>
    <x v="1"/>
    <n v="21.24931506849315"/>
    <x v="2"/>
    <n v="2"/>
    <d v="2004-12-09T00:00:00"/>
  </r>
  <r>
    <x v="0"/>
    <n v="19007778"/>
    <x v="0"/>
    <d v="2026-03-06T00:00:00"/>
    <x v="1"/>
    <x v="0"/>
    <x v="5"/>
    <m/>
    <n v="9999"/>
    <n v="333.3"/>
    <n v="0"/>
    <n v="0"/>
    <n v="0"/>
    <x v="1"/>
    <n v="41.512328767123286"/>
    <x v="0"/>
    <n v="4"/>
    <d v="1984-09-10T00:00:00"/>
  </r>
  <r>
    <x v="1"/>
    <n v="19007782"/>
    <x v="0"/>
    <d v="2026-03-06T00:00:00"/>
    <x v="1"/>
    <x v="0"/>
    <x v="5"/>
    <m/>
    <n v="9999"/>
    <n v="333.3"/>
    <n v="0"/>
    <n v="0"/>
    <n v="0"/>
    <x v="1"/>
    <n v="18.408219178082192"/>
    <x v="3"/>
    <n v="1"/>
    <d v="2007-10-13T00:00:00"/>
  </r>
  <r>
    <x v="1"/>
    <n v="19007784"/>
    <x v="1"/>
    <d v="2026-03-06T00:00:00"/>
    <x v="1"/>
    <x v="0"/>
    <x v="5"/>
    <m/>
    <n v="9999"/>
    <n v="333.3"/>
    <n v="0"/>
    <n v="0"/>
    <n v="0"/>
    <x v="1"/>
    <n v="24.6"/>
    <x v="2"/>
    <n v="2"/>
    <d v="2001-08-05T00:00:00"/>
  </r>
  <r>
    <x v="1"/>
    <n v="19007786"/>
    <x v="1"/>
    <d v="2026-03-06T00:00:00"/>
    <x v="1"/>
    <x v="0"/>
    <x v="5"/>
    <m/>
    <n v="9999"/>
    <n v="333.3"/>
    <n v="0"/>
    <n v="0"/>
    <n v="0"/>
    <x v="0"/>
    <n v="19.208219178082192"/>
    <x v="3"/>
    <n v="1"/>
    <d v="2006-12-25T00:00:00"/>
  </r>
  <r>
    <x v="1"/>
    <n v="19007787"/>
    <x v="0"/>
    <d v="2026-03-06T00:00:00"/>
    <x v="1"/>
    <x v="0"/>
    <x v="5"/>
    <d v="2026-05-05T00:00:00"/>
    <n v="60"/>
    <n v="2"/>
    <n v="0"/>
    <n v="1"/>
    <n v="1"/>
    <x v="0"/>
    <n v="19.536986301369861"/>
    <x v="3"/>
    <n v="1"/>
    <d v="2006-08-27T00:00:00"/>
  </r>
  <r>
    <x v="1"/>
    <n v="19007789"/>
    <x v="0"/>
    <d v="2026-03-06T00:00:00"/>
    <x v="1"/>
    <x v="0"/>
    <x v="5"/>
    <d v="2026-06-01T00:00:00"/>
    <n v="87"/>
    <n v="2.9"/>
    <n v="0"/>
    <n v="1"/>
    <n v="1"/>
    <x v="0"/>
    <n v="19.706849315068492"/>
    <x v="3"/>
    <n v="1"/>
    <d v="2006-06-26T00:00:00"/>
  </r>
  <r>
    <x v="1"/>
    <n v="19007790"/>
    <x v="0"/>
    <d v="2026-03-06T00:00:00"/>
    <x v="1"/>
    <x v="0"/>
    <x v="5"/>
    <m/>
    <n v="9999"/>
    <n v="333.3"/>
    <n v="0"/>
    <n v="0"/>
    <n v="0"/>
    <x v="0"/>
    <n v="46.583561643835615"/>
    <x v="0"/>
    <n v="4"/>
    <d v="1979-08-17T00:00:00"/>
  </r>
  <r>
    <x v="1"/>
    <n v="19007797"/>
    <x v="0"/>
    <d v="2026-03-06T00:00:00"/>
    <x v="1"/>
    <x v="0"/>
    <x v="5"/>
    <d v="2026-04-14T00:00:00"/>
    <n v="39"/>
    <n v="1.3"/>
    <n v="0"/>
    <n v="1"/>
    <n v="1"/>
    <x v="1"/>
    <n v="20.12876712328767"/>
    <x v="3"/>
    <n v="1"/>
    <d v="2006-01-23T00:00:00"/>
  </r>
  <r>
    <x v="1"/>
    <n v="19007798"/>
    <x v="0"/>
    <d v="2026-03-06T00:00:00"/>
    <x v="1"/>
    <x v="0"/>
    <x v="5"/>
    <m/>
    <n v="9999"/>
    <n v="333.3"/>
    <n v="0"/>
    <n v="0"/>
    <n v="0"/>
    <x v="1"/>
    <n v="18.673972602739727"/>
    <x v="3"/>
    <n v="1"/>
    <d v="2007-07-08T00:00:00"/>
  </r>
  <r>
    <x v="1"/>
    <n v="19007799"/>
    <x v="0"/>
    <d v="2026-03-06T00:00:00"/>
    <x v="1"/>
    <x v="0"/>
    <x v="5"/>
    <m/>
    <n v="9999"/>
    <n v="333.3"/>
    <n v="0"/>
    <n v="0"/>
    <n v="0"/>
    <x v="1"/>
    <n v="19.098630136986301"/>
    <x v="3"/>
    <n v="1"/>
    <d v="2007-02-03T00:00:00"/>
  </r>
  <r>
    <x v="1"/>
    <n v="19007802"/>
    <x v="0"/>
    <d v="2026-03-06T00:00:00"/>
    <x v="1"/>
    <x v="0"/>
    <x v="5"/>
    <m/>
    <n v="9999"/>
    <n v="333.3"/>
    <n v="0"/>
    <n v="0"/>
    <n v="0"/>
    <x v="0"/>
    <n v="18.671232876712327"/>
    <x v="3"/>
    <n v="1"/>
    <d v="2007-07-09T00:00:00"/>
  </r>
  <r>
    <x v="1"/>
    <n v="19007824"/>
    <x v="0"/>
    <d v="2026-03-06T00:00:00"/>
    <x v="1"/>
    <x v="0"/>
    <x v="5"/>
    <m/>
    <n v="9999"/>
    <n v="333.3"/>
    <n v="0"/>
    <n v="0"/>
    <n v="0"/>
    <x v="0"/>
    <n v="27.06027397260274"/>
    <x v="1"/>
    <n v="3"/>
    <d v="1999-02-19T00:00:00"/>
  </r>
  <r>
    <x v="1"/>
    <n v="19007825"/>
    <x v="1"/>
    <d v="2026-03-06T00:00:00"/>
    <x v="1"/>
    <x v="0"/>
    <x v="5"/>
    <m/>
    <n v="9999"/>
    <n v="333.3"/>
    <n v="0"/>
    <n v="0"/>
    <n v="0"/>
    <x v="0"/>
    <n v="20.717808219178082"/>
    <x v="3"/>
    <n v="1"/>
    <d v="2005-06-22T00:00:00"/>
  </r>
  <r>
    <x v="0"/>
    <n v="19007849"/>
    <x v="0"/>
    <d v="2026-03-06T00:00:00"/>
    <x v="1"/>
    <x v="0"/>
    <x v="5"/>
    <d v="2026-06-01T00:00:00"/>
    <n v="87"/>
    <n v="2.9"/>
    <n v="0"/>
    <n v="1"/>
    <n v="1"/>
    <x v="1"/>
    <n v="18.972602739726028"/>
    <x v="3"/>
    <n v="1"/>
    <d v="2007-03-21T00:00:00"/>
  </r>
  <r>
    <x v="1"/>
    <n v="19007873"/>
    <x v="0"/>
    <d v="2026-03-06T00:00:00"/>
    <x v="1"/>
    <x v="0"/>
    <x v="5"/>
    <d v="2026-04-06T00:00:00"/>
    <n v="31"/>
    <n v="1.0333333333333334"/>
    <n v="0"/>
    <n v="1"/>
    <n v="1"/>
    <x v="0"/>
    <n v="21.468493150684932"/>
    <x v="2"/>
    <n v="2"/>
    <d v="2004-09-21T00:00:00"/>
  </r>
  <r>
    <x v="1"/>
    <n v="19007874"/>
    <x v="0"/>
    <d v="2026-03-06T00:00:00"/>
    <x v="1"/>
    <x v="0"/>
    <x v="5"/>
    <d v="2026-04-05T00:00:00"/>
    <n v="30"/>
    <n v="1"/>
    <n v="1"/>
    <n v="1"/>
    <n v="1"/>
    <x v="0"/>
    <n v="19.328767123287673"/>
    <x v="3"/>
    <n v="1"/>
    <d v="2006-11-11T00:00:00"/>
  </r>
  <r>
    <x v="1"/>
    <n v="19007905"/>
    <x v="1"/>
    <d v="2026-03-06T00:00:00"/>
    <x v="1"/>
    <x v="0"/>
    <x v="5"/>
    <m/>
    <n v="9999"/>
    <n v="333.3"/>
    <n v="0"/>
    <n v="0"/>
    <n v="0"/>
    <x v="0"/>
    <n v="26.167123287671235"/>
    <x v="1"/>
    <n v="3"/>
    <d v="2000-01-11T00:00:00"/>
  </r>
  <r>
    <x v="1"/>
    <n v="19007909"/>
    <x v="0"/>
    <d v="2026-03-06T00:00:00"/>
    <x v="1"/>
    <x v="0"/>
    <x v="5"/>
    <m/>
    <n v="9999"/>
    <n v="333.3"/>
    <n v="0"/>
    <n v="0"/>
    <n v="0"/>
    <x v="0"/>
    <n v="24.745205479452054"/>
    <x v="2"/>
    <n v="2"/>
    <d v="2001-06-13T00:00:00"/>
  </r>
  <r>
    <x v="1"/>
    <n v="19007973"/>
    <x v="0"/>
    <d v="2026-03-07T00:00:00"/>
    <x v="1"/>
    <x v="0"/>
    <x v="5"/>
    <m/>
    <n v="9999"/>
    <n v="333.3"/>
    <n v="0"/>
    <n v="0"/>
    <n v="0"/>
    <x v="1"/>
    <n v="51.723287671232875"/>
    <x v="0"/>
    <n v="4"/>
    <d v="1974-06-29T00:00:00"/>
  </r>
  <r>
    <x v="1"/>
    <n v="19008076"/>
    <x v="1"/>
    <d v="2026-03-09T00:00:00"/>
    <x v="1"/>
    <x v="0"/>
    <x v="5"/>
    <d v="2026-04-30T00:00:00"/>
    <n v="52"/>
    <n v="1.7333333333333334"/>
    <n v="0"/>
    <n v="1"/>
    <n v="1"/>
    <x v="1"/>
    <n v="24.010958904109589"/>
    <x v="2"/>
    <n v="2"/>
    <d v="2002-03-11T00:00:00"/>
  </r>
  <r>
    <x v="1"/>
    <n v="19008097"/>
    <x v="0"/>
    <d v="2026-03-09T00:00:00"/>
    <x v="1"/>
    <x v="0"/>
    <x v="5"/>
    <d v="2026-04-01T00:00:00"/>
    <n v="23"/>
    <n v="0.76666666666666672"/>
    <n v="1"/>
    <n v="1"/>
    <n v="1"/>
    <x v="0"/>
    <n v="30.739726027397261"/>
    <x v="1"/>
    <n v="3"/>
    <d v="1995-06-20T00:00:00"/>
  </r>
  <r>
    <x v="1"/>
    <n v="19008118"/>
    <x v="1"/>
    <d v="2026-03-09T00:00:00"/>
    <x v="1"/>
    <x v="0"/>
    <x v="5"/>
    <d v="2026-04-15T00:00:00"/>
    <n v="37"/>
    <n v="1.2333333333333334"/>
    <n v="0"/>
    <n v="1"/>
    <n v="1"/>
    <x v="1"/>
    <n v="26.813698630136987"/>
    <x v="1"/>
    <n v="3"/>
    <d v="1999-05-23T00:00:00"/>
  </r>
  <r>
    <x v="1"/>
    <n v="19008119"/>
    <x v="0"/>
    <d v="2026-03-09T00:00:00"/>
    <x v="1"/>
    <x v="0"/>
    <x v="5"/>
    <d v="2026-04-15T00:00:00"/>
    <n v="37"/>
    <n v="1.2333333333333334"/>
    <n v="0"/>
    <n v="1"/>
    <n v="1"/>
    <x v="1"/>
    <n v="33.663013698630138"/>
    <x v="0"/>
    <n v="4"/>
    <d v="1992-07-18T00:00:00"/>
  </r>
  <r>
    <x v="1"/>
    <n v="19008120"/>
    <x v="0"/>
    <d v="2026-03-09T00:00:00"/>
    <x v="1"/>
    <x v="0"/>
    <x v="5"/>
    <m/>
    <n v="9999"/>
    <n v="333.3"/>
    <n v="0"/>
    <n v="0"/>
    <n v="0"/>
    <x v="1"/>
    <n v="21.671232876712327"/>
    <x v="2"/>
    <n v="2"/>
    <d v="2004-07-12T00:00:00"/>
  </r>
  <r>
    <x v="1"/>
    <n v="19008131"/>
    <x v="1"/>
    <d v="2026-03-09T00:00:00"/>
    <x v="1"/>
    <x v="0"/>
    <x v="5"/>
    <d v="2026-05-07T00:00:00"/>
    <n v="59"/>
    <n v="1.9666666666666666"/>
    <n v="0"/>
    <n v="1"/>
    <n v="1"/>
    <x v="1"/>
    <n v="20.978082191780821"/>
    <x v="3"/>
    <n v="1"/>
    <d v="2005-03-22T00:00:00"/>
  </r>
  <r>
    <x v="1"/>
    <n v="19008132"/>
    <x v="0"/>
    <d v="2026-03-09T00:00:00"/>
    <x v="1"/>
    <x v="0"/>
    <x v="5"/>
    <m/>
    <n v="9999"/>
    <n v="333.3"/>
    <n v="0"/>
    <n v="0"/>
    <n v="0"/>
    <x v="1"/>
    <n v="24.326027397260273"/>
    <x v="2"/>
    <n v="2"/>
    <d v="2001-11-16T00:00:00"/>
  </r>
  <r>
    <x v="1"/>
    <n v="19008134"/>
    <x v="0"/>
    <d v="2026-03-09T00:00:00"/>
    <x v="1"/>
    <x v="0"/>
    <x v="5"/>
    <m/>
    <n v="9999"/>
    <n v="333.3"/>
    <n v="0"/>
    <n v="0"/>
    <n v="0"/>
    <x v="1"/>
    <n v="20.545205479452054"/>
    <x v="3"/>
    <n v="1"/>
    <d v="2005-08-27T00:00:00"/>
  </r>
  <r>
    <x v="1"/>
    <n v="19008135"/>
    <x v="0"/>
    <d v="2026-03-09T00:00:00"/>
    <x v="1"/>
    <x v="0"/>
    <x v="5"/>
    <m/>
    <n v="9999"/>
    <n v="333.3"/>
    <n v="0"/>
    <n v="0"/>
    <n v="0"/>
    <x v="1"/>
    <n v="27.17808219178082"/>
    <x v="1"/>
    <n v="3"/>
    <d v="1999-01-10T00:00:00"/>
  </r>
  <r>
    <x v="1"/>
    <n v="19008434"/>
    <x v="0"/>
    <d v="2026-03-10T00:00:00"/>
    <x v="1"/>
    <x v="0"/>
    <x v="5"/>
    <m/>
    <n v="9999"/>
    <n v="333.3"/>
    <n v="0"/>
    <n v="0"/>
    <n v="0"/>
    <x v="1"/>
    <n v="18.613698630136987"/>
    <x v="3"/>
    <n v="1"/>
    <d v="2007-08-03T00:00:00"/>
  </r>
  <r>
    <x v="1"/>
    <n v="19008435"/>
    <x v="0"/>
    <d v="2026-03-10T00:00:00"/>
    <x v="1"/>
    <x v="0"/>
    <x v="5"/>
    <d v="2026-06-01T00:00:00"/>
    <n v="83"/>
    <n v="2.7666666666666666"/>
    <n v="0"/>
    <n v="1"/>
    <n v="1"/>
    <x v="1"/>
    <n v="43.482191780821921"/>
    <x v="0"/>
    <n v="4"/>
    <d v="1982-09-26T00:00:00"/>
  </r>
  <r>
    <x v="1"/>
    <n v="19008436"/>
    <x v="0"/>
    <d v="2026-03-10T00:00:00"/>
    <x v="1"/>
    <x v="0"/>
    <x v="5"/>
    <m/>
    <n v="9999"/>
    <n v="333.3"/>
    <n v="0"/>
    <n v="0"/>
    <n v="0"/>
    <x v="1"/>
    <n v="21.449315068493149"/>
    <x v="2"/>
    <n v="2"/>
    <d v="2004-10-02T00:00:00"/>
  </r>
  <r>
    <x v="0"/>
    <n v="19008482"/>
    <x v="0"/>
    <d v="2026-03-10T00:00:00"/>
    <x v="1"/>
    <x v="0"/>
    <x v="5"/>
    <m/>
    <n v="9999"/>
    <n v="333.3"/>
    <n v="0"/>
    <n v="0"/>
    <n v="0"/>
    <x v="1"/>
    <n v="21.402739726027399"/>
    <x v="2"/>
    <n v="2"/>
    <d v="2004-10-19T00:00:00"/>
  </r>
  <r>
    <x v="1"/>
    <n v="19008483"/>
    <x v="0"/>
    <d v="2026-03-10T00:00:00"/>
    <x v="1"/>
    <x v="0"/>
    <x v="5"/>
    <m/>
    <n v="9999"/>
    <n v="333.3"/>
    <n v="0"/>
    <n v="0"/>
    <n v="0"/>
    <x v="1"/>
    <n v="20.652054794520549"/>
    <x v="3"/>
    <n v="1"/>
    <d v="2005-07-20T00:00:00"/>
  </r>
  <r>
    <x v="1"/>
    <n v="19008496"/>
    <x v="1"/>
    <d v="2026-03-10T00:00:00"/>
    <x v="1"/>
    <x v="0"/>
    <x v="5"/>
    <d v="2026-05-31T00:00:00"/>
    <n v="82"/>
    <n v="2.7333333333333334"/>
    <n v="0"/>
    <n v="1"/>
    <n v="1"/>
    <x v="1"/>
    <n v="20.167123287671235"/>
    <x v="3"/>
    <n v="1"/>
    <d v="2006-01-13T00:00:00"/>
  </r>
  <r>
    <x v="1"/>
    <n v="19008497"/>
    <x v="0"/>
    <d v="2026-03-10T00:00:00"/>
    <x v="1"/>
    <x v="0"/>
    <x v="5"/>
    <m/>
    <n v="9999"/>
    <n v="333.3"/>
    <n v="0"/>
    <n v="0"/>
    <n v="0"/>
    <x v="1"/>
    <n v="29.419178082191781"/>
    <x v="1"/>
    <n v="3"/>
    <d v="1996-10-15T00:00:00"/>
  </r>
  <r>
    <x v="1"/>
    <n v="19008528"/>
    <x v="0"/>
    <d v="2026-03-10T00:00:00"/>
    <x v="1"/>
    <x v="0"/>
    <x v="5"/>
    <m/>
    <n v="9999"/>
    <n v="333.3"/>
    <n v="0"/>
    <n v="0"/>
    <n v="0"/>
    <x v="0"/>
    <n v="26.531506849315068"/>
    <x v="1"/>
    <n v="3"/>
    <d v="1999-09-04T00:00:00"/>
  </r>
  <r>
    <x v="1"/>
    <n v="19008536"/>
    <x v="1"/>
    <d v="2026-03-10T00:00:00"/>
    <x v="1"/>
    <x v="0"/>
    <x v="5"/>
    <m/>
    <n v="9999"/>
    <n v="333.3"/>
    <n v="0"/>
    <n v="0"/>
    <n v="0"/>
    <x v="0"/>
    <n v="24.293150684931508"/>
    <x v="2"/>
    <n v="2"/>
    <d v="2001-11-29T00:00:00"/>
  </r>
  <r>
    <x v="1"/>
    <n v="19008544"/>
    <x v="0"/>
    <d v="2026-03-10T00:00:00"/>
    <x v="1"/>
    <x v="0"/>
    <x v="5"/>
    <m/>
    <n v="9999"/>
    <n v="333.3"/>
    <n v="0"/>
    <n v="0"/>
    <n v="0"/>
    <x v="0"/>
    <n v="21.186301369863013"/>
    <x v="2"/>
    <n v="2"/>
    <d v="2005-01-06T00:00:00"/>
  </r>
  <r>
    <x v="1"/>
    <n v="19008666"/>
    <x v="0"/>
    <d v="2026-03-10T00:00:00"/>
    <x v="1"/>
    <x v="0"/>
    <x v="5"/>
    <m/>
    <n v="9999"/>
    <n v="333.3"/>
    <n v="0"/>
    <n v="0"/>
    <n v="0"/>
    <x v="0"/>
    <n v="19.82191780821918"/>
    <x v="3"/>
    <n v="1"/>
    <d v="2006-05-19T00:00:00"/>
  </r>
  <r>
    <x v="1"/>
    <n v="19008674"/>
    <x v="1"/>
    <d v="2026-03-11T00:00:00"/>
    <x v="1"/>
    <x v="0"/>
    <x v="5"/>
    <d v="2026-05-01T00:00:00"/>
    <n v="51"/>
    <n v="1.7"/>
    <n v="0"/>
    <n v="1"/>
    <n v="1"/>
    <x v="1"/>
    <n v="18.186301369863013"/>
    <x v="3"/>
    <n v="1"/>
    <d v="2008-01-07T00:00:00"/>
  </r>
  <r>
    <x v="1"/>
    <n v="19008681"/>
    <x v="1"/>
    <d v="2026-03-10T00:00:00"/>
    <x v="1"/>
    <x v="0"/>
    <x v="5"/>
    <m/>
    <n v="9999"/>
    <n v="333.3"/>
    <n v="0"/>
    <n v="0"/>
    <n v="0"/>
    <x v="0"/>
    <n v="18.104109589041094"/>
    <x v="3"/>
    <n v="1"/>
    <d v="2008-02-05T00:00:00"/>
  </r>
  <r>
    <x v="1"/>
    <n v="19008727"/>
    <x v="0"/>
    <d v="2026-03-11T00:00:00"/>
    <x v="1"/>
    <x v="0"/>
    <x v="5"/>
    <m/>
    <n v="9999"/>
    <n v="333.3"/>
    <n v="0"/>
    <n v="0"/>
    <n v="0"/>
    <x v="1"/>
    <n v="23.93972602739726"/>
    <x v="2"/>
    <n v="2"/>
    <d v="2002-04-08T00:00:00"/>
  </r>
  <r>
    <x v="1"/>
    <n v="19008737"/>
    <x v="0"/>
    <d v="2026-03-11T00:00:00"/>
    <x v="1"/>
    <x v="0"/>
    <x v="5"/>
    <m/>
    <n v="9999"/>
    <n v="333.3"/>
    <n v="0"/>
    <n v="0"/>
    <n v="0"/>
    <x v="1"/>
    <n v="20.183561643835617"/>
    <x v="3"/>
    <n v="1"/>
    <d v="2006-01-08T00:00:00"/>
  </r>
  <r>
    <x v="1"/>
    <n v="19008741"/>
    <x v="1"/>
    <d v="2026-03-11T00:00:00"/>
    <x v="1"/>
    <x v="0"/>
    <x v="5"/>
    <m/>
    <n v="9999"/>
    <n v="333.3"/>
    <n v="0"/>
    <n v="0"/>
    <n v="0"/>
    <x v="1"/>
    <n v="20.350684931506848"/>
    <x v="3"/>
    <n v="1"/>
    <d v="2005-11-08T00:00:00"/>
  </r>
  <r>
    <x v="1"/>
    <n v="19008742"/>
    <x v="0"/>
    <d v="2026-03-11T00:00:00"/>
    <x v="1"/>
    <x v="0"/>
    <x v="5"/>
    <d v="2026-03-31T00:00:00"/>
    <n v="20"/>
    <n v="0.66666666666666663"/>
    <n v="1"/>
    <n v="1"/>
    <n v="1"/>
    <x v="1"/>
    <n v="23.12054794520548"/>
    <x v="2"/>
    <n v="2"/>
    <d v="2003-02-01T00:00:00"/>
  </r>
  <r>
    <x v="1"/>
    <n v="19008744"/>
    <x v="0"/>
    <d v="2026-03-11T00:00:00"/>
    <x v="1"/>
    <x v="0"/>
    <x v="5"/>
    <m/>
    <n v="9999"/>
    <n v="333.3"/>
    <n v="0"/>
    <n v="0"/>
    <n v="0"/>
    <x v="1"/>
    <n v="21.479452054794521"/>
    <x v="2"/>
    <n v="2"/>
    <d v="2004-09-22T00:00:00"/>
  </r>
  <r>
    <x v="1"/>
    <n v="19008745"/>
    <x v="0"/>
    <d v="2026-03-11T00:00:00"/>
    <x v="1"/>
    <x v="0"/>
    <x v="5"/>
    <d v="2026-04-01T00:00:00"/>
    <n v="21"/>
    <n v="0.7"/>
    <n v="1"/>
    <n v="1"/>
    <n v="1"/>
    <x v="1"/>
    <n v="18.260273972602739"/>
    <x v="3"/>
    <n v="1"/>
    <d v="2007-12-11T00:00:00"/>
  </r>
  <r>
    <x v="1"/>
    <n v="19008746"/>
    <x v="0"/>
    <d v="2026-03-11T00:00:00"/>
    <x v="1"/>
    <x v="0"/>
    <x v="5"/>
    <d v="2026-04-19T00:00:00"/>
    <n v="39"/>
    <n v="1.3"/>
    <n v="0"/>
    <n v="1"/>
    <n v="1"/>
    <x v="1"/>
    <n v="18.372602739726027"/>
    <x v="3"/>
    <n v="1"/>
    <d v="2007-10-31T00:00:00"/>
  </r>
  <r>
    <x v="1"/>
    <n v="19008749"/>
    <x v="0"/>
    <d v="2026-03-11T00:00:00"/>
    <x v="1"/>
    <x v="0"/>
    <x v="5"/>
    <m/>
    <n v="9999"/>
    <n v="333.3"/>
    <n v="0"/>
    <n v="0"/>
    <n v="0"/>
    <x v="1"/>
    <n v="18.052054794520547"/>
    <x v="3"/>
    <n v="1"/>
    <d v="2008-02-25T00:00:00"/>
  </r>
  <r>
    <x v="1"/>
    <n v="19008752"/>
    <x v="0"/>
    <d v="2026-03-11T00:00:00"/>
    <x v="1"/>
    <x v="0"/>
    <x v="5"/>
    <m/>
    <n v="9999"/>
    <n v="333.3"/>
    <n v="0"/>
    <n v="0"/>
    <n v="0"/>
    <x v="1"/>
    <n v="19.712328767123289"/>
    <x v="3"/>
    <n v="1"/>
    <d v="2006-06-29T00:00:00"/>
  </r>
  <r>
    <x v="1"/>
    <n v="19008754"/>
    <x v="0"/>
    <d v="2026-03-11T00:00:00"/>
    <x v="1"/>
    <x v="0"/>
    <x v="5"/>
    <d v="2026-04-30T00:00:00"/>
    <n v="50"/>
    <n v="1.6666666666666667"/>
    <n v="0"/>
    <n v="1"/>
    <n v="1"/>
    <x v="1"/>
    <n v="21.613698630136987"/>
    <x v="2"/>
    <n v="2"/>
    <d v="2004-08-04T00:00:00"/>
  </r>
  <r>
    <x v="1"/>
    <n v="19008755"/>
    <x v="1"/>
    <d v="2026-03-11T00:00:00"/>
    <x v="1"/>
    <x v="0"/>
    <x v="5"/>
    <m/>
    <n v="9999"/>
    <n v="333.3"/>
    <n v="0"/>
    <n v="0"/>
    <n v="0"/>
    <x v="1"/>
    <n v="46.202739726027396"/>
    <x v="0"/>
    <n v="4"/>
    <d v="1980-01-08T00:00:00"/>
  </r>
  <r>
    <x v="1"/>
    <n v="19008764"/>
    <x v="0"/>
    <d v="2026-03-11T00:00:00"/>
    <x v="1"/>
    <x v="0"/>
    <x v="5"/>
    <m/>
    <n v="9999"/>
    <n v="333.3"/>
    <n v="0"/>
    <n v="0"/>
    <n v="0"/>
    <x v="1"/>
    <n v="28.887671232876713"/>
    <x v="1"/>
    <n v="3"/>
    <d v="1997-04-28T00:00:00"/>
  </r>
  <r>
    <x v="1"/>
    <n v="19008788"/>
    <x v="1"/>
    <d v="2026-03-11T00:00:00"/>
    <x v="1"/>
    <x v="0"/>
    <x v="5"/>
    <m/>
    <n v="9999"/>
    <n v="333.3"/>
    <n v="0"/>
    <n v="0"/>
    <n v="0"/>
    <x v="0"/>
    <n v="20.021917808219179"/>
    <x v="3"/>
    <n v="1"/>
    <d v="2006-03-08T00:00:00"/>
  </r>
  <r>
    <x v="1"/>
    <n v="19008790"/>
    <x v="0"/>
    <d v="2026-03-11T00:00:00"/>
    <x v="1"/>
    <x v="0"/>
    <x v="5"/>
    <d v="2026-05-04T00:00:00"/>
    <n v="54"/>
    <n v="1.8"/>
    <n v="0"/>
    <n v="1"/>
    <n v="1"/>
    <x v="1"/>
    <n v="20.739726027397261"/>
    <x v="3"/>
    <n v="1"/>
    <d v="2005-06-19T00:00:00"/>
  </r>
  <r>
    <x v="1"/>
    <n v="19008794"/>
    <x v="1"/>
    <d v="2026-03-11T00:00:00"/>
    <x v="1"/>
    <x v="0"/>
    <x v="5"/>
    <d v="2026-03-31T00:00:00"/>
    <n v="20"/>
    <n v="0.66666666666666663"/>
    <n v="1"/>
    <n v="1"/>
    <n v="1"/>
    <x v="1"/>
    <n v="22.350684931506848"/>
    <x v="2"/>
    <n v="2"/>
    <d v="2003-11-09T00:00:00"/>
  </r>
  <r>
    <x v="1"/>
    <n v="19008805"/>
    <x v="0"/>
    <d v="2026-03-11T00:00:00"/>
    <x v="1"/>
    <x v="0"/>
    <x v="5"/>
    <d v="2026-05-14T00:00:00"/>
    <n v="64"/>
    <n v="2.1333333333333333"/>
    <n v="0"/>
    <n v="1"/>
    <n v="1"/>
    <x v="0"/>
    <n v="29.213698630136985"/>
    <x v="1"/>
    <n v="3"/>
    <d v="1996-12-30T00:00:00"/>
  </r>
  <r>
    <x v="1"/>
    <n v="19008987"/>
    <x v="0"/>
    <d v="2026-03-12T00:00:00"/>
    <x v="1"/>
    <x v="0"/>
    <x v="5"/>
    <m/>
    <n v="9999"/>
    <n v="333.3"/>
    <n v="0"/>
    <n v="0"/>
    <n v="0"/>
    <x v="0"/>
    <n v="32.065753424657537"/>
    <x v="0"/>
    <n v="4"/>
    <d v="1994-02-24T00:00:00"/>
  </r>
  <r>
    <x v="1"/>
    <n v="19008989"/>
    <x v="1"/>
    <d v="2026-03-12T00:00:00"/>
    <x v="1"/>
    <x v="0"/>
    <x v="5"/>
    <m/>
    <n v="9999"/>
    <n v="333.3"/>
    <n v="0"/>
    <n v="0"/>
    <n v="0"/>
    <x v="1"/>
    <n v="18.931506849315067"/>
    <x v="3"/>
    <n v="1"/>
    <d v="2007-04-11T00:00:00"/>
  </r>
  <r>
    <x v="1"/>
    <n v="19009004"/>
    <x v="1"/>
    <d v="2026-03-12T00:00:00"/>
    <x v="1"/>
    <x v="0"/>
    <x v="5"/>
    <m/>
    <n v="9999"/>
    <n v="333.3"/>
    <n v="0"/>
    <n v="0"/>
    <n v="0"/>
    <x v="1"/>
    <n v="21.068493150684933"/>
    <x v="2"/>
    <n v="2"/>
    <d v="2005-02-20T00:00:00"/>
  </r>
  <r>
    <x v="1"/>
    <n v="19009082"/>
    <x v="0"/>
    <d v="2026-03-13T00:00:00"/>
    <x v="1"/>
    <x v="0"/>
    <x v="5"/>
    <m/>
    <n v="9999"/>
    <n v="333.3"/>
    <n v="0"/>
    <n v="0"/>
    <n v="0"/>
    <x v="0"/>
    <n v="21.838356164383562"/>
    <x v="2"/>
    <n v="2"/>
    <d v="2004-05-16T00:00:00"/>
  </r>
  <r>
    <x v="1"/>
    <n v="19009131"/>
    <x v="0"/>
    <d v="2026-03-13T00:00:00"/>
    <x v="1"/>
    <x v="0"/>
    <x v="5"/>
    <m/>
    <n v="9999"/>
    <n v="333.3"/>
    <n v="0"/>
    <n v="0"/>
    <n v="0"/>
    <x v="1"/>
    <n v="22.347945205479451"/>
    <x v="2"/>
    <n v="2"/>
    <d v="2003-11-12T00:00:00"/>
  </r>
  <r>
    <x v="1"/>
    <n v="19009138"/>
    <x v="1"/>
    <d v="2026-03-13T00:00:00"/>
    <x v="1"/>
    <x v="0"/>
    <x v="5"/>
    <d v="2026-04-16T00:00:00"/>
    <n v="34"/>
    <n v="1.1333333333333333"/>
    <n v="0"/>
    <n v="1"/>
    <n v="1"/>
    <x v="0"/>
    <n v="18.473972602739725"/>
    <x v="3"/>
    <n v="1"/>
    <d v="2007-09-26T00:00:00"/>
  </r>
  <r>
    <x v="1"/>
    <n v="19009157"/>
    <x v="0"/>
    <d v="2026-03-13T00:00:00"/>
    <x v="1"/>
    <x v="0"/>
    <x v="5"/>
    <d v="2026-03-16T00:00:00"/>
    <n v="3"/>
    <n v="0.1"/>
    <n v="1"/>
    <n v="1"/>
    <n v="1"/>
    <x v="1"/>
    <n v="22.342465753424658"/>
    <x v="2"/>
    <n v="2"/>
    <d v="2003-11-14T00:00:00"/>
  </r>
  <r>
    <x v="1"/>
    <n v="19009158"/>
    <x v="0"/>
    <d v="2026-03-13T00:00:00"/>
    <x v="1"/>
    <x v="0"/>
    <x v="5"/>
    <d v="2026-04-11T00:00:00"/>
    <n v="29"/>
    <n v="0.96666666666666667"/>
    <n v="1"/>
    <n v="1"/>
    <n v="1"/>
    <x v="1"/>
    <n v="18.495890410958904"/>
    <x v="3"/>
    <n v="1"/>
    <d v="2007-09-18T00:00:00"/>
  </r>
  <r>
    <x v="1"/>
    <n v="19009159"/>
    <x v="0"/>
    <d v="2026-03-13T00:00:00"/>
    <x v="1"/>
    <x v="0"/>
    <x v="5"/>
    <m/>
    <n v="9999"/>
    <n v="333.3"/>
    <n v="0"/>
    <n v="0"/>
    <n v="0"/>
    <x v="0"/>
    <n v="20.93972602739726"/>
    <x v="3"/>
    <n v="1"/>
    <d v="2005-04-09T00:00:00"/>
  </r>
  <r>
    <x v="1"/>
    <n v="19009160"/>
    <x v="0"/>
    <d v="2026-03-13T00:00:00"/>
    <x v="1"/>
    <x v="0"/>
    <x v="5"/>
    <m/>
    <n v="9999"/>
    <n v="333.3"/>
    <n v="0"/>
    <n v="0"/>
    <n v="0"/>
    <x v="1"/>
    <n v="23.75068493150685"/>
    <x v="2"/>
    <n v="2"/>
    <d v="2002-06-18T00:00:00"/>
  </r>
  <r>
    <x v="1"/>
    <n v="19009175"/>
    <x v="0"/>
    <d v="2026-03-13T00:00:00"/>
    <x v="1"/>
    <x v="0"/>
    <x v="5"/>
    <m/>
    <n v="9999"/>
    <n v="333.3"/>
    <n v="0"/>
    <n v="0"/>
    <n v="0"/>
    <x v="0"/>
    <n v="23.038356164383561"/>
    <x v="2"/>
    <n v="2"/>
    <d v="2003-03-05T00:00:00"/>
  </r>
  <r>
    <x v="1"/>
    <n v="19009177"/>
    <x v="1"/>
    <d v="2026-03-13T00:00:00"/>
    <x v="1"/>
    <x v="0"/>
    <x v="5"/>
    <m/>
    <n v="9999"/>
    <n v="333.3"/>
    <n v="0"/>
    <n v="0"/>
    <n v="0"/>
    <x v="0"/>
    <n v="20.112328767123287"/>
    <x v="3"/>
    <n v="1"/>
    <d v="2006-02-05T00:00:00"/>
  </r>
  <r>
    <x v="1"/>
    <n v="19009182"/>
    <x v="1"/>
    <d v="2026-03-13T00:00:00"/>
    <x v="1"/>
    <x v="0"/>
    <x v="5"/>
    <m/>
    <n v="9999"/>
    <n v="333.3"/>
    <n v="0"/>
    <n v="0"/>
    <n v="0"/>
    <x v="0"/>
    <n v="19.150684931506849"/>
    <x v="3"/>
    <n v="1"/>
    <d v="2007-01-22T00:00:00"/>
  </r>
  <r>
    <x v="1"/>
    <n v="19009184"/>
    <x v="0"/>
    <d v="2026-03-13T00:00:00"/>
    <x v="1"/>
    <x v="0"/>
    <x v="5"/>
    <m/>
    <n v="9999"/>
    <n v="333.3"/>
    <n v="0"/>
    <n v="0"/>
    <n v="0"/>
    <x v="0"/>
    <n v="21.276712328767122"/>
    <x v="2"/>
    <n v="2"/>
    <d v="2004-12-07T00:00:00"/>
  </r>
  <r>
    <x v="1"/>
    <n v="19009186"/>
    <x v="0"/>
    <d v="2026-03-13T00:00:00"/>
    <x v="1"/>
    <x v="0"/>
    <x v="5"/>
    <m/>
    <n v="9999"/>
    <n v="333.3"/>
    <n v="0"/>
    <n v="0"/>
    <n v="0"/>
    <x v="0"/>
    <n v="22.279452054794522"/>
    <x v="2"/>
    <n v="2"/>
    <d v="2003-12-07T00:00:00"/>
  </r>
  <r>
    <x v="1"/>
    <n v="19009188"/>
    <x v="0"/>
    <d v="2026-03-13T00:00:00"/>
    <x v="1"/>
    <x v="0"/>
    <x v="5"/>
    <d v="2026-03-14T00:00:00"/>
    <n v="1"/>
    <n v="3.3333333333333333E-2"/>
    <n v="1"/>
    <n v="1"/>
    <n v="1"/>
    <x v="0"/>
    <n v="22.339726027397262"/>
    <x v="2"/>
    <n v="2"/>
    <d v="2003-11-15T00:00:00"/>
  </r>
  <r>
    <x v="1"/>
    <n v="19009192"/>
    <x v="0"/>
    <d v="2026-03-13T00:00:00"/>
    <x v="1"/>
    <x v="0"/>
    <x v="5"/>
    <m/>
    <n v="9999"/>
    <n v="333.3"/>
    <n v="0"/>
    <n v="0"/>
    <n v="0"/>
    <x v="0"/>
    <n v="18.912328767123288"/>
    <x v="3"/>
    <n v="1"/>
    <d v="2007-04-19T00:00:00"/>
  </r>
  <r>
    <x v="1"/>
    <n v="19009216"/>
    <x v="0"/>
    <d v="2026-03-13T00:00:00"/>
    <x v="1"/>
    <x v="0"/>
    <x v="5"/>
    <m/>
    <n v="9999"/>
    <n v="333.3"/>
    <n v="0"/>
    <n v="0"/>
    <n v="0"/>
    <x v="0"/>
    <n v="22.490410958904111"/>
    <x v="2"/>
    <n v="2"/>
    <d v="2003-09-21T00:00:00"/>
  </r>
  <r>
    <x v="1"/>
    <n v="19009232"/>
    <x v="0"/>
    <d v="2026-03-13T00:00:00"/>
    <x v="1"/>
    <x v="0"/>
    <x v="5"/>
    <d v="2026-04-01T00:00:00"/>
    <n v="19"/>
    <n v="0.6333333333333333"/>
    <n v="1"/>
    <n v="1"/>
    <n v="1"/>
    <x v="0"/>
    <n v="28.241095890410961"/>
    <x v="1"/>
    <n v="3"/>
    <d v="1997-12-22T00:00:00"/>
  </r>
  <r>
    <x v="1"/>
    <n v="19009525"/>
    <x v="0"/>
    <d v="2026-03-16T00:00:00"/>
    <x v="1"/>
    <x v="0"/>
    <x v="5"/>
    <m/>
    <n v="9999"/>
    <n v="333.3"/>
    <n v="0"/>
    <n v="0"/>
    <n v="0"/>
    <x v="1"/>
    <n v="31.852054794520548"/>
    <x v="0"/>
    <n v="4"/>
    <d v="1994-05-17T00:00:00"/>
  </r>
  <r>
    <x v="1"/>
    <n v="19009531"/>
    <x v="0"/>
    <d v="2026-03-16T00:00:00"/>
    <x v="1"/>
    <x v="0"/>
    <x v="5"/>
    <m/>
    <n v="9999"/>
    <n v="333.3"/>
    <n v="0"/>
    <n v="0"/>
    <n v="0"/>
    <x v="1"/>
    <n v="19.531506849315068"/>
    <x v="3"/>
    <n v="1"/>
    <d v="2006-09-08T00:00:00"/>
  </r>
  <r>
    <x v="1"/>
    <n v="19009532"/>
    <x v="0"/>
    <d v="2026-03-16T00:00:00"/>
    <x v="1"/>
    <x v="0"/>
    <x v="5"/>
    <d v="2026-04-30T00:00:00"/>
    <n v="45"/>
    <n v="1.5"/>
    <n v="0"/>
    <n v="1"/>
    <n v="1"/>
    <x v="1"/>
    <n v="20.493150684931507"/>
    <x v="3"/>
    <n v="1"/>
    <d v="2005-09-22T00:00:00"/>
  </r>
  <r>
    <x v="1"/>
    <n v="19009534"/>
    <x v="0"/>
    <d v="2026-03-16T00:00:00"/>
    <x v="1"/>
    <x v="0"/>
    <x v="5"/>
    <d v="2026-05-31T00:00:00"/>
    <n v="76"/>
    <n v="2.5333333333333332"/>
    <n v="0"/>
    <n v="1"/>
    <n v="1"/>
    <x v="1"/>
    <n v="24.520547945205479"/>
    <x v="2"/>
    <n v="2"/>
    <d v="2001-09-13T00:00:00"/>
  </r>
  <r>
    <x v="1"/>
    <n v="19009535"/>
    <x v="0"/>
    <d v="2026-03-16T00:00:00"/>
    <x v="1"/>
    <x v="0"/>
    <x v="5"/>
    <d v="2026-04-12T00:00:00"/>
    <n v="27"/>
    <n v="0.9"/>
    <n v="1"/>
    <n v="1"/>
    <n v="1"/>
    <x v="1"/>
    <n v="20.802739726027397"/>
    <x v="3"/>
    <n v="1"/>
    <d v="2005-06-01T00:00:00"/>
  </r>
  <r>
    <x v="1"/>
    <n v="19009542"/>
    <x v="1"/>
    <d v="2026-03-16T00:00:00"/>
    <x v="1"/>
    <x v="0"/>
    <x v="5"/>
    <m/>
    <n v="9999"/>
    <n v="333.3"/>
    <n v="0"/>
    <n v="0"/>
    <n v="0"/>
    <x v="1"/>
    <n v="21.649315068493152"/>
    <x v="2"/>
    <n v="2"/>
    <d v="2004-07-27T00:00:00"/>
  </r>
  <r>
    <x v="1"/>
    <n v="19009544"/>
    <x v="0"/>
    <d v="2026-03-16T00:00:00"/>
    <x v="1"/>
    <x v="0"/>
    <x v="5"/>
    <m/>
    <n v="9999"/>
    <n v="333.3"/>
    <n v="0"/>
    <n v="0"/>
    <n v="0"/>
    <x v="0"/>
    <n v="23.260273972602739"/>
    <x v="2"/>
    <n v="2"/>
    <d v="2002-12-17T00:00:00"/>
  </r>
  <r>
    <x v="1"/>
    <n v="19009545"/>
    <x v="0"/>
    <d v="2026-03-16T00:00:00"/>
    <x v="1"/>
    <x v="0"/>
    <x v="5"/>
    <d v="2026-04-15T00:00:00"/>
    <n v="30"/>
    <n v="1"/>
    <n v="1"/>
    <n v="1"/>
    <n v="1"/>
    <x v="0"/>
    <n v="20.019178082191782"/>
    <x v="3"/>
    <n v="1"/>
    <d v="2006-03-14T00:00:00"/>
  </r>
  <r>
    <x v="1"/>
    <n v="19009603"/>
    <x v="0"/>
    <d v="2026-03-16T00:00:00"/>
    <x v="1"/>
    <x v="0"/>
    <x v="5"/>
    <m/>
    <n v="9999"/>
    <n v="333.3"/>
    <n v="0"/>
    <n v="0"/>
    <n v="0"/>
    <x v="1"/>
    <n v="18.854794520547944"/>
    <x v="3"/>
    <n v="1"/>
    <d v="2007-05-13T00:00:00"/>
  </r>
  <r>
    <x v="1"/>
    <n v="19009615"/>
    <x v="0"/>
    <d v="2026-03-16T00:00:00"/>
    <x v="1"/>
    <x v="0"/>
    <x v="5"/>
    <d v="2026-04-14T00:00:00"/>
    <n v="29"/>
    <n v="0.96666666666666667"/>
    <n v="1"/>
    <n v="1"/>
    <n v="1"/>
    <x v="1"/>
    <n v="23.783561643835615"/>
    <x v="2"/>
    <n v="2"/>
    <d v="2002-06-09T00:00:00"/>
  </r>
  <r>
    <x v="1"/>
    <n v="19009920"/>
    <x v="1"/>
    <d v="2026-03-17T00:00:00"/>
    <x v="1"/>
    <x v="0"/>
    <x v="5"/>
    <m/>
    <n v="9999"/>
    <n v="333.3"/>
    <n v="0"/>
    <n v="0"/>
    <n v="0"/>
    <x v="0"/>
    <n v="18.720547945205478"/>
    <x v="3"/>
    <n v="1"/>
    <d v="2007-07-02T00:00:00"/>
  </r>
  <r>
    <x v="1"/>
    <n v="19009923"/>
    <x v="1"/>
    <d v="2026-03-17T00:00:00"/>
    <x v="1"/>
    <x v="0"/>
    <x v="5"/>
    <d v="2026-04-30T00:00:00"/>
    <n v="44"/>
    <n v="1.4666666666666666"/>
    <n v="0"/>
    <n v="1"/>
    <n v="1"/>
    <x v="1"/>
    <n v="20.246575342465754"/>
    <x v="3"/>
    <n v="1"/>
    <d v="2005-12-22T00:00:00"/>
  </r>
  <r>
    <x v="1"/>
    <n v="19009931"/>
    <x v="0"/>
    <d v="2026-03-17T00:00:00"/>
    <x v="1"/>
    <x v="0"/>
    <x v="5"/>
    <d v="2026-06-01T00:00:00"/>
    <n v="76"/>
    <n v="2.5333333333333332"/>
    <n v="0"/>
    <n v="1"/>
    <n v="1"/>
    <x v="1"/>
    <n v="18.550684931506851"/>
    <x v="3"/>
    <n v="1"/>
    <d v="2007-09-02T00:00:00"/>
  </r>
  <r>
    <x v="1"/>
    <n v="19009970"/>
    <x v="0"/>
    <d v="2026-03-17T00:00:00"/>
    <x v="1"/>
    <x v="0"/>
    <x v="5"/>
    <m/>
    <n v="9999"/>
    <n v="333.3"/>
    <n v="0"/>
    <n v="0"/>
    <n v="0"/>
    <x v="0"/>
    <n v="22.123287671232877"/>
    <x v="2"/>
    <n v="2"/>
    <d v="2004-02-06T00:00:00"/>
  </r>
  <r>
    <x v="1"/>
    <n v="19009981"/>
    <x v="1"/>
    <d v="2026-03-17T00:00:00"/>
    <x v="1"/>
    <x v="0"/>
    <x v="5"/>
    <d v="2026-05-01T00:00:00"/>
    <n v="45"/>
    <n v="1.5"/>
    <n v="0"/>
    <n v="1"/>
    <n v="1"/>
    <x v="0"/>
    <n v="18.4986301369863"/>
    <x v="3"/>
    <n v="1"/>
    <d v="2007-09-21T00:00:00"/>
  </r>
  <r>
    <x v="1"/>
    <n v="19010049"/>
    <x v="1"/>
    <d v="2026-03-17T00:00:00"/>
    <x v="1"/>
    <x v="0"/>
    <x v="5"/>
    <m/>
    <n v="9999"/>
    <n v="333.3"/>
    <n v="0"/>
    <n v="0"/>
    <n v="0"/>
    <x v="0"/>
    <n v="22.17808219178082"/>
    <x v="2"/>
    <n v="2"/>
    <d v="2004-01-17T00:00:00"/>
  </r>
  <r>
    <x v="0"/>
    <n v="19010050"/>
    <x v="0"/>
    <d v="2026-03-17T00:00:00"/>
    <x v="1"/>
    <x v="0"/>
    <x v="5"/>
    <m/>
    <n v="9999"/>
    <n v="333.3"/>
    <n v="0"/>
    <n v="0"/>
    <n v="0"/>
    <x v="0"/>
    <n v="26.290410958904111"/>
    <x v="1"/>
    <n v="3"/>
    <d v="1999-12-08T00:00:00"/>
  </r>
  <r>
    <x v="1"/>
    <n v="19010102"/>
    <x v="0"/>
    <d v="2026-03-17T00:00:00"/>
    <x v="1"/>
    <x v="0"/>
    <x v="5"/>
    <d v="2026-05-04T00:00:00"/>
    <n v="48"/>
    <n v="1.6"/>
    <n v="0"/>
    <n v="1"/>
    <n v="1"/>
    <x v="0"/>
    <n v="19.61917808219178"/>
    <x v="3"/>
    <n v="1"/>
    <d v="2006-08-08T00:00:00"/>
  </r>
  <r>
    <x v="1"/>
    <n v="19010271"/>
    <x v="1"/>
    <d v="2026-03-18T00:00:00"/>
    <x v="1"/>
    <x v="0"/>
    <x v="5"/>
    <d v="2026-05-31T00:00:00"/>
    <n v="74"/>
    <n v="2.4666666666666668"/>
    <n v="0"/>
    <n v="1"/>
    <n v="1"/>
    <x v="1"/>
    <n v="20.969863013698632"/>
    <x v="3"/>
    <n v="1"/>
    <d v="2005-04-03T00:00:00"/>
  </r>
  <r>
    <x v="1"/>
    <n v="19010274"/>
    <x v="0"/>
    <d v="2026-03-17T00:00:00"/>
    <x v="1"/>
    <x v="0"/>
    <x v="5"/>
    <m/>
    <n v="9999"/>
    <n v="333.3"/>
    <n v="0"/>
    <n v="0"/>
    <n v="0"/>
    <x v="0"/>
    <n v="19.13150684931507"/>
    <x v="3"/>
    <n v="1"/>
    <d v="2007-02-02T00:00:00"/>
  </r>
  <r>
    <x v="1"/>
    <n v="19010317"/>
    <x v="0"/>
    <d v="2026-03-18T00:00:00"/>
    <x v="1"/>
    <x v="0"/>
    <x v="5"/>
    <d v="2026-05-31T00:00:00"/>
    <n v="74"/>
    <n v="2.4666666666666668"/>
    <n v="0"/>
    <n v="1"/>
    <n v="1"/>
    <x v="1"/>
    <n v="22.835616438356166"/>
    <x v="2"/>
    <n v="2"/>
    <d v="2003-05-23T00:00:00"/>
  </r>
  <r>
    <x v="1"/>
    <n v="19010318"/>
    <x v="0"/>
    <d v="2026-03-18T00:00:00"/>
    <x v="1"/>
    <x v="0"/>
    <x v="5"/>
    <m/>
    <n v="9999"/>
    <n v="333.3"/>
    <n v="0"/>
    <n v="0"/>
    <n v="0"/>
    <x v="1"/>
    <n v="22.512328767123286"/>
    <x v="2"/>
    <n v="2"/>
    <d v="2003-09-18T00:00:00"/>
  </r>
  <r>
    <x v="1"/>
    <n v="19010319"/>
    <x v="0"/>
    <d v="2026-03-18T00:00:00"/>
    <x v="1"/>
    <x v="0"/>
    <x v="5"/>
    <m/>
    <n v="9999"/>
    <n v="333.3"/>
    <n v="0"/>
    <n v="0"/>
    <n v="0"/>
    <x v="1"/>
    <n v="35.161643835616438"/>
    <x v="0"/>
    <n v="4"/>
    <d v="1991-01-27T00:00:00"/>
  </r>
  <r>
    <x v="1"/>
    <n v="19010333"/>
    <x v="0"/>
    <d v="2026-03-18T00:00:00"/>
    <x v="1"/>
    <x v="0"/>
    <x v="5"/>
    <m/>
    <n v="9999"/>
    <n v="333.3"/>
    <n v="0"/>
    <n v="0"/>
    <n v="0"/>
    <x v="1"/>
    <n v="20.052054794520547"/>
    <x v="3"/>
    <n v="1"/>
    <d v="2006-03-04T00:00:00"/>
  </r>
  <r>
    <x v="1"/>
    <n v="19010335"/>
    <x v="0"/>
    <d v="2026-03-18T00:00:00"/>
    <x v="1"/>
    <x v="0"/>
    <x v="5"/>
    <m/>
    <n v="9999"/>
    <n v="333.3"/>
    <n v="0"/>
    <n v="0"/>
    <n v="0"/>
    <x v="1"/>
    <n v="19.657534246575342"/>
    <x v="3"/>
    <n v="1"/>
    <d v="2006-07-26T00:00:00"/>
  </r>
  <r>
    <x v="1"/>
    <n v="19010338"/>
    <x v="0"/>
    <d v="2026-03-18T00:00:00"/>
    <x v="1"/>
    <x v="0"/>
    <x v="5"/>
    <m/>
    <n v="9999"/>
    <n v="333.3"/>
    <n v="0"/>
    <n v="0"/>
    <n v="0"/>
    <x v="1"/>
    <n v="23.591780821917808"/>
    <x v="2"/>
    <n v="2"/>
    <d v="2002-08-20T00:00:00"/>
  </r>
  <r>
    <x v="0"/>
    <n v="19010361"/>
    <x v="0"/>
    <d v="2026-03-18T00:00:00"/>
    <x v="1"/>
    <x v="0"/>
    <x v="5"/>
    <m/>
    <n v="9999"/>
    <n v="333.3"/>
    <n v="0"/>
    <n v="0"/>
    <n v="0"/>
    <x v="1"/>
    <n v="32.356164383561641"/>
    <x v="0"/>
    <n v="4"/>
    <d v="1993-11-16T00:00:00"/>
  </r>
  <r>
    <x v="1"/>
    <n v="19010387"/>
    <x v="0"/>
    <d v="2026-03-18T00:00:00"/>
    <x v="1"/>
    <x v="0"/>
    <x v="5"/>
    <d v="2026-04-30T00:00:00"/>
    <n v="43"/>
    <n v="1.4333333333333333"/>
    <n v="0"/>
    <n v="1"/>
    <n v="1"/>
    <x v="1"/>
    <n v="20.517808219178082"/>
    <x v="3"/>
    <n v="1"/>
    <d v="2005-09-15T00:00:00"/>
  </r>
  <r>
    <x v="1"/>
    <n v="19010388"/>
    <x v="0"/>
    <d v="2026-03-18T00:00:00"/>
    <x v="1"/>
    <x v="0"/>
    <x v="5"/>
    <m/>
    <n v="9999"/>
    <n v="333.3"/>
    <n v="0"/>
    <n v="0"/>
    <n v="0"/>
    <x v="1"/>
    <n v="18.402739726027399"/>
    <x v="3"/>
    <n v="1"/>
    <d v="2007-10-27T00:00:00"/>
  </r>
  <r>
    <x v="0"/>
    <n v="19010389"/>
    <x v="1"/>
    <d v="2026-03-18T00:00:00"/>
    <x v="1"/>
    <x v="0"/>
    <x v="5"/>
    <m/>
    <n v="9999"/>
    <n v="333.3"/>
    <n v="0"/>
    <n v="0"/>
    <n v="0"/>
    <x v="1"/>
    <n v="33.764383561643832"/>
    <x v="0"/>
    <n v="4"/>
    <d v="1992-06-20T00:00:00"/>
  </r>
  <r>
    <x v="1"/>
    <n v="19010502"/>
    <x v="1"/>
    <d v="2026-03-18T00:00:00"/>
    <x v="1"/>
    <x v="0"/>
    <x v="5"/>
    <d v="2026-05-31T00:00:00"/>
    <n v="74"/>
    <n v="2.4666666666666668"/>
    <n v="0"/>
    <n v="1"/>
    <n v="1"/>
    <x v="1"/>
    <n v="18.693150684931506"/>
    <x v="3"/>
    <n v="1"/>
    <d v="2007-07-13T00:00:00"/>
  </r>
  <r>
    <x v="1"/>
    <n v="19010511"/>
    <x v="0"/>
    <d v="2026-03-18T00:00:00"/>
    <x v="1"/>
    <x v="0"/>
    <x v="5"/>
    <m/>
    <n v="9999"/>
    <n v="333.3"/>
    <n v="0"/>
    <n v="0"/>
    <n v="0"/>
    <x v="1"/>
    <n v="22.526027397260275"/>
    <x v="2"/>
    <n v="2"/>
    <d v="2003-09-13T00:00:00"/>
  </r>
  <r>
    <x v="1"/>
    <n v="19010512"/>
    <x v="0"/>
    <d v="2026-03-18T00:00:00"/>
    <x v="1"/>
    <x v="0"/>
    <x v="5"/>
    <m/>
    <n v="9999"/>
    <n v="333.3"/>
    <n v="0"/>
    <n v="0"/>
    <n v="0"/>
    <x v="1"/>
    <n v="21.038356164383561"/>
    <x v="2"/>
    <n v="2"/>
    <d v="2005-03-09T00:00:00"/>
  </r>
  <r>
    <x v="1"/>
    <n v="19010586"/>
    <x v="0"/>
    <d v="2026-03-18T00:00:00"/>
    <x v="1"/>
    <x v="0"/>
    <x v="5"/>
    <m/>
    <n v="9999"/>
    <n v="333.3"/>
    <n v="0"/>
    <n v="0"/>
    <n v="0"/>
    <x v="0"/>
    <n v="31.06027397260274"/>
    <x v="0"/>
    <n v="4"/>
    <d v="1995-03-04T00:00:00"/>
  </r>
  <r>
    <x v="1"/>
    <n v="19010609"/>
    <x v="0"/>
    <d v="2026-03-19T00:00:00"/>
    <x v="1"/>
    <x v="0"/>
    <x v="5"/>
    <m/>
    <n v="9999"/>
    <n v="333.3"/>
    <n v="0"/>
    <n v="0"/>
    <n v="0"/>
    <x v="1"/>
    <n v="18.378082191780823"/>
    <x v="3"/>
    <n v="1"/>
    <d v="2007-11-06T00:00:00"/>
  </r>
  <r>
    <x v="1"/>
    <n v="19010610"/>
    <x v="0"/>
    <d v="2026-03-19T00:00:00"/>
    <x v="1"/>
    <x v="0"/>
    <x v="5"/>
    <m/>
    <n v="9999"/>
    <n v="333.3"/>
    <n v="0"/>
    <n v="0"/>
    <n v="0"/>
    <x v="0"/>
    <n v="21.906849315068492"/>
    <x v="2"/>
    <n v="2"/>
    <d v="2004-04-27T00:00:00"/>
  </r>
  <r>
    <x v="1"/>
    <n v="19010614"/>
    <x v="0"/>
    <d v="2026-03-19T00:00:00"/>
    <x v="1"/>
    <x v="0"/>
    <x v="5"/>
    <m/>
    <n v="9999"/>
    <n v="333.3"/>
    <n v="0"/>
    <n v="0"/>
    <n v="0"/>
    <x v="0"/>
    <n v="23.726027397260275"/>
    <x v="2"/>
    <n v="2"/>
    <d v="2002-07-03T00:00:00"/>
  </r>
  <r>
    <x v="1"/>
    <n v="19010621"/>
    <x v="0"/>
    <d v="2026-03-19T00:00:00"/>
    <x v="1"/>
    <x v="0"/>
    <x v="5"/>
    <d v="2026-04-30T00:00:00"/>
    <n v="42"/>
    <n v="1.4"/>
    <n v="0"/>
    <n v="1"/>
    <n v="1"/>
    <x v="0"/>
    <n v="20.539726027397261"/>
    <x v="3"/>
    <n v="1"/>
    <d v="2005-09-08T00:00:00"/>
  </r>
  <r>
    <x v="1"/>
    <n v="19010648"/>
    <x v="0"/>
    <d v="2026-03-19T00:00:00"/>
    <x v="1"/>
    <x v="0"/>
    <x v="5"/>
    <d v="2026-04-01T00:00:00"/>
    <n v="13"/>
    <n v="0.43333333333333335"/>
    <n v="1"/>
    <n v="1"/>
    <n v="1"/>
    <x v="0"/>
    <n v="23.794520547945204"/>
    <x v="2"/>
    <n v="2"/>
    <d v="2002-06-08T00:00:00"/>
  </r>
  <r>
    <x v="1"/>
    <n v="19010700"/>
    <x v="0"/>
    <d v="2026-03-19T00:00:00"/>
    <x v="1"/>
    <x v="0"/>
    <x v="5"/>
    <d v="2026-04-01T00:00:00"/>
    <n v="13"/>
    <n v="0.43333333333333335"/>
    <n v="1"/>
    <n v="1"/>
    <n v="1"/>
    <x v="1"/>
    <n v="29.230136986301371"/>
    <x v="1"/>
    <n v="3"/>
    <d v="1997-01-01T00:00:00"/>
  </r>
  <r>
    <x v="1"/>
    <n v="19010819"/>
    <x v="0"/>
    <d v="2026-05-29T00:00:00"/>
    <x v="1"/>
    <x v="1"/>
    <x v="1"/>
    <m/>
    <n v="9999"/>
    <n v="333.3"/>
    <n v="0"/>
    <n v="0"/>
    <n v="0"/>
    <x v="1"/>
    <n v="19.643835616438356"/>
    <x v="3"/>
    <n v="1"/>
    <d v="2006-10-11T00:00:00"/>
  </r>
  <r>
    <x v="1"/>
    <n v="19010892"/>
    <x v="0"/>
    <d v="2026-03-20T00:00:00"/>
    <x v="1"/>
    <x v="0"/>
    <x v="5"/>
    <m/>
    <n v="9999"/>
    <n v="333.3"/>
    <n v="0"/>
    <n v="0"/>
    <n v="0"/>
    <x v="0"/>
    <n v="19.021917808219179"/>
    <x v="3"/>
    <n v="1"/>
    <d v="2007-03-17T00:00:00"/>
  </r>
  <r>
    <x v="0"/>
    <n v="19010894"/>
    <x v="0"/>
    <d v="2026-03-20T00:00:00"/>
    <x v="1"/>
    <x v="0"/>
    <x v="5"/>
    <d v="2026-05-01T00:00:00"/>
    <n v="42"/>
    <n v="1.4"/>
    <n v="0"/>
    <n v="1"/>
    <n v="1"/>
    <x v="1"/>
    <n v="38.747945205479454"/>
    <x v="0"/>
    <n v="4"/>
    <d v="1987-06-30T00:00:00"/>
  </r>
  <r>
    <x v="0"/>
    <n v="19011013"/>
    <x v="0"/>
    <d v="2026-03-20T00:00:00"/>
    <x v="1"/>
    <x v="0"/>
    <x v="5"/>
    <m/>
    <n v="9999"/>
    <n v="333.3"/>
    <n v="0"/>
    <n v="0"/>
    <n v="0"/>
    <x v="1"/>
    <n v="23.161643835616438"/>
    <x v="2"/>
    <n v="2"/>
    <d v="2003-01-26T00:00:00"/>
  </r>
  <r>
    <x v="1"/>
    <n v="19011018"/>
    <x v="0"/>
    <d v="2026-03-20T00:00:00"/>
    <x v="1"/>
    <x v="0"/>
    <x v="5"/>
    <m/>
    <n v="9999"/>
    <n v="333.3"/>
    <n v="0"/>
    <n v="0"/>
    <n v="0"/>
    <x v="0"/>
    <n v="20.736986301369864"/>
    <x v="3"/>
    <n v="1"/>
    <d v="2005-06-29T00:00:00"/>
  </r>
  <r>
    <x v="1"/>
    <n v="19011109"/>
    <x v="0"/>
    <d v="2026-03-19T00:00:00"/>
    <x v="1"/>
    <x v="0"/>
    <x v="5"/>
    <m/>
    <n v="9999"/>
    <n v="333.3"/>
    <n v="0"/>
    <n v="0"/>
    <n v="0"/>
    <x v="1"/>
    <n v="22.860273972602741"/>
    <x v="2"/>
    <n v="2"/>
    <d v="2003-05-15T00:00:00"/>
  </r>
  <r>
    <x v="1"/>
    <n v="19011198"/>
    <x v="0"/>
    <d v="2026-03-20T00:00:00"/>
    <x v="1"/>
    <x v="0"/>
    <x v="5"/>
    <m/>
    <n v="9999"/>
    <n v="333.3"/>
    <n v="0"/>
    <n v="0"/>
    <n v="0"/>
    <x v="0"/>
    <n v="24.920547945205481"/>
    <x v="2"/>
    <n v="2"/>
    <d v="2001-04-24T00:00:00"/>
  </r>
  <r>
    <x v="1"/>
    <n v="19011357"/>
    <x v="0"/>
    <d v="2026-03-23T00:00:00"/>
    <x v="1"/>
    <x v="0"/>
    <x v="5"/>
    <d v="2026-04-13T00:00:00"/>
    <n v="21"/>
    <n v="0.7"/>
    <n v="1"/>
    <n v="1"/>
    <n v="1"/>
    <x v="1"/>
    <n v="21.326027397260273"/>
    <x v="2"/>
    <n v="2"/>
    <d v="2004-11-29T00:00:00"/>
  </r>
  <r>
    <x v="1"/>
    <n v="19011359"/>
    <x v="1"/>
    <d v="2026-03-23T00:00:00"/>
    <x v="1"/>
    <x v="0"/>
    <x v="5"/>
    <d v="2026-04-01T00:00:00"/>
    <n v="9"/>
    <n v="0.3"/>
    <n v="1"/>
    <n v="1"/>
    <n v="1"/>
    <x v="1"/>
    <n v="21.260273972602739"/>
    <x v="2"/>
    <n v="2"/>
    <d v="2004-12-23T00:00:00"/>
  </r>
  <r>
    <x v="1"/>
    <n v="19011360"/>
    <x v="0"/>
    <d v="2026-03-23T00:00:00"/>
    <x v="1"/>
    <x v="0"/>
    <x v="5"/>
    <m/>
    <n v="9999"/>
    <n v="333.3"/>
    <n v="0"/>
    <n v="0"/>
    <n v="0"/>
    <x v="1"/>
    <n v="23.306849315068494"/>
    <x v="2"/>
    <n v="2"/>
    <d v="2002-12-07T00:00:00"/>
  </r>
  <r>
    <x v="1"/>
    <n v="19011373"/>
    <x v="0"/>
    <d v="2026-03-23T00:00:00"/>
    <x v="1"/>
    <x v="0"/>
    <x v="5"/>
    <m/>
    <n v="9999"/>
    <n v="333.3"/>
    <n v="0"/>
    <n v="0"/>
    <n v="0"/>
    <x v="1"/>
    <n v="21.358904109589041"/>
    <x v="2"/>
    <n v="2"/>
    <d v="2004-11-17T00:00:00"/>
  </r>
  <r>
    <x v="1"/>
    <n v="19011378"/>
    <x v="0"/>
    <d v="2026-03-23T00:00:00"/>
    <x v="1"/>
    <x v="0"/>
    <x v="5"/>
    <d v="2026-05-31T00:00:00"/>
    <n v="69"/>
    <n v="2.2999999999999998"/>
    <n v="0"/>
    <n v="1"/>
    <n v="1"/>
    <x v="1"/>
    <n v="20.427397260273974"/>
    <x v="3"/>
    <n v="1"/>
    <d v="2005-10-23T00:00:00"/>
  </r>
  <r>
    <x v="1"/>
    <n v="19011379"/>
    <x v="0"/>
    <d v="2026-03-23T00:00:00"/>
    <x v="1"/>
    <x v="0"/>
    <x v="5"/>
    <d v="2026-04-10T00:00:00"/>
    <n v="18"/>
    <n v="0.6"/>
    <n v="1"/>
    <n v="1"/>
    <n v="1"/>
    <x v="1"/>
    <n v="24.753424657534246"/>
    <x v="2"/>
    <n v="2"/>
    <d v="2001-06-27T00:00:00"/>
  </r>
  <r>
    <x v="1"/>
    <n v="19011387"/>
    <x v="0"/>
    <d v="2026-03-23T00:00:00"/>
    <x v="1"/>
    <x v="0"/>
    <x v="5"/>
    <d v="2026-05-16T00:00:00"/>
    <n v="54"/>
    <n v="1.8"/>
    <n v="0"/>
    <n v="1"/>
    <n v="1"/>
    <x v="1"/>
    <n v="21.964383561643835"/>
    <x v="2"/>
    <n v="2"/>
    <d v="2004-04-10T00:00:00"/>
  </r>
  <r>
    <x v="1"/>
    <n v="19011404"/>
    <x v="0"/>
    <d v="2026-03-23T00:00:00"/>
    <x v="1"/>
    <x v="0"/>
    <x v="5"/>
    <d v="2026-04-30T00:00:00"/>
    <n v="38"/>
    <n v="1.2666666666666666"/>
    <n v="0"/>
    <n v="1"/>
    <n v="1"/>
    <x v="1"/>
    <n v="21.93972602739726"/>
    <x v="2"/>
    <n v="2"/>
    <d v="2004-04-19T00:00:00"/>
  </r>
  <r>
    <x v="0"/>
    <n v="19011424"/>
    <x v="1"/>
    <d v="2026-03-23T00:00:00"/>
    <x v="1"/>
    <x v="0"/>
    <x v="5"/>
    <m/>
    <n v="9999"/>
    <n v="333.3"/>
    <n v="0"/>
    <n v="0"/>
    <n v="0"/>
    <x v="1"/>
    <n v="24.493150684931507"/>
    <x v="2"/>
    <n v="2"/>
    <d v="2001-09-30T00:00:00"/>
  </r>
  <r>
    <x v="1"/>
    <n v="19011433"/>
    <x v="0"/>
    <d v="2026-03-23T00:00:00"/>
    <x v="1"/>
    <x v="0"/>
    <x v="5"/>
    <m/>
    <n v="9999"/>
    <n v="333.3"/>
    <n v="0"/>
    <n v="0"/>
    <n v="0"/>
    <x v="1"/>
    <n v="20.668493150684931"/>
    <x v="3"/>
    <n v="1"/>
    <d v="2005-07-27T00:00:00"/>
  </r>
  <r>
    <x v="1"/>
    <n v="19011453"/>
    <x v="1"/>
    <d v="2026-03-23T00:00:00"/>
    <x v="1"/>
    <x v="0"/>
    <x v="5"/>
    <m/>
    <n v="9999"/>
    <n v="333.3"/>
    <n v="0"/>
    <n v="0"/>
    <n v="0"/>
    <x v="0"/>
    <n v="18.610958904109587"/>
    <x v="3"/>
    <n v="1"/>
    <d v="2007-08-17T00:00:00"/>
  </r>
  <r>
    <x v="1"/>
    <n v="19011562"/>
    <x v="0"/>
    <d v="2026-03-23T00:00:00"/>
    <x v="1"/>
    <x v="0"/>
    <x v="5"/>
    <m/>
    <n v="9999"/>
    <n v="333.3"/>
    <n v="0"/>
    <n v="0"/>
    <n v="0"/>
    <x v="1"/>
    <n v="18.383561643835616"/>
    <x v="3"/>
    <n v="1"/>
    <d v="2007-11-08T00:00:00"/>
  </r>
  <r>
    <x v="1"/>
    <n v="19011563"/>
    <x v="1"/>
    <d v="2026-03-23T00:00:00"/>
    <x v="1"/>
    <x v="0"/>
    <x v="5"/>
    <m/>
    <n v="9999"/>
    <n v="333.3"/>
    <n v="0"/>
    <n v="0"/>
    <n v="0"/>
    <x v="1"/>
    <n v="18.824657534246576"/>
    <x v="3"/>
    <n v="1"/>
    <d v="2007-05-31T00:00:00"/>
  </r>
  <r>
    <x v="1"/>
    <n v="19011770"/>
    <x v="0"/>
    <d v="2026-03-24T00:00:00"/>
    <x v="1"/>
    <x v="0"/>
    <x v="5"/>
    <d v="2026-04-01T00:00:00"/>
    <n v="8"/>
    <n v="0.26666666666666666"/>
    <n v="1"/>
    <n v="1"/>
    <n v="1"/>
    <x v="0"/>
    <n v="26.186301369863013"/>
    <x v="1"/>
    <n v="3"/>
    <d v="2000-01-22T00:00:00"/>
  </r>
  <r>
    <x v="1"/>
    <n v="19011825"/>
    <x v="0"/>
    <d v="2026-03-24T00:00:00"/>
    <x v="1"/>
    <x v="0"/>
    <x v="5"/>
    <m/>
    <n v="9999"/>
    <n v="333.3"/>
    <n v="0"/>
    <n v="0"/>
    <n v="0"/>
    <x v="1"/>
    <n v="19.350684931506848"/>
    <x v="3"/>
    <n v="1"/>
    <d v="2006-11-21T00:00:00"/>
  </r>
  <r>
    <x v="1"/>
    <n v="19011844"/>
    <x v="0"/>
    <d v="2026-03-24T00:00:00"/>
    <x v="1"/>
    <x v="0"/>
    <x v="5"/>
    <m/>
    <n v="9999"/>
    <n v="333.3"/>
    <n v="0"/>
    <n v="0"/>
    <n v="0"/>
    <x v="0"/>
    <n v="20.479452054794521"/>
    <x v="3"/>
    <n v="1"/>
    <d v="2005-10-05T00:00:00"/>
  </r>
  <r>
    <x v="1"/>
    <n v="19012072"/>
    <x v="1"/>
    <d v="2026-03-25T00:00:00"/>
    <x v="1"/>
    <x v="0"/>
    <x v="5"/>
    <m/>
    <n v="9999"/>
    <n v="333.3"/>
    <n v="0"/>
    <n v="0"/>
    <n v="0"/>
    <x v="1"/>
    <n v="24.945205479452056"/>
    <x v="2"/>
    <n v="2"/>
    <d v="2001-04-20T00:00:00"/>
  </r>
  <r>
    <x v="1"/>
    <n v="19012074"/>
    <x v="0"/>
    <d v="2026-03-25T00:00:00"/>
    <x v="1"/>
    <x v="0"/>
    <x v="5"/>
    <m/>
    <n v="9999"/>
    <n v="333.3"/>
    <n v="0"/>
    <n v="0"/>
    <n v="0"/>
    <x v="1"/>
    <n v="18.049315068493151"/>
    <x v="3"/>
    <n v="1"/>
    <d v="2008-03-11T00:00:00"/>
  </r>
  <r>
    <x v="0"/>
    <n v="19012076"/>
    <x v="1"/>
    <d v="2026-03-25T00:00:00"/>
    <x v="1"/>
    <x v="0"/>
    <x v="5"/>
    <m/>
    <n v="9999"/>
    <n v="333.3"/>
    <n v="0"/>
    <n v="0"/>
    <n v="0"/>
    <x v="1"/>
    <n v="32.238356164383561"/>
    <x v="0"/>
    <n v="4"/>
    <d v="1994-01-05T00:00:00"/>
  </r>
  <r>
    <x v="1"/>
    <n v="19012108"/>
    <x v="0"/>
    <d v="2026-03-25T00:00:00"/>
    <x v="1"/>
    <x v="0"/>
    <x v="5"/>
    <d v="2026-04-02T00:00:00"/>
    <n v="8"/>
    <n v="0.26666666666666666"/>
    <n v="1"/>
    <n v="1"/>
    <n v="1"/>
    <x v="0"/>
    <n v="23.734246575342464"/>
    <x v="2"/>
    <n v="2"/>
    <d v="2002-07-06T00:00:00"/>
  </r>
  <r>
    <x v="1"/>
    <n v="19012148"/>
    <x v="0"/>
    <d v="2026-03-25T00:00:00"/>
    <x v="1"/>
    <x v="0"/>
    <x v="5"/>
    <m/>
    <n v="9999"/>
    <n v="333.3"/>
    <n v="0"/>
    <n v="0"/>
    <n v="0"/>
    <x v="0"/>
    <n v="22.035616438356165"/>
    <x v="2"/>
    <n v="2"/>
    <d v="2004-03-17T00:00:00"/>
  </r>
  <r>
    <x v="1"/>
    <n v="19012149"/>
    <x v="0"/>
    <d v="2026-03-25T00:00:00"/>
    <x v="1"/>
    <x v="0"/>
    <x v="5"/>
    <m/>
    <n v="9999"/>
    <n v="333.3"/>
    <n v="0"/>
    <n v="0"/>
    <n v="0"/>
    <x v="0"/>
    <n v="19.545205479452054"/>
    <x v="3"/>
    <n v="1"/>
    <d v="2006-09-12T00:00:00"/>
  </r>
  <r>
    <x v="0"/>
    <n v="19012182"/>
    <x v="0"/>
    <d v="2026-03-25T00:00:00"/>
    <x v="1"/>
    <x v="0"/>
    <x v="5"/>
    <m/>
    <n v="9999"/>
    <n v="333.3"/>
    <n v="0"/>
    <n v="0"/>
    <n v="0"/>
    <x v="1"/>
    <n v="18.786301369863015"/>
    <x v="3"/>
    <n v="1"/>
    <d v="2007-06-16T00:00:00"/>
  </r>
  <r>
    <x v="1"/>
    <n v="19012183"/>
    <x v="0"/>
    <d v="2026-03-25T00:00:00"/>
    <x v="1"/>
    <x v="0"/>
    <x v="5"/>
    <m/>
    <n v="9999"/>
    <n v="333.3"/>
    <n v="0"/>
    <n v="0"/>
    <n v="0"/>
    <x v="1"/>
    <n v="20.019178082191782"/>
    <x v="3"/>
    <n v="1"/>
    <d v="2006-03-23T00:00:00"/>
  </r>
  <r>
    <x v="1"/>
    <n v="19012184"/>
    <x v="0"/>
    <d v="2026-03-25T00:00:00"/>
    <x v="1"/>
    <x v="0"/>
    <x v="5"/>
    <m/>
    <n v="9999"/>
    <n v="333.3"/>
    <n v="0"/>
    <n v="0"/>
    <n v="0"/>
    <x v="1"/>
    <n v="22.547945205479451"/>
    <x v="2"/>
    <n v="2"/>
    <d v="2003-09-12T00:00:00"/>
  </r>
  <r>
    <x v="1"/>
    <n v="19012231"/>
    <x v="0"/>
    <d v="2026-03-25T00:00:00"/>
    <x v="1"/>
    <x v="0"/>
    <x v="5"/>
    <m/>
    <n v="9999"/>
    <n v="333.3"/>
    <n v="0"/>
    <n v="0"/>
    <n v="0"/>
    <x v="1"/>
    <n v="20.109589041095891"/>
    <x v="3"/>
    <n v="1"/>
    <d v="2006-02-18T00:00:00"/>
  </r>
  <r>
    <x v="1"/>
    <n v="19012232"/>
    <x v="0"/>
    <d v="2026-03-25T00:00:00"/>
    <x v="1"/>
    <x v="0"/>
    <x v="5"/>
    <m/>
    <n v="9999"/>
    <n v="333.3"/>
    <n v="0"/>
    <n v="0"/>
    <n v="0"/>
    <x v="1"/>
    <n v="19.413698630136988"/>
    <x v="3"/>
    <n v="1"/>
    <d v="2006-10-30T00:00:00"/>
  </r>
  <r>
    <x v="1"/>
    <n v="19012238"/>
    <x v="0"/>
    <d v="2026-03-25T00:00:00"/>
    <x v="1"/>
    <x v="0"/>
    <x v="5"/>
    <m/>
    <n v="9999"/>
    <n v="333.3"/>
    <n v="0"/>
    <n v="0"/>
    <n v="0"/>
    <x v="0"/>
    <n v="21.183561643835617"/>
    <x v="2"/>
    <n v="2"/>
    <d v="2005-01-22T00:00:00"/>
  </r>
  <r>
    <x v="1"/>
    <n v="19012248"/>
    <x v="0"/>
    <d v="2026-03-25T00:00:00"/>
    <x v="1"/>
    <x v="0"/>
    <x v="5"/>
    <d v="2026-04-10T00:00:00"/>
    <n v="16"/>
    <n v="0.53333333333333333"/>
    <n v="1"/>
    <n v="1"/>
    <n v="1"/>
    <x v="1"/>
    <n v="19.12876712328767"/>
    <x v="3"/>
    <n v="1"/>
    <d v="2007-02-11T00:00:00"/>
  </r>
  <r>
    <x v="1"/>
    <n v="19012249"/>
    <x v="0"/>
    <d v="2026-03-25T00:00:00"/>
    <x v="1"/>
    <x v="0"/>
    <x v="5"/>
    <m/>
    <n v="9999"/>
    <n v="333.3"/>
    <n v="0"/>
    <n v="0"/>
    <n v="0"/>
    <x v="1"/>
    <n v="38.835616438356162"/>
    <x v="0"/>
    <n v="4"/>
    <d v="1987-06-03T00:00:00"/>
  </r>
  <r>
    <x v="1"/>
    <n v="19012250"/>
    <x v="0"/>
    <d v="2026-03-25T00:00:00"/>
    <x v="1"/>
    <x v="0"/>
    <x v="5"/>
    <d v="2026-04-06T00:00:00"/>
    <n v="12"/>
    <n v="0.4"/>
    <n v="1"/>
    <n v="1"/>
    <n v="1"/>
    <x v="1"/>
    <n v="18.649315068493152"/>
    <x v="3"/>
    <n v="1"/>
    <d v="2007-08-05T00:00:00"/>
  </r>
  <r>
    <x v="1"/>
    <n v="19012251"/>
    <x v="0"/>
    <d v="2026-03-25T00:00:00"/>
    <x v="1"/>
    <x v="0"/>
    <x v="5"/>
    <m/>
    <n v="9999"/>
    <n v="333.3"/>
    <n v="0"/>
    <n v="0"/>
    <n v="0"/>
    <x v="1"/>
    <n v="19.161643835616438"/>
    <x v="3"/>
    <n v="1"/>
    <d v="2007-01-30T00:00:00"/>
  </r>
  <r>
    <x v="1"/>
    <n v="19012253"/>
    <x v="0"/>
    <d v="2026-03-25T00:00:00"/>
    <x v="1"/>
    <x v="0"/>
    <x v="5"/>
    <d v="2026-04-14T00:00:00"/>
    <n v="20"/>
    <n v="0.66666666666666663"/>
    <n v="1"/>
    <n v="1"/>
    <n v="1"/>
    <x v="0"/>
    <n v="23.243835616438357"/>
    <x v="2"/>
    <n v="2"/>
    <d v="2003-01-01T00:00:00"/>
  </r>
  <r>
    <x v="0"/>
    <n v="19012254"/>
    <x v="0"/>
    <d v="2026-03-25T00:00:00"/>
    <x v="1"/>
    <x v="0"/>
    <x v="5"/>
    <d v="2026-04-07T00:00:00"/>
    <n v="13"/>
    <n v="0.43333333333333335"/>
    <n v="1"/>
    <n v="1"/>
    <n v="1"/>
    <x v="0"/>
    <n v="21.435616438356163"/>
    <x v="2"/>
    <n v="2"/>
    <d v="2004-10-22T00:00:00"/>
  </r>
  <r>
    <x v="1"/>
    <n v="19012257"/>
    <x v="0"/>
    <d v="2026-03-25T00:00:00"/>
    <x v="1"/>
    <x v="0"/>
    <x v="5"/>
    <d v="2026-05-19T00:00:00"/>
    <n v="55"/>
    <n v="1.8333333333333333"/>
    <n v="0"/>
    <n v="1"/>
    <n v="1"/>
    <x v="0"/>
    <n v="20.547945205479451"/>
    <x v="3"/>
    <n v="1"/>
    <d v="2005-09-11T00:00:00"/>
  </r>
  <r>
    <x v="1"/>
    <n v="19012259"/>
    <x v="0"/>
    <d v="2026-03-25T00:00:00"/>
    <x v="1"/>
    <x v="0"/>
    <x v="5"/>
    <m/>
    <n v="9999"/>
    <n v="333.3"/>
    <n v="0"/>
    <n v="0"/>
    <n v="0"/>
    <x v="0"/>
    <n v="18.876712328767123"/>
    <x v="3"/>
    <n v="1"/>
    <d v="2007-05-14T00:00:00"/>
  </r>
  <r>
    <x v="1"/>
    <n v="19012354"/>
    <x v="0"/>
    <d v="2026-03-26T00:00:00"/>
    <x v="1"/>
    <x v="0"/>
    <x v="5"/>
    <m/>
    <n v="9999"/>
    <n v="333.3"/>
    <n v="0"/>
    <n v="0"/>
    <n v="0"/>
    <x v="1"/>
    <n v="18.578082191780823"/>
    <x v="3"/>
    <n v="1"/>
    <d v="2007-09-01T00:00:00"/>
  </r>
  <r>
    <x v="1"/>
    <n v="19012359"/>
    <x v="0"/>
    <d v="2026-03-26T00:00:00"/>
    <x v="1"/>
    <x v="0"/>
    <x v="5"/>
    <d v="2026-04-30T00:00:00"/>
    <n v="35"/>
    <n v="1.1666666666666667"/>
    <n v="0"/>
    <n v="1"/>
    <n v="1"/>
    <x v="1"/>
    <n v="30.367123287671234"/>
    <x v="1"/>
    <n v="3"/>
    <d v="1995-11-20T00:00:00"/>
  </r>
  <r>
    <x v="1"/>
    <n v="19012361"/>
    <x v="1"/>
    <d v="2026-03-26T00:00:00"/>
    <x v="1"/>
    <x v="0"/>
    <x v="5"/>
    <m/>
    <n v="9999"/>
    <n v="333.3"/>
    <n v="0"/>
    <n v="0"/>
    <n v="0"/>
    <x v="1"/>
    <n v="20.424657534246574"/>
    <x v="3"/>
    <n v="1"/>
    <d v="2005-10-27T00:00:00"/>
  </r>
  <r>
    <x v="1"/>
    <n v="19012362"/>
    <x v="1"/>
    <d v="2026-03-26T00:00:00"/>
    <x v="1"/>
    <x v="0"/>
    <x v="5"/>
    <m/>
    <n v="9999"/>
    <n v="333.3"/>
    <n v="0"/>
    <n v="0"/>
    <n v="0"/>
    <x v="1"/>
    <n v="19"/>
    <x v="3"/>
    <n v="1"/>
    <d v="2007-03-31T00:00:00"/>
  </r>
  <r>
    <x v="1"/>
    <n v="19012386"/>
    <x v="0"/>
    <d v="2026-03-26T00:00:00"/>
    <x v="1"/>
    <x v="0"/>
    <x v="5"/>
    <m/>
    <n v="9999"/>
    <n v="333.3"/>
    <n v="0"/>
    <n v="0"/>
    <n v="0"/>
    <x v="0"/>
    <n v="22.457534246575342"/>
    <x v="2"/>
    <n v="2"/>
    <d v="2003-10-16T00:00:00"/>
  </r>
  <r>
    <x v="1"/>
    <n v="19012387"/>
    <x v="1"/>
    <d v="2026-03-26T00:00:00"/>
    <x v="1"/>
    <x v="0"/>
    <x v="5"/>
    <m/>
    <n v="9999"/>
    <n v="333.3"/>
    <n v="0"/>
    <n v="0"/>
    <n v="0"/>
    <x v="0"/>
    <n v="18.136986301369863"/>
    <x v="3"/>
    <n v="1"/>
    <d v="2008-02-09T00:00:00"/>
  </r>
  <r>
    <x v="1"/>
    <n v="19012388"/>
    <x v="0"/>
    <d v="2026-03-26T00:00:00"/>
    <x v="1"/>
    <x v="0"/>
    <x v="5"/>
    <m/>
    <n v="9999"/>
    <n v="333.3"/>
    <n v="0"/>
    <n v="0"/>
    <n v="0"/>
    <x v="0"/>
    <n v="30.583561643835615"/>
    <x v="1"/>
    <n v="3"/>
    <d v="1995-09-02T00:00:00"/>
  </r>
  <r>
    <x v="1"/>
    <n v="19012389"/>
    <x v="0"/>
    <d v="2026-03-26T00:00:00"/>
    <x v="1"/>
    <x v="0"/>
    <x v="5"/>
    <m/>
    <n v="9999"/>
    <n v="333.3"/>
    <n v="0"/>
    <n v="0"/>
    <n v="0"/>
    <x v="0"/>
    <n v="19.997260273972604"/>
    <x v="3"/>
    <n v="1"/>
    <d v="2006-04-01T00:00:00"/>
  </r>
  <r>
    <x v="1"/>
    <n v="19012406"/>
    <x v="0"/>
    <d v="2026-03-26T00:00:00"/>
    <x v="1"/>
    <x v="0"/>
    <x v="5"/>
    <m/>
    <n v="9999"/>
    <n v="333.3"/>
    <n v="0"/>
    <n v="0"/>
    <n v="0"/>
    <x v="1"/>
    <n v="20.293150684931508"/>
    <x v="3"/>
    <n v="1"/>
    <d v="2005-12-14T00:00:00"/>
  </r>
  <r>
    <x v="1"/>
    <n v="19012408"/>
    <x v="0"/>
    <d v="2026-03-26T00:00:00"/>
    <x v="1"/>
    <x v="0"/>
    <x v="5"/>
    <m/>
    <n v="9999"/>
    <n v="333.3"/>
    <n v="0"/>
    <n v="0"/>
    <n v="0"/>
    <x v="1"/>
    <n v="19.298630136986301"/>
    <x v="3"/>
    <n v="1"/>
    <d v="2006-12-12T00:00:00"/>
  </r>
  <r>
    <x v="1"/>
    <n v="19012522"/>
    <x v="0"/>
    <d v="2026-03-27T00:00:00"/>
    <x v="1"/>
    <x v="0"/>
    <x v="5"/>
    <m/>
    <n v="9999"/>
    <n v="333.3"/>
    <n v="0"/>
    <n v="0"/>
    <n v="0"/>
    <x v="1"/>
    <n v="23.402739726027399"/>
    <x v="2"/>
    <n v="2"/>
    <d v="2002-11-06T00:00:00"/>
  </r>
  <r>
    <x v="1"/>
    <n v="19012523"/>
    <x v="0"/>
    <d v="2026-03-27T00:00:00"/>
    <x v="1"/>
    <x v="0"/>
    <x v="5"/>
    <m/>
    <n v="9999"/>
    <n v="333.3"/>
    <n v="0"/>
    <n v="0"/>
    <n v="0"/>
    <x v="1"/>
    <n v="21.92876712328767"/>
    <x v="2"/>
    <n v="2"/>
    <d v="2004-04-27T00:00:00"/>
  </r>
  <r>
    <x v="1"/>
    <n v="19012564"/>
    <x v="0"/>
    <d v="2026-03-27T00:00:00"/>
    <x v="1"/>
    <x v="0"/>
    <x v="5"/>
    <m/>
    <n v="9999"/>
    <n v="333.3"/>
    <n v="0"/>
    <n v="0"/>
    <n v="0"/>
    <x v="1"/>
    <n v="22.775342465753425"/>
    <x v="2"/>
    <n v="2"/>
    <d v="2003-06-23T00:00:00"/>
  </r>
  <r>
    <x v="1"/>
    <n v="19012565"/>
    <x v="0"/>
    <d v="2026-03-27T00:00:00"/>
    <x v="1"/>
    <x v="0"/>
    <x v="5"/>
    <m/>
    <n v="9999"/>
    <n v="333.3"/>
    <n v="0"/>
    <n v="0"/>
    <n v="0"/>
    <x v="1"/>
    <n v="18.416438356164385"/>
    <x v="3"/>
    <n v="1"/>
    <d v="2007-10-31T00:00:00"/>
  </r>
  <r>
    <x v="1"/>
    <n v="19012599"/>
    <x v="0"/>
    <d v="2026-03-27T00:00:00"/>
    <x v="1"/>
    <x v="0"/>
    <x v="5"/>
    <m/>
    <n v="9999"/>
    <n v="333.3"/>
    <n v="0"/>
    <n v="0"/>
    <n v="0"/>
    <x v="1"/>
    <n v="20.164383561643834"/>
    <x v="3"/>
    <n v="1"/>
    <d v="2006-01-31T00:00:00"/>
  </r>
  <r>
    <x v="1"/>
    <n v="19012621"/>
    <x v="1"/>
    <d v="2026-05-15T00:00:00"/>
    <x v="1"/>
    <x v="1"/>
    <x v="1"/>
    <m/>
    <n v="9999"/>
    <n v="333.3"/>
    <n v="0"/>
    <n v="0"/>
    <n v="0"/>
    <x v="1"/>
    <n v="20.126027397260273"/>
    <x v="3"/>
    <n v="1"/>
    <d v="2006-04-04T00:00:00"/>
  </r>
  <r>
    <x v="1"/>
    <n v="19012830"/>
    <x v="1"/>
    <d v="2026-03-27T00:00:00"/>
    <x v="1"/>
    <x v="0"/>
    <x v="5"/>
    <m/>
    <n v="9999"/>
    <n v="333.3"/>
    <n v="0"/>
    <n v="0"/>
    <n v="0"/>
    <x v="1"/>
    <n v="23.512328767123286"/>
    <x v="2"/>
    <n v="2"/>
    <d v="2002-09-27T00:00:00"/>
  </r>
  <r>
    <x v="1"/>
    <n v="19012837"/>
    <x v="0"/>
    <d v="2026-03-27T00:00:00"/>
    <x v="1"/>
    <x v="0"/>
    <x v="5"/>
    <m/>
    <n v="9999"/>
    <n v="333.3"/>
    <n v="0"/>
    <n v="0"/>
    <n v="0"/>
    <x v="1"/>
    <n v="19.041095890410958"/>
    <x v="3"/>
    <n v="1"/>
    <d v="2007-03-17T00:00:00"/>
  </r>
  <r>
    <x v="1"/>
    <n v="19012838"/>
    <x v="1"/>
    <d v="2026-03-27T00:00:00"/>
    <x v="1"/>
    <x v="0"/>
    <x v="5"/>
    <m/>
    <n v="9999"/>
    <n v="333.3"/>
    <n v="0"/>
    <n v="0"/>
    <n v="0"/>
    <x v="1"/>
    <n v="22.827397260273973"/>
    <x v="2"/>
    <n v="2"/>
    <d v="2003-06-04T00:00:00"/>
  </r>
  <r>
    <x v="1"/>
    <n v="19012844"/>
    <x v="1"/>
    <d v="2026-03-30T00:00:00"/>
    <x v="1"/>
    <x v="0"/>
    <x v="5"/>
    <m/>
    <n v="9999"/>
    <n v="333.3"/>
    <n v="0"/>
    <n v="0"/>
    <n v="0"/>
    <x v="1"/>
    <n v="19.745205479452054"/>
    <x v="3"/>
    <n v="1"/>
    <d v="2006-07-06T00:00:00"/>
  </r>
  <r>
    <x v="1"/>
    <n v="19012845"/>
    <x v="0"/>
    <d v="2026-03-30T00:00:00"/>
    <x v="1"/>
    <x v="0"/>
    <x v="5"/>
    <m/>
    <n v="9999"/>
    <n v="333.3"/>
    <n v="0"/>
    <n v="0"/>
    <n v="0"/>
    <x v="1"/>
    <n v="19.041095890410958"/>
    <x v="3"/>
    <n v="1"/>
    <d v="2007-03-20T00:00:00"/>
  </r>
  <r>
    <x v="1"/>
    <n v="19012846"/>
    <x v="0"/>
    <d v="2026-03-30T00:00:00"/>
    <x v="1"/>
    <x v="0"/>
    <x v="5"/>
    <m/>
    <n v="9999"/>
    <n v="333.3"/>
    <n v="0"/>
    <n v="0"/>
    <n v="0"/>
    <x v="1"/>
    <n v="31.605479452054794"/>
    <x v="0"/>
    <n v="4"/>
    <d v="1994-08-29T00:00:00"/>
  </r>
  <r>
    <x v="1"/>
    <n v="19012847"/>
    <x v="0"/>
    <d v="2026-03-30T00:00:00"/>
    <x v="1"/>
    <x v="0"/>
    <x v="5"/>
    <m/>
    <n v="9999"/>
    <n v="333.3"/>
    <n v="0"/>
    <n v="0"/>
    <n v="0"/>
    <x v="1"/>
    <n v="19.334246575342465"/>
    <x v="3"/>
    <n v="1"/>
    <d v="2006-12-03T00:00:00"/>
  </r>
  <r>
    <x v="1"/>
    <n v="19012848"/>
    <x v="0"/>
    <d v="2026-03-30T00:00:00"/>
    <x v="1"/>
    <x v="0"/>
    <x v="5"/>
    <m/>
    <n v="9999"/>
    <n v="333.3"/>
    <n v="0"/>
    <n v="0"/>
    <n v="0"/>
    <x v="1"/>
    <n v="19.452054794520549"/>
    <x v="3"/>
    <n v="1"/>
    <d v="2006-10-21T00:00:00"/>
  </r>
  <r>
    <x v="1"/>
    <n v="19012849"/>
    <x v="0"/>
    <d v="2026-03-30T00:00:00"/>
    <x v="1"/>
    <x v="0"/>
    <x v="5"/>
    <m/>
    <n v="9999"/>
    <n v="333.3"/>
    <n v="0"/>
    <n v="0"/>
    <n v="0"/>
    <x v="1"/>
    <n v="25.964383561643835"/>
    <x v="2"/>
    <n v="2"/>
    <d v="2000-04-18T00:00:00"/>
  </r>
  <r>
    <x v="1"/>
    <n v="19012873"/>
    <x v="1"/>
    <d v="2026-03-30T00:00:00"/>
    <x v="1"/>
    <x v="0"/>
    <x v="5"/>
    <m/>
    <n v="9999"/>
    <n v="333.3"/>
    <n v="0"/>
    <n v="0"/>
    <n v="0"/>
    <x v="0"/>
    <n v="27.589041095890412"/>
    <x v="1"/>
    <n v="3"/>
    <d v="1998-09-03T00:00:00"/>
  </r>
  <r>
    <x v="1"/>
    <n v="19012887"/>
    <x v="0"/>
    <d v="2026-03-30T00:00:00"/>
    <x v="1"/>
    <x v="0"/>
    <x v="5"/>
    <d v="2026-05-09T00:00:00"/>
    <n v="40"/>
    <n v="1.3333333333333333"/>
    <n v="0"/>
    <n v="1"/>
    <n v="1"/>
    <x v="1"/>
    <n v="22.654794520547945"/>
    <x v="2"/>
    <n v="2"/>
    <d v="2003-08-09T00:00:00"/>
  </r>
  <r>
    <x v="1"/>
    <n v="19012888"/>
    <x v="0"/>
    <d v="2026-03-30T00:00:00"/>
    <x v="1"/>
    <x v="0"/>
    <x v="5"/>
    <m/>
    <n v="9999"/>
    <n v="333.3"/>
    <n v="0"/>
    <n v="0"/>
    <n v="0"/>
    <x v="1"/>
    <n v="18.082191780821919"/>
    <x v="3"/>
    <n v="1"/>
    <d v="2008-03-04T00:00:00"/>
  </r>
  <r>
    <x v="1"/>
    <n v="19012891"/>
    <x v="0"/>
    <d v="2026-03-30T00:00:00"/>
    <x v="1"/>
    <x v="0"/>
    <x v="5"/>
    <m/>
    <n v="9999"/>
    <n v="333.3"/>
    <n v="0"/>
    <n v="0"/>
    <n v="0"/>
    <x v="1"/>
    <n v="19.221917808219178"/>
    <x v="3"/>
    <n v="1"/>
    <d v="2007-01-13T00:00:00"/>
  </r>
  <r>
    <x v="1"/>
    <n v="19012923"/>
    <x v="0"/>
    <d v="2026-03-30T00:00:00"/>
    <x v="1"/>
    <x v="0"/>
    <x v="5"/>
    <d v="2026-05-31T00:00:00"/>
    <n v="62"/>
    <n v="2.0666666666666669"/>
    <n v="0"/>
    <n v="1"/>
    <n v="1"/>
    <x v="1"/>
    <n v="19.172602739726027"/>
    <x v="3"/>
    <n v="1"/>
    <d v="2007-01-31T00:00:00"/>
  </r>
  <r>
    <x v="1"/>
    <n v="19012924"/>
    <x v="0"/>
    <d v="2026-03-30T00:00:00"/>
    <x v="1"/>
    <x v="0"/>
    <x v="5"/>
    <m/>
    <n v="9999"/>
    <n v="333.3"/>
    <n v="0"/>
    <n v="0"/>
    <n v="0"/>
    <x v="1"/>
    <n v="21.208219178082192"/>
    <x v="2"/>
    <n v="2"/>
    <d v="2005-01-18T00:00:00"/>
  </r>
  <r>
    <x v="1"/>
    <n v="19012928"/>
    <x v="0"/>
    <d v="2026-03-30T00:00:00"/>
    <x v="1"/>
    <x v="0"/>
    <x v="5"/>
    <m/>
    <n v="9999"/>
    <n v="333.3"/>
    <n v="0"/>
    <n v="0"/>
    <n v="0"/>
    <x v="1"/>
    <n v="20.175342465753424"/>
    <x v="3"/>
    <n v="1"/>
    <d v="2006-01-30T00:00:00"/>
  </r>
  <r>
    <x v="1"/>
    <n v="19013062"/>
    <x v="0"/>
    <d v="2026-03-30T00:00:00"/>
    <x v="1"/>
    <x v="0"/>
    <x v="5"/>
    <d v="2026-04-30T00:00:00"/>
    <n v="31"/>
    <n v="1.0333333333333334"/>
    <n v="0"/>
    <n v="1"/>
    <n v="1"/>
    <x v="0"/>
    <n v="26.356164383561644"/>
    <x v="1"/>
    <n v="3"/>
    <d v="1999-11-27T00:00:00"/>
  </r>
  <r>
    <x v="1"/>
    <n v="19013065"/>
    <x v="0"/>
    <d v="2026-03-30T00:00:00"/>
    <x v="1"/>
    <x v="0"/>
    <x v="5"/>
    <d v="2026-05-13T00:00:00"/>
    <n v="44"/>
    <n v="1.4666666666666666"/>
    <n v="0"/>
    <n v="1"/>
    <n v="1"/>
    <x v="0"/>
    <n v="18.769863013698629"/>
    <x v="3"/>
    <n v="1"/>
    <d v="2007-06-27T00:00:00"/>
  </r>
  <r>
    <x v="1"/>
    <n v="19013120"/>
    <x v="0"/>
    <d v="2026-03-30T00:00:00"/>
    <x v="1"/>
    <x v="0"/>
    <x v="5"/>
    <m/>
    <n v="9999"/>
    <n v="333.3"/>
    <n v="0"/>
    <n v="0"/>
    <n v="0"/>
    <x v="1"/>
    <n v="20.139726027397259"/>
    <x v="3"/>
    <n v="1"/>
    <d v="2006-02-12T00:00:00"/>
  </r>
  <r>
    <x v="1"/>
    <n v="19013130"/>
    <x v="1"/>
    <d v="2026-03-30T00:00:00"/>
    <x v="1"/>
    <x v="0"/>
    <x v="5"/>
    <d v="2026-05-02T00:00:00"/>
    <n v="33"/>
    <n v="1.1000000000000001"/>
    <n v="0"/>
    <n v="1"/>
    <n v="1"/>
    <x v="1"/>
    <n v="20.457534246575342"/>
    <x v="3"/>
    <n v="1"/>
    <d v="2005-10-19T00:00:00"/>
  </r>
  <r>
    <x v="1"/>
    <n v="19013287"/>
    <x v="0"/>
    <d v="2026-03-30T00:00:00"/>
    <x v="1"/>
    <x v="0"/>
    <x v="5"/>
    <m/>
    <n v="9999"/>
    <n v="333.3"/>
    <n v="0"/>
    <n v="0"/>
    <n v="0"/>
    <x v="1"/>
    <n v="19.958904109589042"/>
    <x v="3"/>
    <n v="1"/>
    <d v="2006-04-19T00:00:00"/>
  </r>
  <r>
    <x v="1"/>
    <n v="19013365"/>
    <x v="0"/>
    <d v="2026-03-31T00:00:00"/>
    <x v="1"/>
    <x v="0"/>
    <x v="5"/>
    <m/>
    <n v="9999"/>
    <n v="333.3"/>
    <n v="0"/>
    <n v="0"/>
    <n v="0"/>
    <x v="1"/>
    <n v="37.753424657534246"/>
    <x v="0"/>
    <n v="4"/>
    <d v="1988-07-08T00:00:00"/>
  </r>
  <r>
    <x v="1"/>
    <n v="19013372"/>
    <x v="1"/>
    <d v="2026-03-31T00:00:00"/>
    <x v="1"/>
    <x v="0"/>
    <x v="5"/>
    <m/>
    <n v="9999"/>
    <n v="333.3"/>
    <n v="0"/>
    <n v="0"/>
    <n v="0"/>
    <x v="1"/>
    <n v="23.342465753424658"/>
    <x v="2"/>
    <n v="2"/>
    <d v="2002-12-02T00:00:00"/>
  </r>
  <r>
    <x v="1"/>
    <n v="19013381"/>
    <x v="0"/>
    <d v="2026-03-31T00:00:00"/>
    <x v="1"/>
    <x v="0"/>
    <x v="5"/>
    <d v="2026-04-13T00:00:00"/>
    <n v="13"/>
    <n v="0.43333333333333335"/>
    <n v="1"/>
    <n v="1"/>
    <n v="1"/>
    <x v="0"/>
    <n v="20.482191780821918"/>
    <x v="3"/>
    <n v="1"/>
    <d v="2005-10-11T00:00:00"/>
  </r>
  <r>
    <x v="1"/>
    <n v="19013382"/>
    <x v="0"/>
    <d v="2026-03-31T00:00:00"/>
    <x v="1"/>
    <x v="0"/>
    <x v="5"/>
    <m/>
    <n v="9999"/>
    <n v="333.3"/>
    <n v="0"/>
    <n v="0"/>
    <n v="0"/>
    <x v="0"/>
    <n v="21.227397260273971"/>
    <x v="2"/>
    <n v="2"/>
    <d v="2005-01-12T00:00:00"/>
  </r>
  <r>
    <x v="1"/>
    <n v="19013533"/>
    <x v="0"/>
    <d v="2026-04-01T00:00:00"/>
    <x v="1"/>
    <x v="2"/>
    <x v="11"/>
    <m/>
    <n v="9999"/>
    <n v="333.3"/>
    <n v="0"/>
    <n v="0"/>
    <n v="0"/>
    <x v="0"/>
    <n v="19.75068493150685"/>
    <x v="3"/>
    <n v="1"/>
    <d v="2006-07-06T00:00:00"/>
  </r>
  <r>
    <x v="1"/>
    <n v="19013538"/>
    <x v="0"/>
    <d v="2026-04-01T00:00:00"/>
    <x v="1"/>
    <x v="2"/>
    <x v="11"/>
    <m/>
    <n v="9999"/>
    <n v="333.3"/>
    <n v="0"/>
    <n v="0"/>
    <n v="0"/>
    <x v="1"/>
    <n v="39.200000000000003"/>
    <x v="0"/>
    <n v="4"/>
    <d v="1987-01-28T00:00:00"/>
  </r>
  <r>
    <x v="1"/>
    <n v="19013577"/>
    <x v="1"/>
    <d v="2026-04-01T00:00:00"/>
    <x v="1"/>
    <x v="2"/>
    <x v="11"/>
    <d v="2026-04-06T00:00:00"/>
    <n v="5"/>
    <n v="0.16666666666666666"/>
    <n v="1"/>
    <n v="1"/>
    <n v="1"/>
    <x v="1"/>
    <n v="20.473972602739725"/>
    <x v="3"/>
    <n v="1"/>
    <d v="2005-10-15T00:00:00"/>
  </r>
  <r>
    <x v="1"/>
    <n v="19013578"/>
    <x v="0"/>
    <d v="2026-04-01T00:00:00"/>
    <x v="1"/>
    <x v="2"/>
    <x v="11"/>
    <m/>
    <n v="9999"/>
    <n v="333.3"/>
    <n v="0"/>
    <n v="0"/>
    <n v="0"/>
    <x v="1"/>
    <n v="22.904109589041095"/>
    <x v="2"/>
    <n v="2"/>
    <d v="2003-05-12T00:00:00"/>
  </r>
  <r>
    <x v="1"/>
    <n v="19013581"/>
    <x v="0"/>
    <d v="2026-04-01T00:00:00"/>
    <x v="1"/>
    <x v="2"/>
    <x v="11"/>
    <m/>
    <n v="9999"/>
    <n v="333.3"/>
    <n v="0"/>
    <n v="0"/>
    <n v="0"/>
    <x v="1"/>
    <n v="26.802739726027397"/>
    <x v="1"/>
    <n v="3"/>
    <d v="1999-06-19T00:00:00"/>
  </r>
  <r>
    <x v="1"/>
    <n v="19013585"/>
    <x v="0"/>
    <d v="2026-04-01T00:00:00"/>
    <x v="1"/>
    <x v="2"/>
    <x v="11"/>
    <d v="2026-05-16T00:00:00"/>
    <n v="45"/>
    <n v="1.5"/>
    <n v="0"/>
    <n v="1"/>
    <n v="1"/>
    <x v="1"/>
    <n v="20.115068493150684"/>
    <x v="3"/>
    <n v="1"/>
    <d v="2006-02-23T00:00:00"/>
  </r>
  <r>
    <x v="1"/>
    <n v="19013590"/>
    <x v="0"/>
    <d v="2026-04-01T00:00:00"/>
    <x v="1"/>
    <x v="2"/>
    <x v="11"/>
    <m/>
    <n v="9999"/>
    <n v="333.3"/>
    <n v="0"/>
    <n v="0"/>
    <n v="0"/>
    <x v="1"/>
    <n v="21.567123287671233"/>
    <x v="2"/>
    <n v="2"/>
    <d v="2004-09-11T00:00:00"/>
  </r>
  <r>
    <x v="1"/>
    <n v="19013592"/>
    <x v="0"/>
    <d v="2026-04-01T00:00:00"/>
    <x v="1"/>
    <x v="2"/>
    <x v="11"/>
    <m/>
    <n v="9999"/>
    <n v="333.3"/>
    <n v="0"/>
    <n v="0"/>
    <n v="0"/>
    <x v="1"/>
    <n v="22.197260273972603"/>
    <x v="2"/>
    <n v="2"/>
    <d v="2004-01-25T00:00:00"/>
  </r>
  <r>
    <x v="1"/>
    <n v="19013604"/>
    <x v="1"/>
    <d v="2026-04-01T00:00:00"/>
    <x v="1"/>
    <x v="2"/>
    <x v="11"/>
    <d v="2026-04-30T00:00:00"/>
    <n v="29"/>
    <n v="0.96666666666666667"/>
    <n v="1"/>
    <n v="1"/>
    <n v="1"/>
    <x v="1"/>
    <n v="18.126027397260273"/>
    <x v="3"/>
    <n v="1"/>
    <d v="2008-02-19T00:00:00"/>
  </r>
  <r>
    <x v="1"/>
    <n v="19013605"/>
    <x v="0"/>
    <d v="2026-04-01T00:00:00"/>
    <x v="1"/>
    <x v="2"/>
    <x v="11"/>
    <d v="2026-04-14T00:00:00"/>
    <n v="13"/>
    <n v="0.43333333333333335"/>
    <n v="1"/>
    <n v="1"/>
    <n v="1"/>
    <x v="1"/>
    <n v="24.901369863013699"/>
    <x v="2"/>
    <n v="2"/>
    <d v="2001-05-13T00:00:00"/>
  </r>
  <r>
    <x v="1"/>
    <n v="19013656"/>
    <x v="0"/>
    <d v="2026-04-01T00:00:00"/>
    <x v="1"/>
    <x v="2"/>
    <x v="11"/>
    <m/>
    <n v="9999"/>
    <n v="333.3"/>
    <n v="0"/>
    <n v="0"/>
    <n v="0"/>
    <x v="1"/>
    <n v="21.852054794520548"/>
    <x v="2"/>
    <n v="2"/>
    <d v="2004-05-30T00:00:00"/>
  </r>
  <r>
    <x v="1"/>
    <n v="19013680"/>
    <x v="0"/>
    <d v="2026-04-01T00:00:00"/>
    <x v="1"/>
    <x v="2"/>
    <x v="11"/>
    <m/>
    <n v="9999"/>
    <n v="333.3"/>
    <n v="0"/>
    <n v="0"/>
    <n v="0"/>
    <x v="1"/>
    <n v="18.463013698630139"/>
    <x v="3"/>
    <n v="1"/>
    <d v="2007-10-19T00:00:00"/>
  </r>
  <r>
    <x v="1"/>
    <n v="19013684"/>
    <x v="0"/>
    <d v="2026-04-01T00:00:00"/>
    <x v="1"/>
    <x v="2"/>
    <x v="11"/>
    <m/>
    <n v="9999"/>
    <n v="333.3"/>
    <n v="0"/>
    <n v="0"/>
    <n v="0"/>
    <x v="1"/>
    <n v="20.342465753424658"/>
    <x v="3"/>
    <n v="1"/>
    <d v="2005-12-02T00:00:00"/>
  </r>
  <r>
    <x v="1"/>
    <n v="19013687"/>
    <x v="0"/>
    <d v="2026-04-01T00:00:00"/>
    <x v="1"/>
    <x v="2"/>
    <x v="11"/>
    <m/>
    <n v="9999"/>
    <n v="333.3"/>
    <n v="0"/>
    <n v="0"/>
    <n v="0"/>
    <x v="1"/>
    <n v="21.534246575342465"/>
    <x v="2"/>
    <n v="2"/>
    <d v="2004-09-23T00:00:00"/>
  </r>
  <r>
    <x v="1"/>
    <n v="19013722"/>
    <x v="0"/>
    <d v="2026-04-01T00:00:00"/>
    <x v="1"/>
    <x v="2"/>
    <x v="11"/>
    <m/>
    <n v="9999"/>
    <n v="333.3"/>
    <n v="0"/>
    <n v="0"/>
    <n v="0"/>
    <x v="1"/>
    <n v="19.997260273972604"/>
    <x v="3"/>
    <n v="1"/>
    <d v="2006-04-07T00:00:00"/>
  </r>
  <r>
    <x v="1"/>
    <n v="19013723"/>
    <x v="0"/>
    <d v="2026-04-01T00:00:00"/>
    <x v="1"/>
    <x v="2"/>
    <x v="11"/>
    <m/>
    <n v="9999"/>
    <n v="333.3"/>
    <n v="0"/>
    <n v="0"/>
    <n v="0"/>
    <x v="1"/>
    <n v="19.813698630136987"/>
    <x v="3"/>
    <n v="1"/>
    <d v="2006-06-13T00:00:00"/>
  </r>
  <r>
    <x v="1"/>
    <n v="19013724"/>
    <x v="0"/>
    <d v="2026-04-01T00:00:00"/>
    <x v="1"/>
    <x v="2"/>
    <x v="11"/>
    <m/>
    <n v="9999"/>
    <n v="333.3"/>
    <n v="0"/>
    <n v="0"/>
    <n v="0"/>
    <x v="1"/>
    <n v="24.55890410958904"/>
    <x v="2"/>
    <n v="2"/>
    <d v="2001-09-15T00:00:00"/>
  </r>
  <r>
    <x v="1"/>
    <n v="19013725"/>
    <x v="1"/>
    <d v="2026-04-01T00:00:00"/>
    <x v="1"/>
    <x v="2"/>
    <x v="11"/>
    <m/>
    <n v="9999"/>
    <n v="333.3"/>
    <n v="0"/>
    <n v="0"/>
    <n v="0"/>
    <x v="1"/>
    <n v="19.742465753424657"/>
    <x v="3"/>
    <n v="1"/>
    <d v="2006-07-09T00:00:00"/>
  </r>
  <r>
    <x v="1"/>
    <n v="19013790"/>
    <x v="0"/>
    <d v="2026-04-01T00:00:00"/>
    <x v="1"/>
    <x v="2"/>
    <x v="11"/>
    <m/>
    <n v="9999"/>
    <n v="333.3"/>
    <n v="0"/>
    <n v="0"/>
    <n v="0"/>
    <x v="1"/>
    <n v="18.610958904109587"/>
    <x v="3"/>
    <n v="1"/>
    <d v="2007-08-26T00:00:00"/>
  </r>
  <r>
    <x v="1"/>
    <n v="19013791"/>
    <x v="0"/>
    <d v="2026-04-01T00:00:00"/>
    <x v="1"/>
    <x v="2"/>
    <x v="11"/>
    <m/>
    <n v="9999"/>
    <n v="333.3"/>
    <n v="0"/>
    <n v="0"/>
    <n v="0"/>
    <x v="1"/>
    <n v="18.284931506849315"/>
    <x v="3"/>
    <n v="1"/>
    <d v="2007-12-23T00:00:00"/>
  </r>
  <r>
    <x v="1"/>
    <n v="19013809"/>
    <x v="0"/>
    <d v="2026-04-01T00:00:00"/>
    <x v="1"/>
    <x v="2"/>
    <x v="11"/>
    <d v="2026-06-07T00:00:00"/>
    <n v="67"/>
    <n v="2.2333333333333334"/>
    <n v="0"/>
    <n v="1"/>
    <n v="1"/>
    <x v="1"/>
    <n v="21.734246575342464"/>
    <x v="2"/>
    <n v="2"/>
    <d v="2004-07-12T00:00:00"/>
  </r>
  <r>
    <x v="1"/>
    <n v="19013828"/>
    <x v="0"/>
    <d v="2026-04-01T00:00:00"/>
    <x v="1"/>
    <x v="2"/>
    <x v="11"/>
    <m/>
    <n v="9999"/>
    <n v="333.3"/>
    <n v="0"/>
    <n v="0"/>
    <n v="0"/>
    <x v="0"/>
    <n v="23.983561643835618"/>
    <x v="2"/>
    <n v="2"/>
    <d v="2002-04-13T00:00:00"/>
  </r>
  <r>
    <x v="1"/>
    <n v="19013829"/>
    <x v="0"/>
    <d v="2026-04-01T00:00:00"/>
    <x v="1"/>
    <x v="2"/>
    <x v="11"/>
    <m/>
    <n v="9999"/>
    <n v="333.3"/>
    <n v="0"/>
    <n v="0"/>
    <n v="0"/>
    <x v="1"/>
    <n v="19.082191780821919"/>
    <x v="3"/>
    <n v="1"/>
    <d v="2007-03-07T00:00:00"/>
  </r>
  <r>
    <x v="1"/>
    <n v="19013830"/>
    <x v="0"/>
    <d v="2026-04-01T00:00:00"/>
    <x v="1"/>
    <x v="2"/>
    <x v="11"/>
    <d v="2026-06-01T00:00:00"/>
    <n v="61"/>
    <n v="2.0333333333333332"/>
    <n v="0"/>
    <n v="1"/>
    <n v="1"/>
    <x v="1"/>
    <n v="21.18082191780822"/>
    <x v="2"/>
    <n v="2"/>
    <d v="2005-01-30T00:00:00"/>
  </r>
  <r>
    <x v="1"/>
    <n v="19013902"/>
    <x v="0"/>
    <d v="2026-04-01T00:00:00"/>
    <x v="1"/>
    <x v="2"/>
    <x v="11"/>
    <d v="2026-04-12T00:00:00"/>
    <n v="11"/>
    <n v="0.36666666666666664"/>
    <n v="1"/>
    <n v="1"/>
    <n v="1"/>
    <x v="1"/>
    <n v="18.854794520547944"/>
    <x v="3"/>
    <n v="1"/>
    <d v="2007-05-29T00:00:00"/>
  </r>
  <r>
    <x v="1"/>
    <n v="19014073"/>
    <x v="0"/>
    <d v="2026-04-06T00:00:00"/>
    <x v="1"/>
    <x v="2"/>
    <x v="11"/>
    <m/>
    <n v="9999"/>
    <n v="333.3"/>
    <n v="0"/>
    <n v="0"/>
    <n v="0"/>
    <x v="0"/>
    <n v="26.068493150684933"/>
    <x v="1"/>
    <n v="3"/>
    <d v="2000-03-18T00:00:00"/>
  </r>
  <r>
    <x v="1"/>
    <n v="19014116"/>
    <x v="1"/>
    <d v="2026-04-06T00:00:00"/>
    <x v="1"/>
    <x v="2"/>
    <x v="11"/>
    <m/>
    <n v="9999"/>
    <n v="333.3"/>
    <n v="0"/>
    <n v="0"/>
    <n v="0"/>
    <x v="1"/>
    <n v="22.084931506849315"/>
    <x v="2"/>
    <n v="2"/>
    <d v="2004-03-11T00:00:00"/>
  </r>
  <r>
    <x v="1"/>
    <n v="19014127"/>
    <x v="0"/>
    <d v="2026-04-06T00:00:00"/>
    <x v="1"/>
    <x v="2"/>
    <x v="11"/>
    <m/>
    <n v="9999"/>
    <n v="333.3"/>
    <n v="0"/>
    <n v="0"/>
    <n v="0"/>
    <x v="1"/>
    <n v="18.104109589041094"/>
    <x v="3"/>
    <n v="1"/>
    <d v="2008-03-03T00:00:00"/>
  </r>
  <r>
    <x v="1"/>
    <n v="19014130"/>
    <x v="0"/>
    <d v="2026-04-06T00:00:00"/>
    <x v="1"/>
    <x v="2"/>
    <x v="11"/>
    <m/>
    <n v="9999"/>
    <n v="333.3"/>
    <n v="0"/>
    <n v="0"/>
    <n v="0"/>
    <x v="1"/>
    <n v="20.479452054794521"/>
    <x v="3"/>
    <n v="1"/>
    <d v="2005-10-18T00:00:00"/>
  </r>
  <r>
    <x v="1"/>
    <n v="19014132"/>
    <x v="0"/>
    <d v="2026-04-06T00:00:00"/>
    <x v="1"/>
    <x v="2"/>
    <x v="11"/>
    <m/>
    <n v="9999"/>
    <n v="333.3"/>
    <n v="0"/>
    <n v="0"/>
    <n v="0"/>
    <x v="1"/>
    <n v="18.282191780821918"/>
    <x v="3"/>
    <n v="1"/>
    <d v="2007-12-29T00:00:00"/>
  </r>
  <r>
    <x v="1"/>
    <n v="19014138"/>
    <x v="0"/>
    <d v="2026-04-06T00:00:00"/>
    <x v="1"/>
    <x v="2"/>
    <x v="11"/>
    <m/>
    <n v="9999"/>
    <n v="333.3"/>
    <n v="0"/>
    <n v="0"/>
    <n v="0"/>
    <x v="1"/>
    <n v="25.194520547945206"/>
    <x v="2"/>
    <n v="2"/>
    <d v="2001-01-31T00:00:00"/>
  </r>
  <r>
    <x v="1"/>
    <n v="19014169"/>
    <x v="0"/>
    <d v="2026-04-06T00:00:00"/>
    <x v="1"/>
    <x v="2"/>
    <x v="11"/>
    <m/>
    <n v="9999"/>
    <n v="333.3"/>
    <n v="0"/>
    <n v="0"/>
    <n v="0"/>
    <x v="1"/>
    <n v="33.764383561643832"/>
    <x v="0"/>
    <n v="4"/>
    <d v="1992-07-09T00:00:00"/>
  </r>
  <r>
    <x v="1"/>
    <n v="19014173"/>
    <x v="0"/>
    <d v="2026-04-01T00:00:00"/>
    <x v="1"/>
    <x v="2"/>
    <x v="11"/>
    <m/>
    <n v="9999"/>
    <n v="333.3"/>
    <n v="0"/>
    <n v="0"/>
    <n v="0"/>
    <x v="1"/>
    <n v="18.843835616438355"/>
    <x v="3"/>
    <n v="1"/>
    <d v="2007-06-02T00:00:00"/>
  </r>
  <r>
    <x v="1"/>
    <n v="19014174"/>
    <x v="0"/>
    <d v="2026-04-01T00:00:00"/>
    <x v="1"/>
    <x v="2"/>
    <x v="11"/>
    <m/>
    <n v="9999"/>
    <n v="333.3"/>
    <n v="0"/>
    <n v="0"/>
    <n v="0"/>
    <x v="1"/>
    <n v="21.063013698630137"/>
    <x v="2"/>
    <n v="2"/>
    <d v="2005-03-14T00:00:00"/>
  </r>
  <r>
    <x v="1"/>
    <n v="19014183"/>
    <x v="0"/>
    <d v="2026-04-01T00:00:00"/>
    <x v="1"/>
    <x v="2"/>
    <x v="11"/>
    <m/>
    <n v="9999"/>
    <n v="333.3"/>
    <n v="0"/>
    <n v="0"/>
    <n v="0"/>
    <x v="1"/>
    <n v="18.273972602739725"/>
    <x v="3"/>
    <n v="1"/>
    <d v="2007-12-27T00:00:00"/>
  </r>
  <r>
    <x v="1"/>
    <n v="19014198"/>
    <x v="0"/>
    <d v="2026-04-01T00:00:00"/>
    <x v="1"/>
    <x v="2"/>
    <x v="11"/>
    <m/>
    <n v="9999"/>
    <n v="333.3"/>
    <n v="0"/>
    <n v="0"/>
    <n v="0"/>
    <x v="1"/>
    <n v="20.780821917808218"/>
    <x v="3"/>
    <n v="1"/>
    <d v="2005-06-25T00:00:00"/>
  </r>
  <r>
    <x v="1"/>
    <n v="19014199"/>
    <x v="1"/>
    <d v="2026-04-06T00:00:00"/>
    <x v="1"/>
    <x v="2"/>
    <x v="11"/>
    <d v="2026-04-16T00:00:00"/>
    <n v="10"/>
    <n v="0.33333333333333331"/>
    <n v="1"/>
    <n v="1"/>
    <n v="1"/>
    <x v="1"/>
    <n v="21.876712328767123"/>
    <x v="2"/>
    <n v="2"/>
    <d v="2004-05-26T00:00:00"/>
  </r>
  <r>
    <x v="1"/>
    <n v="19014200"/>
    <x v="0"/>
    <d v="2026-04-01T00:00:00"/>
    <x v="1"/>
    <x v="2"/>
    <x v="11"/>
    <m/>
    <n v="9999"/>
    <n v="333.3"/>
    <n v="0"/>
    <n v="0"/>
    <n v="0"/>
    <x v="1"/>
    <n v="21.81095890410959"/>
    <x v="2"/>
    <n v="2"/>
    <d v="2004-06-14T00:00:00"/>
  </r>
  <r>
    <x v="1"/>
    <n v="19014246"/>
    <x v="0"/>
    <d v="2026-04-06T00:00:00"/>
    <x v="1"/>
    <x v="2"/>
    <x v="11"/>
    <d v="2026-05-06T00:00:00"/>
    <n v="30"/>
    <n v="1"/>
    <n v="1"/>
    <n v="1"/>
    <n v="1"/>
    <x v="1"/>
    <n v="22.473972602739725"/>
    <x v="2"/>
    <n v="2"/>
    <d v="2003-10-21T00:00:00"/>
  </r>
  <r>
    <x v="1"/>
    <n v="19014247"/>
    <x v="0"/>
    <d v="2026-04-06T00:00:00"/>
    <x v="1"/>
    <x v="2"/>
    <x v="11"/>
    <m/>
    <n v="9999"/>
    <n v="333.3"/>
    <n v="0"/>
    <n v="0"/>
    <n v="0"/>
    <x v="0"/>
    <n v="19.421917808219177"/>
    <x v="3"/>
    <n v="1"/>
    <d v="2006-11-08T00:00:00"/>
  </r>
  <r>
    <x v="1"/>
    <n v="19014248"/>
    <x v="0"/>
    <d v="2026-04-06T00:00:00"/>
    <x v="1"/>
    <x v="2"/>
    <x v="11"/>
    <m/>
    <n v="9999"/>
    <n v="333.3"/>
    <n v="0"/>
    <n v="0"/>
    <n v="0"/>
    <x v="0"/>
    <n v="31.575342465753426"/>
    <x v="0"/>
    <n v="4"/>
    <d v="1994-09-16T00:00:00"/>
  </r>
  <r>
    <x v="1"/>
    <n v="19014251"/>
    <x v="0"/>
    <d v="2026-04-06T00:00:00"/>
    <x v="1"/>
    <x v="2"/>
    <x v="11"/>
    <m/>
    <n v="9999"/>
    <n v="333.3"/>
    <n v="0"/>
    <n v="0"/>
    <n v="0"/>
    <x v="1"/>
    <n v="19.082191780821919"/>
    <x v="3"/>
    <n v="1"/>
    <d v="2007-03-12T00:00:00"/>
  </r>
  <r>
    <x v="1"/>
    <n v="19014277"/>
    <x v="0"/>
    <d v="2026-04-06T00:00:00"/>
    <x v="1"/>
    <x v="2"/>
    <x v="11"/>
    <d v="2026-05-26T00:00:00"/>
    <n v="50"/>
    <n v="1.6666666666666667"/>
    <n v="0"/>
    <n v="1"/>
    <n v="1"/>
    <x v="0"/>
    <n v="25.271232876712329"/>
    <x v="2"/>
    <n v="2"/>
    <d v="2001-01-03T00:00:00"/>
  </r>
  <r>
    <x v="1"/>
    <n v="19014288"/>
    <x v="0"/>
    <d v="2026-04-06T00:00:00"/>
    <x v="1"/>
    <x v="2"/>
    <x v="11"/>
    <m/>
    <n v="9999"/>
    <n v="333.3"/>
    <n v="0"/>
    <n v="0"/>
    <n v="0"/>
    <x v="0"/>
    <n v="20.956164383561642"/>
    <x v="3"/>
    <n v="1"/>
    <d v="2005-04-27T00:00:00"/>
  </r>
  <r>
    <x v="1"/>
    <n v="19014325"/>
    <x v="1"/>
    <d v="2026-04-06T00:00:00"/>
    <x v="1"/>
    <x v="2"/>
    <x v="11"/>
    <m/>
    <n v="9999"/>
    <n v="333.3"/>
    <n v="0"/>
    <n v="0"/>
    <n v="0"/>
    <x v="1"/>
    <n v="18.186301369863013"/>
    <x v="3"/>
    <n v="1"/>
    <d v="2008-02-02T00:00:00"/>
  </r>
  <r>
    <x v="1"/>
    <n v="19014379"/>
    <x v="0"/>
    <d v="2026-04-06T00:00:00"/>
    <x v="1"/>
    <x v="2"/>
    <x v="11"/>
    <m/>
    <n v="9999"/>
    <n v="333.3"/>
    <n v="0"/>
    <n v="0"/>
    <n v="0"/>
    <x v="1"/>
    <n v="23.493150684931507"/>
    <x v="2"/>
    <n v="2"/>
    <d v="2002-10-14T00:00:00"/>
  </r>
  <r>
    <x v="1"/>
    <n v="19014382"/>
    <x v="0"/>
    <d v="2026-04-06T00:00:00"/>
    <x v="1"/>
    <x v="2"/>
    <x v="11"/>
    <d v="2026-05-17T00:00:00"/>
    <n v="41"/>
    <n v="1.3666666666666667"/>
    <n v="0"/>
    <n v="1"/>
    <n v="1"/>
    <x v="0"/>
    <n v="20.210958904109589"/>
    <x v="3"/>
    <n v="1"/>
    <d v="2006-01-24T00:00:00"/>
  </r>
  <r>
    <x v="1"/>
    <n v="19014383"/>
    <x v="1"/>
    <d v="2026-04-06T00:00:00"/>
    <x v="1"/>
    <x v="2"/>
    <x v="11"/>
    <m/>
    <n v="9999"/>
    <n v="333.3"/>
    <n v="0"/>
    <n v="0"/>
    <n v="0"/>
    <x v="0"/>
    <n v="19.624657534246577"/>
    <x v="3"/>
    <n v="1"/>
    <d v="2006-08-26T00:00:00"/>
  </r>
  <r>
    <x v="1"/>
    <n v="19014558"/>
    <x v="0"/>
    <d v="2026-04-06T00:00:00"/>
    <x v="1"/>
    <x v="2"/>
    <x v="11"/>
    <m/>
    <n v="9999"/>
    <n v="333.3"/>
    <n v="0"/>
    <n v="0"/>
    <n v="0"/>
    <x v="1"/>
    <n v="19.989041095890411"/>
    <x v="3"/>
    <n v="1"/>
    <d v="2006-04-15T00:00:00"/>
  </r>
  <r>
    <x v="1"/>
    <n v="19014559"/>
    <x v="0"/>
    <d v="2026-04-06T00:00:00"/>
    <x v="1"/>
    <x v="2"/>
    <x v="11"/>
    <m/>
    <n v="9999"/>
    <n v="333.3"/>
    <n v="0"/>
    <n v="0"/>
    <n v="0"/>
    <x v="1"/>
    <n v="19.076712328767123"/>
    <x v="3"/>
    <n v="1"/>
    <d v="2007-03-14T00:00:00"/>
  </r>
  <r>
    <x v="1"/>
    <n v="19014560"/>
    <x v="1"/>
    <d v="2026-04-06T00:00:00"/>
    <x v="1"/>
    <x v="2"/>
    <x v="11"/>
    <m/>
    <n v="9999"/>
    <n v="333.3"/>
    <n v="0"/>
    <n v="0"/>
    <n v="0"/>
    <x v="1"/>
    <n v="18.764383561643836"/>
    <x v="3"/>
    <n v="1"/>
    <d v="2007-07-06T00:00:00"/>
  </r>
  <r>
    <x v="1"/>
    <n v="19014574"/>
    <x v="0"/>
    <d v="2026-04-06T00:00:00"/>
    <x v="1"/>
    <x v="2"/>
    <x v="11"/>
    <m/>
    <n v="9999"/>
    <n v="333.3"/>
    <n v="0"/>
    <n v="0"/>
    <n v="0"/>
    <x v="0"/>
    <n v="19.736986301369864"/>
    <x v="3"/>
    <n v="1"/>
    <d v="2006-07-16T00:00:00"/>
  </r>
  <r>
    <x v="1"/>
    <n v="19014634"/>
    <x v="0"/>
    <d v="2026-04-06T00:00:00"/>
    <x v="1"/>
    <x v="2"/>
    <x v="11"/>
    <m/>
    <n v="9999"/>
    <n v="333.3"/>
    <n v="0"/>
    <n v="0"/>
    <n v="0"/>
    <x v="1"/>
    <n v="21.298630136986301"/>
    <x v="2"/>
    <n v="2"/>
    <d v="2004-12-23T00:00:00"/>
  </r>
  <r>
    <x v="1"/>
    <n v="19014671"/>
    <x v="0"/>
    <d v="2026-04-06T00:00:00"/>
    <x v="1"/>
    <x v="2"/>
    <x v="11"/>
    <m/>
    <n v="9999"/>
    <n v="333.3"/>
    <n v="0"/>
    <n v="0"/>
    <n v="0"/>
    <x v="0"/>
    <n v="19.405479452054795"/>
    <x v="3"/>
    <n v="1"/>
    <d v="2006-11-14T00:00:00"/>
  </r>
  <r>
    <x v="1"/>
    <n v="19014692"/>
    <x v="1"/>
    <d v="2026-04-06T00:00:00"/>
    <x v="1"/>
    <x v="2"/>
    <x v="11"/>
    <m/>
    <n v="9999"/>
    <n v="333.3"/>
    <n v="0"/>
    <n v="0"/>
    <n v="0"/>
    <x v="1"/>
    <n v="20.227397260273971"/>
    <x v="3"/>
    <n v="1"/>
    <d v="2006-01-18T00:00:00"/>
  </r>
  <r>
    <x v="1"/>
    <n v="19014724"/>
    <x v="0"/>
    <d v="2026-04-01T00:00:00"/>
    <x v="1"/>
    <x v="2"/>
    <x v="11"/>
    <m/>
    <n v="9999"/>
    <n v="333.3"/>
    <n v="0"/>
    <n v="0"/>
    <n v="0"/>
    <x v="1"/>
    <n v="19.775342465753425"/>
    <x v="3"/>
    <n v="1"/>
    <d v="2006-06-27T00:00:00"/>
  </r>
  <r>
    <x v="1"/>
    <n v="19014725"/>
    <x v="0"/>
    <d v="2026-04-01T00:00:00"/>
    <x v="1"/>
    <x v="2"/>
    <x v="11"/>
    <d v="2026-04-30T00:00:00"/>
    <n v="29"/>
    <n v="0.96666666666666667"/>
    <n v="1"/>
    <n v="1"/>
    <n v="1"/>
    <x v="1"/>
    <n v="24.241095890410961"/>
    <x v="2"/>
    <n v="2"/>
    <d v="2002-01-09T00:00:00"/>
  </r>
  <r>
    <x v="1"/>
    <n v="19014726"/>
    <x v="0"/>
    <d v="2026-04-01T00:00:00"/>
    <x v="1"/>
    <x v="2"/>
    <x v="11"/>
    <m/>
    <n v="9999"/>
    <n v="333.3"/>
    <n v="0"/>
    <n v="0"/>
    <n v="0"/>
    <x v="1"/>
    <n v="27.273972602739725"/>
    <x v="1"/>
    <n v="3"/>
    <d v="1998-12-29T00:00:00"/>
  </r>
  <r>
    <x v="1"/>
    <n v="19014727"/>
    <x v="1"/>
    <d v="2026-04-01T00:00:00"/>
    <x v="1"/>
    <x v="2"/>
    <x v="11"/>
    <m/>
    <n v="9999"/>
    <n v="333.3"/>
    <n v="0"/>
    <n v="0"/>
    <n v="0"/>
    <x v="1"/>
    <n v="19.616438356164384"/>
    <x v="3"/>
    <n v="1"/>
    <d v="2006-08-24T00:00:00"/>
  </r>
  <r>
    <x v="1"/>
    <n v="19014728"/>
    <x v="0"/>
    <d v="2026-04-01T00:00:00"/>
    <x v="1"/>
    <x v="2"/>
    <x v="11"/>
    <d v="2026-04-30T00:00:00"/>
    <n v="29"/>
    <n v="0.96666666666666667"/>
    <n v="1"/>
    <n v="1"/>
    <n v="1"/>
    <x v="1"/>
    <n v="18.326027397260273"/>
    <x v="3"/>
    <n v="1"/>
    <d v="2007-12-08T00:00:00"/>
  </r>
  <r>
    <x v="1"/>
    <n v="19014813"/>
    <x v="0"/>
    <d v="2026-04-01T00:00:00"/>
    <x v="1"/>
    <x v="2"/>
    <x v="11"/>
    <d v="2026-04-06T00:00:00"/>
    <n v="5"/>
    <n v="0.16666666666666666"/>
    <n v="1"/>
    <n v="1"/>
    <n v="1"/>
    <x v="1"/>
    <n v="25.846575342465755"/>
    <x v="2"/>
    <n v="2"/>
    <d v="2000-06-02T00:00:00"/>
  </r>
  <r>
    <x v="1"/>
    <n v="19014823"/>
    <x v="0"/>
    <d v="2026-04-01T00:00:00"/>
    <x v="1"/>
    <x v="2"/>
    <x v="11"/>
    <d v="2026-05-08T00:00:00"/>
    <n v="37"/>
    <n v="1.2333333333333334"/>
    <n v="0"/>
    <n v="1"/>
    <n v="1"/>
    <x v="1"/>
    <n v="19.712328767123289"/>
    <x v="3"/>
    <n v="1"/>
    <d v="2006-07-20T00:00:00"/>
  </r>
  <r>
    <x v="1"/>
    <n v="19014824"/>
    <x v="0"/>
    <d v="2026-04-01T00:00:00"/>
    <x v="1"/>
    <x v="2"/>
    <x v="11"/>
    <d v="2026-05-24T00:00:00"/>
    <n v="53"/>
    <n v="1.7666666666666666"/>
    <n v="0"/>
    <n v="1"/>
    <n v="1"/>
    <x v="1"/>
    <n v="21.339726027397262"/>
    <x v="2"/>
    <n v="2"/>
    <d v="2004-12-03T00:00:00"/>
  </r>
  <r>
    <x v="1"/>
    <n v="19014826"/>
    <x v="0"/>
    <d v="2026-04-01T00:00:00"/>
    <x v="1"/>
    <x v="2"/>
    <x v="11"/>
    <m/>
    <n v="9999"/>
    <n v="333.3"/>
    <n v="0"/>
    <n v="0"/>
    <n v="0"/>
    <x v="1"/>
    <n v="25.282191780821918"/>
    <x v="2"/>
    <n v="2"/>
    <d v="2000-12-25T00:00:00"/>
  </r>
  <r>
    <x v="1"/>
    <n v="19014827"/>
    <x v="0"/>
    <d v="2026-04-01T00:00:00"/>
    <x v="1"/>
    <x v="2"/>
    <x v="11"/>
    <m/>
    <n v="9999"/>
    <n v="333.3"/>
    <n v="0"/>
    <n v="0"/>
    <n v="0"/>
    <x v="1"/>
    <n v="20.506849315068493"/>
    <x v="3"/>
    <n v="1"/>
    <d v="2005-10-03T00:00:00"/>
  </r>
  <r>
    <x v="1"/>
    <n v="19014828"/>
    <x v="1"/>
    <d v="2026-04-01T00:00:00"/>
    <x v="1"/>
    <x v="2"/>
    <x v="11"/>
    <m/>
    <n v="9999"/>
    <n v="333.3"/>
    <n v="0"/>
    <n v="0"/>
    <n v="0"/>
    <x v="1"/>
    <n v="18.882191780821916"/>
    <x v="3"/>
    <n v="1"/>
    <d v="2007-05-19T00:00:00"/>
  </r>
  <r>
    <x v="1"/>
    <n v="19014834"/>
    <x v="0"/>
    <d v="2026-04-01T00:00:00"/>
    <x v="1"/>
    <x v="2"/>
    <x v="11"/>
    <m/>
    <n v="9999"/>
    <n v="333.3"/>
    <n v="0"/>
    <n v="0"/>
    <n v="0"/>
    <x v="1"/>
    <n v="18.709589041095889"/>
    <x v="3"/>
    <n v="1"/>
    <d v="2007-07-21T00:00:00"/>
  </r>
  <r>
    <x v="1"/>
    <n v="19014846"/>
    <x v="0"/>
    <d v="2026-04-01T00:00:00"/>
    <x v="1"/>
    <x v="2"/>
    <x v="11"/>
    <m/>
    <n v="9999"/>
    <n v="333.3"/>
    <n v="0"/>
    <n v="0"/>
    <n v="0"/>
    <x v="1"/>
    <n v="40.679452054794524"/>
    <x v="0"/>
    <n v="4"/>
    <d v="1985-08-06T00:00:00"/>
  </r>
  <r>
    <x v="1"/>
    <n v="19014849"/>
    <x v="0"/>
    <d v="2026-04-01T00:00:00"/>
    <x v="1"/>
    <x v="2"/>
    <x v="11"/>
    <d v="2026-04-09T00:00:00"/>
    <n v="8"/>
    <n v="0.26666666666666666"/>
    <n v="1"/>
    <n v="1"/>
    <n v="1"/>
    <x v="1"/>
    <n v="19.849315068493151"/>
    <x v="3"/>
    <n v="1"/>
    <d v="2006-05-31T00:00:00"/>
  </r>
  <r>
    <x v="1"/>
    <n v="19014884"/>
    <x v="0"/>
    <d v="2026-04-07T00:00:00"/>
    <x v="1"/>
    <x v="2"/>
    <x v="11"/>
    <d v="2026-04-16T00:00:00"/>
    <n v="9"/>
    <n v="0.3"/>
    <n v="1"/>
    <n v="1"/>
    <n v="1"/>
    <x v="1"/>
    <n v="22.054794520547944"/>
    <x v="2"/>
    <n v="2"/>
    <d v="2004-03-23T00:00:00"/>
  </r>
  <r>
    <x v="1"/>
    <n v="19014921"/>
    <x v="0"/>
    <d v="2026-04-07T00:00:00"/>
    <x v="1"/>
    <x v="2"/>
    <x v="11"/>
    <d v="2026-04-10T00:00:00"/>
    <n v="3"/>
    <n v="0.1"/>
    <n v="1"/>
    <n v="1"/>
    <n v="1"/>
    <x v="1"/>
    <n v="19.030136986301368"/>
    <x v="3"/>
    <n v="1"/>
    <d v="2007-04-01T00:00:00"/>
  </r>
  <r>
    <x v="0"/>
    <n v="19014922"/>
    <x v="0"/>
    <d v="2026-04-07T00:00:00"/>
    <x v="1"/>
    <x v="2"/>
    <x v="11"/>
    <m/>
    <n v="9999"/>
    <n v="333.3"/>
    <n v="0"/>
    <n v="0"/>
    <n v="0"/>
    <x v="1"/>
    <n v="18.682191780821917"/>
    <x v="3"/>
    <n v="1"/>
    <d v="2007-08-06T00:00:00"/>
  </r>
  <r>
    <x v="1"/>
    <n v="19014923"/>
    <x v="0"/>
    <d v="2026-04-07T00:00:00"/>
    <x v="1"/>
    <x v="2"/>
    <x v="11"/>
    <d v="2026-05-10T00:00:00"/>
    <n v="33"/>
    <n v="1.1000000000000001"/>
    <n v="0"/>
    <n v="1"/>
    <n v="1"/>
    <x v="1"/>
    <n v="23.687671232876713"/>
    <x v="2"/>
    <n v="2"/>
    <d v="2002-08-05T00:00:00"/>
  </r>
  <r>
    <x v="1"/>
    <n v="19014924"/>
    <x v="1"/>
    <d v="2026-04-07T00:00:00"/>
    <x v="1"/>
    <x v="2"/>
    <x v="11"/>
    <m/>
    <n v="9999"/>
    <n v="333.3"/>
    <n v="0"/>
    <n v="0"/>
    <n v="0"/>
    <x v="0"/>
    <n v="19.978082191780821"/>
    <x v="3"/>
    <n v="1"/>
    <d v="2006-04-20T00:00:00"/>
  </r>
  <r>
    <x v="1"/>
    <n v="19014927"/>
    <x v="0"/>
    <d v="2026-04-07T00:00:00"/>
    <x v="1"/>
    <x v="2"/>
    <x v="11"/>
    <m/>
    <n v="9999"/>
    <n v="333.3"/>
    <n v="0"/>
    <n v="0"/>
    <n v="0"/>
    <x v="1"/>
    <n v="22.136986301369863"/>
    <x v="2"/>
    <n v="2"/>
    <d v="2004-02-22T00:00:00"/>
  </r>
  <r>
    <x v="0"/>
    <n v="19014934"/>
    <x v="0"/>
    <d v="2026-04-07T00:00:00"/>
    <x v="1"/>
    <x v="2"/>
    <x v="11"/>
    <m/>
    <n v="9999"/>
    <n v="333.3"/>
    <n v="0"/>
    <n v="0"/>
    <n v="0"/>
    <x v="0"/>
    <n v="34.241095890410961"/>
    <x v="0"/>
    <n v="4"/>
    <d v="1992-01-18T00:00:00"/>
  </r>
  <r>
    <x v="1"/>
    <n v="19014938"/>
    <x v="0"/>
    <d v="2026-04-07T00:00:00"/>
    <x v="1"/>
    <x v="2"/>
    <x v="11"/>
    <m/>
    <n v="9999"/>
    <n v="333.3"/>
    <n v="0"/>
    <n v="0"/>
    <n v="0"/>
    <x v="1"/>
    <n v="18.145205479452056"/>
    <x v="3"/>
    <n v="1"/>
    <d v="2008-02-18T00:00:00"/>
  </r>
  <r>
    <x v="1"/>
    <n v="19014960"/>
    <x v="0"/>
    <d v="2026-04-07T00:00:00"/>
    <x v="1"/>
    <x v="2"/>
    <x v="11"/>
    <m/>
    <n v="9999"/>
    <n v="333.3"/>
    <n v="0"/>
    <n v="0"/>
    <n v="0"/>
    <x v="0"/>
    <n v="18.643835616438356"/>
    <x v="3"/>
    <n v="1"/>
    <d v="2007-08-20T00:00:00"/>
  </r>
  <r>
    <x v="1"/>
    <n v="19015326"/>
    <x v="0"/>
    <d v="2026-04-08T00:00:00"/>
    <x v="1"/>
    <x v="2"/>
    <x v="11"/>
    <m/>
    <n v="9999"/>
    <n v="333.3"/>
    <n v="0"/>
    <n v="0"/>
    <n v="0"/>
    <x v="0"/>
    <n v="24.126027397260273"/>
    <x v="2"/>
    <n v="2"/>
    <d v="2002-02-27T00:00:00"/>
  </r>
  <r>
    <x v="1"/>
    <n v="19015344"/>
    <x v="0"/>
    <d v="2026-04-08T00:00:00"/>
    <x v="1"/>
    <x v="2"/>
    <x v="11"/>
    <m/>
    <n v="9999"/>
    <n v="333.3"/>
    <n v="0"/>
    <n v="0"/>
    <n v="0"/>
    <x v="1"/>
    <n v="22.312328767123287"/>
    <x v="2"/>
    <n v="2"/>
    <d v="2003-12-21T00:00:00"/>
  </r>
  <r>
    <x v="1"/>
    <n v="19015558"/>
    <x v="0"/>
    <d v="2026-04-09T00:00:00"/>
    <x v="1"/>
    <x v="2"/>
    <x v="11"/>
    <m/>
    <n v="9999"/>
    <n v="333.3"/>
    <n v="0"/>
    <n v="0"/>
    <n v="0"/>
    <x v="0"/>
    <n v="18.424657534246574"/>
    <x v="3"/>
    <n v="1"/>
    <d v="2007-11-10T00:00:00"/>
  </r>
  <r>
    <x v="1"/>
    <n v="19015566"/>
    <x v="0"/>
    <d v="2026-04-09T00:00:00"/>
    <x v="1"/>
    <x v="2"/>
    <x v="11"/>
    <d v="2026-05-12T00:00:00"/>
    <n v="33"/>
    <n v="1.1000000000000001"/>
    <n v="0"/>
    <n v="1"/>
    <n v="1"/>
    <x v="0"/>
    <n v="21.895890410958906"/>
    <x v="2"/>
    <n v="2"/>
    <d v="2004-05-22T00:00:00"/>
  </r>
  <r>
    <x v="1"/>
    <n v="19015585"/>
    <x v="0"/>
    <d v="2026-04-09T00:00:00"/>
    <x v="1"/>
    <x v="2"/>
    <x v="11"/>
    <m/>
    <n v="9999"/>
    <n v="333.3"/>
    <n v="0"/>
    <n v="0"/>
    <n v="0"/>
    <x v="1"/>
    <n v="27.556164383561644"/>
    <x v="1"/>
    <n v="3"/>
    <d v="1998-09-25T00:00:00"/>
  </r>
  <r>
    <x v="1"/>
    <n v="19015624"/>
    <x v="0"/>
    <d v="2026-04-09T00:00:00"/>
    <x v="1"/>
    <x v="2"/>
    <x v="11"/>
    <m/>
    <n v="9999"/>
    <n v="333.3"/>
    <n v="0"/>
    <n v="0"/>
    <n v="0"/>
    <x v="0"/>
    <n v="21.109589041095891"/>
    <x v="2"/>
    <n v="2"/>
    <d v="2005-03-05T00:00:00"/>
  </r>
  <r>
    <x v="1"/>
    <n v="19015631"/>
    <x v="0"/>
    <d v="2026-04-09T00:00:00"/>
    <x v="1"/>
    <x v="2"/>
    <x v="11"/>
    <m/>
    <n v="9999"/>
    <n v="333.3"/>
    <n v="0"/>
    <n v="0"/>
    <n v="0"/>
    <x v="0"/>
    <n v="31.372602739726027"/>
    <x v="0"/>
    <n v="4"/>
    <d v="1994-12-02T00:00:00"/>
  </r>
  <r>
    <x v="1"/>
    <n v="19015672"/>
    <x v="0"/>
    <d v="2026-04-09T00:00:00"/>
    <x v="1"/>
    <x v="2"/>
    <x v="11"/>
    <m/>
    <n v="9999"/>
    <n v="333.3"/>
    <n v="0"/>
    <n v="0"/>
    <n v="0"/>
    <x v="0"/>
    <n v="26.142465753424659"/>
    <x v="1"/>
    <n v="3"/>
    <d v="2000-02-23T00:00:00"/>
  </r>
  <r>
    <x v="1"/>
    <n v="19015673"/>
    <x v="0"/>
    <d v="2026-04-09T00:00:00"/>
    <x v="1"/>
    <x v="2"/>
    <x v="11"/>
    <d v="2026-05-01T00:00:00"/>
    <n v="22"/>
    <n v="0.73333333333333328"/>
    <n v="1"/>
    <n v="1"/>
    <n v="1"/>
    <x v="0"/>
    <n v="26.528767123287672"/>
    <x v="1"/>
    <n v="3"/>
    <d v="1999-10-05T00:00:00"/>
  </r>
  <r>
    <x v="1"/>
    <n v="19015674"/>
    <x v="0"/>
    <d v="2026-04-09T00:00:00"/>
    <x v="1"/>
    <x v="2"/>
    <x v="11"/>
    <d v="2026-05-01T00:00:00"/>
    <n v="22"/>
    <n v="0.73333333333333328"/>
    <n v="1"/>
    <n v="1"/>
    <n v="1"/>
    <x v="0"/>
    <n v="22.210958904109589"/>
    <x v="2"/>
    <n v="2"/>
    <d v="2004-01-28T00:00:00"/>
  </r>
  <r>
    <x v="1"/>
    <n v="19015686"/>
    <x v="0"/>
    <d v="2026-04-09T00:00:00"/>
    <x v="1"/>
    <x v="2"/>
    <x v="11"/>
    <d v="2026-05-31T00:00:00"/>
    <n v="52"/>
    <n v="1.7333333333333334"/>
    <n v="0"/>
    <n v="1"/>
    <n v="1"/>
    <x v="1"/>
    <n v="19.13150684931507"/>
    <x v="3"/>
    <n v="1"/>
    <d v="2007-02-25T00:00:00"/>
  </r>
  <r>
    <x v="1"/>
    <n v="19015884"/>
    <x v="0"/>
    <d v="2026-04-10T00:00:00"/>
    <x v="1"/>
    <x v="2"/>
    <x v="11"/>
    <m/>
    <n v="9999"/>
    <n v="333.3"/>
    <n v="0"/>
    <n v="0"/>
    <n v="0"/>
    <x v="1"/>
    <n v="20.901369863013699"/>
    <x v="3"/>
    <n v="1"/>
    <d v="2005-05-21T00:00:00"/>
  </r>
  <r>
    <x v="1"/>
    <n v="19015885"/>
    <x v="0"/>
    <d v="2026-04-10T00:00:00"/>
    <x v="1"/>
    <x v="2"/>
    <x v="11"/>
    <m/>
    <n v="9999"/>
    <n v="333.3"/>
    <n v="0"/>
    <n v="0"/>
    <n v="0"/>
    <x v="1"/>
    <n v="20.863013698630137"/>
    <x v="3"/>
    <n v="1"/>
    <d v="2005-06-04T00:00:00"/>
  </r>
  <r>
    <x v="1"/>
    <n v="19015928"/>
    <x v="0"/>
    <d v="2026-04-10T00:00:00"/>
    <x v="1"/>
    <x v="2"/>
    <x v="11"/>
    <m/>
    <n v="9999"/>
    <n v="333.3"/>
    <n v="0"/>
    <n v="0"/>
    <n v="0"/>
    <x v="1"/>
    <n v="18.427397260273974"/>
    <x v="3"/>
    <n v="1"/>
    <d v="2007-11-10T00:00:00"/>
  </r>
  <r>
    <x v="1"/>
    <n v="19015935"/>
    <x v="1"/>
    <d v="2026-04-10T00:00:00"/>
    <x v="1"/>
    <x v="2"/>
    <x v="11"/>
    <m/>
    <n v="9999"/>
    <n v="333.3"/>
    <n v="0"/>
    <n v="0"/>
    <n v="0"/>
    <x v="1"/>
    <n v="27.243835616438357"/>
    <x v="1"/>
    <n v="3"/>
    <d v="1999-01-18T00:00:00"/>
  </r>
  <r>
    <x v="1"/>
    <n v="19015960"/>
    <x v="0"/>
    <d v="2026-04-10T00:00:00"/>
    <x v="1"/>
    <x v="2"/>
    <x v="11"/>
    <m/>
    <n v="9999"/>
    <n v="333.3"/>
    <n v="0"/>
    <n v="0"/>
    <n v="0"/>
    <x v="1"/>
    <n v="18.304109589041097"/>
    <x v="3"/>
    <n v="1"/>
    <d v="2007-12-25T00:00:00"/>
  </r>
  <r>
    <x v="1"/>
    <n v="19015970"/>
    <x v="1"/>
    <d v="2026-04-10T00:00:00"/>
    <x v="1"/>
    <x v="2"/>
    <x v="11"/>
    <m/>
    <n v="9999"/>
    <n v="333.3"/>
    <n v="0"/>
    <n v="0"/>
    <n v="0"/>
    <x v="1"/>
    <n v="22.315068493150687"/>
    <x v="2"/>
    <n v="2"/>
    <d v="2003-12-22T00:00:00"/>
  </r>
  <r>
    <x v="1"/>
    <n v="19016023"/>
    <x v="0"/>
    <d v="2026-04-10T00:00:00"/>
    <x v="1"/>
    <x v="2"/>
    <x v="11"/>
    <m/>
    <n v="9999"/>
    <n v="333.3"/>
    <n v="0"/>
    <n v="0"/>
    <n v="0"/>
    <x v="1"/>
    <n v="22.92876712328767"/>
    <x v="2"/>
    <n v="2"/>
    <d v="2003-05-12T00:00:00"/>
  </r>
  <r>
    <x v="0"/>
    <n v="19016025"/>
    <x v="0"/>
    <d v="2026-04-10T00:00:00"/>
    <x v="1"/>
    <x v="2"/>
    <x v="11"/>
    <m/>
    <n v="9999"/>
    <n v="333.3"/>
    <n v="0"/>
    <n v="0"/>
    <n v="0"/>
    <x v="1"/>
    <n v="21.084931506849315"/>
    <x v="2"/>
    <n v="2"/>
    <d v="2005-03-15T00:00:00"/>
  </r>
  <r>
    <x v="1"/>
    <n v="19016045"/>
    <x v="0"/>
    <d v="2026-04-10T00:00:00"/>
    <x v="1"/>
    <x v="2"/>
    <x v="11"/>
    <m/>
    <n v="9999"/>
    <n v="333.3"/>
    <n v="0"/>
    <n v="0"/>
    <n v="0"/>
    <x v="1"/>
    <n v="20.205479452054796"/>
    <x v="3"/>
    <n v="1"/>
    <d v="2006-01-30T00:00:00"/>
  </r>
  <r>
    <x v="1"/>
    <n v="19016052"/>
    <x v="0"/>
    <d v="2026-04-10T00:00:00"/>
    <x v="1"/>
    <x v="2"/>
    <x v="11"/>
    <d v="2026-04-30T00:00:00"/>
    <n v="20"/>
    <n v="0.66666666666666663"/>
    <n v="1"/>
    <n v="1"/>
    <n v="1"/>
    <x v="1"/>
    <n v="40.671232876712331"/>
    <x v="0"/>
    <n v="4"/>
    <d v="1985-08-18T00:00:00"/>
  </r>
  <r>
    <x v="1"/>
    <n v="19016060"/>
    <x v="1"/>
    <d v="2026-04-10T00:00:00"/>
    <x v="1"/>
    <x v="2"/>
    <x v="11"/>
    <d v="2026-05-31T00:00:00"/>
    <n v="51"/>
    <n v="1.7"/>
    <n v="0"/>
    <n v="1"/>
    <n v="1"/>
    <x v="1"/>
    <n v="23.13150684931507"/>
    <x v="2"/>
    <n v="2"/>
    <d v="2003-02-27T00:00:00"/>
  </r>
  <r>
    <x v="1"/>
    <n v="19016061"/>
    <x v="0"/>
    <d v="2026-04-10T00:00:00"/>
    <x v="1"/>
    <x v="2"/>
    <x v="11"/>
    <m/>
    <n v="9999"/>
    <n v="333.3"/>
    <n v="0"/>
    <n v="0"/>
    <n v="0"/>
    <x v="1"/>
    <n v="23.405479452054795"/>
    <x v="2"/>
    <n v="2"/>
    <d v="2002-11-19T00:00:00"/>
  </r>
  <r>
    <x v="1"/>
    <n v="19016071"/>
    <x v="0"/>
    <d v="2026-04-10T00:00:00"/>
    <x v="1"/>
    <x v="2"/>
    <x v="11"/>
    <m/>
    <n v="9999"/>
    <n v="333.3"/>
    <n v="0"/>
    <n v="0"/>
    <n v="0"/>
    <x v="0"/>
    <n v="22.572602739726026"/>
    <x v="2"/>
    <n v="2"/>
    <d v="2003-09-19T00:00:00"/>
  </r>
  <r>
    <x v="0"/>
    <n v="19016179"/>
    <x v="1"/>
    <d v="2026-04-10T00:00:00"/>
    <x v="1"/>
    <x v="2"/>
    <x v="11"/>
    <m/>
    <n v="9999"/>
    <n v="333.3"/>
    <n v="0"/>
    <n v="0"/>
    <n v="0"/>
    <x v="1"/>
    <n v="23.646575342465752"/>
    <x v="2"/>
    <n v="2"/>
    <d v="2002-08-23T00:00:00"/>
  </r>
  <r>
    <x v="1"/>
    <n v="19016215"/>
    <x v="0"/>
    <d v="2026-04-10T00:00:00"/>
    <x v="1"/>
    <x v="2"/>
    <x v="11"/>
    <m/>
    <n v="9999"/>
    <n v="333.3"/>
    <n v="0"/>
    <n v="0"/>
    <n v="0"/>
    <x v="0"/>
    <n v="33.890410958904113"/>
    <x v="0"/>
    <n v="4"/>
    <d v="1992-05-28T00:00:00"/>
  </r>
  <r>
    <x v="1"/>
    <n v="19016234"/>
    <x v="1"/>
    <d v="2026-04-10T00:00:00"/>
    <x v="1"/>
    <x v="2"/>
    <x v="11"/>
    <m/>
    <n v="9999"/>
    <n v="333.3"/>
    <n v="0"/>
    <n v="0"/>
    <n v="0"/>
    <x v="1"/>
    <n v="22.61917808219178"/>
    <x v="2"/>
    <n v="2"/>
    <d v="2003-09-02T00:00:00"/>
  </r>
  <r>
    <x v="1"/>
    <n v="19016235"/>
    <x v="0"/>
    <d v="2026-04-10T00:00:00"/>
    <x v="1"/>
    <x v="2"/>
    <x v="11"/>
    <m/>
    <n v="9999"/>
    <n v="333.3"/>
    <n v="0"/>
    <n v="0"/>
    <n v="0"/>
    <x v="1"/>
    <n v="20.301369863013697"/>
    <x v="3"/>
    <n v="1"/>
    <d v="2005-12-26T00:00:00"/>
  </r>
  <r>
    <x v="1"/>
    <n v="19016393"/>
    <x v="0"/>
    <d v="2026-04-13T00:00:00"/>
    <x v="1"/>
    <x v="2"/>
    <x v="11"/>
    <m/>
    <n v="9999"/>
    <n v="333.3"/>
    <n v="0"/>
    <n v="0"/>
    <n v="0"/>
    <x v="1"/>
    <n v="24.860273972602741"/>
    <x v="2"/>
    <n v="2"/>
    <d v="2001-06-09T00:00:00"/>
  </r>
  <r>
    <x v="1"/>
    <n v="19016409"/>
    <x v="0"/>
    <d v="2026-04-13T00:00:00"/>
    <x v="1"/>
    <x v="2"/>
    <x v="11"/>
    <d v="2026-05-31T00:00:00"/>
    <n v="48"/>
    <n v="1.6"/>
    <n v="0"/>
    <n v="1"/>
    <n v="1"/>
    <x v="1"/>
    <n v="18.065753424657533"/>
    <x v="3"/>
    <n v="1"/>
    <d v="2008-03-24T00:00:00"/>
  </r>
  <r>
    <x v="1"/>
    <n v="19016410"/>
    <x v="0"/>
    <d v="2026-04-13T00:00:00"/>
    <x v="1"/>
    <x v="2"/>
    <x v="11"/>
    <m/>
    <n v="9999"/>
    <n v="333.3"/>
    <n v="0"/>
    <n v="0"/>
    <n v="0"/>
    <x v="1"/>
    <n v="24.172602739726027"/>
    <x v="2"/>
    <n v="2"/>
    <d v="2002-02-15T00:00:00"/>
  </r>
  <r>
    <x v="1"/>
    <n v="19016411"/>
    <x v="0"/>
    <d v="2026-04-13T00:00:00"/>
    <x v="1"/>
    <x v="2"/>
    <x v="11"/>
    <m/>
    <n v="9999"/>
    <n v="333.3"/>
    <n v="0"/>
    <n v="0"/>
    <n v="0"/>
    <x v="1"/>
    <n v="29.673972602739727"/>
    <x v="1"/>
    <n v="3"/>
    <d v="1996-08-17T00:00:00"/>
  </r>
  <r>
    <x v="1"/>
    <n v="19016412"/>
    <x v="0"/>
    <d v="2026-04-13T00:00:00"/>
    <x v="1"/>
    <x v="2"/>
    <x v="11"/>
    <m/>
    <n v="9999"/>
    <n v="333.3"/>
    <n v="0"/>
    <n v="0"/>
    <n v="0"/>
    <x v="1"/>
    <n v="20.547945205479451"/>
    <x v="3"/>
    <n v="1"/>
    <d v="2005-09-30T00:00:00"/>
  </r>
  <r>
    <x v="1"/>
    <n v="19016420"/>
    <x v="0"/>
    <d v="2026-04-13T00:00:00"/>
    <x v="1"/>
    <x v="2"/>
    <x v="11"/>
    <m/>
    <n v="9999"/>
    <n v="333.3"/>
    <n v="0"/>
    <n v="0"/>
    <n v="0"/>
    <x v="0"/>
    <n v="20.841095890410958"/>
    <x v="3"/>
    <n v="1"/>
    <d v="2005-06-15T00:00:00"/>
  </r>
  <r>
    <x v="1"/>
    <n v="19016429"/>
    <x v="0"/>
    <d v="2026-04-13T00:00:00"/>
    <x v="1"/>
    <x v="2"/>
    <x v="11"/>
    <m/>
    <n v="9999"/>
    <n v="333.3"/>
    <n v="0"/>
    <n v="0"/>
    <n v="0"/>
    <x v="1"/>
    <n v="18.789041095890411"/>
    <x v="3"/>
    <n v="1"/>
    <d v="2007-07-04T00:00:00"/>
  </r>
  <r>
    <x v="1"/>
    <n v="19016433"/>
    <x v="1"/>
    <d v="2026-04-13T00:00:00"/>
    <x v="1"/>
    <x v="2"/>
    <x v="11"/>
    <m/>
    <n v="9999"/>
    <n v="333.3"/>
    <n v="0"/>
    <n v="0"/>
    <n v="0"/>
    <x v="1"/>
    <n v="26.698630136986303"/>
    <x v="1"/>
    <n v="3"/>
    <d v="1999-08-08T00:00:00"/>
  </r>
  <r>
    <x v="1"/>
    <n v="19016465"/>
    <x v="0"/>
    <d v="2026-04-13T00:00:00"/>
    <x v="1"/>
    <x v="2"/>
    <x v="11"/>
    <d v="2026-04-15T00:00:00"/>
    <n v="2"/>
    <n v="6.6666666666666666E-2"/>
    <n v="1"/>
    <n v="1"/>
    <n v="1"/>
    <x v="0"/>
    <n v="37.454794520547942"/>
    <x v="0"/>
    <n v="4"/>
    <d v="1988-11-07T00:00:00"/>
  </r>
  <r>
    <x v="0"/>
    <n v="19016474"/>
    <x v="0"/>
    <d v="2026-04-13T00:00:00"/>
    <x v="1"/>
    <x v="2"/>
    <x v="11"/>
    <d v="2026-05-31T00:00:00"/>
    <n v="48"/>
    <n v="1.6"/>
    <n v="0"/>
    <n v="1"/>
    <n v="1"/>
    <x v="0"/>
    <n v="22.241095890410961"/>
    <x v="2"/>
    <n v="2"/>
    <d v="2004-01-21T00:00:00"/>
  </r>
  <r>
    <x v="1"/>
    <n v="19016490"/>
    <x v="0"/>
    <d v="2026-04-13T00:00:00"/>
    <x v="1"/>
    <x v="2"/>
    <x v="11"/>
    <m/>
    <n v="9999"/>
    <n v="333.3"/>
    <n v="0"/>
    <n v="0"/>
    <n v="0"/>
    <x v="0"/>
    <n v="28.043835616438358"/>
    <x v="1"/>
    <n v="3"/>
    <d v="1998-04-04T00:00:00"/>
  </r>
  <r>
    <x v="1"/>
    <n v="19016659"/>
    <x v="0"/>
    <d v="2026-04-13T00:00:00"/>
    <x v="1"/>
    <x v="2"/>
    <x v="11"/>
    <m/>
    <n v="9999"/>
    <n v="333.3"/>
    <n v="0"/>
    <n v="0"/>
    <n v="0"/>
    <x v="1"/>
    <n v="20.035616438356165"/>
    <x v="3"/>
    <n v="1"/>
    <d v="2006-04-05T00:00:00"/>
  </r>
  <r>
    <x v="1"/>
    <n v="19016665"/>
    <x v="0"/>
    <d v="2026-04-13T00:00:00"/>
    <x v="1"/>
    <x v="2"/>
    <x v="11"/>
    <m/>
    <n v="9999"/>
    <n v="333.3"/>
    <n v="0"/>
    <n v="0"/>
    <n v="0"/>
    <x v="1"/>
    <n v="20.038356164383561"/>
    <x v="3"/>
    <n v="1"/>
    <d v="2006-04-04T00:00:00"/>
  </r>
  <r>
    <x v="1"/>
    <n v="19016704"/>
    <x v="0"/>
    <d v="2026-04-13T00:00:00"/>
    <x v="1"/>
    <x v="2"/>
    <x v="11"/>
    <m/>
    <n v="9999"/>
    <n v="333.3"/>
    <n v="0"/>
    <n v="0"/>
    <n v="0"/>
    <x v="1"/>
    <n v="18.493150684931507"/>
    <x v="3"/>
    <n v="1"/>
    <d v="2007-10-20T00:00:00"/>
  </r>
  <r>
    <x v="1"/>
    <n v="19016984"/>
    <x v="0"/>
    <d v="2026-04-14T00:00:00"/>
    <x v="1"/>
    <x v="2"/>
    <x v="11"/>
    <m/>
    <n v="9999"/>
    <n v="333.3"/>
    <n v="0"/>
    <n v="0"/>
    <n v="0"/>
    <x v="1"/>
    <n v="31.775342465753425"/>
    <x v="0"/>
    <n v="4"/>
    <d v="1994-07-13T00:00:00"/>
  </r>
  <r>
    <x v="0"/>
    <n v="19017026"/>
    <x v="1"/>
    <d v="2026-04-14T00:00:00"/>
    <x v="1"/>
    <x v="2"/>
    <x v="11"/>
    <m/>
    <n v="9999"/>
    <n v="333.3"/>
    <n v="0"/>
    <n v="0"/>
    <n v="0"/>
    <x v="1"/>
    <n v="20.241095890410961"/>
    <x v="3"/>
    <n v="1"/>
    <d v="2006-01-21T00:00:00"/>
  </r>
  <r>
    <x v="1"/>
    <n v="19017065"/>
    <x v="1"/>
    <d v="2026-04-14T00:00:00"/>
    <x v="1"/>
    <x v="2"/>
    <x v="11"/>
    <m/>
    <n v="9999"/>
    <n v="333.3"/>
    <n v="0"/>
    <n v="0"/>
    <n v="0"/>
    <x v="1"/>
    <n v="18.857534246575341"/>
    <x v="3"/>
    <n v="1"/>
    <d v="2007-06-10T00:00:00"/>
  </r>
  <r>
    <x v="1"/>
    <n v="19017324"/>
    <x v="0"/>
    <d v="2026-04-15T00:00:00"/>
    <x v="1"/>
    <x v="2"/>
    <x v="11"/>
    <d v="2026-05-04T00:00:00"/>
    <n v="19"/>
    <n v="0.6333333333333333"/>
    <n v="1"/>
    <n v="1"/>
    <n v="1"/>
    <x v="1"/>
    <n v="29.030136986301368"/>
    <x v="1"/>
    <n v="3"/>
    <d v="1997-04-11T00:00:00"/>
  </r>
  <r>
    <x v="1"/>
    <n v="19017357"/>
    <x v="0"/>
    <d v="2026-04-15T00:00:00"/>
    <x v="1"/>
    <x v="2"/>
    <x v="11"/>
    <m/>
    <n v="9999"/>
    <n v="333.3"/>
    <n v="0"/>
    <n v="0"/>
    <n v="0"/>
    <x v="1"/>
    <n v="18.106849315068494"/>
    <x v="3"/>
    <n v="1"/>
    <d v="2008-03-11T00:00:00"/>
  </r>
  <r>
    <x v="1"/>
    <n v="19017359"/>
    <x v="0"/>
    <d v="2026-04-15T00:00:00"/>
    <x v="1"/>
    <x v="2"/>
    <x v="11"/>
    <m/>
    <n v="9999"/>
    <n v="333.3"/>
    <n v="0"/>
    <n v="0"/>
    <n v="0"/>
    <x v="1"/>
    <n v="22.068493150684933"/>
    <x v="2"/>
    <n v="2"/>
    <d v="2004-03-26T00:00:00"/>
  </r>
  <r>
    <x v="1"/>
    <n v="19017361"/>
    <x v="0"/>
    <d v="2026-04-15T00:00:00"/>
    <x v="1"/>
    <x v="2"/>
    <x v="11"/>
    <m/>
    <n v="9999"/>
    <n v="333.3"/>
    <n v="0"/>
    <n v="0"/>
    <n v="0"/>
    <x v="1"/>
    <n v="20.580821917808219"/>
    <x v="3"/>
    <n v="1"/>
    <d v="2005-09-20T00:00:00"/>
  </r>
  <r>
    <x v="1"/>
    <n v="19017393"/>
    <x v="0"/>
    <d v="2026-04-15T00:00:00"/>
    <x v="1"/>
    <x v="2"/>
    <x v="11"/>
    <d v="2026-05-04T00:00:00"/>
    <n v="19"/>
    <n v="0.6333333333333333"/>
    <n v="1"/>
    <n v="1"/>
    <n v="1"/>
    <x v="1"/>
    <n v="19.065753424657533"/>
    <x v="3"/>
    <n v="1"/>
    <d v="2007-03-27T00:00:00"/>
  </r>
  <r>
    <x v="1"/>
    <n v="19017541"/>
    <x v="0"/>
    <d v="2026-04-15T00:00:00"/>
    <x v="1"/>
    <x v="2"/>
    <x v="11"/>
    <m/>
    <n v="9999"/>
    <n v="333.3"/>
    <n v="0"/>
    <n v="0"/>
    <n v="0"/>
    <x v="0"/>
    <n v="18.950684931506849"/>
    <x v="3"/>
    <n v="1"/>
    <d v="2007-05-08T00:00:00"/>
  </r>
  <r>
    <x v="1"/>
    <n v="19017542"/>
    <x v="0"/>
    <d v="2026-04-15T00:00:00"/>
    <x v="1"/>
    <x v="2"/>
    <x v="11"/>
    <d v="2026-05-31T00:00:00"/>
    <n v="46"/>
    <n v="1.5333333333333334"/>
    <n v="0"/>
    <n v="1"/>
    <n v="1"/>
    <x v="0"/>
    <n v="31.230136986301371"/>
    <x v="0"/>
    <n v="4"/>
    <d v="1995-01-29T00:00:00"/>
  </r>
  <r>
    <x v="1"/>
    <n v="19017551"/>
    <x v="0"/>
    <d v="2026-04-15T00:00:00"/>
    <x v="1"/>
    <x v="2"/>
    <x v="11"/>
    <m/>
    <n v="9999"/>
    <n v="333.3"/>
    <n v="0"/>
    <n v="0"/>
    <n v="0"/>
    <x v="1"/>
    <n v="19.953424657534246"/>
    <x v="3"/>
    <n v="1"/>
    <d v="2006-05-07T00:00:00"/>
  </r>
  <r>
    <x v="1"/>
    <n v="19017563"/>
    <x v="0"/>
    <d v="2026-04-15T00:00:00"/>
    <x v="1"/>
    <x v="2"/>
    <x v="11"/>
    <m/>
    <n v="9999"/>
    <n v="333.3"/>
    <n v="0"/>
    <n v="0"/>
    <n v="0"/>
    <x v="1"/>
    <n v="20.087671232876712"/>
    <x v="3"/>
    <n v="1"/>
    <d v="2006-03-19T00:00:00"/>
  </r>
  <r>
    <x v="1"/>
    <n v="19017565"/>
    <x v="0"/>
    <d v="2026-04-15T00:00:00"/>
    <x v="1"/>
    <x v="2"/>
    <x v="11"/>
    <m/>
    <n v="9999"/>
    <n v="333.3"/>
    <n v="0"/>
    <n v="0"/>
    <n v="0"/>
    <x v="1"/>
    <n v="31.701369863013699"/>
    <x v="0"/>
    <n v="4"/>
    <d v="1994-08-10T00:00:00"/>
  </r>
  <r>
    <x v="1"/>
    <n v="19017597"/>
    <x v="0"/>
    <d v="2026-04-15T00:00:00"/>
    <x v="1"/>
    <x v="2"/>
    <x v="11"/>
    <d v="2026-05-01T00:00:00"/>
    <n v="16"/>
    <n v="0.53333333333333333"/>
    <n v="1"/>
    <n v="1"/>
    <n v="1"/>
    <x v="1"/>
    <n v="20.252054794520546"/>
    <x v="3"/>
    <n v="1"/>
    <d v="2006-01-18T00:00:00"/>
  </r>
  <r>
    <x v="1"/>
    <n v="19017604"/>
    <x v="0"/>
    <d v="2026-04-15T00:00:00"/>
    <x v="1"/>
    <x v="2"/>
    <x v="11"/>
    <m/>
    <n v="9999"/>
    <n v="333.3"/>
    <n v="0"/>
    <n v="0"/>
    <n v="0"/>
    <x v="0"/>
    <n v="18.649315068493152"/>
    <x v="3"/>
    <n v="1"/>
    <d v="2007-08-26T00:00:00"/>
  </r>
  <r>
    <x v="1"/>
    <n v="19017629"/>
    <x v="0"/>
    <d v="2026-04-15T00:00:00"/>
    <x v="1"/>
    <x v="2"/>
    <x v="11"/>
    <m/>
    <n v="9999"/>
    <n v="333.3"/>
    <n v="0"/>
    <n v="0"/>
    <n v="0"/>
    <x v="0"/>
    <n v="20.512328767123286"/>
    <x v="3"/>
    <n v="1"/>
    <d v="2005-10-15T00:00:00"/>
  </r>
  <r>
    <x v="1"/>
    <n v="19017684"/>
    <x v="0"/>
    <d v="2026-04-16T00:00:00"/>
    <x v="1"/>
    <x v="2"/>
    <x v="11"/>
    <m/>
    <n v="9999"/>
    <n v="333.3"/>
    <n v="0"/>
    <n v="0"/>
    <n v="0"/>
    <x v="1"/>
    <n v="23.339726027397262"/>
    <x v="2"/>
    <n v="2"/>
    <d v="2002-12-19T00:00:00"/>
  </r>
  <r>
    <x v="1"/>
    <n v="19017685"/>
    <x v="0"/>
    <d v="2026-04-16T00:00:00"/>
    <x v="1"/>
    <x v="2"/>
    <x v="11"/>
    <m/>
    <n v="9999"/>
    <n v="333.3"/>
    <n v="0"/>
    <n v="0"/>
    <n v="0"/>
    <x v="0"/>
    <n v="18.950684931506849"/>
    <x v="3"/>
    <n v="1"/>
    <d v="2007-05-09T00:00:00"/>
  </r>
  <r>
    <x v="1"/>
    <n v="19017689"/>
    <x v="0"/>
    <d v="2026-04-16T00:00:00"/>
    <x v="1"/>
    <x v="2"/>
    <x v="11"/>
    <m/>
    <n v="9999"/>
    <n v="333.3"/>
    <n v="0"/>
    <n v="0"/>
    <n v="0"/>
    <x v="0"/>
    <n v="21.016438356164382"/>
    <x v="2"/>
    <n v="2"/>
    <d v="2005-04-15T00:00:00"/>
  </r>
  <r>
    <x v="1"/>
    <n v="19017699"/>
    <x v="0"/>
    <d v="2026-04-16T00:00:00"/>
    <x v="1"/>
    <x v="2"/>
    <x v="11"/>
    <m/>
    <n v="9999"/>
    <n v="333.3"/>
    <n v="0"/>
    <n v="0"/>
    <n v="0"/>
    <x v="1"/>
    <n v="33.61643835616438"/>
    <x v="0"/>
    <n v="4"/>
    <d v="1992-09-11T00:00:00"/>
  </r>
  <r>
    <x v="1"/>
    <n v="19017733"/>
    <x v="1"/>
    <d v="2026-04-16T00:00:00"/>
    <x v="1"/>
    <x v="2"/>
    <x v="11"/>
    <m/>
    <n v="9999"/>
    <n v="333.3"/>
    <n v="0"/>
    <n v="0"/>
    <n v="0"/>
    <x v="0"/>
    <n v="19.109589041095891"/>
    <x v="3"/>
    <n v="1"/>
    <d v="2007-03-12T00:00:00"/>
  </r>
  <r>
    <x v="1"/>
    <n v="19017740"/>
    <x v="0"/>
    <d v="2026-04-16T00:00:00"/>
    <x v="1"/>
    <x v="2"/>
    <x v="11"/>
    <m/>
    <n v="9999"/>
    <n v="333.3"/>
    <n v="0"/>
    <n v="0"/>
    <n v="0"/>
    <x v="1"/>
    <n v="21.383561643835616"/>
    <x v="2"/>
    <n v="2"/>
    <d v="2004-12-02T00:00:00"/>
  </r>
  <r>
    <x v="1"/>
    <n v="19018027"/>
    <x v="1"/>
    <d v="2026-04-17T00:00:00"/>
    <x v="1"/>
    <x v="2"/>
    <x v="11"/>
    <m/>
    <n v="9999"/>
    <n v="333.3"/>
    <n v="0"/>
    <n v="0"/>
    <n v="0"/>
    <x v="0"/>
    <n v="19.276712328767122"/>
    <x v="3"/>
    <n v="1"/>
    <d v="2007-01-11T00:00:00"/>
  </r>
  <r>
    <x v="1"/>
    <n v="19018029"/>
    <x v="0"/>
    <d v="2026-04-17T00:00:00"/>
    <x v="1"/>
    <x v="2"/>
    <x v="11"/>
    <m/>
    <n v="9999"/>
    <n v="333.3"/>
    <n v="0"/>
    <n v="0"/>
    <n v="0"/>
    <x v="0"/>
    <n v="31.786301369863015"/>
    <x v="0"/>
    <n v="4"/>
    <d v="1994-07-12T00:00:00"/>
  </r>
  <r>
    <x v="1"/>
    <n v="19018031"/>
    <x v="0"/>
    <d v="2026-04-17T00:00:00"/>
    <x v="1"/>
    <x v="2"/>
    <x v="11"/>
    <m/>
    <n v="9999"/>
    <n v="333.3"/>
    <n v="0"/>
    <n v="0"/>
    <n v="0"/>
    <x v="0"/>
    <n v="20.556164383561644"/>
    <x v="3"/>
    <n v="1"/>
    <d v="2005-10-01T00:00:00"/>
  </r>
  <r>
    <x v="1"/>
    <n v="19018033"/>
    <x v="1"/>
    <d v="2026-04-17T00:00:00"/>
    <x v="1"/>
    <x v="2"/>
    <x v="11"/>
    <m/>
    <n v="9999"/>
    <n v="333.3"/>
    <n v="0"/>
    <n v="0"/>
    <n v="0"/>
    <x v="0"/>
    <n v="28.695890410958903"/>
    <x v="1"/>
    <n v="3"/>
    <d v="1997-08-13T00:00:00"/>
  </r>
  <r>
    <x v="1"/>
    <n v="19018108"/>
    <x v="1"/>
    <d v="2026-04-17T00:00:00"/>
    <x v="1"/>
    <x v="2"/>
    <x v="11"/>
    <m/>
    <n v="9999"/>
    <n v="333.3"/>
    <n v="0"/>
    <n v="0"/>
    <n v="0"/>
    <x v="1"/>
    <n v="20.24931506849315"/>
    <x v="3"/>
    <n v="1"/>
    <d v="2006-01-21T00:00:00"/>
  </r>
  <r>
    <x v="1"/>
    <n v="19018111"/>
    <x v="0"/>
    <d v="2026-04-17T00:00:00"/>
    <x v="1"/>
    <x v="2"/>
    <x v="11"/>
    <d v="2026-05-01T00:00:00"/>
    <n v="14"/>
    <n v="0.46666666666666667"/>
    <n v="1"/>
    <n v="1"/>
    <n v="1"/>
    <x v="1"/>
    <n v="19.460273972602739"/>
    <x v="3"/>
    <n v="1"/>
    <d v="2006-11-05T00:00:00"/>
  </r>
  <r>
    <x v="0"/>
    <n v="19018114"/>
    <x v="0"/>
    <d v="2026-04-17T00:00:00"/>
    <x v="1"/>
    <x v="2"/>
    <x v="11"/>
    <d v="2026-05-04T00:00:00"/>
    <n v="17"/>
    <n v="0.56666666666666665"/>
    <n v="1"/>
    <n v="1"/>
    <n v="1"/>
    <x v="1"/>
    <n v="19.884931506849316"/>
    <x v="3"/>
    <n v="1"/>
    <d v="2006-06-03T00:00:00"/>
  </r>
  <r>
    <x v="1"/>
    <n v="19018118"/>
    <x v="1"/>
    <d v="2026-04-17T00:00:00"/>
    <x v="1"/>
    <x v="2"/>
    <x v="11"/>
    <m/>
    <n v="9999"/>
    <n v="333.3"/>
    <n v="0"/>
    <n v="0"/>
    <n v="0"/>
    <x v="1"/>
    <n v="19.56986301369863"/>
    <x v="3"/>
    <n v="1"/>
    <d v="2006-09-26T00:00:00"/>
  </r>
  <r>
    <x v="1"/>
    <n v="19018126"/>
    <x v="0"/>
    <d v="2026-04-17T00:00:00"/>
    <x v="1"/>
    <x v="2"/>
    <x v="11"/>
    <m/>
    <n v="9999"/>
    <n v="333.3"/>
    <n v="0"/>
    <n v="0"/>
    <n v="0"/>
    <x v="1"/>
    <n v="51.545205479452058"/>
    <x v="0"/>
    <n v="4"/>
    <d v="1974-10-13T00:00:00"/>
  </r>
  <r>
    <x v="1"/>
    <n v="19018128"/>
    <x v="0"/>
    <d v="2026-04-17T00:00:00"/>
    <x v="1"/>
    <x v="2"/>
    <x v="11"/>
    <d v="2026-05-01T00:00:00"/>
    <n v="14"/>
    <n v="0.46666666666666667"/>
    <n v="1"/>
    <n v="1"/>
    <n v="1"/>
    <x v="1"/>
    <n v="22.482191780821918"/>
    <x v="2"/>
    <n v="2"/>
    <d v="2003-10-29T00:00:00"/>
  </r>
  <r>
    <x v="1"/>
    <n v="19018153"/>
    <x v="0"/>
    <d v="2026-04-17T00:00:00"/>
    <x v="1"/>
    <x v="2"/>
    <x v="11"/>
    <d v="2026-05-25T00:00:00"/>
    <n v="38"/>
    <n v="1.2666666666666666"/>
    <n v="0"/>
    <n v="1"/>
    <n v="1"/>
    <x v="1"/>
    <n v="19.306849315068494"/>
    <x v="3"/>
    <n v="1"/>
    <d v="2006-12-31T00:00:00"/>
  </r>
  <r>
    <x v="1"/>
    <n v="19018317"/>
    <x v="1"/>
    <d v="2026-04-17T00:00:00"/>
    <x v="1"/>
    <x v="2"/>
    <x v="11"/>
    <m/>
    <n v="9999"/>
    <n v="333.3"/>
    <n v="0"/>
    <n v="0"/>
    <n v="0"/>
    <x v="1"/>
    <n v="18.435616438356163"/>
    <x v="3"/>
    <n v="1"/>
    <d v="2007-11-14T00:00:00"/>
  </r>
  <r>
    <x v="1"/>
    <n v="19018318"/>
    <x v="0"/>
    <d v="2026-04-17T00:00:00"/>
    <x v="1"/>
    <x v="2"/>
    <x v="11"/>
    <m/>
    <n v="9999"/>
    <n v="333.3"/>
    <n v="0"/>
    <n v="0"/>
    <n v="0"/>
    <x v="1"/>
    <n v="19.824657534246576"/>
    <x v="3"/>
    <n v="1"/>
    <d v="2006-06-25T00:00:00"/>
  </r>
  <r>
    <x v="1"/>
    <n v="19018864"/>
    <x v="1"/>
    <d v="2026-04-20T00:00:00"/>
    <x v="1"/>
    <x v="2"/>
    <x v="11"/>
    <m/>
    <n v="9999"/>
    <n v="333.3"/>
    <n v="0"/>
    <n v="0"/>
    <n v="0"/>
    <x v="1"/>
    <n v="30.263013698630136"/>
    <x v="1"/>
    <n v="3"/>
    <d v="1996-01-22T00:00:00"/>
  </r>
  <r>
    <x v="1"/>
    <n v="19018865"/>
    <x v="0"/>
    <d v="2026-04-20T00:00:00"/>
    <x v="1"/>
    <x v="2"/>
    <x v="11"/>
    <m/>
    <n v="9999"/>
    <n v="333.3"/>
    <n v="0"/>
    <n v="0"/>
    <n v="0"/>
    <x v="1"/>
    <n v="23.923287671232877"/>
    <x v="2"/>
    <n v="2"/>
    <d v="2002-05-24T00:00:00"/>
  </r>
  <r>
    <x v="1"/>
    <n v="19018868"/>
    <x v="0"/>
    <d v="2026-04-20T00:00:00"/>
    <x v="1"/>
    <x v="2"/>
    <x v="11"/>
    <m/>
    <n v="9999"/>
    <n v="333.3"/>
    <n v="0"/>
    <n v="0"/>
    <n v="0"/>
    <x v="1"/>
    <n v="19.695890410958903"/>
    <x v="3"/>
    <n v="1"/>
    <d v="2006-08-14T00:00:00"/>
  </r>
  <r>
    <x v="1"/>
    <n v="19018869"/>
    <x v="0"/>
    <d v="2026-04-20T00:00:00"/>
    <x v="1"/>
    <x v="2"/>
    <x v="11"/>
    <m/>
    <n v="9999"/>
    <n v="333.3"/>
    <n v="0"/>
    <n v="0"/>
    <n v="0"/>
    <x v="1"/>
    <n v="19.550684931506851"/>
    <x v="3"/>
    <n v="1"/>
    <d v="2006-10-06T00:00:00"/>
  </r>
  <r>
    <x v="1"/>
    <n v="19018871"/>
    <x v="1"/>
    <d v="2026-04-20T00:00:00"/>
    <x v="1"/>
    <x v="2"/>
    <x v="11"/>
    <m/>
    <n v="9999"/>
    <n v="333.3"/>
    <n v="0"/>
    <n v="0"/>
    <n v="0"/>
    <x v="1"/>
    <n v="22.43013698630137"/>
    <x v="2"/>
    <n v="2"/>
    <d v="2003-11-20T00:00:00"/>
  </r>
  <r>
    <x v="1"/>
    <n v="19018874"/>
    <x v="0"/>
    <d v="2026-04-20T00:00:00"/>
    <x v="1"/>
    <x v="2"/>
    <x v="11"/>
    <m/>
    <n v="9999"/>
    <n v="333.3"/>
    <n v="0"/>
    <n v="0"/>
    <n v="0"/>
    <x v="1"/>
    <n v="21.035616438356165"/>
    <x v="2"/>
    <n v="2"/>
    <d v="2005-04-12T00:00:00"/>
  </r>
  <r>
    <x v="0"/>
    <n v="19018881"/>
    <x v="1"/>
    <d v="2026-04-20T00:00:00"/>
    <x v="1"/>
    <x v="2"/>
    <x v="11"/>
    <d v="2026-05-12T00:00:00"/>
    <n v="22"/>
    <n v="0.73333333333333328"/>
    <n v="1"/>
    <n v="1"/>
    <n v="1"/>
    <x v="1"/>
    <n v="24.616438356164384"/>
    <x v="2"/>
    <n v="2"/>
    <d v="2001-09-13T00:00:00"/>
  </r>
  <r>
    <x v="1"/>
    <n v="19018888"/>
    <x v="0"/>
    <d v="2026-04-20T00:00:00"/>
    <x v="1"/>
    <x v="2"/>
    <x v="11"/>
    <m/>
    <n v="9999"/>
    <n v="333.3"/>
    <n v="0"/>
    <n v="0"/>
    <n v="0"/>
    <x v="1"/>
    <n v="18.073972602739726"/>
    <x v="3"/>
    <n v="1"/>
    <d v="2008-03-28T00:00:00"/>
  </r>
  <r>
    <x v="1"/>
    <n v="19018889"/>
    <x v="1"/>
    <d v="2026-04-20T00:00:00"/>
    <x v="1"/>
    <x v="2"/>
    <x v="11"/>
    <m/>
    <n v="9999"/>
    <n v="333.3"/>
    <n v="0"/>
    <n v="0"/>
    <n v="0"/>
    <x v="1"/>
    <n v="19.624657534246577"/>
    <x v="3"/>
    <n v="1"/>
    <d v="2006-09-09T00:00:00"/>
  </r>
  <r>
    <x v="1"/>
    <n v="19018893"/>
    <x v="0"/>
    <d v="2026-04-20T00:00:00"/>
    <x v="1"/>
    <x v="2"/>
    <x v="11"/>
    <m/>
    <n v="9999"/>
    <n v="333.3"/>
    <n v="0"/>
    <n v="0"/>
    <n v="0"/>
    <x v="1"/>
    <n v="32.734246575342468"/>
    <x v="0"/>
    <n v="4"/>
    <d v="1993-08-03T00:00:00"/>
  </r>
  <r>
    <x v="1"/>
    <n v="19018895"/>
    <x v="1"/>
    <d v="2026-04-20T00:00:00"/>
    <x v="1"/>
    <x v="2"/>
    <x v="11"/>
    <m/>
    <n v="9999"/>
    <n v="333.3"/>
    <n v="0"/>
    <n v="0"/>
    <n v="0"/>
    <x v="1"/>
    <n v="19.106849315068494"/>
    <x v="3"/>
    <n v="1"/>
    <d v="2007-03-17T00:00:00"/>
  </r>
  <r>
    <x v="1"/>
    <n v="19018901"/>
    <x v="0"/>
    <d v="2026-04-20T00:00:00"/>
    <x v="1"/>
    <x v="2"/>
    <x v="11"/>
    <m/>
    <n v="9999"/>
    <n v="333.3"/>
    <n v="0"/>
    <n v="0"/>
    <n v="0"/>
    <x v="1"/>
    <n v="18.394520547945206"/>
    <x v="3"/>
    <n v="1"/>
    <d v="2007-12-02T00:00:00"/>
  </r>
  <r>
    <x v="1"/>
    <n v="19018916"/>
    <x v="1"/>
    <d v="2026-04-20T00:00:00"/>
    <x v="1"/>
    <x v="2"/>
    <x v="11"/>
    <m/>
    <n v="9999"/>
    <n v="333.3"/>
    <n v="0"/>
    <n v="0"/>
    <n v="0"/>
    <x v="1"/>
    <n v="20.038356164383561"/>
    <x v="3"/>
    <n v="1"/>
    <d v="2006-04-11T00:00:00"/>
  </r>
  <r>
    <x v="0"/>
    <n v="19018919"/>
    <x v="0"/>
    <d v="2026-04-20T00:00:00"/>
    <x v="1"/>
    <x v="2"/>
    <x v="11"/>
    <m/>
    <n v="9999"/>
    <n v="333.3"/>
    <n v="0"/>
    <n v="0"/>
    <n v="0"/>
    <x v="1"/>
    <n v="19.739726027397261"/>
    <x v="3"/>
    <n v="1"/>
    <d v="2006-07-29T00:00:00"/>
  </r>
  <r>
    <x v="0"/>
    <n v="19018920"/>
    <x v="0"/>
    <d v="2026-04-20T00:00:00"/>
    <x v="1"/>
    <x v="2"/>
    <x v="11"/>
    <m/>
    <n v="9999"/>
    <n v="333.3"/>
    <n v="0"/>
    <n v="0"/>
    <n v="0"/>
    <x v="1"/>
    <n v="38.57260273972603"/>
    <x v="0"/>
    <n v="4"/>
    <d v="1987-10-03T00:00:00"/>
  </r>
  <r>
    <x v="1"/>
    <n v="19018922"/>
    <x v="0"/>
    <d v="2026-04-20T00:00:00"/>
    <x v="1"/>
    <x v="2"/>
    <x v="11"/>
    <m/>
    <n v="9999"/>
    <n v="333.3"/>
    <n v="0"/>
    <n v="0"/>
    <n v="0"/>
    <x v="1"/>
    <n v="19.230136986301371"/>
    <x v="3"/>
    <n v="1"/>
    <d v="2007-01-31T00:00:00"/>
  </r>
  <r>
    <x v="0"/>
    <n v="19018923"/>
    <x v="0"/>
    <d v="2026-04-20T00:00:00"/>
    <x v="1"/>
    <x v="2"/>
    <x v="11"/>
    <m/>
    <n v="9999"/>
    <n v="333.3"/>
    <n v="0"/>
    <n v="0"/>
    <n v="0"/>
    <x v="1"/>
    <n v="51.884931506849313"/>
    <x v="0"/>
    <n v="4"/>
    <d v="1974-06-14T00:00:00"/>
  </r>
  <r>
    <x v="0"/>
    <n v="19018924"/>
    <x v="0"/>
    <d v="2026-04-20T00:00:00"/>
    <x v="1"/>
    <x v="2"/>
    <x v="11"/>
    <m/>
    <n v="9999"/>
    <n v="333.3"/>
    <n v="0"/>
    <n v="0"/>
    <n v="0"/>
    <x v="1"/>
    <n v="23.463013698630139"/>
    <x v="2"/>
    <n v="2"/>
    <d v="2002-11-08T00:00:00"/>
  </r>
  <r>
    <x v="1"/>
    <n v="19018929"/>
    <x v="0"/>
    <d v="2026-04-20T00:00:00"/>
    <x v="1"/>
    <x v="2"/>
    <x v="11"/>
    <m/>
    <n v="9999"/>
    <n v="333.3"/>
    <n v="0"/>
    <n v="0"/>
    <n v="0"/>
    <x v="1"/>
    <n v="19.753424657534246"/>
    <x v="3"/>
    <n v="1"/>
    <d v="2006-07-24T00:00:00"/>
  </r>
  <r>
    <x v="1"/>
    <n v="19019007"/>
    <x v="0"/>
    <d v="2026-04-20T00:00:00"/>
    <x v="1"/>
    <x v="2"/>
    <x v="11"/>
    <m/>
    <n v="9999"/>
    <n v="333.3"/>
    <n v="0"/>
    <n v="0"/>
    <n v="0"/>
    <x v="1"/>
    <n v="19.545205479452054"/>
    <x v="3"/>
    <n v="1"/>
    <d v="2006-10-08T00:00:00"/>
  </r>
  <r>
    <x v="1"/>
    <n v="19019137"/>
    <x v="0"/>
    <d v="2026-04-21T00:00:00"/>
    <x v="1"/>
    <x v="2"/>
    <x v="11"/>
    <m/>
    <n v="9999"/>
    <n v="333.3"/>
    <n v="0"/>
    <n v="0"/>
    <n v="0"/>
    <x v="1"/>
    <n v="21.104109589041094"/>
    <x v="2"/>
    <n v="2"/>
    <d v="2005-03-19T00:00:00"/>
  </r>
  <r>
    <x v="0"/>
    <n v="19019140"/>
    <x v="0"/>
    <d v="2026-04-21T00:00:00"/>
    <x v="1"/>
    <x v="2"/>
    <x v="11"/>
    <m/>
    <n v="9999"/>
    <n v="333.3"/>
    <n v="0"/>
    <n v="0"/>
    <n v="0"/>
    <x v="1"/>
    <n v="23.591780821917808"/>
    <x v="2"/>
    <n v="2"/>
    <d v="2002-09-23T00:00:00"/>
  </r>
  <r>
    <x v="1"/>
    <n v="19019144"/>
    <x v="0"/>
    <d v="2026-04-21T00:00:00"/>
    <x v="1"/>
    <x v="2"/>
    <x v="11"/>
    <m/>
    <n v="9999"/>
    <n v="333.3"/>
    <n v="0"/>
    <n v="0"/>
    <n v="0"/>
    <x v="0"/>
    <n v="21.802739726027397"/>
    <x v="2"/>
    <n v="2"/>
    <d v="2004-07-07T00:00:00"/>
  </r>
  <r>
    <x v="1"/>
    <n v="19019175"/>
    <x v="0"/>
    <d v="2026-04-21T00:00:00"/>
    <x v="1"/>
    <x v="2"/>
    <x v="11"/>
    <m/>
    <n v="9999"/>
    <n v="333.3"/>
    <n v="0"/>
    <n v="0"/>
    <n v="0"/>
    <x v="0"/>
    <n v="18.975342465753425"/>
    <x v="3"/>
    <n v="1"/>
    <d v="2007-05-05T00:00:00"/>
  </r>
  <r>
    <x v="1"/>
    <n v="19019200"/>
    <x v="0"/>
    <d v="2026-04-21T00:00:00"/>
    <x v="1"/>
    <x v="2"/>
    <x v="11"/>
    <m/>
    <n v="9999"/>
    <n v="333.3"/>
    <n v="0"/>
    <n v="0"/>
    <n v="0"/>
    <x v="1"/>
    <n v="37.238356164383561"/>
    <x v="0"/>
    <n v="4"/>
    <d v="1989-02-02T00:00:00"/>
  </r>
  <r>
    <x v="1"/>
    <n v="19019306"/>
    <x v="1"/>
    <d v="2026-04-21T00:00:00"/>
    <x v="1"/>
    <x v="2"/>
    <x v="11"/>
    <m/>
    <n v="9999"/>
    <n v="333.3"/>
    <n v="0"/>
    <n v="0"/>
    <n v="0"/>
    <x v="0"/>
    <n v="24.857534246575341"/>
    <x v="2"/>
    <n v="2"/>
    <d v="2001-06-18T00:00:00"/>
  </r>
  <r>
    <x v="1"/>
    <n v="19019407"/>
    <x v="0"/>
    <d v="2026-04-22T00:00:00"/>
    <x v="1"/>
    <x v="2"/>
    <x v="11"/>
    <m/>
    <n v="9999"/>
    <n v="333.3"/>
    <n v="0"/>
    <n v="0"/>
    <n v="0"/>
    <x v="0"/>
    <n v="23.772602739726029"/>
    <x v="2"/>
    <n v="2"/>
    <d v="2002-07-20T00:00:00"/>
  </r>
  <r>
    <x v="1"/>
    <n v="19019482"/>
    <x v="1"/>
    <d v="2026-04-22T00:00:00"/>
    <x v="1"/>
    <x v="2"/>
    <x v="11"/>
    <m/>
    <n v="9999"/>
    <n v="333.3"/>
    <n v="0"/>
    <n v="0"/>
    <n v="0"/>
    <x v="0"/>
    <n v="19.24931506849315"/>
    <x v="3"/>
    <n v="1"/>
    <d v="2007-01-26T00:00:00"/>
  </r>
  <r>
    <x v="1"/>
    <n v="19019483"/>
    <x v="0"/>
    <d v="2026-04-22T00:00:00"/>
    <x v="1"/>
    <x v="2"/>
    <x v="11"/>
    <m/>
    <n v="9999"/>
    <n v="333.3"/>
    <n v="0"/>
    <n v="0"/>
    <n v="0"/>
    <x v="1"/>
    <n v="20.408219178082192"/>
    <x v="3"/>
    <n v="1"/>
    <d v="2005-11-29T00:00:00"/>
  </r>
  <r>
    <x v="1"/>
    <n v="19019491"/>
    <x v="0"/>
    <d v="2026-04-21T00:00:00"/>
    <x v="1"/>
    <x v="2"/>
    <x v="11"/>
    <m/>
    <n v="9999"/>
    <n v="333.3"/>
    <n v="0"/>
    <n v="0"/>
    <n v="0"/>
    <x v="0"/>
    <n v="26.260273972602739"/>
    <x v="1"/>
    <n v="3"/>
    <d v="2000-01-23T00:00:00"/>
  </r>
  <r>
    <x v="1"/>
    <n v="19019504"/>
    <x v="0"/>
    <d v="2026-04-22T00:00:00"/>
    <x v="1"/>
    <x v="2"/>
    <x v="11"/>
    <m/>
    <n v="9999"/>
    <n v="333.3"/>
    <n v="0"/>
    <n v="0"/>
    <n v="0"/>
    <x v="0"/>
    <n v="24.673972602739727"/>
    <x v="2"/>
    <n v="2"/>
    <d v="2001-08-25T00:00:00"/>
  </r>
  <r>
    <x v="1"/>
    <n v="19019509"/>
    <x v="0"/>
    <d v="2026-04-22T00:00:00"/>
    <x v="1"/>
    <x v="2"/>
    <x v="11"/>
    <m/>
    <n v="9999"/>
    <n v="333.3"/>
    <n v="0"/>
    <n v="0"/>
    <n v="0"/>
    <x v="0"/>
    <n v="26.32054794520548"/>
    <x v="1"/>
    <n v="3"/>
    <d v="2000-01-02T00:00:00"/>
  </r>
  <r>
    <x v="1"/>
    <n v="19019510"/>
    <x v="0"/>
    <d v="2026-04-22T00:00:00"/>
    <x v="1"/>
    <x v="2"/>
    <x v="11"/>
    <d v="2026-05-04T00:00:00"/>
    <n v="12"/>
    <n v="0.4"/>
    <n v="1"/>
    <n v="1"/>
    <n v="1"/>
    <x v="1"/>
    <n v="20.271232876712329"/>
    <x v="3"/>
    <n v="1"/>
    <d v="2006-01-18T00:00:00"/>
  </r>
  <r>
    <x v="1"/>
    <n v="19019511"/>
    <x v="1"/>
    <d v="2026-04-22T00:00:00"/>
    <x v="1"/>
    <x v="2"/>
    <x v="11"/>
    <m/>
    <n v="9999"/>
    <n v="333.3"/>
    <n v="0"/>
    <n v="0"/>
    <n v="0"/>
    <x v="1"/>
    <n v="19.63013698630137"/>
    <x v="3"/>
    <n v="1"/>
    <d v="2006-09-09T00:00:00"/>
  </r>
  <r>
    <x v="1"/>
    <n v="19019512"/>
    <x v="0"/>
    <d v="2026-04-22T00:00:00"/>
    <x v="1"/>
    <x v="2"/>
    <x v="11"/>
    <m/>
    <n v="9999"/>
    <n v="333.3"/>
    <n v="0"/>
    <n v="0"/>
    <n v="0"/>
    <x v="0"/>
    <n v="20.493150684931507"/>
    <x v="3"/>
    <n v="1"/>
    <d v="2005-10-29T00:00:00"/>
  </r>
  <r>
    <x v="1"/>
    <n v="19019519"/>
    <x v="0"/>
    <d v="2026-04-22T00:00:00"/>
    <x v="1"/>
    <x v="2"/>
    <x v="11"/>
    <d v="2026-05-01T00:00:00"/>
    <n v="9"/>
    <n v="0.3"/>
    <n v="1"/>
    <n v="1"/>
    <n v="1"/>
    <x v="0"/>
    <n v="26.983561643835618"/>
    <x v="1"/>
    <n v="3"/>
    <d v="1999-05-05T00:00:00"/>
  </r>
  <r>
    <x v="1"/>
    <n v="19019526"/>
    <x v="0"/>
    <d v="2026-04-22T00:00:00"/>
    <x v="1"/>
    <x v="2"/>
    <x v="11"/>
    <m/>
    <n v="9999"/>
    <n v="333.3"/>
    <n v="0"/>
    <n v="0"/>
    <n v="0"/>
    <x v="1"/>
    <n v="24.767123287671232"/>
    <x v="2"/>
    <n v="2"/>
    <d v="2001-07-22T00:00:00"/>
  </r>
  <r>
    <x v="1"/>
    <n v="19019527"/>
    <x v="1"/>
    <d v="2026-04-22T00:00:00"/>
    <x v="1"/>
    <x v="2"/>
    <x v="11"/>
    <m/>
    <n v="9999"/>
    <n v="333.3"/>
    <n v="0"/>
    <n v="0"/>
    <n v="0"/>
    <x v="1"/>
    <n v="19.87945205479452"/>
    <x v="3"/>
    <n v="1"/>
    <d v="2006-06-10T00:00:00"/>
  </r>
  <r>
    <x v="1"/>
    <n v="19019528"/>
    <x v="1"/>
    <d v="2026-04-22T00:00:00"/>
    <x v="1"/>
    <x v="2"/>
    <x v="11"/>
    <m/>
    <n v="9999"/>
    <n v="333.3"/>
    <n v="0"/>
    <n v="0"/>
    <n v="0"/>
    <x v="1"/>
    <n v="21.109589041095891"/>
    <x v="2"/>
    <n v="2"/>
    <d v="2005-03-18T00:00:00"/>
  </r>
  <r>
    <x v="1"/>
    <n v="19019532"/>
    <x v="1"/>
    <d v="2026-04-22T00:00:00"/>
    <x v="1"/>
    <x v="2"/>
    <x v="11"/>
    <m/>
    <n v="9999"/>
    <n v="333.3"/>
    <n v="0"/>
    <n v="0"/>
    <n v="0"/>
    <x v="1"/>
    <n v="24.545205479452054"/>
    <x v="2"/>
    <n v="2"/>
    <d v="2001-10-11T00:00:00"/>
  </r>
  <r>
    <x v="1"/>
    <n v="19019534"/>
    <x v="0"/>
    <d v="2026-04-22T00:00:00"/>
    <x v="1"/>
    <x v="2"/>
    <x v="11"/>
    <d v="2026-05-01T00:00:00"/>
    <n v="9"/>
    <n v="0.3"/>
    <n v="1"/>
    <n v="1"/>
    <n v="1"/>
    <x v="1"/>
    <n v="21.18082191780822"/>
    <x v="2"/>
    <n v="2"/>
    <d v="2005-02-20T00:00:00"/>
  </r>
  <r>
    <x v="1"/>
    <n v="19019536"/>
    <x v="0"/>
    <d v="2026-04-21T00:00:00"/>
    <x v="1"/>
    <x v="2"/>
    <x v="11"/>
    <m/>
    <n v="9999"/>
    <n v="333.3"/>
    <n v="0"/>
    <n v="0"/>
    <n v="0"/>
    <x v="1"/>
    <n v="28.172602739726027"/>
    <x v="1"/>
    <n v="3"/>
    <d v="1998-02-24T00:00:00"/>
  </r>
  <r>
    <x v="1"/>
    <n v="19019548"/>
    <x v="1"/>
    <d v="2026-04-21T00:00:00"/>
    <x v="1"/>
    <x v="2"/>
    <x v="11"/>
    <m/>
    <n v="9999"/>
    <n v="333.3"/>
    <n v="0"/>
    <n v="0"/>
    <n v="0"/>
    <x v="1"/>
    <n v="24.597260273972601"/>
    <x v="2"/>
    <n v="2"/>
    <d v="2001-09-21T00:00:00"/>
  </r>
  <r>
    <x v="1"/>
    <n v="19019549"/>
    <x v="0"/>
    <d v="2026-04-22T00:00:00"/>
    <x v="1"/>
    <x v="2"/>
    <x v="11"/>
    <d v="2026-05-07T00:00:00"/>
    <n v="15"/>
    <n v="0.5"/>
    <n v="1"/>
    <n v="1"/>
    <n v="1"/>
    <x v="1"/>
    <n v="24.460273972602739"/>
    <x v="2"/>
    <n v="2"/>
    <d v="2001-11-11T00:00:00"/>
  </r>
  <r>
    <x v="1"/>
    <n v="19019551"/>
    <x v="0"/>
    <d v="2026-04-21T00:00:00"/>
    <x v="1"/>
    <x v="2"/>
    <x v="11"/>
    <m/>
    <n v="9999"/>
    <n v="333.3"/>
    <n v="0"/>
    <n v="0"/>
    <n v="0"/>
    <x v="0"/>
    <n v="19.693150684931506"/>
    <x v="3"/>
    <n v="1"/>
    <d v="2006-08-16T00:00:00"/>
  </r>
  <r>
    <x v="1"/>
    <n v="19019552"/>
    <x v="0"/>
    <d v="2026-04-22T00:00:00"/>
    <x v="1"/>
    <x v="2"/>
    <x v="11"/>
    <m/>
    <n v="9999"/>
    <n v="333.3"/>
    <n v="0"/>
    <n v="0"/>
    <n v="0"/>
    <x v="1"/>
    <n v="29.476712328767125"/>
    <x v="1"/>
    <n v="3"/>
    <d v="1996-11-06T00:00:00"/>
  </r>
  <r>
    <x v="1"/>
    <n v="19019786"/>
    <x v="0"/>
    <d v="2026-04-22T00:00:00"/>
    <x v="1"/>
    <x v="2"/>
    <x v="11"/>
    <m/>
    <n v="9999"/>
    <n v="333.3"/>
    <n v="0"/>
    <n v="0"/>
    <n v="0"/>
    <x v="1"/>
    <n v="32.073972602739723"/>
    <x v="0"/>
    <n v="4"/>
    <d v="1994-04-03T00:00:00"/>
  </r>
  <r>
    <x v="1"/>
    <n v="19019790"/>
    <x v="0"/>
    <d v="2026-04-22T00:00:00"/>
    <x v="1"/>
    <x v="2"/>
    <x v="11"/>
    <m/>
    <n v="9999"/>
    <n v="333.3"/>
    <n v="0"/>
    <n v="0"/>
    <n v="0"/>
    <x v="1"/>
    <n v="18.953424657534246"/>
    <x v="3"/>
    <n v="1"/>
    <d v="2007-05-14T00:00:00"/>
  </r>
  <r>
    <x v="1"/>
    <n v="19019826"/>
    <x v="0"/>
    <d v="2026-04-22T00:00:00"/>
    <x v="1"/>
    <x v="2"/>
    <x v="11"/>
    <m/>
    <n v="9999"/>
    <n v="333.3"/>
    <n v="0"/>
    <n v="0"/>
    <n v="0"/>
    <x v="0"/>
    <n v="22.06027397260274"/>
    <x v="2"/>
    <n v="2"/>
    <d v="2004-04-05T00:00:00"/>
  </r>
  <r>
    <x v="1"/>
    <n v="19019830"/>
    <x v="0"/>
    <d v="2026-04-22T00:00:00"/>
    <x v="1"/>
    <x v="2"/>
    <x v="11"/>
    <d v="2026-05-01T00:00:00"/>
    <n v="9"/>
    <n v="0.3"/>
    <n v="1"/>
    <n v="1"/>
    <n v="1"/>
    <x v="1"/>
    <n v="20.452054794520549"/>
    <x v="3"/>
    <n v="1"/>
    <d v="2005-11-13T00:00:00"/>
  </r>
  <r>
    <x v="1"/>
    <n v="19019832"/>
    <x v="0"/>
    <d v="2026-04-22T00:00:00"/>
    <x v="1"/>
    <x v="2"/>
    <x v="11"/>
    <d v="2026-05-10T00:00:00"/>
    <n v="18"/>
    <n v="0.6"/>
    <n v="1"/>
    <n v="1"/>
    <n v="1"/>
    <x v="1"/>
    <n v="20.172602739726027"/>
    <x v="3"/>
    <n v="1"/>
    <d v="2006-02-23T00:00:00"/>
  </r>
  <r>
    <x v="1"/>
    <n v="19019833"/>
    <x v="0"/>
    <d v="2026-04-22T00:00:00"/>
    <x v="1"/>
    <x v="2"/>
    <x v="11"/>
    <m/>
    <n v="9999"/>
    <n v="333.3"/>
    <n v="0"/>
    <n v="0"/>
    <n v="0"/>
    <x v="1"/>
    <n v="22.410958904109588"/>
    <x v="2"/>
    <n v="2"/>
    <d v="2003-11-29T00:00:00"/>
  </r>
  <r>
    <x v="1"/>
    <n v="19019834"/>
    <x v="0"/>
    <d v="2026-04-22T00:00:00"/>
    <x v="1"/>
    <x v="2"/>
    <x v="11"/>
    <m/>
    <n v="9999"/>
    <n v="333.3"/>
    <n v="0"/>
    <n v="0"/>
    <n v="0"/>
    <x v="1"/>
    <n v="18.764383561643836"/>
    <x v="3"/>
    <n v="1"/>
    <d v="2007-07-22T00:00:00"/>
  </r>
  <r>
    <x v="1"/>
    <n v="19019835"/>
    <x v="0"/>
    <d v="2026-04-22T00:00:00"/>
    <x v="1"/>
    <x v="2"/>
    <x v="11"/>
    <m/>
    <n v="9999"/>
    <n v="333.3"/>
    <n v="0"/>
    <n v="0"/>
    <n v="0"/>
    <x v="1"/>
    <n v="23.572602739726026"/>
    <x v="2"/>
    <n v="2"/>
    <d v="2002-10-01T00:00:00"/>
  </r>
  <r>
    <x v="0"/>
    <n v="19019836"/>
    <x v="0"/>
    <d v="2026-04-22T00:00:00"/>
    <x v="1"/>
    <x v="2"/>
    <x v="11"/>
    <d v="2026-05-04T00:00:00"/>
    <n v="12"/>
    <n v="0.4"/>
    <n v="1"/>
    <n v="1"/>
    <n v="1"/>
    <x v="0"/>
    <n v="25.389041095890413"/>
    <x v="2"/>
    <n v="2"/>
    <d v="2000-12-07T00:00:00"/>
  </r>
  <r>
    <x v="1"/>
    <n v="19019842"/>
    <x v="0"/>
    <d v="2026-04-22T00:00:00"/>
    <x v="1"/>
    <x v="2"/>
    <x v="11"/>
    <d v="2026-05-01T00:00:00"/>
    <n v="9"/>
    <n v="0.3"/>
    <n v="1"/>
    <n v="1"/>
    <n v="1"/>
    <x v="0"/>
    <n v="25.665753424657535"/>
    <x v="2"/>
    <n v="2"/>
    <d v="2000-08-28T00:00:00"/>
  </r>
  <r>
    <x v="1"/>
    <n v="19019856"/>
    <x v="1"/>
    <d v="2026-04-21T00:00:00"/>
    <x v="1"/>
    <x v="2"/>
    <x v="11"/>
    <m/>
    <n v="9999"/>
    <n v="333.3"/>
    <n v="0"/>
    <n v="0"/>
    <n v="0"/>
    <x v="0"/>
    <n v="25.915068493150685"/>
    <x v="2"/>
    <n v="2"/>
    <d v="2000-05-28T00:00:00"/>
  </r>
  <r>
    <x v="1"/>
    <n v="19019968"/>
    <x v="1"/>
    <d v="2026-04-23T00:00:00"/>
    <x v="1"/>
    <x v="2"/>
    <x v="11"/>
    <m/>
    <n v="9999"/>
    <n v="333.3"/>
    <n v="0"/>
    <n v="0"/>
    <n v="0"/>
    <x v="0"/>
    <n v="19.413698630136988"/>
    <x v="3"/>
    <n v="1"/>
    <d v="2006-11-28T00:00:00"/>
  </r>
  <r>
    <x v="1"/>
    <n v="19019990"/>
    <x v="0"/>
    <d v="2026-04-23T00:00:00"/>
    <x v="1"/>
    <x v="2"/>
    <x v="11"/>
    <m/>
    <n v="9999"/>
    <n v="333.3"/>
    <n v="0"/>
    <n v="0"/>
    <n v="0"/>
    <x v="1"/>
    <n v="21.920547945205481"/>
    <x v="2"/>
    <n v="2"/>
    <d v="2004-05-27T00:00:00"/>
  </r>
  <r>
    <x v="1"/>
    <n v="19020132"/>
    <x v="0"/>
    <d v="2026-04-24T00:00:00"/>
    <x v="1"/>
    <x v="2"/>
    <x v="11"/>
    <m/>
    <n v="9999"/>
    <n v="333.3"/>
    <n v="0"/>
    <n v="0"/>
    <n v="0"/>
    <x v="0"/>
    <n v="22.717808219178082"/>
    <x v="2"/>
    <n v="2"/>
    <d v="2003-08-11T00:00:00"/>
  </r>
  <r>
    <x v="1"/>
    <n v="19020156"/>
    <x v="0"/>
    <d v="2026-04-24T00:00:00"/>
    <x v="1"/>
    <x v="2"/>
    <x v="11"/>
    <m/>
    <n v="9999"/>
    <n v="333.3"/>
    <n v="0"/>
    <n v="0"/>
    <n v="0"/>
    <x v="0"/>
    <n v="23.87123287671233"/>
    <x v="2"/>
    <n v="2"/>
    <d v="2002-06-16T00:00:00"/>
  </r>
  <r>
    <x v="1"/>
    <n v="19020180"/>
    <x v="0"/>
    <d v="2026-04-24T00:00:00"/>
    <x v="1"/>
    <x v="2"/>
    <x v="11"/>
    <m/>
    <n v="9999"/>
    <n v="333.3"/>
    <n v="0"/>
    <n v="0"/>
    <n v="0"/>
    <x v="0"/>
    <n v="20.413698630136988"/>
    <x v="3"/>
    <n v="1"/>
    <d v="2005-11-29T00:00:00"/>
  </r>
  <r>
    <x v="1"/>
    <n v="19020231"/>
    <x v="0"/>
    <d v="2026-04-24T00:00:00"/>
    <x v="1"/>
    <x v="2"/>
    <x v="11"/>
    <m/>
    <n v="9999"/>
    <n v="333.3"/>
    <n v="0"/>
    <n v="0"/>
    <n v="0"/>
    <x v="1"/>
    <n v="27.312328767123287"/>
    <x v="1"/>
    <n v="3"/>
    <d v="1999-01-07T00:00:00"/>
  </r>
  <r>
    <x v="1"/>
    <n v="19020254"/>
    <x v="0"/>
    <d v="2026-04-24T00:00:00"/>
    <x v="1"/>
    <x v="2"/>
    <x v="11"/>
    <m/>
    <n v="9999"/>
    <n v="333.3"/>
    <n v="0"/>
    <n v="0"/>
    <n v="0"/>
    <x v="1"/>
    <n v="20.36986301369863"/>
    <x v="3"/>
    <n v="1"/>
    <d v="2005-12-15T00:00:00"/>
  </r>
  <r>
    <x v="0"/>
    <n v="19020270"/>
    <x v="1"/>
    <d v="2026-04-24T00:00:00"/>
    <x v="1"/>
    <x v="2"/>
    <x v="11"/>
    <d v="2026-05-01T00:00:00"/>
    <n v="7"/>
    <n v="0.23333333333333334"/>
    <n v="1"/>
    <n v="1"/>
    <n v="1"/>
    <x v="1"/>
    <n v="21.123287671232877"/>
    <x v="2"/>
    <n v="2"/>
    <d v="2005-03-15T00:00:00"/>
  </r>
  <r>
    <x v="1"/>
    <n v="19020337"/>
    <x v="0"/>
    <d v="2026-04-24T00:00:00"/>
    <x v="1"/>
    <x v="2"/>
    <x v="11"/>
    <m/>
    <n v="9999"/>
    <n v="333.3"/>
    <n v="0"/>
    <n v="0"/>
    <n v="0"/>
    <x v="1"/>
    <n v="18.531506849315068"/>
    <x v="3"/>
    <n v="1"/>
    <d v="2007-10-17T00:00:00"/>
  </r>
  <r>
    <x v="1"/>
    <n v="19020385"/>
    <x v="0"/>
    <d v="2026-04-23T00:00:00"/>
    <x v="1"/>
    <x v="2"/>
    <x v="11"/>
    <m/>
    <n v="9999"/>
    <n v="333.3"/>
    <n v="0"/>
    <n v="0"/>
    <n v="0"/>
    <x v="0"/>
    <n v="47.112328767123287"/>
    <x v="0"/>
    <n v="4"/>
    <d v="1979-03-25T00:00:00"/>
  </r>
  <r>
    <x v="1"/>
    <n v="19020526"/>
    <x v="0"/>
    <d v="2026-04-27T00:00:00"/>
    <x v="1"/>
    <x v="2"/>
    <x v="11"/>
    <m/>
    <n v="9999"/>
    <n v="333.3"/>
    <n v="0"/>
    <n v="0"/>
    <n v="0"/>
    <x v="1"/>
    <n v="19.427397260273974"/>
    <x v="3"/>
    <n v="1"/>
    <d v="2006-11-27T00:00:00"/>
  </r>
  <r>
    <x v="1"/>
    <n v="19020628"/>
    <x v="0"/>
    <d v="2026-04-27T00:00:00"/>
    <x v="1"/>
    <x v="2"/>
    <x v="11"/>
    <m/>
    <n v="9999"/>
    <n v="333.3"/>
    <n v="0"/>
    <n v="0"/>
    <n v="0"/>
    <x v="1"/>
    <n v="21.846575342465755"/>
    <x v="2"/>
    <n v="2"/>
    <d v="2004-06-27T00:00:00"/>
  </r>
  <r>
    <x v="1"/>
    <n v="19020886"/>
    <x v="1"/>
    <d v="2026-04-28T00:00:00"/>
    <x v="1"/>
    <x v="2"/>
    <x v="11"/>
    <m/>
    <n v="9999"/>
    <n v="333.3"/>
    <n v="0"/>
    <n v="0"/>
    <n v="0"/>
    <x v="0"/>
    <n v="20.452054794520549"/>
    <x v="3"/>
    <n v="1"/>
    <d v="2005-11-19T00:00:00"/>
  </r>
  <r>
    <x v="1"/>
    <n v="19020951"/>
    <x v="0"/>
    <d v="2026-04-28T00:00:00"/>
    <x v="1"/>
    <x v="2"/>
    <x v="11"/>
    <m/>
    <n v="9999"/>
    <n v="333.3"/>
    <n v="0"/>
    <n v="0"/>
    <n v="0"/>
    <x v="1"/>
    <n v="18.241095890410961"/>
    <x v="3"/>
    <n v="1"/>
    <d v="2008-02-04T00:00:00"/>
  </r>
  <r>
    <x v="0"/>
    <n v="19020959"/>
    <x v="0"/>
    <d v="2026-04-28T00:00:00"/>
    <x v="1"/>
    <x v="2"/>
    <x v="11"/>
    <m/>
    <n v="9999"/>
    <n v="333.3"/>
    <n v="0"/>
    <n v="0"/>
    <n v="0"/>
    <x v="1"/>
    <n v="25.356164383561644"/>
    <x v="2"/>
    <n v="2"/>
    <d v="2000-12-25T00:00:00"/>
  </r>
  <r>
    <x v="1"/>
    <n v="19020975"/>
    <x v="0"/>
    <d v="2026-04-28T00:00:00"/>
    <x v="1"/>
    <x v="2"/>
    <x v="11"/>
    <d v="2026-06-01T00:00:00"/>
    <n v="34"/>
    <n v="1.1333333333333333"/>
    <n v="0"/>
    <n v="1"/>
    <n v="1"/>
    <x v="1"/>
    <n v="19.734246575342464"/>
    <x v="3"/>
    <n v="1"/>
    <d v="2006-08-08T00:00:00"/>
  </r>
  <r>
    <x v="1"/>
    <n v="19021026"/>
    <x v="0"/>
    <d v="2026-04-28T00:00:00"/>
    <x v="1"/>
    <x v="2"/>
    <x v="11"/>
    <m/>
    <n v="9999"/>
    <n v="333.3"/>
    <n v="0"/>
    <n v="0"/>
    <n v="0"/>
    <x v="1"/>
    <n v="24.876712328767123"/>
    <x v="2"/>
    <n v="2"/>
    <d v="2001-06-18T00:00:00"/>
  </r>
  <r>
    <x v="1"/>
    <n v="19021028"/>
    <x v="0"/>
    <d v="2026-04-28T00:00:00"/>
    <x v="1"/>
    <x v="2"/>
    <x v="11"/>
    <m/>
    <n v="9999"/>
    <n v="333.3"/>
    <n v="0"/>
    <n v="0"/>
    <n v="0"/>
    <x v="1"/>
    <n v="23.254794520547946"/>
    <x v="2"/>
    <n v="2"/>
    <d v="2003-01-31T00:00:00"/>
  </r>
  <r>
    <x v="1"/>
    <n v="19021057"/>
    <x v="0"/>
    <d v="2026-04-28T00:00:00"/>
    <x v="1"/>
    <x v="2"/>
    <x v="11"/>
    <d v="2026-05-12T00:00:00"/>
    <n v="14"/>
    <n v="0.46666666666666667"/>
    <n v="1"/>
    <n v="1"/>
    <n v="1"/>
    <x v="1"/>
    <n v="47.972602739726028"/>
    <x v="0"/>
    <n v="4"/>
    <d v="1978-05-20T00:00:00"/>
  </r>
  <r>
    <x v="1"/>
    <n v="19021096"/>
    <x v="1"/>
    <d v="2026-04-28T00:00:00"/>
    <x v="1"/>
    <x v="2"/>
    <x v="11"/>
    <m/>
    <n v="9999"/>
    <n v="333.3"/>
    <n v="0"/>
    <n v="0"/>
    <n v="0"/>
    <x v="0"/>
    <n v="20.241095890410961"/>
    <x v="3"/>
    <n v="1"/>
    <d v="2006-02-04T00:00:00"/>
  </r>
  <r>
    <x v="1"/>
    <n v="19021136"/>
    <x v="0"/>
    <d v="2026-04-29T00:00:00"/>
    <x v="1"/>
    <x v="2"/>
    <x v="11"/>
    <m/>
    <n v="9999"/>
    <n v="333.3"/>
    <n v="0"/>
    <n v="0"/>
    <n v="0"/>
    <x v="0"/>
    <n v="20.783561643835615"/>
    <x v="3"/>
    <n v="1"/>
    <d v="2005-07-22T00:00:00"/>
  </r>
  <r>
    <x v="1"/>
    <n v="19021235"/>
    <x v="0"/>
    <d v="2026-04-29T00:00:00"/>
    <x v="1"/>
    <x v="2"/>
    <x v="11"/>
    <m/>
    <n v="9999"/>
    <n v="333.3"/>
    <n v="0"/>
    <n v="0"/>
    <n v="0"/>
    <x v="1"/>
    <n v="24.698630136986303"/>
    <x v="2"/>
    <n v="2"/>
    <d v="2001-08-23T00:00:00"/>
  </r>
  <r>
    <x v="1"/>
    <n v="19021236"/>
    <x v="1"/>
    <d v="2026-04-29T00:00:00"/>
    <x v="1"/>
    <x v="2"/>
    <x v="11"/>
    <m/>
    <n v="9999"/>
    <n v="333.3"/>
    <n v="0"/>
    <n v="0"/>
    <n v="0"/>
    <x v="1"/>
    <n v="21.6"/>
    <x v="2"/>
    <n v="2"/>
    <d v="2004-09-27T00:00:00"/>
  </r>
  <r>
    <x v="1"/>
    <n v="19021237"/>
    <x v="0"/>
    <d v="2026-04-29T00:00:00"/>
    <x v="1"/>
    <x v="2"/>
    <x v="11"/>
    <m/>
    <n v="9999"/>
    <n v="333.3"/>
    <n v="0"/>
    <n v="0"/>
    <n v="0"/>
    <x v="0"/>
    <n v="21.476712328767125"/>
    <x v="2"/>
    <n v="2"/>
    <d v="2004-11-11T00:00:00"/>
  </r>
  <r>
    <x v="1"/>
    <n v="19021301"/>
    <x v="0"/>
    <d v="2026-04-29T00:00:00"/>
    <x v="1"/>
    <x v="2"/>
    <x v="11"/>
    <d v="2026-05-31T00:00:00"/>
    <n v="32"/>
    <n v="1.0666666666666667"/>
    <n v="0"/>
    <n v="1"/>
    <n v="1"/>
    <x v="0"/>
    <n v="26.575342465753426"/>
    <x v="1"/>
    <n v="3"/>
    <d v="1999-10-08T00:00:00"/>
  </r>
  <r>
    <x v="1"/>
    <n v="19021312"/>
    <x v="1"/>
    <d v="2026-04-29T00:00:00"/>
    <x v="1"/>
    <x v="2"/>
    <x v="11"/>
    <m/>
    <n v="9999"/>
    <n v="333.3"/>
    <n v="0"/>
    <n v="0"/>
    <n v="0"/>
    <x v="0"/>
    <n v="23.813698630136987"/>
    <x v="2"/>
    <n v="2"/>
    <d v="2002-07-12T00:00:00"/>
  </r>
  <r>
    <x v="1"/>
    <n v="19021352"/>
    <x v="0"/>
    <d v="2026-04-29T00:00:00"/>
    <x v="1"/>
    <x v="2"/>
    <x v="11"/>
    <m/>
    <n v="9999"/>
    <n v="333.3"/>
    <n v="0"/>
    <n v="0"/>
    <n v="0"/>
    <x v="1"/>
    <n v="20.572602739726026"/>
    <x v="3"/>
    <n v="1"/>
    <d v="2005-10-07T00:00:00"/>
  </r>
  <r>
    <x v="0"/>
    <n v="19021697"/>
    <x v="0"/>
    <d v="2026-05-02T00:00:00"/>
    <x v="1"/>
    <x v="1"/>
    <x v="1"/>
    <m/>
    <n v="9999"/>
    <n v="333.3"/>
    <n v="0"/>
    <n v="0"/>
    <n v="0"/>
    <x v="1"/>
    <n v="25.18904109589041"/>
    <x v="2"/>
    <n v="2"/>
    <d v="2001-02-28T00:00:00"/>
  </r>
  <r>
    <x v="1"/>
    <n v="19021702"/>
    <x v="0"/>
    <d v="2026-05-02T00:00:00"/>
    <x v="1"/>
    <x v="1"/>
    <x v="1"/>
    <m/>
    <n v="9999"/>
    <n v="333.3"/>
    <n v="0"/>
    <n v="0"/>
    <n v="0"/>
    <x v="1"/>
    <n v="38.972602739726028"/>
    <x v="0"/>
    <n v="4"/>
    <d v="1987-05-22T00:00:00"/>
  </r>
  <r>
    <x v="1"/>
    <n v="19021711"/>
    <x v="0"/>
    <d v="2026-05-02T00:00:00"/>
    <x v="1"/>
    <x v="1"/>
    <x v="1"/>
    <m/>
    <n v="9999"/>
    <n v="333.3"/>
    <n v="0"/>
    <n v="0"/>
    <n v="0"/>
    <x v="1"/>
    <n v="22.547945205479451"/>
    <x v="2"/>
    <n v="2"/>
    <d v="2003-10-20T00:00:00"/>
  </r>
  <r>
    <x v="1"/>
    <n v="19021810"/>
    <x v="0"/>
    <d v="2026-05-04T00:00:00"/>
    <x v="1"/>
    <x v="1"/>
    <x v="1"/>
    <m/>
    <n v="9999"/>
    <n v="333.3"/>
    <n v="0"/>
    <n v="0"/>
    <n v="0"/>
    <x v="0"/>
    <n v="19.18904109589041"/>
    <x v="3"/>
    <n v="1"/>
    <d v="2007-03-01T00:00:00"/>
  </r>
  <r>
    <x v="1"/>
    <n v="19021927"/>
    <x v="1"/>
    <d v="2026-05-04T00:00:00"/>
    <x v="1"/>
    <x v="1"/>
    <x v="1"/>
    <m/>
    <n v="9999"/>
    <n v="333.3"/>
    <n v="0"/>
    <n v="0"/>
    <n v="0"/>
    <x v="1"/>
    <n v="22.531506849315068"/>
    <x v="2"/>
    <n v="2"/>
    <d v="2003-10-28T00:00:00"/>
  </r>
  <r>
    <x v="0"/>
    <n v="19022048"/>
    <x v="0"/>
    <d v="2026-05-04T00:00:00"/>
    <x v="1"/>
    <x v="1"/>
    <x v="1"/>
    <m/>
    <n v="9999"/>
    <n v="333.3"/>
    <n v="0"/>
    <n v="0"/>
    <n v="0"/>
    <x v="1"/>
    <n v="19.706849315068492"/>
    <x v="3"/>
    <n v="1"/>
    <d v="2006-08-24T00:00:00"/>
  </r>
  <r>
    <x v="1"/>
    <n v="19022116"/>
    <x v="0"/>
    <d v="2026-05-05T00:00:00"/>
    <x v="1"/>
    <x v="1"/>
    <x v="1"/>
    <m/>
    <n v="9999"/>
    <n v="333.3"/>
    <n v="0"/>
    <n v="0"/>
    <n v="0"/>
    <x v="1"/>
    <n v="23"/>
    <x v="2"/>
    <n v="2"/>
    <d v="2003-05-11T00:00:00"/>
  </r>
  <r>
    <x v="1"/>
    <n v="19022120"/>
    <x v="0"/>
    <d v="2026-05-05T00:00:00"/>
    <x v="1"/>
    <x v="1"/>
    <x v="1"/>
    <m/>
    <n v="9999"/>
    <n v="333.3"/>
    <n v="0"/>
    <n v="0"/>
    <n v="0"/>
    <x v="0"/>
    <n v="30.860273972602741"/>
    <x v="1"/>
    <n v="3"/>
    <d v="1995-07-03T00:00:00"/>
  </r>
  <r>
    <x v="1"/>
    <n v="19022129"/>
    <x v="0"/>
    <d v="2026-05-05T00:00:00"/>
    <x v="1"/>
    <x v="1"/>
    <x v="1"/>
    <m/>
    <n v="9999"/>
    <n v="333.3"/>
    <n v="0"/>
    <n v="0"/>
    <n v="0"/>
    <x v="0"/>
    <n v="22.43013698630137"/>
    <x v="2"/>
    <n v="2"/>
    <d v="2003-12-05T00:00:00"/>
  </r>
  <r>
    <x v="1"/>
    <n v="19022228"/>
    <x v="0"/>
    <d v="2026-05-06T00:00:00"/>
    <x v="1"/>
    <x v="1"/>
    <x v="1"/>
    <m/>
    <n v="9999"/>
    <n v="333.3"/>
    <n v="0"/>
    <n v="0"/>
    <n v="0"/>
    <x v="0"/>
    <n v="24.81095890410959"/>
    <x v="2"/>
    <n v="2"/>
    <d v="2001-07-20T00:00:00"/>
  </r>
  <r>
    <x v="1"/>
    <n v="19022322"/>
    <x v="0"/>
    <d v="2026-05-06T00:00:00"/>
    <x v="1"/>
    <x v="1"/>
    <x v="1"/>
    <m/>
    <n v="9999"/>
    <n v="333.3"/>
    <n v="0"/>
    <n v="0"/>
    <n v="0"/>
    <x v="1"/>
    <n v="30.161643835616438"/>
    <x v="1"/>
    <n v="3"/>
    <d v="1996-03-15T00:00:00"/>
  </r>
  <r>
    <x v="1"/>
    <n v="19022329"/>
    <x v="0"/>
    <d v="2026-05-06T00:00:00"/>
    <x v="1"/>
    <x v="1"/>
    <x v="1"/>
    <m/>
    <n v="9999"/>
    <n v="333.3"/>
    <n v="0"/>
    <n v="0"/>
    <n v="0"/>
    <x v="1"/>
    <n v="31.882191780821916"/>
    <x v="0"/>
    <n v="4"/>
    <d v="1994-06-26T00:00:00"/>
  </r>
  <r>
    <x v="1"/>
    <n v="19022330"/>
    <x v="0"/>
    <d v="2026-05-06T00:00:00"/>
    <x v="1"/>
    <x v="1"/>
    <x v="1"/>
    <m/>
    <n v="9999"/>
    <n v="333.3"/>
    <n v="0"/>
    <n v="0"/>
    <n v="0"/>
    <x v="1"/>
    <n v="21.306849315068494"/>
    <x v="2"/>
    <n v="2"/>
    <d v="2005-01-19T00:00:00"/>
  </r>
  <r>
    <x v="1"/>
    <n v="19022368"/>
    <x v="0"/>
    <d v="2026-05-06T00:00:00"/>
    <x v="1"/>
    <x v="1"/>
    <x v="1"/>
    <d v="2026-05-13T00:00:00"/>
    <n v="7"/>
    <n v="0.23333333333333334"/>
    <n v="1"/>
    <n v="1"/>
    <n v="1"/>
    <x v="1"/>
    <n v="32.726027397260275"/>
    <x v="0"/>
    <n v="4"/>
    <d v="1993-08-22T00:00:00"/>
  </r>
  <r>
    <x v="1"/>
    <n v="19022466"/>
    <x v="0"/>
    <d v="2026-05-06T00:00:00"/>
    <x v="1"/>
    <x v="1"/>
    <x v="1"/>
    <m/>
    <n v="9999"/>
    <n v="333.3"/>
    <n v="0"/>
    <n v="0"/>
    <n v="0"/>
    <x v="1"/>
    <n v="23.049315068493151"/>
    <x v="2"/>
    <n v="2"/>
    <d v="2003-04-24T00:00:00"/>
  </r>
  <r>
    <x v="1"/>
    <n v="19022474"/>
    <x v="1"/>
    <d v="2026-05-06T00:00:00"/>
    <x v="1"/>
    <x v="1"/>
    <x v="1"/>
    <m/>
    <n v="9999"/>
    <n v="333.3"/>
    <n v="0"/>
    <n v="0"/>
    <n v="0"/>
    <x v="1"/>
    <n v="21.460273972602739"/>
    <x v="2"/>
    <n v="2"/>
    <d v="2004-11-24T00:00:00"/>
  </r>
  <r>
    <x v="1"/>
    <n v="19022477"/>
    <x v="0"/>
    <d v="2026-05-06T00:00:00"/>
    <x v="1"/>
    <x v="1"/>
    <x v="1"/>
    <m/>
    <n v="9999"/>
    <n v="333.3"/>
    <n v="0"/>
    <n v="0"/>
    <n v="0"/>
    <x v="1"/>
    <n v="24.306849315068494"/>
    <x v="2"/>
    <n v="2"/>
    <d v="2002-01-20T00:00:00"/>
  </r>
  <r>
    <x v="1"/>
    <n v="19022483"/>
    <x v="0"/>
    <d v="2026-05-06T00:00:00"/>
    <x v="1"/>
    <x v="1"/>
    <x v="1"/>
    <m/>
    <n v="9999"/>
    <n v="333.3"/>
    <n v="0"/>
    <n v="0"/>
    <n v="0"/>
    <x v="1"/>
    <n v="20.356164383561644"/>
    <x v="3"/>
    <n v="1"/>
    <d v="2006-01-01T00:00:00"/>
  </r>
  <r>
    <x v="1"/>
    <n v="19022484"/>
    <x v="0"/>
    <d v="2026-05-06T00:00:00"/>
    <x v="1"/>
    <x v="1"/>
    <x v="1"/>
    <d v="2026-06-01T00:00:00"/>
    <n v="26"/>
    <n v="0.8666666666666667"/>
    <n v="1"/>
    <n v="1"/>
    <n v="1"/>
    <x v="1"/>
    <n v="20.219178082191782"/>
    <x v="3"/>
    <n v="1"/>
    <d v="2006-02-20T00:00:00"/>
  </r>
  <r>
    <x v="1"/>
    <n v="19022486"/>
    <x v="0"/>
    <d v="2026-05-06T00:00:00"/>
    <x v="1"/>
    <x v="1"/>
    <x v="1"/>
    <m/>
    <n v="9999"/>
    <n v="333.3"/>
    <n v="0"/>
    <n v="0"/>
    <n v="0"/>
    <x v="0"/>
    <n v="31.715068493150685"/>
    <x v="0"/>
    <n v="4"/>
    <d v="1994-08-26T00:00:00"/>
  </r>
  <r>
    <x v="1"/>
    <n v="19022488"/>
    <x v="0"/>
    <d v="2026-05-06T00:00:00"/>
    <x v="1"/>
    <x v="1"/>
    <x v="1"/>
    <m/>
    <n v="9999"/>
    <n v="333.3"/>
    <n v="0"/>
    <n v="0"/>
    <n v="0"/>
    <x v="1"/>
    <n v="35.246575342465754"/>
    <x v="0"/>
    <n v="4"/>
    <d v="1991-02-14T00:00:00"/>
  </r>
  <r>
    <x v="1"/>
    <n v="19022489"/>
    <x v="0"/>
    <d v="2026-05-06T00:00:00"/>
    <x v="1"/>
    <x v="1"/>
    <x v="1"/>
    <d v="2026-05-08T00:00:00"/>
    <n v="2"/>
    <n v="6.6666666666666666E-2"/>
    <n v="1"/>
    <n v="1"/>
    <n v="1"/>
    <x v="0"/>
    <n v="28.06027397260274"/>
    <x v="1"/>
    <n v="3"/>
    <d v="1998-04-21T00:00:00"/>
  </r>
  <r>
    <x v="1"/>
    <n v="19022491"/>
    <x v="0"/>
    <d v="2026-05-06T00:00:00"/>
    <x v="1"/>
    <x v="1"/>
    <x v="1"/>
    <m/>
    <n v="9999"/>
    <n v="333.3"/>
    <n v="0"/>
    <n v="0"/>
    <n v="0"/>
    <x v="1"/>
    <n v="26.19178082191781"/>
    <x v="1"/>
    <n v="3"/>
    <d v="2000-03-03T00:00:00"/>
  </r>
  <r>
    <x v="1"/>
    <n v="19022492"/>
    <x v="0"/>
    <d v="2026-05-06T00:00:00"/>
    <x v="1"/>
    <x v="1"/>
    <x v="1"/>
    <m/>
    <n v="9999"/>
    <n v="333.3"/>
    <n v="0"/>
    <n v="0"/>
    <n v="0"/>
    <x v="1"/>
    <n v="18.720547945205478"/>
    <x v="3"/>
    <n v="1"/>
    <d v="2007-08-21T00:00:00"/>
  </r>
  <r>
    <x v="1"/>
    <n v="19022528"/>
    <x v="0"/>
    <d v="2026-05-06T00:00:00"/>
    <x v="1"/>
    <x v="1"/>
    <x v="1"/>
    <m/>
    <n v="9999"/>
    <n v="333.3"/>
    <n v="0"/>
    <n v="0"/>
    <n v="0"/>
    <x v="1"/>
    <n v="18.460273972602739"/>
    <x v="3"/>
    <n v="1"/>
    <d v="2007-11-24T00:00:00"/>
  </r>
  <r>
    <x v="1"/>
    <n v="19022541"/>
    <x v="0"/>
    <d v="2026-05-06T00:00:00"/>
    <x v="1"/>
    <x v="1"/>
    <x v="1"/>
    <d v="2026-05-12T00:00:00"/>
    <n v="6"/>
    <n v="0.2"/>
    <n v="1"/>
    <n v="1"/>
    <n v="1"/>
    <x v="1"/>
    <n v="20.298630136986301"/>
    <x v="3"/>
    <n v="1"/>
    <d v="2006-01-22T00:00:00"/>
  </r>
  <r>
    <x v="1"/>
    <n v="19022611"/>
    <x v="0"/>
    <d v="2026-05-07T00:00:00"/>
    <x v="1"/>
    <x v="1"/>
    <x v="1"/>
    <m/>
    <n v="9999"/>
    <n v="333.3"/>
    <n v="0"/>
    <n v="0"/>
    <n v="0"/>
    <x v="1"/>
    <n v="21.87123287671233"/>
    <x v="2"/>
    <n v="2"/>
    <d v="2004-06-28T00:00:00"/>
  </r>
  <r>
    <x v="0"/>
    <n v="19022613"/>
    <x v="1"/>
    <d v="2026-05-07T00:00:00"/>
    <x v="1"/>
    <x v="1"/>
    <x v="1"/>
    <m/>
    <n v="9999"/>
    <n v="333.3"/>
    <n v="0"/>
    <n v="0"/>
    <n v="0"/>
    <x v="1"/>
    <n v="26.6"/>
    <x v="1"/>
    <n v="3"/>
    <d v="1999-10-07T00:00:00"/>
  </r>
  <r>
    <x v="1"/>
    <n v="19022617"/>
    <x v="1"/>
    <d v="2026-05-07T00:00:00"/>
    <x v="1"/>
    <x v="1"/>
    <x v="1"/>
    <m/>
    <n v="9999"/>
    <n v="333.3"/>
    <n v="0"/>
    <n v="0"/>
    <n v="0"/>
    <x v="1"/>
    <n v="18.723287671232878"/>
    <x v="3"/>
    <n v="1"/>
    <d v="2007-08-21T00:00:00"/>
  </r>
  <r>
    <x v="1"/>
    <n v="19022622"/>
    <x v="0"/>
    <d v="2026-05-07T00:00:00"/>
    <x v="1"/>
    <x v="1"/>
    <x v="1"/>
    <m/>
    <n v="9999"/>
    <n v="333.3"/>
    <n v="0"/>
    <n v="0"/>
    <n v="0"/>
    <x v="0"/>
    <n v="22.468493150684932"/>
    <x v="2"/>
    <n v="2"/>
    <d v="2003-11-23T00:00:00"/>
  </r>
  <r>
    <x v="1"/>
    <n v="19022623"/>
    <x v="0"/>
    <d v="2026-05-07T00:00:00"/>
    <x v="1"/>
    <x v="1"/>
    <x v="1"/>
    <m/>
    <n v="9999"/>
    <n v="333.3"/>
    <n v="0"/>
    <n v="0"/>
    <n v="0"/>
    <x v="0"/>
    <n v="20.361643835616437"/>
    <x v="3"/>
    <n v="1"/>
    <d v="2005-12-31T00:00:00"/>
  </r>
  <r>
    <x v="1"/>
    <n v="19022628"/>
    <x v="0"/>
    <d v="2026-05-07T00:00:00"/>
    <x v="1"/>
    <x v="1"/>
    <x v="1"/>
    <d v="2026-05-19T00:00:00"/>
    <n v="12"/>
    <n v="0.4"/>
    <n v="1"/>
    <n v="1"/>
    <n v="1"/>
    <x v="1"/>
    <n v="23.427397260273974"/>
    <x v="2"/>
    <n v="2"/>
    <d v="2002-12-08T00:00:00"/>
  </r>
  <r>
    <x v="1"/>
    <n v="19022665"/>
    <x v="0"/>
    <d v="2026-05-07T00:00:00"/>
    <x v="1"/>
    <x v="1"/>
    <x v="1"/>
    <m/>
    <n v="9999"/>
    <n v="333.3"/>
    <n v="0"/>
    <n v="0"/>
    <n v="0"/>
    <x v="0"/>
    <n v="21.115068493150684"/>
    <x v="2"/>
    <n v="2"/>
    <d v="2005-03-31T00:00:00"/>
  </r>
  <r>
    <x v="1"/>
    <n v="19022682"/>
    <x v="0"/>
    <d v="2026-05-07T00:00:00"/>
    <x v="1"/>
    <x v="1"/>
    <x v="1"/>
    <d v="2026-05-19T00:00:00"/>
    <n v="12"/>
    <n v="0.4"/>
    <n v="1"/>
    <n v="1"/>
    <n v="1"/>
    <x v="1"/>
    <n v="19.268493150684932"/>
    <x v="3"/>
    <n v="1"/>
    <d v="2007-02-03T00:00:00"/>
  </r>
  <r>
    <x v="1"/>
    <n v="19022683"/>
    <x v="0"/>
    <d v="2026-05-07T00:00:00"/>
    <x v="1"/>
    <x v="1"/>
    <x v="1"/>
    <m/>
    <n v="9999"/>
    <n v="333.3"/>
    <n v="0"/>
    <n v="0"/>
    <n v="0"/>
    <x v="1"/>
    <n v="22.043835616438358"/>
    <x v="2"/>
    <n v="2"/>
    <d v="2004-04-26T00:00:00"/>
  </r>
  <r>
    <x v="1"/>
    <n v="19022709"/>
    <x v="0"/>
    <d v="2026-05-07T00:00:00"/>
    <x v="1"/>
    <x v="1"/>
    <x v="1"/>
    <m/>
    <n v="9999"/>
    <n v="333.3"/>
    <n v="0"/>
    <n v="0"/>
    <n v="0"/>
    <x v="1"/>
    <n v="25.257534246575343"/>
    <x v="2"/>
    <n v="2"/>
    <d v="2001-02-08T00:00:00"/>
  </r>
  <r>
    <x v="1"/>
    <n v="19022849"/>
    <x v="0"/>
    <d v="2026-05-08T00:00:00"/>
    <x v="1"/>
    <x v="1"/>
    <x v="1"/>
    <d v="2026-05-11T00:00:00"/>
    <n v="3"/>
    <n v="0.1"/>
    <n v="1"/>
    <n v="1"/>
    <n v="1"/>
    <x v="1"/>
    <n v="23.093150684931508"/>
    <x v="2"/>
    <n v="2"/>
    <d v="2003-04-10T00:00:00"/>
  </r>
  <r>
    <x v="1"/>
    <n v="19022870"/>
    <x v="0"/>
    <d v="2026-05-08T00:00:00"/>
    <x v="1"/>
    <x v="1"/>
    <x v="1"/>
    <m/>
    <n v="9999"/>
    <n v="333.3"/>
    <n v="0"/>
    <n v="0"/>
    <n v="0"/>
    <x v="1"/>
    <n v="22.602739726027398"/>
    <x v="2"/>
    <n v="2"/>
    <d v="2003-10-06T00:00:00"/>
  </r>
  <r>
    <x v="1"/>
    <n v="19022873"/>
    <x v="0"/>
    <d v="2026-05-08T00:00:00"/>
    <x v="1"/>
    <x v="1"/>
    <x v="1"/>
    <m/>
    <n v="9999"/>
    <n v="333.3"/>
    <n v="0"/>
    <n v="0"/>
    <n v="0"/>
    <x v="1"/>
    <n v="20.263013698630136"/>
    <x v="3"/>
    <n v="1"/>
    <d v="2006-02-06T00:00:00"/>
  </r>
  <r>
    <x v="1"/>
    <n v="19022874"/>
    <x v="0"/>
    <d v="2026-05-08T00:00:00"/>
    <x v="1"/>
    <x v="1"/>
    <x v="1"/>
    <d v="2026-05-14T00:00:00"/>
    <n v="6"/>
    <n v="0.2"/>
    <n v="1"/>
    <n v="1"/>
    <n v="1"/>
    <x v="1"/>
    <n v="23.55890410958904"/>
    <x v="2"/>
    <n v="2"/>
    <d v="2002-10-22T00:00:00"/>
  </r>
  <r>
    <x v="1"/>
    <n v="19022898"/>
    <x v="0"/>
    <d v="2026-05-08T00:00:00"/>
    <x v="1"/>
    <x v="1"/>
    <x v="1"/>
    <m/>
    <n v="9999"/>
    <n v="333.3"/>
    <n v="0"/>
    <n v="0"/>
    <n v="0"/>
    <x v="0"/>
    <n v="30.917808219178081"/>
    <x v="1"/>
    <n v="3"/>
    <d v="1995-06-15T00:00:00"/>
  </r>
  <r>
    <x v="1"/>
    <n v="19022915"/>
    <x v="0"/>
    <d v="2026-05-08T00:00:00"/>
    <x v="1"/>
    <x v="1"/>
    <x v="1"/>
    <m/>
    <n v="9999"/>
    <n v="333.3"/>
    <n v="0"/>
    <n v="0"/>
    <n v="0"/>
    <x v="1"/>
    <n v="32.769863013698632"/>
    <x v="0"/>
    <n v="4"/>
    <d v="1993-08-08T00:00:00"/>
  </r>
  <r>
    <x v="1"/>
    <n v="19022917"/>
    <x v="1"/>
    <d v="2026-05-08T00:00:00"/>
    <x v="1"/>
    <x v="1"/>
    <x v="1"/>
    <m/>
    <n v="9999"/>
    <n v="333.3"/>
    <n v="0"/>
    <n v="0"/>
    <n v="0"/>
    <x v="1"/>
    <n v="18.232876712328768"/>
    <x v="3"/>
    <n v="1"/>
    <d v="2008-02-17T00:00:00"/>
  </r>
  <r>
    <x v="1"/>
    <n v="19022919"/>
    <x v="0"/>
    <d v="2026-05-08T00:00:00"/>
    <x v="1"/>
    <x v="1"/>
    <x v="1"/>
    <m/>
    <n v="9999"/>
    <n v="333.3"/>
    <n v="0"/>
    <n v="0"/>
    <n v="0"/>
    <x v="1"/>
    <n v="21.101369863013698"/>
    <x v="2"/>
    <n v="2"/>
    <d v="2005-04-06T00:00:00"/>
  </r>
  <r>
    <x v="1"/>
    <n v="19022928"/>
    <x v="0"/>
    <d v="2026-05-08T00:00:00"/>
    <x v="1"/>
    <x v="1"/>
    <x v="1"/>
    <m/>
    <n v="9999"/>
    <n v="333.3"/>
    <n v="0"/>
    <n v="0"/>
    <n v="0"/>
    <x v="1"/>
    <n v="23.463013698630139"/>
    <x v="2"/>
    <n v="2"/>
    <d v="2002-11-26T00:00:00"/>
  </r>
  <r>
    <x v="1"/>
    <n v="19022929"/>
    <x v="1"/>
    <d v="2026-05-08T00:00:00"/>
    <x v="1"/>
    <x v="1"/>
    <x v="1"/>
    <d v="2026-06-01T00:00:00"/>
    <n v="24"/>
    <n v="0.8"/>
    <n v="1"/>
    <n v="1"/>
    <n v="1"/>
    <x v="1"/>
    <n v="18.339726027397262"/>
    <x v="3"/>
    <n v="1"/>
    <d v="2008-01-09T00:00:00"/>
  </r>
  <r>
    <x v="1"/>
    <n v="19022930"/>
    <x v="0"/>
    <d v="2026-05-08T00:00:00"/>
    <x v="1"/>
    <x v="1"/>
    <x v="1"/>
    <m/>
    <n v="9999"/>
    <n v="333.3"/>
    <n v="0"/>
    <n v="0"/>
    <n v="0"/>
    <x v="1"/>
    <n v="22.227397260273971"/>
    <x v="2"/>
    <n v="2"/>
    <d v="2004-02-20T00:00:00"/>
  </r>
  <r>
    <x v="1"/>
    <n v="19022936"/>
    <x v="0"/>
    <d v="2026-05-08T00:00:00"/>
    <x v="1"/>
    <x v="1"/>
    <x v="1"/>
    <m/>
    <n v="9999"/>
    <n v="333.3"/>
    <n v="0"/>
    <n v="0"/>
    <n v="0"/>
    <x v="1"/>
    <n v="18.87123287671233"/>
    <x v="3"/>
    <n v="1"/>
    <d v="2007-06-29T00:00:00"/>
  </r>
  <r>
    <x v="1"/>
    <n v="19022938"/>
    <x v="0"/>
    <d v="2026-05-08T00:00:00"/>
    <x v="1"/>
    <x v="1"/>
    <x v="1"/>
    <m/>
    <n v="9999"/>
    <n v="333.3"/>
    <n v="0"/>
    <n v="0"/>
    <n v="0"/>
    <x v="1"/>
    <n v="19.304109589041097"/>
    <x v="3"/>
    <n v="1"/>
    <d v="2007-01-22T00:00:00"/>
  </r>
  <r>
    <x v="1"/>
    <n v="19022939"/>
    <x v="1"/>
    <d v="2026-05-08T00:00:00"/>
    <x v="1"/>
    <x v="1"/>
    <x v="1"/>
    <m/>
    <n v="9999"/>
    <n v="333.3"/>
    <n v="0"/>
    <n v="0"/>
    <n v="0"/>
    <x v="1"/>
    <n v="20.424657534246574"/>
    <x v="3"/>
    <n v="1"/>
    <d v="2005-12-09T00:00:00"/>
  </r>
  <r>
    <x v="1"/>
    <n v="19022968"/>
    <x v="0"/>
    <d v="2026-05-08T00:00:00"/>
    <x v="1"/>
    <x v="1"/>
    <x v="1"/>
    <d v="2026-05-31T00:00:00"/>
    <n v="23"/>
    <n v="0.76666666666666672"/>
    <n v="1"/>
    <n v="1"/>
    <n v="1"/>
    <x v="1"/>
    <n v="22.830136986301369"/>
    <x v="2"/>
    <n v="2"/>
    <d v="2003-07-15T00:00:00"/>
  </r>
  <r>
    <x v="1"/>
    <n v="19022970"/>
    <x v="0"/>
    <d v="2026-05-08T00:00:00"/>
    <x v="1"/>
    <x v="1"/>
    <x v="1"/>
    <m/>
    <n v="9999"/>
    <n v="333.3"/>
    <n v="0"/>
    <n v="0"/>
    <n v="0"/>
    <x v="1"/>
    <n v="18.024657534246575"/>
    <x v="3"/>
    <n v="1"/>
    <d v="2008-05-03T00:00:00"/>
  </r>
  <r>
    <x v="1"/>
    <n v="19022971"/>
    <x v="0"/>
    <d v="2026-05-08T00:00:00"/>
    <x v="1"/>
    <x v="1"/>
    <x v="1"/>
    <m/>
    <n v="9999"/>
    <n v="333.3"/>
    <n v="0"/>
    <n v="0"/>
    <n v="0"/>
    <x v="1"/>
    <n v="26.997260273972604"/>
    <x v="1"/>
    <n v="3"/>
    <d v="1999-05-16T00:00:00"/>
  </r>
  <r>
    <x v="1"/>
    <n v="19022972"/>
    <x v="0"/>
    <d v="2026-05-08T00:00:00"/>
    <x v="1"/>
    <x v="1"/>
    <x v="1"/>
    <m/>
    <n v="9999"/>
    <n v="333.3"/>
    <n v="0"/>
    <n v="0"/>
    <n v="0"/>
    <x v="1"/>
    <n v="26.323287671232876"/>
    <x v="1"/>
    <n v="3"/>
    <d v="2000-01-17T00:00:00"/>
  </r>
  <r>
    <x v="1"/>
    <n v="19022974"/>
    <x v="0"/>
    <d v="2026-05-08T00:00:00"/>
    <x v="1"/>
    <x v="1"/>
    <x v="1"/>
    <m/>
    <n v="9999"/>
    <n v="333.3"/>
    <n v="0"/>
    <n v="0"/>
    <n v="0"/>
    <x v="1"/>
    <n v="21.126027397260273"/>
    <x v="2"/>
    <n v="2"/>
    <d v="2005-03-28T00:00:00"/>
  </r>
  <r>
    <x v="1"/>
    <n v="19022975"/>
    <x v="0"/>
    <d v="2026-05-08T00:00:00"/>
    <x v="1"/>
    <x v="1"/>
    <x v="1"/>
    <m/>
    <n v="9999"/>
    <n v="333.3"/>
    <n v="0"/>
    <n v="0"/>
    <n v="0"/>
    <x v="1"/>
    <n v="21.989041095890411"/>
    <x v="2"/>
    <n v="2"/>
    <d v="2004-05-17T00:00:00"/>
  </r>
  <r>
    <x v="1"/>
    <n v="19022986"/>
    <x v="0"/>
    <d v="2026-05-08T00:00:00"/>
    <x v="1"/>
    <x v="1"/>
    <x v="1"/>
    <m/>
    <n v="9999"/>
    <n v="333.3"/>
    <n v="0"/>
    <n v="0"/>
    <n v="0"/>
    <x v="1"/>
    <n v="23.312328767123287"/>
    <x v="2"/>
    <n v="2"/>
    <d v="2003-01-20T00:00:00"/>
  </r>
  <r>
    <x v="1"/>
    <n v="19022987"/>
    <x v="1"/>
    <d v="2026-05-06T00:00:00"/>
    <x v="1"/>
    <x v="1"/>
    <x v="1"/>
    <m/>
    <n v="9999"/>
    <n v="333.3"/>
    <n v="0"/>
    <n v="0"/>
    <n v="0"/>
    <x v="1"/>
    <n v="18.882191780821916"/>
    <x v="3"/>
    <n v="1"/>
    <d v="2007-06-23T00:00:00"/>
  </r>
  <r>
    <x v="1"/>
    <n v="19022988"/>
    <x v="0"/>
    <d v="2026-05-08T00:00:00"/>
    <x v="1"/>
    <x v="1"/>
    <x v="1"/>
    <m/>
    <n v="9999"/>
    <n v="333.3"/>
    <n v="0"/>
    <n v="0"/>
    <n v="0"/>
    <x v="1"/>
    <n v="20.287671232876711"/>
    <x v="3"/>
    <n v="1"/>
    <d v="2006-01-28T00:00:00"/>
  </r>
  <r>
    <x v="1"/>
    <n v="19022992"/>
    <x v="0"/>
    <d v="2026-05-06T00:00:00"/>
    <x v="1"/>
    <x v="1"/>
    <x v="1"/>
    <d v="2026-05-15T00:00:00"/>
    <n v="9"/>
    <n v="0.3"/>
    <n v="1"/>
    <n v="1"/>
    <n v="1"/>
    <x v="1"/>
    <n v="25.652054794520549"/>
    <x v="2"/>
    <n v="2"/>
    <d v="2000-09-16T00:00:00"/>
  </r>
  <r>
    <x v="1"/>
    <n v="19023002"/>
    <x v="1"/>
    <d v="2026-05-08T00:00:00"/>
    <x v="1"/>
    <x v="1"/>
    <x v="1"/>
    <m/>
    <n v="9999"/>
    <n v="333.3"/>
    <n v="0"/>
    <n v="0"/>
    <n v="0"/>
    <x v="1"/>
    <n v="20.221917808219178"/>
    <x v="3"/>
    <n v="1"/>
    <d v="2006-02-21T00:00:00"/>
  </r>
  <r>
    <x v="1"/>
    <n v="19023009"/>
    <x v="0"/>
    <d v="2026-05-08T00:00:00"/>
    <x v="1"/>
    <x v="1"/>
    <x v="1"/>
    <m/>
    <n v="9999"/>
    <n v="333.3"/>
    <n v="0"/>
    <n v="0"/>
    <n v="0"/>
    <x v="1"/>
    <n v="19.19178082191781"/>
    <x v="3"/>
    <n v="1"/>
    <d v="2007-03-04T00:00:00"/>
  </r>
  <r>
    <x v="1"/>
    <n v="19023010"/>
    <x v="0"/>
    <d v="2026-05-06T00:00:00"/>
    <x v="1"/>
    <x v="1"/>
    <x v="1"/>
    <m/>
    <n v="9999"/>
    <n v="333.3"/>
    <n v="0"/>
    <n v="0"/>
    <n v="0"/>
    <x v="1"/>
    <n v="19.747945205479454"/>
    <x v="3"/>
    <n v="1"/>
    <d v="2006-08-11T00:00:00"/>
  </r>
  <r>
    <x v="1"/>
    <n v="19023084"/>
    <x v="0"/>
    <d v="2026-05-08T00:00:00"/>
    <x v="1"/>
    <x v="1"/>
    <x v="1"/>
    <d v="2026-05-11T00:00:00"/>
    <n v="3"/>
    <n v="0.1"/>
    <n v="1"/>
    <n v="1"/>
    <n v="1"/>
    <x v="1"/>
    <n v="19.789041095890411"/>
    <x v="3"/>
    <n v="1"/>
    <d v="2006-07-29T00:00:00"/>
  </r>
  <r>
    <x v="1"/>
    <n v="19023088"/>
    <x v="1"/>
    <d v="2026-05-08T00:00:00"/>
    <x v="1"/>
    <x v="1"/>
    <x v="1"/>
    <m/>
    <n v="9999"/>
    <n v="333.3"/>
    <n v="0"/>
    <n v="0"/>
    <n v="0"/>
    <x v="1"/>
    <n v="25.663013698630138"/>
    <x v="2"/>
    <n v="2"/>
    <d v="2000-09-14T00:00:00"/>
  </r>
  <r>
    <x v="1"/>
    <n v="19023116"/>
    <x v="0"/>
    <d v="2026-05-08T00:00:00"/>
    <x v="1"/>
    <x v="1"/>
    <x v="1"/>
    <m/>
    <n v="9999"/>
    <n v="333.3"/>
    <n v="0"/>
    <n v="0"/>
    <n v="0"/>
    <x v="1"/>
    <n v="19.791780821917808"/>
    <x v="3"/>
    <n v="1"/>
    <d v="2006-07-28T00:00:00"/>
  </r>
  <r>
    <x v="1"/>
    <n v="19023250"/>
    <x v="0"/>
    <d v="2026-05-09T00:00:00"/>
    <x v="1"/>
    <x v="1"/>
    <x v="1"/>
    <m/>
    <n v="9999"/>
    <n v="333.3"/>
    <n v="0"/>
    <n v="0"/>
    <n v="0"/>
    <x v="1"/>
    <n v="19.290410958904111"/>
    <x v="3"/>
    <n v="1"/>
    <d v="2007-01-28T00:00:00"/>
  </r>
  <r>
    <x v="1"/>
    <n v="19023251"/>
    <x v="0"/>
    <d v="2026-05-09T00:00:00"/>
    <x v="1"/>
    <x v="1"/>
    <x v="1"/>
    <m/>
    <n v="9999"/>
    <n v="333.3"/>
    <n v="0"/>
    <n v="0"/>
    <n v="0"/>
    <x v="1"/>
    <n v="35.953424657534249"/>
    <x v="0"/>
    <n v="4"/>
    <d v="1990-06-04T00:00:00"/>
  </r>
  <r>
    <x v="1"/>
    <n v="19023290"/>
    <x v="1"/>
    <d v="2026-05-09T00:00:00"/>
    <x v="1"/>
    <x v="1"/>
    <x v="1"/>
    <m/>
    <n v="9999"/>
    <n v="333.3"/>
    <n v="0"/>
    <n v="0"/>
    <n v="0"/>
    <x v="1"/>
    <n v="18.24931506849315"/>
    <x v="3"/>
    <n v="1"/>
    <d v="2008-02-12T00:00:00"/>
  </r>
  <r>
    <x v="1"/>
    <n v="19023294"/>
    <x v="1"/>
    <d v="2026-05-09T00:00:00"/>
    <x v="1"/>
    <x v="1"/>
    <x v="1"/>
    <m/>
    <n v="9999"/>
    <n v="333.3"/>
    <n v="0"/>
    <n v="0"/>
    <n v="0"/>
    <x v="1"/>
    <n v="21.643835616438356"/>
    <x v="2"/>
    <n v="2"/>
    <d v="2004-09-21T00:00:00"/>
  </r>
  <r>
    <x v="1"/>
    <n v="19023309"/>
    <x v="0"/>
    <d v="2026-05-09T00:00:00"/>
    <x v="1"/>
    <x v="1"/>
    <x v="1"/>
    <m/>
    <n v="9999"/>
    <n v="333.3"/>
    <n v="0"/>
    <n v="0"/>
    <n v="0"/>
    <x v="1"/>
    <n v="20.69041095890411"/>
    <x v="3"/>
    <n v="1"/>
    <d v="2005-09-04T00:00:00"/>
  </r>
  <r>
    <x v="0"/>
    <n v="19023358"/>
    <x v="0"/>
    <d v="2026-05-11T00:00:00"/>
    <x v="1"/>
    <x v="1"/>
    <x v="1"/>
    <m/>
    <n v="9999"/>
    <n v="333.3"/>
    <n v="0"/>
    <n v="0"/>
    <n v="0"/>
    <x v="1"/>
    <n v="21.375342465753423"/>
    <x v="2"/>
    <n v="2"/>
    <d v="2004-12-30T00:00:00"/>
  </r>
  <r>
    <x v="1"/>
    <n v="19023360"/>
    <x v="1"/>
    <d v="2026-05-11T00:00:00"/>
    <x v="1"/>
    <x v="1"/>
    <x v="1"/>
    <m/>
    <n v="9999"/>
    <n v="333.3"/>
    <n v="0"/>
    <n v="0"/>
    <n v="0"/>
    <x v="1"/>
    <n v="20.6"/>
    <x v="3"/>
    <n v="1"/>
    <d v="2005-10-09T00:00:00"/>
  </r>
  <r>
    <x v="1"/>
    <n v="19023363"/>
    <x v="0"/>
    <d v="2026-05-11T00:00:00"/>
    <x v="1"/>
    <x v="1"/>
    <x v="1"/>
    <d v="2026-05-15T00:00:00"/>
    <n v="4"/>
    <n v="0.13333333333333333"/>
    <n v="1"/>
    <n v="1"/>
    <n v="1"/>
    <x v="1"/>
    <n v="55.208219178082189"/>
    <x v="0"/>
    <n v="4"/>
    <d v="1971-03-10T00:00:00"/>
  </r>
  <r>
    <x v="1"/>
    <n v="19023364"/>
    <x v="0"/>
    <d v="2026-05-11T00:00:00"/>
    <x v="1"/>
    <x v="1"/>
    <x v="1"/>
    <m/>
    <n v="9999"/>
    <n v="333.3"/>
    <n v="0"/>
    <n v="0"/>
    <n v="0"/>
    <x v="0"/>
    <n v="18.07123287671233"/>
    <x v="3"/>
    <n v="1"/>
    <d v="2008-04-19T00:00:00"/>
  </r>
  <r>
    <x v="0"/>
    <n v="19023365"/>
    <x v="0"/>
    <d v="2026-05-11T00:00:00"/>
    <x v="1"/>
    <x v="1"/>
    <x v="1"/>
    <m/>
    <n v="9999"/>
    <n v="333.3"/>
    <n v="0"/>
    <n v="0"/>
    <n v="0"/>
    <x v="1"/>
    <n v="21.556164383561644"/>
    <x v="2"/>
    <n v="2"/>
    <d v="2004-10-25T00:00:00"/>
  </r>
  <r>
    <x v="0"/>
    <n v="19023401"/>
    <x v="1"/>
    <d v="2026-05-11T00:00:00"/>
    <x v="1"/>
    <x v="1"/>
    <x v="1"/>
    <m/>
    <n v="9999"/>
    <n v="333.3"/>
    <n v="0"/>
    <n v="0"/>
    <n v="0"/>
    <x v="1"/>
    <n v="23.136986301369863"/>
    <x v="2"/>
    <n v="2"/>
    <d v="2003-03-28T00:00:00"/>
  </r>
  <r>
    <x v="1"/>
    <n v="19023448"/>
    <x v="0"/>
    <d v="2026-05-11T00:00:00"/>
    <x v="1"/>
    <x v="1"/>
    <x v="1"/>
    <d v="2026-05-13T00:00:00"/>
    <n v="2"/>
    <n v="6.6666666666666666E-2"/>
    <n v="1"/>
    <n v="1"/>
    <n v="1"/>
    <x v="0"/>
    <n v="19.476712328767125"/>
    <x v="3"/>
    <n v="1"/>
    <d v="2006-11-23T00:00:00"/>
  </r>
  <r>
    <x v="0"/>
    <n v="19023468"/>
    <x v="0"/>
    <d v="2026-05-07T00:00:00"/>
    <x v="1"/>
    <x v="1"/>
    <x v="1"/>
    <m/>
    <n v="9999"/>
    <n v="333.3"/>
    <n v="0"/>
    <n v="0"/>
    <n v="0"/>
    <x v="1"/>
    <n v="22.304109589041097"/>
    <x v="2"/>
    <n v="2"/>
    <d v="2004-01-22T00:00:00"/>
  </r>
  <r>
    <x v="1"/>
    <n v="19023471"/>
    <x v="0"/>
    <d v="2026-05-11T00:00:00"/>
    <x v="1"/>
    <x v="1"/>
    <x v="1"/>
    <d v="2026-05-14T00:00:00"/>
    <n v="3"/>
    <n v="0.1"/>
    <n v="1"/>
    <n v="1"/>
    <n v="1"/>
    <x v="0"/>
    <n v="19.931506849315067"/>
    <x v="3"/>
    <n v="1"/>
    <d v="2006-06-10T00:00:00"/>
  </r>
  <r>
    <x v="1"/>
    <n v="19023479"/>
    <x v="0"/>
    <d v="2026-05-11T00:00:00"/>
    <x v="1"/>
    <x v="1"/>
    <x v="1"/>
    <m/>
    <n v="9999"/>
    <n v="333.3"/>
    <n v="0"/>
    <n v="0"/>
    <n v="0"/>
    <x v="1"/>
    <n v="21.246575342465754"/>
    <x v="2"/>
    <n v="2"/>
    <d v="2005-02-15T00:00:00"/>
  </r>
  <r>
    <x v="1"/>
    <n v="19023500"/>
    <x v="0"/>
    <d v="2026-05-11T00:00:00"/>
    <x v="1"/>
    <x v="1"/>
    <x v="1"/>
    <m/>
    <n v="9999"/>
    <n v="333.3"/>
    <n v="0"/>
    <n v="0"/>
    <n v="0"/>
    <x v="0"/>
    <n v="18.901369863013699"/>
    <x v="3"/>
    <n v="1"/>
    <d v="2007-06-21T00:00:00"/>
  </r>
  <r>
    <x v="1"/>
    <n v="19023501"/>
    <x v="1"/>
    <d v="2026-05-11T00:00:00"/>
    <x v="1"/>
    <x v="1"/>
    <x v="1"/>
    <d v="2026-05-16T00:00:00"/>
    <n v="5"/>
    <n v="0.16666666666666666"/>
    <n v="1"/>
    <n v="1"/>
    <n v="1"/>
    <x v="1"/>
    <n v="21.43013698630137"/>
    <x v="2"/>
    <n v="2"/>
    <d v="2004-12-10T00:00:00"/>
  </r>
  <r>
    <x v="1"/>
    <n v="19023527"/>
    <x v="0"/>
    <d v="2026-05-11T00:00:00"/>
    <x v="1"/>
    <x v="1"/>
    <x v="1"/>
    <m/>
    <n v="9999"/>
    <n v="333.3"/>
    <n v="0"/>
    <n v="0"/>
    <n v="0"/>
    <x v="0"/>
    <n v="21.63013698630137"/>
    <x v="2"/>
    <n v="2"/>
    <d v="2004-09-28T00:00:00"/>
  </r>
  <r>
    <x v="1"/>
    <n v="19023598"/>
    <x v="0"/>
    <d v="2026-05-07T00:00:00"/>
    <x v="1"/>
    <x v="1"/>
    <x v="1"/>
    <m/>
    <n v="9999"/>
    <n v="333.3"/>
    <n v="0"/>
    <n v="0"/>
    <n v="0"/>
    <x v="1"/>
    <n v="21.739726027397261"/>
    <x v="2"/>
    <n v="2"/>
    <d v="2004-08-15T00:00:00"/>
  </r>
  <r>
    <x v="1"/>
    <n v="19023787"/>
    <x v="0"/>
    <d v="2026-05-12T00:00:00"/>
    <x v="1"/>
    <x v="1"/>
    <x v="1"/>
    <m/>
    <n v="9999"/>
    <n v="333.3"/>
    <n v="0"/>
    <n v="0"/>
    <n v="0"/>
    <x v="1"/>
    <n v="20.5013698630137"/>
    <x v="3"/>
    <n v="1"/>
    <d v="2005-11-15T00:00:00"/>
  </r>
  <r>
    <x v="1"/>
    <n v="19023826"/>
    <x v="0"/>
    <d v="2026-05-12T00:00:00"/>
    <x v="1"/>
    <x v="1"/>
    <x v="1"/>
    <m/>
    <n v="9999"/>
    <n v="333.3"/>
    <n v="0"/>
    <n v="0"/>
    <n v="0"/>
    <x v="1"/>
    <n v="20.476712328767125"/>
    <x v="3"/>
    <n v="1"/>
    <d v="2005-11-24T00:00:00"/>
  </r>
  <r>
    <x v="1"/>
    <n v="19023827"/>
    <x v="0"/>
    <d v="2026-05-12T00:00:00"/>
    <x v="1"/>
    <x v="1"/>
    <x v="1"/>
    <d v="2026-05-15T00:00:00"/>
    <n v="3"/>
    <n v="0.1"/>
    <n v="1"/>
    <n v="1"/>
    <n v="1"/>
    <x v="1"/>
    <n v="18.465753424657535"/>
    <x v="3"/>
    <n v="1"/>
    <d v="2007-11-28T00:00:00"/>
  </r>
  <r>
    <x v="1"/>
    <n v="19023842"/>
    <x v="0"/>
    <d v="2026-05-12T00:00:00"/>
    <x v="1"/>
    <x v="1"/>
    <x v="1"/>
    <m/>
    <n v="9999"/>
    <n v="333.3"/>
    <n v="0"/>
    <n v="0"/>
    <n v="0"/>
    <x v="0"/>
    <n v="21.849315068493151"/>
    <x v="2"/>
    <n v="2"/>
    <d v="2004-07-11T00:00:00"/>
  </r>
  <r>
    <x v="1"/>
    <n v="19023848"/>
    <x v="0"/>
    <d v="2026-05-12T00:00:00"/>
    <x v="1"/>
    <x v="1"/>
    <x v="1"/>
    <m/>
    <n v="9999"/>
    <n v="333.3"/>
    <n v="0"/>
    <n v="0"/>
    <n v="0"/>
    <x v="0"/>
    <n v="21.246575342465754"/>
    <x v="2"/>
    <n v="2"/>
    <d v="2005-02-16T00:00:00"/>
  </r>
  <r>
    <x v="1"/>
    <n v="19023851"/>
    <x v="0"/>
    <d v="2026-05-12T00:00:00"/>
    <x v="1"/>
    <x v="1"/>
    <x v="1"/>
    <m/>
    <n v="9999"/>
    <n v="333.3"/>
    <n v="0"/>
    <n v="0"/>
    <n v="0"/>
    <x v="0"/>
    <n v="19.18082191780822"/>
    <x v="3"/>
    <n v="1"/>
    <d v="2007-03-12T00:00:00"/>
  </r>
  <r>
    <x v="1"/>
    <n v="19023907"/>
    <x v="1"/>
    <d v="2026-05-12T00:00:00"/>
    <x v="1"/>
    <x v="1"/>
    <x v="1"/>
    <m/>
    <n v="9999"/>
    <n v="333.3"/>
    <n v="0"/>
    <n v="0"/>
    <n v="0"/>
    <x v="1"/>
    <n v="25.115068493150684"/>
    <x v="2"/>
    <n v="2"/>
    <d v="2001-04-06T00:00:00"/>
  </r>
  <r>
    <x v="1"/>
    <n v="19023910"/>
    <x v="0"/>
    <d v="2026-05-12T00:00:00"/>
    <x v="1"/>
    <x v="1"/>
    <x v="1"/>
    <m/>
    <n v="9999"/>
    <n v="333.3"/>
    <n v="0"/>
    <n v="0"/>
    <n v="0"/>
    <x v="1"/>
    <n v="19.158904109589042"/>
    <x v="3"/>
    <n v="1"/>
    <d v="2007-03-20T00:00:00"/>
  </r>
  <r>
    <x v="1"/>
    <n v="19023915"/>
    <x v="0"/>
    <d v="2026-05-12T00:00:00"/>
    <x v="1"/>
    <x v="1"/>
    <x v="1"/>
    <d v="2026-05-31T00:00:00"/>
    <n v="19"/>
    <n v="0.6333333333333333"/>
    <n v="1"/>
    <n v="1"/>
    <n v="1"/>
    <x v="1"/>
    <n v="21.482191780821918"/>
    <x v="2"/>
    <n v="2"/>
    <d v="2004-11-22T00:00:00"/>
  </r>
  <r>
    <x v="0"/>
    <n v="19024183"/>
    <x v="0"/>
    <d v="2026-05-13T00:00:00"/>
    <x v="1"/>
    <x v="1"/>
    <x v="1"/>
    <m/>
    <n v="9999"/>
    <n v="333.3"/>
    <n v="0"/>
    <n v="0"/>
    <n v="0"/>
    <x v="1"/>
    <n v="21.375342465753423"/>
    <x v="2"/>
    <n v="2"/>
    <d v="2005-01-01T00:00:00"/>
  </r>
  <r>
    <x v="1"/>
    <n v="19024184"/>
    <x v="1"/>
    <d v="2026-05-13T00:00:00"/>
    <x v="1"/>
    <x v="1"/>
    <x v="1"/>
    <m/>
    <n v="9999"/>
    <n v="333.3"/>
    <n v="0"/>
    <n v="0"/>
    <n v="0"/>
    <x v="1"/>
    <n v="19.895890410958906"/>
    <x v="3"/>
    <n v="1"/>
    <d v="2006-06-25T00:00:00"/>
  </r>
  <r>
    <x v="1"/>
    <n v="19024188"/>
    <x v="0"/>
    <d v="2026-05-13T00:00:00"/>
    <x v="1"/>
    <x v="1"/>
    <x v="1"/>
    <m/>
    <n v="9999"/>
    <n v="333.3"/>
    <n v="0"/>
    <n v="0"/>
    <n v="0"/>
    <x v="0"/>
    <n v="25.298630136986301"/>
    <x v="2"/>
    <n v="2"/>
    <d v="2001-01-30T00:00:00"/>
  </r>
  <r>
    <x v="1"/>
    <n v="19024202"/>
    <x v="0"/>
    <d v="2026-05-13T00:00:00"/>
    <x v="1"/>
    <x v="1"/>
    <x v="1"/>
    <m/>
    <n v="9999"/>
    <n v="333.3"/>
    <n v="0"/>
    <n v="0"/>
    <n v="0"/>
    <x v="1"/>
    <n v="20.745205479452054"/>
    <x v="3"/>
    <n v="1"/>
    <d v="2005-08-19T00:00:00"/>
  </r>
  <r>
    <x v="1"/>
    <n v="19024207"/>
    <x v="0"/>
    <d v="2026-05-13T00:00:00"/>
    <x v="1"/>
    <x v="1"/>
    <x v="1"/>
    <d v="2026-05-31T00:00:00"/>
    <n v="18"/>
    <n v="0.6"/>
    <n v="1"/>
    <n v="1"/>
    <n v="1"/>
    <x v="0"/>
    <n v="26.767123287671232"/>
    <x v="1"/>
    <n v="3"/>
    <d v="1999-08-13T00:00:00"/>
  </r>
  <r>
    <x v="1"/>
    <n v="19024208"/>
    <x v="1"/>
    <d v="2026-05-13T00:00:00"/>
    <x v="1"/>
    <x v="1"/>
    <x v="1"/>
    <m/>
    <n v="9999"/>
    <n v="333.3"/>
    <n v="0"/>
    <n v="0"/>
    <n v="0"/>
    <x v="0"/>
    <n v="19.643835616438356"/>
    <x v="3"/>
    <n v="1"/>
    <d v="2006-09-25T00:00:00"/>
  </r>
  <r>
    <x v="1"/>
    <n v="19024210"/>
    <x v="0"/>
    <d v="2026-05-13T00:00:00"/>
    <x v="1"/>
    <x v="1"/>
    <x v="1"/>
    <m/>
    <n v="9999"/>
    <n v="333.3"/>
    <n v="0"/>
    <n v="0"/>
    <n v="0"/>
    <x v="0"/>
    <n v="25.339726027397262"/>
    <x v="2"/>
    <n v="2"/>
    <d v="2001-01-15T00:00:00"/>
  </r>
  <r>
    <x v="1"/>
    <n v="19024212"/>
    <x v="0"/>
    <d v="2026-05-13T00:00:00"/>
    <x v="1"/>
    <x v="1"/>
    <x v="1"/>
    <m/>
    <n v="9999"/>
    <n v="333.3"/>
    <n v="0"/>
    <n v="0"/>
    <n v="0"/>
    <x v="0"/>
    <n v="37.528767123287672"/>
    <x v="0"/>
    <n v="4"/>
    <d v="1988-11-10T00:00:00"/>
  </r>
  <r>
    <x v="1"/>
    <n v="19024213"/>
    <x v="0"/>
    <d v="2026-05-13T00:00:00"/>
    <x v="1"/>
    <x v="1"/>
    <x v="1"/>
    <m/>
    <n v="9999"/>
    <n v="333.3"/>
    <n v="0"/>
    <n v="0"/>
    <n v="0"/>
    <x v="0"/>
    <n v="44.846575342465755"/>
    <x v="0"/>
    <n v="4"/>
    <d v="1981-07-19T00:00:00"/>
  </r>
  <r>
    <x v="1"/>
    <n v="19024227"/>
    <x v="0"/>
    <d v="2026-05-13T00:00:00"/>
    <x v="1"/>
    <x v="1"/>
    <x v="1"/>
    <m/>
    <n v="9999"/>
    <n v="333.3"/>
    <n v="0"/>
    <n v="0"/>
    <n v="0"/>
    <x v="1"/>
    <n v="20.728767123287671"/>
    <x v="3"/>
    <n v="1"/>
    <d v="2005-08-25T00:00:00"/>
  </r>
  <r>
    <x v="1"/>
    <n v="19024230"/>
    <x v="0"/>
    <d v="2026-05-13T00:00:00"/>
    <x v="1"/>
    <x v="1"/>
    <x v="1"/>
    <m/>
    <n v="9999"/>
    <n v="333.3"/>
    <n v="0"/>
    <n v="0"/>
    <n v="0"/>
    <x v="1"/>
    <n v="19.654794520547945"/>
    <x v="3"/>
    <n v="1"/>
    <d v="2006-09-21T00:00:00"/>
  </r>
  <r>
    <x v="1"/>
    <n v="19024233"/>
    <x v="0"/>
    <d v="2026-05-13T00:00:00"/>
    <x v="1"/>
    <x v="1"/>
    <x v="1"/>
    <m/>
    <n v="9999"/>
    <n v="333.3"/>
    <n v="0"/>
    <n v="0"/>
    <n v="0"/>
    <x v="1"/>
    <n v="18.205479452054796"/>
    <x v="3"/>
    <n v="1"/>
    <d v="2008-03-03T00:00:00"/>
  </r>
  <r>
    <x v="1"/>
    <n v="19024289"/>
    <x v="0"/>
    <d v="2026-05-13T00:00:00"/>
    <x v="1"/>
    <x v="1"/>
    <x v="1"/>
    <m/>
    <n v="9999"/>
    <n v="333.3"/>
    <n v="0"/>
    <n v="0"/>
    <n v="0"/>
    <x v="1"/>
    <n v="23.926027397260274"/>
    <x v="2"/>
    <n v="2"/>
    <d v="2002-06-15T00:00:00"/>
  </r>
  <r>
    <x v="1"/>
    <n v="19024291"/>
    <x v="1"/>
    <d v="2026-05-13T00:00:00"/>
    <x v="1"/>
    <x v="1"/>
    <x v="1"/>
    <m/>
    <n v="9999"/>
    <n v="333.3"/>
    <n v="0"/>
    <n v="0"/>
    <n v="0"/>
    <x v="1"/>
    <n v="18.673972602739727"/>
    <x v="3"/>
    <n v="1"/>
    <d v="2007-09-14T00:00:00"/>
  </r>
  <r>
    <x v="1"/>
    <n v="19024387"/>
    <x v="0"/>
    <d v="2026-05-14T00:00:00"/>
    <x v="1"/>
    <x v="1"/>
    <x v="1"/>
    <m/>
    <n v="9999"/>
    <n v="333.3"/>
    <n v="0"/>
    <n v="0"/>
    <n v="0"/>
    <x v="1"/>
    <n v="23.068493150684933"/>
    <x v="2"/>
    <n v="2"/>
    <d v="2003-04-25T00:00:00"/>
  </r>
  <r>
    <x v="1"/>
    <n v="19024388"/>
    <x v="0"/>
    <d v="2026-05-14T00:00:00"/>
    <x v="1"/>
    <x v="1"/>
    <x v="1"/>
    <m/>
    <n v="9999"/>
    <n v="333.3"/>
    <n v="0"/>
    <n v="0"/>
    <n v="0"/>
    <x v="1"/>
    <n v="18.312328767123287"/>
    <x v="3"/>
    <n v="1"/>
    <d v="2008-01-25T00:00:00"/>
  </r>
  <r>
    <x v="1"/>
    <n v="19024389"/>
    <x v="0"/>
    <d v="2026-05-14T00:00:00"/>
    <x v="1"/>
    <x v="1"/>
    <x v="1"/>
    <m/>
    <n v="9999"/>
    <n v="333.3"/>
    <n v="0"/>
    <n v="0"/>
    <n v="0"/>
    <x v="1"/>
    <n v="21.728767123287671"/>
    <x v="2"/>
    <n v="2"/>
    <d v="2004-08-26T00:00:00"/>
  </r>
  <r>
    <x v="1"/>
    <n v="19024394"/>
    <x v="1"/>
    <d v="2026-05-14T00:00:00"/>
    <x v="1"/>
    <x v="1"/>
    <x v="1"/>
    <m/>
    <n v="9999"/>
    <n v="333.3"/>
    <n v="0"/>
    <n v="0"/>
    <n v="0"/>
    <x v="0"/>
    <n v="20.052054794520547"/>
    <x v="3"/>
    <n v="1"/>
    <d v="2006-04-30T00:00:00"/>
  </r>
  <r>
    <x v="1"/>
    <n v="19024416"/>
    <x v="1"/>
    <d v="2026-05-14T00:00:00"/>
    <x v="1"/>
    <x v="1"/>
    <x v="1"/>
    <m/>
    <n v="9999"/>
    <n v="333.3"/>
    <n v="0"/>
    <n v="0"/>
    <n v="0"/>
    <x v="1"/>
    <n v="21.419178082191781"/>
    <x v="2"/>
    <n v="2"/>
    <d v="2004-12-17T00:00:00"/>
  </r>
  <r>
    <x v="1"/>
    <n v="19024422"/>
    <x v="0"/>
    <d v="2026-05-14T00:00:00"/>
    <x v="1"/>
    <x v="1"/>
    <x v="1"/>
    <m/>
    <n v="9999"/>
    <n v="333.3"/>
    <n v="0"/>
    <n v="0"/>
    <n v="0"/>
    <x v="1"/>
    <n v="18.205479452054796"/>
    <x v="3"/>
    <n v="1"/>
    <d v="2008-03-04T00:00:00"/>
  </r>
  <r>
    <x v="1"/>
    <n v="19024431"/>
    <x v="0"/>
    <d v="2026-05-14T00:00:00"/>
    <x v="1"/>
    <x v="1"/>
    <x v="1"/>
    <m/>
    <n v="9999"/>
    <n v="333.3"/>
    <n v="0"/>
    <n v="0"/>
    <n v="0"/>
    <x v="1"/>
    <n v="20.435616438356163"/>
    <x v="3"/>
    <n v="1"/>
    <d v="2005-12-11T00:00:00"/>
  </r>
  <r>
    <x v="1"/>
    <n v="19024442"/>
    <x v="0"/>
    <d v="2026-05-14T00:00:00"/>
    <x v="1"/>
    <x v="1"/>
    <x v="1"/>
    <m/>
    <n v="9999"/>
    <n v="333.3"/>
    <n v="0"/>
    <n v="0"/>
    <n v="0"/>
    <x v="1"/>
    <n v="18.687671232876713"/>
    <x v="3"/>
    <n v="1"/>
    <d v="2007-09-10T00:00:00"/>
  </r>
  <r>
    <x v="1"/>
    <n v="19024460"/>
    <x v="0"/>
    <d v="2026-05-14T00:00:00"/>
    <x v="1"/>
    <x v="1"/>
    <x v="1"/>
    <m/>
    <n v="9999"/>
    <n v="333.3"/>
    <n v="0"/>
    <n v="0"/>
    <n v="0"/>
    <x v="1"/>
    <n v="52.750684931506846"/>
    <x v="0"/>
    <n v="4"/>
    <d v="1973-08-26T00:00:00"/>
  </r>
  <r>
    <x v="1"/>
    <n v="19024527"/>
    <x v="0"/>
    <d v="2026-05-14T00:00:00"/>
    <x v="1"/>
    <x v="1"/>
    <x v="1"/>
    <m/>
    <n v="9999"/>
    <n v="333.3"/>
    <n v="0"/>
    <n v="0"/>
    <n v="0"/>
    <x v="1"/>
    <n v="33.052054794520551"/>
    <x v="0"/>
    <n v="4"/>
    <d v="1993-05-03T00:00:00"/>
  </r>
  <r>
    <x v="1"/>
    <n v="19024604"/>
    <x v="1"/>
    <d v="2026-05-14T00:00:00"/>
    <x v="1"/>
    <x v="1"/>
    <x v="1"/>
    <m/>
    <n v="9999"/>
    <n v="333.3"/>
    <n v="0"/>
    <n v="0"/>
    <n v="0"/>
    <x v="1"/>
    <n v="19.632876712328766"/>
    <x v="3"/>
    <n v="1"/>
    <d v="2006-09-30T00:00:00"/>
  </r>
  <r>
    <x v="1"/>
    <n v="19024645"/>
    <x v="1"/>
    <d v="2026-05-15T00:00:00"/>
    <x v="1"/>
    <x v="1"/>
    <x v="1"/>
    <m/>
    <n v="9999"/>
    <n v="333.3"/>
    <n v="0"/>
    <n v="0"/>
    <n v="0"/>
    <x v="1"/>
    <n v="18.295890410958904"/>
    <x v="3"/>
    <n v="1"/>
    <d v="2008-02-01T00:00:00"/>
  </r>
  <r>
    <x v="1"/>
    <n v="19024656"/>
    <x v="0"/>
    <d v="2026-05-15T00:00:00"/>
    <x v="1"/>
    <x v="1"/>
    <x v="1"/>
    <m/>
    <n v="9999"/>
    <n v="333.3"/>
    <n v="0"/>
    <n v="0"/>
    <n v="0"/>
    <x v="1"/>
    <n v="18.298630136986301"/>
    <x v="3"/>
    <n v="1"/>
    <d v="2008-01-31T00:00:00"/>
  </r>
  <r>
    <x v="1"/>
    <n v="19024662"/>
    <x v="0"/>
    <d v="2026-05-15T00:00:00"/>
    <x v="1"/>
    <x v="1"/>
    <x v="1"/>
    <m/>
    <n v="9999"/>
    <n v="333.3"/>
    <n v="0"/>
    <n v="0"/>
    <n v="0"/>
    <x v="1"/>
    <n v="20.210958904109589"/>
    <x v="3"/>
    <n v="1"/>
    <d v="2006-03-04T00:00:00"/>
  </r>
  <r>
    <x v="1"/>
    <n v="19024663"/>
    <x v="0"/>
    <d v="2026-05-15T00:00:00"/>
    <x v="1"/>
    <x v="1"/>
    <x v="1"/>
    <m/>
    <n v="9999"/>
    <n v="333.3"/>
    <n v="0"/>
    <n v="0"/>
    <n v="0"/>
    <x v="0"/>
    <n v="18.838356164383562"/>
    <x v="3"/>
    <n v="1"/>
    <d v="2007-07-18T00:00:00"/>
  </r>
  <r>
    <x v="1"/>
    <n v="19024664"/>
    <x v="0"/>
    <d v="2026-05-15T00:00:00"/>
    <x v="1"/>
    <x v="1"/>
    <x v="1"/>
    <m/>
    <n v="9999"/>
    <n v="333.3"/>
    <n v="0"/>
    <n v="0"/>
    <n v="0"/>
    <x v="0"/>
    <n v="18.273972602739725"/>
    <x v="3"/>
    <n v="1"/>
    <d v="2008-02-09T00:00:00"/>
  </r>
  <r>
    <x v="1"/>
    <n v="19024666"/>
    <x v="0"/>
    <d v="2026-05-15T00:00:00"/>
    <x v="1"/>
    <x v="1"/>
    <x v="1"/>
    <m/>
    <n v="9999"/>
    <n v="333.3"/>
    <n v="0"/>
    <n v="0"/>
    <n v="0"/>
    <x v="0"/>
    <n v="19.506849315068493"/>
    <x v="3"/>
    <n v="1"/>
    <d v="2006-11-16T00:00:00"/>
  </r>
  <r>
    <x v="1"/>
    <n v="19024678"/>
    <x v="1"/>
    <d v="2026-05-15T00:00:00"/>
    <x v="1"/>
    <x v="1"/>
    <x v="1"/>
    <m/>
    <n v="9999"/>
    <n v="333.3"/>
    <n v="0"/>
    <n v="0"/>
    <n v="0"/>
    <x v="1"/>
    <n v="18.221917808219178"/>
    <x v="3"/>
    <n v="1"/>
    <d v="2008-02-28T00:00:00"/>
  </r>
  <r>
    <x v="1"/>
    <n v="19024683"/>
    <x v="0"/>
    <d v="2026-05-15T00:00:00"/>
    <x v="1"/>
    <x v="1"/>
    <x v="1"/>
    <d v="2026-05-19T00:00:00"/>
    <n v="4"/>
    <n v="0.13333333333333333"/>
    <n v="1"/>
    <n v="1"/>
    <n v="1"/>
    <x v="1"/>
    <n v="18.263013698630136"/>
    <x v="3"/>
    <n v="1"/>
    <d v="2008-02-13T00:00:00"/>
  </r>
  <r>
    <x v="1"/>
    <n v="19024684"/>
    <x v="0"/>
    <d v="2026-05-15T00:00:00"/>
    <x v="1"/>
    <x v="1"/>
    <x v="1"/>
    <m/>
    <n v="9999"/>
    <n v="333.3"/>
    <n v="0"/>
    <n v="0"/>
    <n v="0"/>
    <x v="1"/>
    <n v="18.44109589041096"/>
    <x v="3"/>
    <n v="1"/>
    <d v="2007-12-10T00:00:00"/>
  </r>
  <r>
    <x v="1"/>
    <n v="19024699"/>
    <x v="0"/>
    <d v="2026-05-15T00:00:00"/>
    <x v="1"/>
    <x v="1"/>
    <x v="1"/>
    <m/>
    <n v="9999"/>
    <n v="333.3"/>
    <n v="0"/>
    <n v="0"/>
    <n v="0"/>
    <x v="1"/>
    <n v="23.720547945205478"/>
    <x v="2"/>
    <n v="2"/>
    <d v="2002-08-31T00:00:00"/>
  </r>
  <r>
    <x v="1"/>
    <n v="19024700"/>
    <x v="0"/>
    <d v="2026-05-15T00:00:00"/>
    <x v="1"/>
    <x v="1"/>
    <x v="1"/>
    <m/>
    <n v="9999"/>
    <n v="333.3"/>
    <n v="0"/>
    <n v="0"/>
    <n v="0"/>
    <x v="1"/>
    <n v="20.802739726027397"/>
    <x v="3"/>
    <n v="1"/>
    <d v="2005-07-31T00:00:00"/>
  </r>
  <r>
    <x v="1"/>
    <n v="19024702"/>
    <x v="0"/>
    <d v="2026-05-15T00:00:00"/>
    <x v="1"/>
    <x v="1"/>
    <x v="1"/>
    <m/>
    <n v="9999"/>
    <n v="333.3"/>
    <n v="0"/>
    <n v="0"/>
    <n v="0"/>
    <x v="1"/>
    <n v="22.789041095890411"/>
    <x v="2"/>
    <n v="2"/>
    <d v="2003-08-06T00:00:00"/>
  </r>
  <r>
    <x v="1"/>
    <n v="19024704"/>
    <x v="0"/>
    <d v="2026-05-15T00:00:00"/>
    <x v="1"/>
    <x v="1"/>
    <x v="1"/>
    <m/>
    <n v="9999"/>
    <n v="333.3"/>
    <n v="0"/>
    <n v="0"/>
    <n v="0"/>
    <x v="1"/>
    <n v="24.86849315068493"/>
    <x v="2"/>
    <n v="2"/>
    <d v="2001-07-08T00:00:00"/>
  </r>
  <r>
    <x v="1"/>
    <n v="19024727"/>
    <x v="0"/>
    <d v="2026-05-15T00:00:00"/>
    <x v="1"/>
    <x v="1"/>
    <x v="1"/>
    <m/>
    <n v="9999"/>
    <n v="333.3"/>
    <n v="0"/>
    <n v="0"/>
    <n v="0"/>
    <x v="1"/>
    <n v="21.82191780821918"/>
    <x v="2"/>
    <n v="2"/>
    <d v="2004-07-24T00:00:00"/>
  </r>
  <r>
    <x v="1"/>
    <n v="19024823"/>
    <x v="1"/>
    <d v="2026-05-15T00:00:00"/>
    <x v="1"/>
    <x v="1"/>
    <x v="1"/>
    <m/>
    <n v="9999"/>
    <n v="333.3"/>
    <n v="0"/>
    <n v="0"/>
    <n v="0"/>
    <x v="1"/>
    <n v="22.353424657534248"/>
    <x v="2"/>
    <n v="2"/>
    <d v="2004-01-12T00:00:00"/>
  </r>
  <r>
    <x v="1"/>
    <n v="19024828"/>
    <x v="0"/>
    <d v="2026-05-15T00:00:00"/>
    <x v="1"/>
    <x v="1"/>
    <x v="1"/>
    <m/>
    <n v="9999"/>
    <n v="333.3"/>
    <n v="0"/>
    <n v="0"/>
    <n v="0"/>
    <x v="0"/>
    <n v="30.43013698630137"/>
    <x v="1"/>
    <n v="3"/>
    <d v="1995-12-17T00:00:00"/>
  </r>
  <r>
    <x v="1"/>
    <n v="19024836"/>
    <x v="0"/>
    <d v="2026-05-15T00:00:00"/>
    <x v="1"/>
    <x v="1"/>
    <x v="1"/>
    <m/>
    <n v="9999"/>
    <n v="333.3"/>
    <n v="0"/>
    <n v="0"/>
    <n v="0"/>
    <x v="1"/>
    <n v="20.873972602739727"/>
    <x v="3"/>
    <n v="1"/>
    <d v="2005-07-05T00:00:00"/>
  </r>
  <r>
    <x v="1"/>
    <n v="19024883"/>
    <x v="1"/>
    <d v="2026-05-16T00:00:00"/>
    <x v="1"/>
    <x v="1"/>
    <x v="1"/>
    <m/>
    <n v="9999"/>
    <n v="333.3"/>
    <n v="0"/>
    <n v="0"/>
    <n v="0"/>
    <x v="1"/>
    <n v="18.268493150684932"/>
    <x v="3"/>
    <n v="1"/>
    <d v="2008-02-12T00:00:00"/>
  </r>
  <r>
    <x v="1"/>
    <n v="19024890"/>
    <x v="1"/>
    <d v="2026-05-16T00:00:00"/>
    <x v="1"/>
    <x v="1"/>
    <x v="1"/>
    <m/>
    <n v="9999"/>
    <n v="333.3"/>
    <n v="0"/>
    <n v="0"/>
    <n v="0"/>
    <x v="1"/>
    <n v="20.016438356164382"/>
    <x v="3"/>
    <n v="1"/>
    <d v="2006-05-15T00:00:00"/>
  </r>
  <r>
    <x v="0"/>
    <n v="19024895"/>
    <x v="0"/>
    <d v="2026-05-16T00:00:00"/>
    <x v="1"/>
    <x v="1"/>
    <x v="1"/>
    <m/>
    <n v="9999"/>
    <n v="333.3"/>
    <n v="0"/>
    <n v="0"/>
    <n v="0"/>
    <x v="1"/>
    <n v="19.153424657534245"/>
    <x v="3"/>
    <n v="1"/>
    <d v="2007-03-26T00:00:00"/>
  </r>
  <r>
    <x v="1"/>
    <n v="19024896"/>
    <x v="1"/>
    <d v="2026-05-16T00:00:00"/>
    <x v="1"/>
    <x v="1"/>
    <x v="1"/>
    <m/>
    <n v="9999"/>
    <n v="333.3"/>
    <n v="0"/>
    <n v="0"/>
    <n v="0"/>
    <x v="1"/>
    <n v="20.983561643835618"/>
    <x v="3"/>
    <n v="1"/>
    <d v="2005-05-27T00:00:00"/>
  </r>
  <r>
    <x v="1"/>
    <n v="19024900"/>
    <x v="0"/>
    <d v="2026-05-16T00:00:00"/>
    <x v="1"/>
    <x v="1"/>
    <x v="1"/>
    <m/>
    <n v="9999"/>
    <n v="333.3"/>
    <n v="0"/>
    <n v="0"/>
    <n v="0"/>
    <x v="1"/>
    <n v="19.347945205479451"/>
    <x v="3"/>
    <n v="1"/>
    <d v="2007-01-14T00:00:00"/>
  </r>
  <r>
    <x v="1"/>
    <n v="19024903"/>
    <x v="0"/>
    <d v="2026-05-16T00:00:00"/>
    <x v="1"/>
    <x v="1"/>
    <x v="1"/>
    <m/>
    <n v="9999"/>
    <n v="333.3"/>
    <n v="0"/>
    <n v="0"/>
    <n v="0"/>
    <x v="1"/>
    <n v="19.526027397260275"/>
    <x v="3"/>
    <n v="1"/>
    <d v="2006-11-10T00:00:00"/>
  </r>
  <r>
    <x v="1"/>
    <n v="19024941"/>
    <x v="0"/>
    <d v="2026-05-18T00:00:00"/>
    <x v="1"/>
    <x v="1"/>
    <x v="1"/>
    <m/>
    <n v="9999"/>
    <n v="333.3"/>
    <n v="0"/>
    <n v="0"/>
    <n v="0"/>
    <x v="0"/>
    <n v="19.898630136986302"/>
    <x v="3"/>
    <n v="1"/>
    <d v="2006-06-29T00:00:00"/>
  </r>
  <r>
    <x v="1"/>
    <n v="19024976"/>
    <x v="1"/>
    <d v="2026-05-18T00:00:00"/>
    <x v="1"/>
    <x v="1"/>
    <x v="1"/>
    <m/>
    <n v="9999"/>
    <n v="333.3"/>
    <n v="0"/>
    <n v="0"/>
    <n v="0"/>
    <x v="1"/>
    <n v="20.81917808219178"/>
    <x v="3"/>
    <n v="1"/>
    <d v="2005-07-28T00:00:00"/>
  </r>
  <r>
    <x v="1"/>
    <n v="19024978"/>
    <x v="0"/>
    <d v="2026-05-18T00:00:00"/>
    <x v="1"/>
    <x v="1"/>
    <x v="1"/>
    <m/>
    <n v="9999"/>
    <n v="333.3"/>
    <n v="0"/>
    <n v="0"/>
    <n v="0"/>
    <x v="1"/>
    <n v="22.032876712328768"/>
    <x v="2"/>
    <n v="2"/>
    <d v="2004-05-11T00:00:00"/>
  </r>
  <r>
    <x v="1"/>
    <n v="19024996"/>
    <x v="0"/>
    <d v="2026-05-16T00:00:00"/>
    <x v="1"/>
    <x v="1"/>
    <x v="1"/>
    <m/>
    <n v="9999"/>
    <n v="333.3"/>
    <n v="0"/>
    <n v="0"/>
    <n v="0"/>
    <x v="1"/>
    <n v="20.86849315068493"/>
    <x v="3"/>
    <n v="1"/>
    <d v="2005-07-08T00:00:00"/>
  </r>
  <r>
    <x v="1"/>
    <n v="19025037"/>
    <x v="0"/>
    <d v="2026-05-18T00:00:00"/>
    <x v="1"/>
    <x v="1"/>
    <x v="1"/>
    <m/>
    <n v="9999"/>
    <n v="333.3"/>
    <n v="0"/>
    <n v="0"/>
    <n v="0"/>
    <x v="1"/>
    <n v="50.539726027397258"/>
    <x v="0"/>
    <n v="4"/>
    <d v="1975-11-15T00:00:00"/>
  </r>
  <r>
    <x v="1"/>
    <n v="19025083"/>
    <x v="1"/>
    <d v="2026-05-18T00:00:00"/>
    <x v="1"/>
    <x v="1"/>
    <x v="1"/>
    <m/>
    <n v="9999"/>
    <n v="333.3"/>
    <n v="0"/>
    <n v="0"/>
    <n v="0"/>
    <x v="1"/>
    <n v="20.2"/>
    <x v="3"/>
    <n v="1"/>
    <d v="2006-03-11T00:00:00"/>
  </r>
  <r>
    <x v="1"/>
    <n v="19025084"/>
    <x v="1"/>
    <d v="2026-05-18T00:00:00"/>
    <x v="1"/>
    <x v="1"/>
    <x v="1"/>
    <m/>
    <n v="9999"/>
    <n v="333.3"/>
    <n v="0"/>
    <n v="0"/>
    <n v="0"/>
    <x v="1"/>
    <n v="19.36986301369863"/>
    <x v="3"/>
    <n v="1"/>
    <d v="2007-01-08T00:00:00"/>
  </r>
  <r>
    <x v="1"/>
    <n v="19025321"/>
    <x v="0"/>
    <d v="2026-05-19T00:00:00"/>
    <x v="1"/>
    <x v="1"/>
    <x v="1"/>
    <m/>
    <n v="9999"/>
    <n v="333.3"/>
    <n v="0"/>
    <n v="0"/>
    <n v="0"/>
    <x v="1"/>
    <n v="18.621917808219177"/>
    <x v="3"/>
    <n v="1"/>
    <d v="2007-10-09T00:00:00"/>
  </r>
  <r>
    <x v="1"/>
    <n v="19025323"/>
    <x v="0"/>
    <d v="2026-05-19T00:00:00"/>
    <x v="1"/>
    <x v="1"/>
    <x v="1"/>
    <d v="2026-06-01T00:00:00"/>
    <n v="13"/>
    <n v="0.43333333333333335"/>
    <n v="1"/>
    <n v="1"/>
    <n v="1"/>
    <x v="0"/>
    <n v="28.589041095890412"/>
    <x v="1"/>
    <n v="3"/>
    <d v="1997-10-23T00:00:00"/>
  </r>
  <r>
    <x v="1"/>
    <n v="19025336"/>
    <x v="0"/>
    <d v="2026-05-19T00:00:00"/>
    <x v="1"/>
    <x v="1"/>
    <x v="1"/>
    <d v="2026-06-01T00:00:00"/>
    <n v="13"/>
    <n v="0.43333333333333335"/>
    <n v="1"/>
    <n v="1"/>
    <n v="1"/>
    <x v="0"/>
    <n v="22.536986301369861"/>
    <x v="2"/>
    <n v="2"/>
    <d v="2003-11-10T00:00:00"/>
  </r>
  <r>
    <x v="1"/>
    <n v="19025337"/>
    <x v="0"/>
    <d v="2026-05-19T00:00:00"/>
    <x v="1"/>
    <x v="1"/>
    <x v="1"/>
    <m/>
    <n v="9999"/>
    <n v="333.3"/>
    <n v="0"/>
    <n v="0"/>
    <n v="0"/>
    <x v="0"/>
    <n v="26.86849315068493"/>
    <x v="1"/>
    <n v="3"/>
    <d v="1999-07-13T00:00:00"/>
  </r>
  <r>
    <x v="1"/>
    <n v="19025342"/>
    <x v="0"/>
    <d v="2026-05-19T00:00:00"/>
    <x v="1"/>
    <x v="1"/>
    <x v="1"/>
    <m/>
    <n v="9999"/>
    <n v="333.3"/>
    <n v="0"/>
    <n v="0"/>
    <n v="0"/>
    <x v="0"/>
    <n v="21.136986301369863"/>
    <x v="2"/>
    <n v="2"/>
    <d v="2005-04-04T00:00:00"/>
  </r>
  <r>
    <x v="1"/>
    <n v="19025345"/>
    <x v="0"/>
    <d v="2026-05-19T00:00:00"/>
    <x v="1"/>
    <x v="1"/>
    <x v="1"/>
    <m/>
    <n v="9999"/>
    <n v="333.3"/>
    <n v="0"/>
    <n v="0"/>
    <n v="0"/>
    <x v="0"/>
    <n v="20.391780821917809"/>
    <x v="3"/>
    <n v="1"/>
    <d v="2006-01-01T00:00:00"/>
  </r>
  <r>
    <x v="1"/>
    <n v="19025356"/>
    <x v="0"/>
    <d v="2026-05-19T00:00:00"/>
    <x v="1"/>
    <x v="1"/>
    <x v="1"/>
    <m/>
    <n v="9999"/>
    <n v="333.3"/>
    <n v="0"/>
    <n v="0"/>
    <n v="0"/>
    <x v="0"/>
    <n v="25.282191780821918"/>
    <x v="2"/>
    <n v="2"/>
    <d v="2001-02-11T00:00:00"/>
  </r>
  <r>
    <x v="1"/>
    <n v="19025360"/>
    <x v="1"/>
    <d v="2026-05-19T00:00:00"/>
    <x v="1"/>
    <x v="1"/>
    <x v="1"/>
    <m/>
    <n v="9999"/>
    <n v="333.3"/>
    <n v="0"/>
    <n v="0"/>
    <n v="0"/>
    <x v="1"/>
    <n v="22.476712328767125"/>
    <x v="2"/>
    <n v="2"/>
    <d v="2003-12-02T00:00:00"/>
  </r>
  <r>
    <x v="1"/>
    <n v="19025474"/>
    <x v="1"/>
    <d v="2026-05-20T00:00:00"/>
    <x v="1"/>
    <x v="1"/>
    <x v="1"/>
    <m/>
    <n v="9999"/>
    <n v="333.3"/>
    <n v="0"/>
    <n v="0"/>
    <n v="0"/>
    <x v="1"/>
    <n v="18.452054794520549"/>
    <x v="3"/>
    <n v="1"/>
    <d v="2007-12-11T00:00:00"/>
  </r>
  <r>
    <x v="1"/>
    <n v="19025490"/>
    <x v="0"/>
    <d v="2026-05-20T00:00:00"/>
    <x v="1"/>
    <x v="1"/>
    <x v="1"/>
    <m/>
    <n v="9999"/>
    <n v="333.3"/>
    <n v="0"/>
    <n v="0"/>
    <n v="0"/>
    <x v="0"/>
    <n v="25.024657534246575"/>
    <x v="2"/>
    <n v="2"/>
    <d v="2001-05-17T00:00:00"/>
  </r>
  <r>
    <x v="1"/>
    <n v="19025491"/>
    <x v="0"/>
    <d v="2026-05-20T00:00:00"/>
    <x v="1"/>
    <x v="1"/>
    <x v="1"/>
    <m/>
    <n v="9999"/>
    <n v="333.3"/>
    <n v="0"/>
    <n v="0"/>
    <n v="0"/>
    <x v="0"/>
    <n v="26.4986301369863"/>
    <x v="1"/>
    <n v="3"/>
    <d v="1999-11-26T00:00:00"/>
  </r>
  <r>
    <x v="1"/>
    <n v="19025501"/>
    <x v="0"/>
    <d v="2026-05-20T00:00:00"/>
    <x v="1"/>
    <x v="1"/>
    <x v="1"/>
    <m/>
    <n v="9999"/>
    <n v="333.3"/>
    <n v="0"/>
    <n v="0"/>
    <n v="0"/>
    <x v="1"/>
    <n v="33.041095890410958"/>
    <x v="0"/>
    <n v="4"/>
    <d v="1993-05-13T00:00:00"/>
  </r>
  <r>
    <x v="1"/>
    <n v="19025504"/>
    <x v="1"/>
    <d v="2026-05-20T00:00:00"/>
    <x v="1"/>
    <x v="1"/>
    <x v="1"/>
    <m/>
    <n v="9999"/>
    <n v="333.3"/>
    <n v="0"/>
    <n v="0"/>
    <n v="0"/>
    <x v="1"/>
    <n v="22.082191780821919"/>
    <x v="2"/>
    <n v="2"/>
    <d v="2004-04-25T00:00:00"/>
  </r>
  <r>
    <x v="1"/>
    <n v="19025572"/>
    <x v="0"/>
    <d v="2026-05-20T00:00:00"/>
    <x v="1"/>
    <x v="1"/>
    <x v="1"/>
    <m/>
    <n v="9999"/>
    <n v="333.3"/>
    <n v="0"/>
    <n v="0"/>
    <n v="0"/>
    <x v="0"/>
    <n v="24.841095890410958"/>
    <x v="2"/>
    <n v="2"/>
    <d v="2001-07-23T00:00:00"/>
  </r>
  <r>
    <x v="1"/>
    <n v="19025581"/>
    <x v="0"/>
    <d v="2026-05-20T00:00:00"/>
    <x v="1"/>
    <x v="1"/>
    <x v="1"/>
    <m/>
    <n v="9999"/>
    <n v="333.3"/>
    <n v="0"/>
    <n v="0"/>
    <n v="0"/>
    <x v="0"/>
    <n v="19.232876712328768"/>
    <x v="3"/>
    <n v="1"/>
    <d v="2007-03-01T00:00:00"/>
  </r>
  <r>
    <x v="1"/>
    <n v="19025583"/>
    <x v="1"/>
    <d v="2026-05-20T00:00:00"/>
    <x v="1"/>
    <x v="1"/>
    <x v="1"/>
    <m/>
    <n v="9999"/>
    <n v="333.3"/>
    <n v="0"/>
    <n v="0"/>
    <n v="0"/>
    <x v="0"/>
    <n v="18.849315068493151"/>
    <x v="3"/>
    <n v="1"/>
    <d v="2007-07-19T00:00:00"/>
  </r>
  <r>
    <x v="1"/>
    <n v="19025697"/>
    <x v="1"/>
    <d v="2026-05-21T00:00:00"/>
    <x v="1"/>
    <x v="1"/>
    <x v="1"/>
    <m/>
    <n v="9999"/>
    <n v="333.3"/>
    <n v="0"/>
    <n v="0"/>
    <n v="0"/>
    <x v="1"/>
    <n v="24.67945205479452"/>
    <x v="2"/>
    <n v="2"/>
    <d v="2001-09-21T00:00:00"/>
  </r>
  <r>
    <x v="1"/>
    <n v="19025706"/>
    <x v="0"/>
    <d v="2026-05-21T00:00:00"/>
    <x v="1"/>
    <x v="1"/>
    <x v="1"/>
    <m/>
    <n v="9999"/>
    <n v="333.3"/>
    <n v="0"/>
    <n v="0"/>
    <n v="0"/>
    <x v="1"/>
    <n v="18.657534246575342"/>
    <x v="3"/>
    <n v="1"/>
    <d v="2007-09-28T00:00:00"/>
  </r>
  <r>
    <x v="1"/>
    <n v="19025707"/>
    <x v="0"/>
    <d v="2026-05-21T00:00:00"/>
    <x v="1"/>
    <x v="1"/>
    <x v="1"/>
    <m/>
    <n v="9999"/>
    <n v="333.3"/>
    <n v="0"/>
    <n v="0"/>
    <n v="0"/>
    <x v="1"/>
    <n v="20.139726027397259"/>
    <x v="3"/>
    <n v="1"/>
    <d v="2006-04-05T00:00:00"/>
  </r>
  <r>
    <x v="1"/>
    <n v="19025719"/>
    <x v="0"/>
    <d v="2026-05-21T00:00:00"/>
    <x v="1"/>
    <x v="1"/>
    <x v="1"/>
    <m/>
    <n v="9999"/>
    <n v="333.3"/>
    <n v="0"/>
    <n v="0"/>
    <n v="0"/>
    <x v="0"/>
    <n v="18.046575342465754"/>
    <x v="3"/>
    <n v="1"/>
    <d v="2008-05-08T00:00:00"/>
  </r>
  <r>
    <x v="1"/>
    <n v="19025720"/>
    <x v="0"/>
    <d v="2026-05-21T00:00:00"/>
    <x v="1"/>
    <x v="1"/>
    <x v="1"/>
    <m/>
    <n v="9999"/>
    <n v="333.3"/>
    <n v="0"/>
    <n v="0"/>
    <n v="0"/>
    <x v="0"/>
    <n v="22.224657534246575"/>
    <x v="2"/>
    <n v="2"/>
    <d v="2004-03-05T00:00:00"/>
  </r>
  <r>
    <x v="1"/>
    <n v="19025729"/>
    <x v="0"/>
    <d v="2026-05-21T00:00:00"/>
    <x v="1"/>
    <x v="1"/>
    <x v="1"/>
    <m/>
    <n v="9999"/>
    <n v="333.3"/>
    <n v="0"/>
    <n v="0"/>
    <n v="0"/>
    <x v="0"/>
    <n v="23.079452054794519"/>
    <x v="2"/>
    <n v="2"/>
    <d v="2003-04-28T00:00:00"/>
  </r>
  <r>
    <x v="1"/>
    <n v="19025768"/>
    <x v="0"/>
    <d v="2026-05-21T00:00:00"/>
    <x v="1"/>
    <x v="1"/>
    <x v="1"/>
    <d v="2026-06-01T00:00:00"/>
    <n v="11"/>
    <n v="0.36666666666666664"/>
    <n v="1"/>
    <n v="1"/>
    <n v="1"/>
    <x v="0"/>
    <n v="33.323287671232876"/>
    <x v="0"/>
    <n v="4"/>
    <d v="1993-01-31T00:00:00"/>
  </r>
  <r>
    <x v="1"/>
    <n v="19025796"/>
    <x v="0"/>
    <d v="2026-05-21T00:00:00"/>
    <x v="1"/>
    <x v="1"/>
    <x v="1"/>
    <m/>
    <n v="9999"/>
    <n v="333.3"/>
    <n v="0"/>
    <n v="0"/>
    <n v="0"/>
    <x v="0"/>
    <n v="19.260273972602739"/>
    <x v="3"/>
    <n v="1"/>
    <d v="2007-02-20T00:00:00"/>
  </r>
  <r>
    <x v="1"/>
    <n v="19025823"/>
    <x v="1"/>
    <d v="2026-05-21T00:00:00"/>
    <x v="1"/>
    <x v="1"/>
    <x v="1"/>
    <m/>
    <n v="9999"/>
    <n v="333.3"/>
    <n v="0"/>
    <n v="0"/>
    <n v="0"/>
    <x v="0"/>
    <n v="39.106849315068494"/>
    <x v="0"/>
    <n v="4"/>
    <d v="1987-04-22T00:00:00"/>
  </r>
  <r>
    <x v="1"/>
    <n v="19025824"/>
    <x v="0"/>
    <d v="2026-05-21T00:00:00"/>
    <x v="1"/>
    <x v="1"/>
    <x v="1"/>
    <m/>
    <n v="9999"/>
    <n v="333.3"/>
    <n v="0"/>
    <n v="0"/>
    <n v="0"/>
    <x v="0"/>
    <n v="28.397260273972602"/>
    <x v="1"/>
    <n v="3"/>
    <d v="1998-01-03T00:00:00"/>
  </r>
  <r>
    <x v="1"/>
    <n v="19025825"/>
    <x v="0"/>
    <d v="2026-05-21T00:00:00"/>
    <x v="1"/>
    <x v="1"/>
    <x v="1"/>
    <m/>
    <n v="9999"/>
    <n v="333.3"/>
    <n v="0"/>
    <n v="0"/>
    <n v="0"/>
    <x v="0"/>
    <n v="18.906849315068492"/>
    <x v="3"/>
    <n v="1"/>
    <d v="2007-06-29T00:00:00"/>
  </r>
  <r>
    <x v="1"/>
    <n v="19025916"/>
    <x v="0"/>
    <d v="2026-05-22T00:00:00"/>
    <x v="1"/>
    <x v="1"/>
    <x v="1"/>
    <m/>
    <n v="9999"/>
    <n v="333.3"/>
    <n v="0"/>
    <n v="0"/>
    <n v="0"/>
    <x v="0"/>
    <n v="33.832876712328769"/>
    <x v="0"/>
    <n v="4"/>
    <d v="1992-07-30T00:00:00"/>
  </r>
  <r>
    <x v="1"/>
    <n v="19025917"/>
    <x v="0"/>
    <d v="2026-05-22T00:00:00"/>
    <x v="1"/>
    <x v="1"/>
    <x v="1"/>
    <m/>
    <n v="9999"/>
    <n v="333.3"/>
    <n v="0"/>
    <n v="0"/>
    <n v="0"/>
    <x v="0"/>
    <n v="35.983561643835614"/>
    <x v="0"/>
    <n v="4"/>
    <d v="1990-06-06T00:00:00"/>
  </r>
  <r>
    <x v="1"/>
    <n v="19025943"/>
    <x v="0"/>
    <d v="2026-05-22T00:00:00"/>
    <x v="1"/>
    <x v="1"/>
    <x v="1"/>
    <m/>
    <n v="9999"/>
    <n v="333.3"/>
    <n v="0"/>
    <n v="0"/>
    <n v="0"/>
    <x v="1"/>
    <n v="20.947945205479453"/>
    <x v="3"/>
    <n v="1"/>
    <d v="2005-06-15T00:00:00"/>
  </r>
  <r>
    <x v="1"/>
    <n v="19025978"/>
    <x v="0"/>
    <d v="2026-05-22T00:00:00"/>
    <x v="1"/>
    <x v="1"/>
    <x v="1"/>
    <m/>
    <n v="9999"/>
    <n v="333.3"/>
    <n v="0"/>
    <n v="0"/>
    <n v="0"/>
    <x v="1"/>
    <n v="50.134246575342466"/>
    <x v="0"/>
    <n v="4"/>
    <d v="1976-04-15T00:00:00"/>
  </r>
  <r>
    <x v="1"/>
    <n v="19026094"/>
    <x v="0"/>
    <d v="2026-05-23T00:00:00"/>
    <x v="1"/>
    <x v="1"/>
    <x v="1"/>
    <m/>
    <n v="9999"/>
    <n v="333.3"/>
    <n v="0"/>
    <n v="0"/>
    <n v="0"/>
    <x v="1"/>
    <n v="22.397260273972602"/>
    <x v="2"/>
    <n v="2"/>
    <d v="2004-01-04T00:00:00"/>
  </r>
  <r>
    <x v="1"/>
    <n v="19026179"/>
    <x v="1"/>
    <d v="2026-05-25T00:00:00"/>
    <x v="1"/>
    <x v="1"/>
    <x v="1"/>
    <m/>
    <n v="9999"/>
    <n v="333.3"/>
    <n v="0"/>
    <n v="0"/>
    <n v="0"/>
    <x v="1"/>
    <n v="20.221917808219178"/>
    <x v="3"/>
    <n v="1"/>
    <d v="2006-03-10T00:00:00"/>
  </r>
  <r>
    <x v="0"/>
    <n v="19026180"/>
    <x v="0"/>
    <d v="2026-05-23T00:00:00"/>
    <x v="1"/>
    <x v="1"/>
    <x v="1"/>
    <m/>
    <n v="9999"/>
    <n v="333.3"/>
    <n v="0"/>
    <n v="0"/>
    <n v="0"/>
    <x v="1"/>
    <n v="18.846575342465755"/>
    <x v="3"/>
    <n v="1"/>
    <d v="2007-07-23T00:00:00"/>
  </r>
  <r>
    <x v="1"/>
    <n v="19026181"/>
    <x v="1"/>
    <d v="2026-05-25T00:00:00"/>
    <x v="1"/>
    <x v="1"/>
    <x v="1"/>
    <m/>
    <n v="9999"/>
    <n v="333.3"/>
    <n v="0"/>
    <n v="0"/>
    <n v="0"/>
    <x v="1"/>
    <n v="19.55890410958904"/>
    <x v="3"/>
    <n v="1"/>
    <d v="2006-11-07T00:00:00"/>
  </r>
  <r>
    <x v="1"/>
    <n v="19026194"/>
    <x v="0"/>
    <d v="2026-05-25T00:00:00"/>
    <x v="1"/>
    <x v="1"/>
    <x v="1"/>
    <m/>
    <n v="9999"/>
    <n v="333.3"/>
    <n v="0"/>
    <n v="0"/>
    <n v="0"/>
    <x v="1"/>
    <n v="21.358904109589041"/>
    <x v="2"/>
    <n v="2"/>
    <d v="2005-01-19T00:00:00"/>
  </r>
  <r>
    <x v="1"/>
    <n v="19026196"/>
    <x v="0"/>
    <d v="2026-05-25T00:00:00"/>
    <x v="1"/>
    <x v="1"/>
    <x v="1"/>
    <m/>
    <n v="9999"/>
    <n v="333.3"/>
    <n v="0"/>
    <n v="0"/>
    <n v="0"/>
    <x v="1"/>
    <n v="22.621917808219177"/>
    <x v="2"/>
    <n v="2"/>
    <d v="2003-10-16T00:00:00"/>
  </r>
  <r>
    <x v="1"/>
    <n v="19026287"/>
    <x v="0"/>
    <d v="2026-05-25T00:00:00"/>
    <x v="1"/>
    <x v="1"/>
    <x v="1"/>
    <m/>
    <n v="9999"/>
    <n v="333.3"/>
    <n v="0"/>
    <n v="0"/>
    <n v="0"/>
    <x v="1"/>
    <n v="20.126027397260273"/>
    <x v="3"/>
    <n v="1"/>
    <d v="2006-04-14T00:00:00"/>
  </r>
  <r>
    <x v="1"/>
    <n v="19026329"/>
    <x v="1"/>
    <d v="2026-05-25T00:00:00"/>
    <x v="1"/>
    <x v="1"/>
    <x v="1"/>
    <m/>
    <n v="9999"/>
    <n v="333.3"/>
    <n v="0"/>
    <n v="0"/>
    <n v="0"/>
    <x v="1"/>
    <n v="23.783561643835615"/>
    <x v="2"/>
    <n v="2"/>
    <d v="2002-08-18T00:00:00"/>
  </r>
  <r>
    <x v="1"/>
    <n v="19026352"/>
    <x v="0"/>
    <d v="2026-05-25T00:00:00"/>
    <x v="1"/>
    <x v="1"/>
    <x v="1"/>
    <m/>
    <n v="9999"/>
    <n v="333.3"/>
    <n v="0"/>
    <n v="0"/>
    <n v="0"/>
    <x v="1"/>
    <n v="29.183561643835617"/>
    <x v="1"/>
    <n v="3"/>
    <d v="1997-03-26T00:00:00"/>
  </r>
  <r>
    <x v="1"/>
    <n v="19026360"/>
    <x v="0"/>
    <d v="2026-05-25T00:00:00"/>
    <x v="1"/>
    <x v="1"/>
    <x v="1"/>
    <m/>
    <n v="9999"/>
    <n v="333.3"/>
    <n v="0"/>
    <n v="0"/>
    <n v="0"/>
    <x v="1"/>
    <n v="19.909589041095892"/>
    <x v="3"/>
    <n v="1"/>
    <d v="2006-07-02T00:00:00"/>
  </r>
  <r>
    <x v="1"/>
    <n v="19026367"/>
    <x v="1"/>
    <d v="2026-05-25T00:00:00"/>
    <x v="1"/>
    <x v="1"/>
    <x v="1"/>
    <m/>
    <n v="9999"/>
    <n v="333.3"/>
    <n v="0"/>
    <n v="0"/>
    <n v="0"/>
    <x v="1"/>
    <n v="20.75068493150685"/>
    <x v="3"/>
    <n v="1"/>
    <d v="2005-08-29T00:00:00"/>
  </r>
  <r>
    <x v="1"/>
    <n v="19026368"/>
    <x v="0"/>
    <d v="2026-05-25T00:00:00"/>
    <x v="1"/>
    <x v="1"/>
    <x v="1"/>
    <m/>
    <n v="9999"/>
    <n v="333.3"/>
    <n v="0"/>
    <n v="0"/>
    <n v="0"/>
    <x v="1"/>
    <n v="18.342465753424658"/>
    <x v="3"/>
    <n v="1"/>
    <d v="2008-01-25T00:00:00"/>
  </r>
  <r>
    <x v="0"/>
    <n v="19026376"/>
    <x v="0"/>
    <d v="2026-05-25T00:00:00"/>
    <x v="1"/>
    <x v="1"/>
    <x v="1"/>
    <m/>
    <n v="9999"/>
    <n v="333.3"/>
    <n v="0"/>
    <n v="0"/>
    <n v="0"/>
    <x v="1"/>
    <n v="33.391780821917806"/>
    <x v="0"/>
    <n v="4"/>
    <d v="1993-01-10T00:00:00"/>
  </r>
  <r>
    <x v="0"/>
    <n v="19026399"/>
    <x v="1"/>
    <d v="2026-05-23T00:00:00"/>
    <x v="1"/>
    <x v="1"/>
    <x v="1"/>
    <m/>
    <n v="9999"/>
    <n v="333.3"/>
    <n v="0"/>
    <n v="0"/>
    <n v="0"/>
    <x v="1"/>
    <n v="25.312328767123287"/>
    <x v="2"/>
    <n v="2"/>
    <d v="2001-02-04T00:00:00"/>
  </r>
  <r>
    <x v="1"/>
    <n v="19026436"/>
    <x v="0"/>
    <d v="2026-05-25T00:00:00"/>
    <x v="1"/>
    <x v="1"/>
    <x v="1"/>
    <m/>
    <n v="9999"/>
    <n v="333.3"/>
    <n v="0"/>
    <n v="0"/>
    <n v="0"/>
    <x v="1"/>
    <n v="19.684931506849313"/>
    <x v="3"/>
    <n v="1"/>
    <d v="2006-09-22T00:00:00"/>
  </r>
  <r>
    <x v="1"/>
    <n v="19026439"/>
    <x v="0"/>
    <d v="2026-05-25T00:00:00"/>
    <x v="1"/>
    <x v="1"/>
    <x v="1"/>
    <m/>
    <n v="9999"/>
    <n v="333.3"/>
    <n v="0"/>
    <n v="0"/>
    <n v="0"/>
    <x v="1"/>
    <n v="31.704109589041096"/>
    <x v="0"/>
    <n v="4"/>
    <d v="1994-09-18T00:00:00"/>
  </r>
  <r>
    <x v="1"/>
    <n v="19026441"/>
    <x v="1"/>
    <d v="2026-05-25T00:00:00"/>
    <x v="1"/>
    <x v="1"/>
    <x v="1"/>
    <m/>
    <n v="9999"/>
    <n v="333.3"/>
    <n v="0"/>
    <n v="0"/>
    <n v="0"/>
    <x v="1"/>
    <n v="20.92876712328767"/>
    <x v="3"/>
    <n v="1"/>
    <d v="2005-06-25T00:00:00"/>
  </r>
  <r>
    <x v="1"/>
    <n v="19026442"/>
    <x v="0"/>
    <d v="2026-05-25T00:00:00"/>
    <x v="1"/>
    <x v="1"/>
    <x v="1"/>
    <m/>
    <n v="9999"/>
    <n v="333.3"/>
    <n v="0"/>
    <n v="0"/>
    <n v="0"/>
    <x v="1"/>
    <n v="18.873972602739727"/>
    <x v="3"/>
    <n v="1"/>
    <d v="2007-07-15T00:00:00"/>
  </r>
  <r>
    <x v="1"/>
    <n v="19026456"/>
    <x v="0"/>
    <d v="2026-05-23T00:00:00"/>
    <x v="1"/>
    <x v="1"/>
    <x v="1"/>
    <m/>
    <n v="9999"/>
    <n v="333.3"/>
    <n v="0"/>
    <n v="0"/>
    <n v="0"/>
    <x v="1"/>
    <n v="19.520547945205479"/>
    <x v="3"/>
    <n v="1"/>
    <d v="2006-11-19T00:00:00"/>
  </r>
  <r>
    <x v="1"/>
    <n v="19026458"/>
    <x v="0"/>
    <d v="2026-05-23T00:00:00"/>
    <x v="1"/>
    <x v="1"/>
    <x v="1"/>
    <m/>
    <n v="9999"/>
    <n v="333.3"/>
    <n v="0"/>
    <n v="0"/>
    <n v="0"/>
    <x v="1"/>
    <n v="20.093150684931508"/>
    <x v="3"/>
    <n v="1"/>
    <d v="2006-04-24T00:00:00"/>
  </r>
  <r>
    <x v="1"/>
    <n v="19026459"/>
    <x v="0"/>
    <d v="2026-05-23T00:00:00"/>
    <x v="1"/>
    <x v="1"/>
    <x v="1"/>
    <m/>
    <n v="9999"/>
    <n v="333.3"/>
    <n v="0"/>
    <n v="0"/>
    <n v="0"/>
    <x v="1"/>
    <n v="19.095890410958905"/>
    <x v="3"/>
    <n v="1"/>
    <d v="2007-04-23T00:00:00"/>
  </r>
  <r>
    <x v="1"/>
    <n v="19026651"/>
    <x v="0"/>
    <d v="2026-05-26T00:00:00"/>
    <x v="1"/>
    <x v="1"/>
    <x v="1"/>
    <m/>
    <n v="9999"/>
    <n v="333.3"/>
    <n v="0"/>
    <n v="0"/>
    <n v="0"/>
    <x v="1"/>
    <n v="18.687671232876713"/>
    <x v="3"/>
    <n v="1"/>
    <d v="2007-09-22T00:00:00"/>
  </r>
  <r>
    <x v="1"/>
    <n v="19026664"/>
    <x v="0"/>
    <d v="2026-05-26T00:00:00"/>
    <x v="1"/>
    <x v="1"/>
    <x v="1"/>
    <m/>
    <n v="9999"/>
    <n v="333.3"/>
    <n v="0"/>
    <n v="0"/>
    <n v="0"/>
    <x v="0"/>
    <n v="28.989041095890411"/>
    <x v="1"/>
    <n v="3"/>
    <d v="1997-06-06T00:00:00"/>
  </r>
  <r>
    <x v="1"/>
    <n v="19026665"/>
    <x v="0"/>
    <d v="2026-05-26T00:00:00"/>
    <x v="1"/>
    <x v="1"/>
    <x v="1"/>
    <m/>
    <n v="9999"/>
    <n v="333.3"/>
    <n v="0"/>
    <n v="0"/>
    <n v="0"/>
    <x v="0"/>
    <n v="23.561643835616437"/>
    <x v="2"/>
    <n v="2"/>
    <d v="2002-11-08T00:00:00"/>
  </r>
  <r>
    <x v="1"/>
    <n v="19026862"/>
    <x v="0"/>
    <d v="2026-05-27T00:00:00"/>
    <x v="1"/>
    <x v="1"/>
    <x v="1"/>
    <m/>
    <n v="9999"/>
    <n v="333.3"/>
    <n v="0"/>
    <n v="0"/>
    <n v="0"/>
    <x v="1"/>
    <n v="20.671232876712327"/>
    <x v="3"/>
    <n v="1"/>
    <d v="2005-09-29T00:00:00"/>
  </r>
  <r>
    <x v="1"/>
    <n v="19026924"/>
    <x v="1"/>
    <d v="2026-05-23T00:00:00"/>
    <x v="1"/>
    <x v="1"/>
    <x v="1"/>
    <m/>
    <n v="9999"/>
    <n v="333.3"/>
    <n v="0"/>
    <n v="0"/>
    <n v="0"/>
    <x v="1"/>
    <n v="19.758904109589039"/>
    <x v="3"/>
    <n v="1"/>
    <d v="2006-08-24T00:00:00"/>
  </r>
  <r>
    <x v="0"/>
    <n v="19027168"/>
    <x v="0"/>
    <d v="2026-05-28T00:00:00"/>
    <x v="1"/>
    <x v="1"/>
    <x v="1"/>
    <m/>
    <n v="9999"/>
    <n v="333.3"/>
    <n v="0"/>
    <n v="0"/>
    <n v="0"/>
    <x v="1"/>
    <n v="36.553424657534244"/>
    <x v="0"/>
    <n v="4"/>
    <d v="1989-11-16T00:00:00"/>
  </r>
  <r>
    <x v="1"/>
    <n v="19027187"/>
    <x v="1"/>
    <d v="2026-05-28T00:00:00"/>
    <x v="1"/>
    <x v="1"/>
    <x v="1"/>
    <m/>
    <n v="9999"/>
    <n v="333.3"/>
    <n v="0"/>
    <n v="0"/>
    <n v="0"/>
    <x v="1"/>
    <n v="19.504109589041096"/>
    <x v="3"/>
    <n v="1"/>
    <d v="2006-11-30T00:00:00"/>
  </r>
  <r>
    <x v="0"/>
    <n v="19027191"/>
    <x v="0"/>
    <d v="2026-05-28T00:00:00"/>
    <x v="1"/>
    <x v="1"/>
    <x v="1"/>
    <m/>
    <n v="9999"/>
    <n v="333.3"/>
    <n v="0"/>
    <n v="0"/>
    <n v="0"/>
    <x v="1"/>
    <n v="21.775342465753425"/>
    <x v="2"/>
    <n v="2"/>
    <d v="2004-08-23T00:00:00"/>
  </r>
  <r>
    <x v="1"/>
    <n v="19027195"/>
    <x v="0"/>
    <d v="2026-05-28T00:00:00"/>
    <x v="1"/>
    <x v="1"/>
    <x v="1"/>
    <m/>
    <n v="9999"/>
    <n v="333.3"/>
    <n v="0"/>
    <n v="0"/>
    <n v="0"/>
    <x v="0"/>
    <n v="22.580821917808219"/>
    <x v="2"/>
    <n v="2"/>
    <d v="2003-11-03T00:00:00"/>
  </r>
  <r>
    <x v="1"/>
    <n v="19027202"/>
    <x v="1"/>
    <d v="2026-05-28T00:00:00"/>
    <x v="1"/>
    <x v="1"/>
    <x v="1"/>
    <m/>
    <n v="9999"/>
    <n v="333.3"/>
    <n v="0"/>
    <n v="0"/>
    <n v="0"/>
    <x v="1"/>
    <n v="22.219178082191782"/>
    <x v="2"/>
    <n v="2"/>
    <d v="2004-03-14T00:00:00"/>
  </r>
  <r>
    <x v="1"/>
    <n v="19027365"/>
    <x v="1"/>
    <d v="2026-05-29T00:00:00"/>
    <x v="1"/>
    <x v="1"/>
    <x v="1"/>
    <m/>
    <n v="9999"/>
    <n v="333.3"/>
    <n v="0"/>
    <n v="0"/>
    <n v="0"/>
    <x v="1"/>
    <n v="23.331506849315069"/>
    <x v="2"/>
    <n v="2"/>
    <d v="2003-02-03T00:00:00"/>
  </r>
  <r>
    <x v="0"/>
    <n v="19027370"/>
    <x v="0"/>
    <d v="2026-05-29T00:00:00"/>
    <x v="1"/>
    <x v="1"/>
    <x v="1"/>
    <m/>
    <n v="9999"/>
    <n v="333.3"/>
    <n v="0"/>
    <n v="0"/>
    <n v="0"/>
    <x v="1"/>
    <n v="21.986301369863014"/>
    <x v="2"/>
    <n v="2"/>
    <d v="2004-06-08T00:00:00"/>
  </r>
  <r>
    <x v="1"/>
    <n v="19027460"/>
    <x v="0"/>
    <d v="2026-05-29T00:00:00"/>
    <x v="1"/>
    <x v="1"/>
    <x v="1"/>
    <m/>
    <n v="9999"/>
    <n v="333.3"/>
    <n v="0"/>
    <n v="0"/>
    <n v="0"/>
    <x v="1"/>
    <n v="18.175342465753424"/>
    <x v="3"/>
    <n v="1"/>
    <d v="2008-03-30T00:00:00"/>
  </r>
  <r>
    <x v="1"/>
    <n v="19027474"/>
    <x v="0"/>
    <d v="2026-05-29T00:00:00"/>
    <x v="1"/>
    <x v="1"/>
    <x v="1"/>
    <m/>
    <n v="9999"/>
    <n v="333.3"/>
    <n v="0"/>
    <n v="0"/>
    <n v="0"/>
    <x v="0"/>
    <n v="34.19178082191781"/>
    <x v="0"/>
    <n v="4"/>
    <d v="1992-03-28T00:00:00"/>
  </r>
  <r>
    <x v="1"/>
    <n v="19027476"/>
    <x v="0"/>
    <d v="2026-05-29T00:00:00"/>
    <x v="1"/>
    <x v="1"/>
    <x v="1"/>
    <m/>
    <n v="9999"/>
    <n v="333.3"/>
    <n v="0"/>
    <n v="0"/>
    <n v="0"/>
    <x v="0"/>
    <n v="21.991780821917807"/>
    <x v="2"/>
    <n v="2"/>
    <d v="2004-06-06T00:00:00"/>
  </r>
  <r>
    <x v="1"/>
    <n v="19027477"/>
    <x v="0"/>
    <d v="2026-05-29T00:00:00"/>
    <x v="1"/>
    <x v="1"/>
    <x v="1"/>
    <m/>
    <n v="9999"/>
    <n v="333.3"/>
    <n v="0"/>
    <n v="0"/>
    <n v="0"/>
    <x v="0"/>
    <n v="26.230136986301371"/>
    <x v="1"/>
    <n v="3"/>
    <d v="2000-03-12T00:00:00"/>
  </r>
  <r>
    <x v="1"/>
    <n v="19027491"/>
    <x v="0"/>
    <d v="2026-05-29T00:00:00"/>
    <x v="1"/>
    <x v="1"/>
    <x v="1"/>
    <m/>
    <n v="9999"/>
    <n v="333.3"/>
    <n v="0"/>
    <n v="0"/>
    <n v="0"/>
    <x v="0"/>
    <n v="23.712328767123289"/>
    <x v="2"/>
    <n v="2"/>
    <d v="2002-09-17T00:00:00"/>
  </r>
  <r>
    <x v="1"/>
    <n v="19027492"/>
    <x v="0"/>
    <d v="2026-05-29T00:00:00"/>
    <x v="1"/>
    <x v="1"/>
    <x v="1"/>
    <m/>
    <n v="9999"/>
    <n v="333.3"/>
    <n v="0"/>
    <n v="0"/>
    <n v="0"/>
    <x v="0"/>
    <n v="24.361643835616437"/>
    <x v="2"/>
    <n v="2"/>
    <d v="2002-01-23T00:00:00"/>
  </r>
  <r>
    <x v="1"/>
    <n v="19027504"/>
    <x v="1"/>
    <d v="2026-05-29T00:00:00"/>
    <x v="1"/>
    <x v="1"/>
    <x v="1"/>
    <m/>
    <n v="9999"/>
    <n v="333.3"/>
    <n v="0"/>
    <n v="0"/>
    <n v="0"/>
    <x v="0"/>
    <n v="22.586301369863012"/>
    <x v="2"/>
    <n v="2"/>
    <d v="2003-11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TablaDinámica3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3">
  <location ref="B4:E18" firstHeaderRow="1" firstDataRow="2" firstDataCol="1"/>
  <pivotFields count="18">
    <pivotField showAll="0"/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axis="axisRow" numFmtId="1" showAll="0">
      <items count="13">
        <item x="6"/>
        <item x="7"/>
        <item x="0"/>
        <item x="2"/>
        <item x="1"/>
        <item x="11"/>
        <item x="10"/>
        <item x="9"/>
        <item x="3"/>
        <item x="8"/>
        <item x="4"/>
        <item x="5"/>
        <item t="default"/>
      </items>
    </pivotField>
    <pivotField showAll="0"/>
    <pivotField showAll="0"/>
    <pivotField numFmtId="2" showAll="0"/>
    <pivotField numFmtId="2" showAll="0"/>
    <pivotField dataField="1" numFmtId="2" showAll="0" defaultSubtotal="0"/>
    <pivotField numFmtId="2" showAll="0"/>
    <pivotField numFmtId="2" showAll="0"/>
    <pivotField showAll="0"/>
    <pivotField numFmtId="165" showAll="0"/>
    <pivotField showAll="0"/>
    <pivotField showAll="0" defaultSubtotal="0"/>
    <pivotField numFmtId="16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Promedio de target_m1" fld="10" subtotal="average" baseField="5" baseItem="1"/>
  </dataFields>
  <formats count="15">
    <format dxfId="220">
      <pivotArea outline="0" collapsedLevelsAreSubtotals="1" fieldPosition="0"/>
    </format>
    <format dxfId="219">
      <pivotArea collapsedLevelsAreSubtotals="1" fieldPosition="0">
        <references count="2">
          <reference field="4" count="1" selected="0">
            <x v="1"/>
          </reference>
          <reference field="5" count="2">
            <x v="3"/>
            <x v="4"/>
          </reference>
        </references>
      </pivotArea>
    </format>
    <format dxfId="218">
      <pivotArea collapsedLevelsAreSubtotals="1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217">
      <pivotArea outline="0" collapsedLevelsAreSubtotals="1" fieldPosition="0"/>
    </format>
    <format dxfId="216">
      <pivotArea field="4" type="button" dataOnly="0" labelOnly="1" outline="0" axis="axisCol" fieldPosition="0"/>
    </format>
    <format dxfId="215">
      <pivotArea type="topRight" dataOnly="0" labelOnly="1" outline="0" fieldPosition="0"/>
    </format>
    <format dxfId="214">
      <pivotArea dataOnly="0" labelOnly="1" fieldPosition="0">
        <references count="1">
          <reference field="4" count="0"/>
        </references>
      </pivotArea>
    </format>
    <format dxfId="213">
      <pivotArea dataOnly="0" labelOnly="1" grandCol="1" outline="0" fieldPosition="0"/>
    </format>
    <format dxfId="212">
      <pivotArea outline="0" collapsedLevelsAreSubtotals="1" fieldPosition="0"/>
    </format>
    <format dxfId="211">
      <pivotArea field="4" type="button" dataOnly="0" labelOnly="1" outline="0" axis="axisCol" fieldPosition="0"/>
    </format>
    <format dxfId="210">
      <pivotArea type="topRight" dataOnly="0" labelOnly="1" outline="0" fieldPosition="0"/>
    </format>
    <format dxfId="209">
      <pivotArea dataOnly="0" labelOnly="1" fieldPosition="0">
        <references count="1">
          <reference field="4" count="0"/>
        </references>
      </pivotArea>
    </format>
    <format dxfId="208">
      <pivotArea dataOnly="0" labelOnly="1" grandCol="1" outline="0" fieldPosition="0"/>
    </format>
    <format dxfId="207">
      <pivotArea collapsedLevelsAreSubtotals="1" fieldPosition="0">
        <references count="2">
          <reference field="4" count="1" selected="0">
            <x v="1"/>
          </reference>
          <reference field="5" count="3">
            <x v="2"/>
            <x v="3"/>
            <x v="4"/>
          </reference>
        </references>
      </pivotArea>
    </format>
    <format dxfId="206">
      <pivotArea collapsedLevelsAreSubtotals="1" fieldPosition="0">
        <references count="2">
          <reference field="4" count="1" selected="0">
            <x v="1"/>
          </reference>
          <reference field="5" count="1">
            <x v="4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laDinámica10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G40:J52" firstHeaderRow="1" firstDataRow="2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uenta de target_m3" fld="11" subtotal="count" baseField="0" baseItem="0"/>
  </dataFields>
  <formats count="23">
    <format dxfId="243">
      <pivotArea dataOnly="0" outline="0" fieldPosition="0">
        <references count="1">
          <reference field="4294967294" count="1">
            <x v="0"/>
          </reference>
        </references>
      </pivotArea>
    </format>
    <format dxfId="242">
      <pivotArea dataOnly="0" outline="0" fieldPosition="0">
        <references count="1">
          <reference field="4" count="0" defaultSubtotal="1"/>
        </references>
      </pivotArea>
    </format>
    <format dxfId="241">
      <pivotArea dataOnly="0" grandCol="1" outline="0" fieldPosition="0"/>
    </format>
    <format dxfId="240">
      <pivotArea dataOnly="0" outline="0" fieldPosition="0">
        <references count="1">
          <reference field="4" count="1">
            <x v="1"/>
          </reference>
        </references>
      </pivotArea>
    </format>
    <format dxfId="239">
      <pivotArea dataOnly="0" outline="0" fieldPosition="0">
        <references count="1">
          <reference field="4" count="1">
            <x v="0"/>
          </reference>
        </references>
      </pivotArea>
    </format>
    <format dxfId="238">
      <pivotArea outline="0" collapsedLevelsAreSubtotals="1" fieldPosition="0"/>
    </format>
    <format dxfId="237">
      <pivotArea dataOnly="0" labelOnly="1" outline="0" fieldPosition="0">
        <references count="1">
          <reference field="6" count="0"/>
        </references>
      </pivotArea>
    </format>
    <format dxfId="236">
      <pivotArea field="4" type="button" dataOnly="0" labelOnly="1" outline="0" axis="axisCol" fieldPosition="0"/>
    </format>
    <format dxfId="235">
      <pivotArea type="topRight" dataOnly="0" labelOnly="1" outline="0" fieldPosition="0"/>
    </format>
    <format dxfId="234">
      <pivotArea dataOnly="0" labelOnly="1" fieldPosition="0">
        <references count="1">
          <reference field="4" count="0"/>
        </references>
      </pivotArea>
    </format>
    <format dxfId="233">
      <pivotArea dataOnly="0" labelOnly="1" grandCol="1" outline="0" fieldPosition="0"/>
    </format>
    <format dxfId="232">
      <pivotArea outline="0" collapsedLevelsAreSubtotals="1" fieldPosition="0"/>
    </format>
    <format dxfId="231">
      <pivotArea dataOnly="0" labelOnly="1" outline="0" fieldPosition="0">
        <references count="1">
          <reference field="6" count="0"/>
        </references>
      </pivotArea>
    </format>
    <format dxfId="230">
      <pivotArea field="4" type="button" dataOnly="0" labelOnly="1" outline="0" axis="axisCol" fieldPosition="0"/>
    </format>
    <format dxfId="229">
      <pivotArea type="topRight" dataOnly="0" labelOnly="1" outline="0" fieldPosition="0"/>
    </format>
    <format dxfId="228">
      <pivotArea dataOnly="0" labelOnly="1" fieldPosition="0">
        <references count="1">
          <reference field="4" count="0"/>
        </references>
      </pivotArea>
    </format>
    <format dxfId="227">
      <pivotArea dataOnly="0" labelOnly="1" grandCol="1" outline="0" fieldPosition="0"/>
    </format>
    <format dxfId="226">
      <pivotArea outline="0" collapsedLevelsAreSubtotals="1" fieldPosition="0"/>
    </format>
    <format dxfId="225">
      <pivotArea dataOnly="0" labelOnly="1" outline="0" fieldPosition="0">
        <references count="1">
          <reference field="6" count="0"/>
        </references>
      </pivotArea>
    </format>
    <format dxfId="224">
      <pivotArea field="4" type="button" dataOnly="0" labelOnly="1" outline="0" axis="axisCol" fieldPosition="0"/>
    </format>
    <format dxfId="223">
      <pivotArea type="topRight" dataOnly="0" labelOnly="1" outline="0" fieldPosition="0"/>
    </format>
    <format dxfId="222">
      <pivotArea dataOnly="0" labelOnly="1" fieldPosition="0">
        <references count="1">
          <reference field="4" count="0"/>
        </references>
      </pivotArea>
    </format>
    <format dxfId="2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laDinámica2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2">
  <location ref="B20:E34" firstHeaderRow="1" firstDataRow="2" firstDataCol="1"/>
  <pivotFields count="18">
    <pivotField showAll="0"/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axis="axisRow" numFmtId="1" showAll="0">
      <items count="13">
        <item x="6"/>
        <item x="7"/>
        <item x="0"/>
        <item x="2"/>
        <item x="1"/>
        <item x="11"/>
        <item x="10"/>
        <item x="9"/>
        <item x="3"/>
        <item x="8"/>
        <item x="4"/>
        <item x="5"/>
        <item t="default"/>
      </items>
    </pivotField>
    <pivotField showAll="0"/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showAll="0"/>
    <pivotField showAll="0" defaultSubtotal="0"/>
    <pivotField numFmtId="16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uenta de target_m3" fld="11" subtotal="count" baseField="5" baseItem="2"/>
  </dataFields>
  <formats count="21">
    <format dxfId="264">
      <pivotArea outline="0" collapsedLevelsAreSubtotals="1" fieldPosition="0"/>
    </format>
    <format dxfId="263">
      <pivotArea collapsedLevelsAreSubtotals="1" fieldPosition="0">
        <references count="2">
          <reference field="4" count="1" selected="0">
            <x v="1"/>
          </reference>
          <reference field="5" count="2">
            <x v="3"/>
            <x v="4"/>
          </reference>
        </references>
      </pivotArea>
    </format>
    <format dxfId="262">
      <pivotArea dataOnly="0" outline="0" fieldPosition="0">
        <references count="1">
          <reference field="4" count="1">
            <x v="0"/>
          </reference>
        </references>
      </pivotArea>
    </format>
    <format dxfId="261">
      <pivotArea dataOnly="0" outline="0" fieldPosition="0">
        <references count="1">
          <reference field="4" count="1">
            <x v="0"/>
          </reference>
        </references>
      </pivotArea>
    </format>
    <format dxfId="260">
      <pivotArea dataOnly="0" outline="0" fieldPosition="0">
        <references count="1">
          <reference field="4" count="1">
            <x v="0"/>
          </reference>
        </references>
      </pivotArea>
    </format>
    <format dxfId="259">
      <pivotArea dataOnly="0" outline="0" fieldPosition="0">
        <references count="1">
          <reference field="4" count="1">
            <x v="1"/>
          </reference>
        </references>
      </pivotArea>
    </format>
    <format dxfId="258">
      <pivotArea dataOnly="0" outline="0" fieldPosition="0">
        <references count="1">
          <reference field="4" count="1">
            <x v="1"/>
          </reference>
        </references>
      </pivotArea>
    </format>
    <format dxfId="257">
      <pivotArea dataOnly="0" outline="0" fieldPosition="0">
        <references count="1">
          <reference field="4" count="1">
            <x v="1"/>
          </reference>
        </references>
      </pivotArea>
    </format>
    <format dxfId="256">
      <pivotArea dataOnly="0" grandCol="1" outline="0" fieldPosition="0"/>
    </format>
    <format dxfId="255">
      <pivotArea dataOnly="0" grandCol="1" outline="0" fieldPosition="0"/>
    </format>
    <format dxfId="254">
      <pivotArea dataOnly="0" grandCol="1" outline="0" fieldPosition="0"/>
    </format>
    <format dxfId="253">
      <pivotArea outline="0" collapsedLevelsAreSubtotals="1" fieldPosition="0"/>
    </format>
    <format dxfId="252">
      <pivotArea field="4" type="button" dataOnly="0" labelOnly="1" outline="0" axis="axisCol" fieldPosition="0"/>
    </format>
    <format dxfId="251">
      <pivotArea type="topRight" dataOnly="0" labelOnly="1" outline="0" fieldPosition="0"/>
    </format>
    <format dxfId="250">
      <pivotArea dataOnly="0" labelOnly="1" fieldPosition="0">
        <references count="1">
          <reference field="4" count="0"/>
        </references>
      </pivotArea>
    </format>
    <format dxfId="249">
      <pivotArea dataOnly="0" labelOnly="1" grandCol="1" outline="0" fieldPosition="0"/>
    </format>
    <format dxfId="248">
      <pivotArea outline="0" collapsedLevelsAreSubtotals="1" fieldPosition="0"/>
    </format>
    <format dxfId="247">
      <pivotArea field="4" type="button" dataOnly="0" labelOnly="1" outline="0" axis="axisCol" fieldPosition="0"/>
    </format>
    <format dxfId="246">
      <pivotArea type="topRight" dataOnly="0" labelOnly="1" outline="0" fieldPosition="0"/>
    </format>
    <format dxfId="245">
      <pivotArea dataOnly="0" labelOnly="1" fieldPosition="0">
        <references count="1">
          <reference field="4" count="0"/>
        </references>
      </pivotArea>
    </format>
    <format dxfId="2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13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5">
  <location ref="B92:I105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RotHC3m" fld="11" subtotal="average" baseField="0" baseItem="0" numFmtId="2"/>
  </dataFields>
  <formats count="21">
    <format dxfId="285">
      <pivotArea dataOnly="0" outline="0" fieldPosition="0">
        <references count="1">
          <reference field="4294967294" count="1">
            <x v="0"/>
          </reference>
        </references>
      </pivotArea>
    </format>
    <format dxfId="284">
      <pivotArea outline="0" collapsedLevelsAreSubtotals="1" fieldPosition="0"/>
    </format>
    <format dxfId="283">
      <pivotArea dataOnly="0" labelOnly="1" outline="0" fieldPosition="0">
        <references count="1">
          <reference field="6" count="0"/>
        </references>
      </pivotArea>
    </format>
    <format dxfId="282">
      <pivotArea field="4" type="button" dataOnly="0" labelOnly="1" outline="0" axis="axisCol" fieldPosition="0"/>
    </format>
    <format dxfId="281">
      <pivotArea field="2" type="button" dataOnly="0" labelOnly="1" outline="0" axis="axisCol" fieldPosition="1"/>
    </format>
    <format dxfId="280">
      <pivotArea type="topRight" dataOnly="0" labelOnly="1" outline="0" fieldPosition="0"/>
    </format>
    <format dxfId="279">
      <pivotArea dataOnly="0" labelOnly="1" fieldPosition="0">
        <references count="1">
          <reference field="4" count="0"/>
        </references>
      </pivotArea>
    </format>
    <format dxfId="278">
      <pivotArea dataOnly="0" labelOnly="1" fieldPosition="0">
        <references count="1">
          <reference field="4" count="0" defaultSubtotal="1"/>
        </references>
      </pivotArea>
    </format>
    <format dxfId="277">
      <pivotArea dataOnly="0" labelOnly="1" grandCol="1" outline="0" fieldPosition="0"/>
    </format>
    <format dxfId="276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275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274">
      <pivotArea outline="0" collapsedLevelsAreSubtotals="1" fieldPosition="0"/>
    </format>
    <format dxfId="273">
      <pivotArea dataOnly="0" labelOnly="1" outline="0" fieldPosition="0">
        <references count="1">
          <reference field="6" count="0"/>
        </references>
      </pivotArea>
    </format>
    <format dxfId="272">
      <pivotArea field="4" type="button" dataOnly="0" labelOnly="1" outline="0" axis="axisCol" fieldPosition="0"/>
    </format>
    <format dxfId="271">
      <pivotArea field="2" type="button" dataOnly="0" labelOnly="1" outline="0" axis="axisCol" fieldPosition="1"/>
    </format>
    <format dxfId="270">
      <pivotArea type="topRight" dataOnly="0" labelOnly="1" outline="0" fieldPosition="0"/>
    </format>
    <format dxfId="269">
      <pivotArea dataOnly="0" labelOnly="1" fieldPosition="0">
        <references count="1">
          <reference field="4" count="0"/>
        </references>
      </pivotArea>
    </format>
    <format dxfId="268">
      <pivotArea dataOnly="0" labelOnly="1" fieldPosition="0">
        <references count="1">
          <reference field="4" count="0" defaultSubtotal="1"/>
        </references>
      </pivotArea>
    </format>
    <format dxfId="267">
      <pivotArea dataOnly="0" labelOnly="1" grandCol="1" outline="0" fieldPosition="0"/>
    </format>
    <format dxfId="266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265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6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3">
  <location ref="B40:E52" firstHeaderRow="1" firstDataRow="2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dataField="1" numFmtId="2" showAll="0" defaultSubtotal="0"/>
    <pivotField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Promedio de target_m1" fld="10" subtotal="average" baseField="15" baseItem="7" numFmtId="9"/>
  </dataFields>
  <formats count="14">
    <format dxfId="299">
      <pivotArea collapsedLevelsAreSubtotals="1" fieldPosition="0">
        <references count="2">
          <reference field="0" count="1">
            <x v="0"/>
          </reference>
          <reference field="4" count="1" selected="0">
            <x v="1"/>
          </reference>
        </references>
      </pivotArea>
    </format>
    <format dxfId="298">
      <pivotArea outline="0" collapsedLevelsAreSubtotals="1" fieldPosition="0"/>
    </format>
    <format dxfId="297">
      <pivotArea dataOnly="0" labelOnly="1" outline="0" fieldPosition="0">
        <references count="1">
          <reference field="6" count="0"/>
        </references>
      </pivotArea>
    </format>
    <format dxfId="296">
      <pivotArea field="4" type="button" dataOnly="0" labelOnly="1" outline="0" axis="axisCol" fieldPosition="0"/>
    </format>
    <format dxfId="295">
      <pivotArea type="topRight" dataOnly="0" labelOnly="1" outline="0" fieldPosition="0"/>
    </format>
    <format dxfId="294">
      <pivotArea dataOnly="0" labelOnly="1" fieldPosition="0">
        <references count="1">
          <reference field="4" count="0"/>
        </references>
      </pivotArea>
    </format>
    <format dxfId="293">
      <pivotArea dataOnly="0" labelOnly="1" grandCol="1" outline="0" fieldPosition="0"/>
    </format>
    <format dxfId="292">
      <pivotArea outline="0" collapsedLevelsAreSubtotals="1" fieldPosition="0"/>
    </format>
    <format dxfId="291">
      <pivotArea dataOnly="0" labelOnly="1" outline="0" fieldPosition="0">
        <references count="1">
          <reference field="6" count="0"/>
        </references>
      </pivotArea>
    </format>
    <format dxfId="290">
      <pivotArea field="4" type="button" dataOnly="0" labelOnly="1" outline="0" axis="axisCol" fieldPosition="0"/>
    </format>
    <format dxfId="289">
      <pivotArea type="topRight" dataOnly="0" labelOnly="1" outline="0" fieldPosition="0"/>
    </format>
    <format dxfId="288">
      <pivotArea dataOnly="0" labelOnly="1" fieldPosition="0">
        <references count="1">
          <reference field="4" count="0"/>
        </references>
      </pivotArea>
    </format>
    <format dxfId="287">
      <pivotArea dataOnly="0" labelOnly="1" grandCol="1" outline="0" fieldPosition="0"/>
    </format>
    <format dxfId="286">
      <pivotArea outline="0" collapsedLevelsAreSubtotals="1" fieldPosition="0"/>
    </format>
  </formats>
  <chartFormats count="4">
    <chartFormat chart="2" format="4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11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B75:I88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dataField="1" numFmtId="2" showAll="0" defaultSubtotal="0"/>
    <pivotField numFmtId="2" showAll="0"/>
    <pivotField numFmtId="2" showAll="0"/>
    <pivotField axis="axisCol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0"/>
        <item x="1"/>
        <item x="2"/>
        <item x="3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Promedio de target_m1" fld="10" subtotal="average" baseField="0" baseItem="0" numFmtId="9"/>
  </dataFields>
  <formats count="21">
    <format dxfId="320">
      <pivotArea outline="0" collapsedLevelsAreSubtotals="1" fieldPosition="0"/>
    </format>
    <format dxfId="319">
      <pivotArea dataOnly="0" labelOnly="1" outline="0" fieldPosition="0">
        <references count="1">
          <reference field="6" count="0"/>
        </references>
      </pivotArea>
    </format>
    <format dxfId="318">
      <pivotArea field="4" type="button" dataOnly="0" labelOnly="1" outline="0" axis="axisCol" fieldPosition="0"/>
    </format>
    <format dxfId="317">
      <pivotArea field="13" type="button" dataOnly="0" labelOnly="1" outline="0" axis="axisCol" fieldPosition="1"/>
    </format>
    <format dxfId="316">
      <pivotArea type="topRight" dataOnly="0" labelOnly="1" outline="0" fieldPosition="0"/>
    </format>
    <format dxfId="315">
      <pivotArea dataOnly="0" labelOnly="1" fieldPosition="0">
        <references count="1">
          <reference field="4" count="0"/>
        </references>
      </pivotArea>
    </format>
    <format dxfId="314">
      <pivotArea dataOnly="0" labelOnly="1" fieldPosition="0">
        <references count="1">
          <reference field="4" count="0" defaultSubtotal="1"/>
        </references>
      </pivotArea>
    </format>
    <format dxfId="313">
      <pivotArea dataOnly="0" labelOnly="1" grandCol="1" outline="0" fieldPosition="0"/>
    </format>
    <format dxfId="312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311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310">
      <pivotArea outline="0" collapsedLevelsAreSubtotals="1" fieldPosition="0"/>
    </format>
    <format dxfId="309">
      <pivotArea dataOnly="0" labelOnly="1" outline="0" fieldPosition="0">
        <references count="1">
          <reference field="6" count="0"/>
        </references>
      </pivotArea>
    </format>
    <format dxfId="308">
      <pivotArea field="4" type="button" dataOnly="0" labelOnly="1" outline="0" axis="axisCol" fieldPosition="0"/>
    </format>
    <format dxfId="307">
      <pivotArea field="13" type="button" dataOnly="0" labelOnly="1" outline="0" axis="axisCol" fieldPosition="1"/>
    </format>
    <format dxfId="306">
      <pivotArea type="topRight" dataOnly="0" labelOnly="1" outline="0" fieldPosition="0"/>
    </format>
    <format dxfId="305">
      <pivotArea dataOnly="0" labelOnly="1" fieldPosition="0">
        <references count="1">
          <reference field="4" count="0"/>
        </references>
      </pivotArea>
    </format>
    <format dxfId="304">
      <pivotArea dataOnly="0" labelOnly="1" fieldPosition="0">
        <references count="1">
          <reference field="4" count="0" defaultSubtotal="1"/>
        </references>
      </pivotArea>
    </format>
    <format dxfId="303">
      <pivotArea dataOnly="0" labelOnly="1" grandCol="1" outline="0" fieldPosition="0"/>
    </format>
    <format dxfId="302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301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3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2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K92:R105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Cuenta de target_m3" fld="11" subtotal="count" baseField="0" baseItem="0"/>
  </dataFields>
  <formats count="35">
    <format dxfId="355">
      <pivotArea dataOnly="0" outline="0" fieldPosition="0">
        <references count="1">
          <reference field="4294967294" count="1">
            <x v="0"/>
          </reference>
        </references>
      </pivotArea>
    </format>
    <format dxfId="354">
      <pivotArea dataOnly="0" outline="0" fieldPosition="0">
        <references count="1">
          <reference field="4" count="0" defaultSubtotal="1"/>
        </references>
      </pivotArea>
    </format>
    <format dxfId="353">
      <pivotArea dataOnly="0" grandCol="1" outline="0" fieldPosition="0"/>
    </format>
    <format dxfId="352">
      <pivotArea dataOnly="0" outline="0" fieldPosition="0">
        <references count="1">
          <reference field="2" count="1">
            <x v="0"/>
          </reference>
        </references>
      </pivotArea>
    </format>
    <format dxfId="351">
      <pivotArea dataOnly="0" outline="0" fieldPosition="0">
        <references count="1">
          <reference field="2" count="1">
            <x v="1"/>
          </reference>
        </references>
      </pivotArea>
    </format>
    <format dxfId="350">
      <pivotArea outline="0" collapsedLevelsAreSubtotals="1" fieldPosition="0"/>
    </format>
    <format dxfId="349">
      <pivotArea dataOnly="0" labelOnly="1" outline="0" fieldPosition="0">
        <references count="1">
          <reference field="6" count="0"/>
        </references>
      </pivotArea>
    </format>
    <format dxfId="348">
      <pivotArea field="4" type="button" dataOnly="0" labelOnly="1" outline="0" axis="axisCol" fieldPosition="0"/>
    </format>
    <format dxfId="347">
      <pivotArea field="2" type="button" dataOnly="0" labelOnly="1" outline="0" axis="axisCol" fieldPosition="1"/>
    </format>
    <format dxfId="346">
      <pivotArea type="topRight" dataOnly="0" labelOnly="1" outline="0" fieldPosition="0"/>
    </format>
    <format dxfId="345">
      <pivotArea dataOnly="0" labelOnly="1" fieldPosition="0">
        <references count="1">
          <reference field="4" count="0"/>
        </references>
      </pivotArea>
    </format>
    <format dxfId="344">
      <pivotArea dataOnly="0" labelOnly="1" fieldPosition="0">
        <references count="1">
          <reference field="4" count="0" defaultSubtotal="1"/>
        </references>
      </pivotArea>
    </format>
    <format dxfId="343">
      <pivotArea dataOnly="0" labelOnly="1" grandCol="1" outline="0" fieldPosition="0"/>
    </format>
    <format dxfId="342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341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340">
      <pivotArea outline="0" collapsedLevelsAreSubtotals="1" fieldPosition="0"/>
    </format>
    <format dxfId="339">
      <pivotArea dataOnly="0" labelOnly="1" outline="0" fieldPosition="0">
        <references count="1">
          <reference field="6" count="0"/>
        </references>
      </pivotArea>
    </format>
    <format dxfId="338">
      <pivotArea field="4" type="button" dataOnly="0" labelOnly="1" outline="0" axis="axisCol" fieldPosition="0"/>
    </format>
    <format dxfId="337">
      <pivotArea field="2" type="button" dataOnly="0" labelOnly="1" outline="0" axis="axisCol" fieldPosition="1"/>
    </format>
    <format dxfId="336">
      <pivotArea type="topRight" dataOnly="0" labelOnly="1" outline="0" fieldPosition="0"/>
    </format>
    <format dxfId="335">
      <pivotArea dataOnly="0" labelOnly="1" fieldPosition="0">
        <references count="1">
          <reference field="4" count="0"/>
        </references>
      </pivotArea>
    </format>
    <format dxfId="334">
      <pivotArea dataOnly="0" labelOnly="1" fieldPosition="0">
        <references count="1">
          <reference field="4" count="0" defaultSubtotal="1"/>
        </references>
      </pivotArea>
    </format>
    <format dxfId="333">
      <pivotArea dataOnly="0" labelOnly="1" grandCol="1" outline="0" fieldPosition="0"/>
    </format>
    <format dxfId="332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331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330">
      <pivotArea outline="0" collapsedLevelsAreSubtotals="1" fieldPosition="0"/>
    </format>
    <format dxfId="329">
      <pivotArea dataOnly="0" labelOnly="1" outline="0" fieldPosition="0">
        <references count="1">
          <reference field="6" count="0"/>
        </references>
      </pivotArea>
    </format>
    <format dxfId="328">
      <pivotArea field="4" type="button" dataOnly="0" labelOnly="1" outline="0" axis="axisCol" fieldPosition="0"/>
    </format>
    <format dxfId="327">
      <pivotArea field="2" type="button" dataOnly="0" labelOnly="1" outline="0" axis="axisCol" fieldPosition="1"/>
    </format>
    <format dxfId="326">
      <pivotArea type="topRight" dataOnly="0" labelOnly="1" outline="0" fieldPosition="0"/>
    </format>
    <format dxfId="325">
      <pivotArea dataOnly="0" labelOnly="1" fieldPosition="0">
        <references count="1">
          <reference field="4" count="0"/>
        </references>
      </pivotArea>
    </format>
    <format dxfId="324">
      <pivotArea dataOnly="0" labelOnly="1" fieldPosition="0">
        <references count="1">
          <reference field="4" count="0" defaultSubtotal="1"/>
        </references>
      </pivotArea>
    </format>
    <format dxfId="323">
      <pivotArea dataOnly="0" labelOnly="1" grandCol="1" outline="0" fieldPosition="0"/>
    </format>
    <format dxfId="322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321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4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K75:R88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x="3"/>
        <item x="2"/>
        <item x="16"/>
        <item x="13"/>
        <item x="12"/>
        <item x="4"/>
        <item x="10"/>
        <item x="6"/>
        <item h="1" x="7"/>
        <item x="8"/>
        <item x="15"/>
        <item x="5"/>
        <item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Col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0"/>
        <item x="1"/>
        <item x="2"/>
        <item x="3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Cuenta de target_m3" fld="11" subtotal="count" baseField="0" baseItem="0"/>
  </dataFields>
  <formats count="34">
    <format dxfId="389">
      <pivotArea dataOnly="0" outline="0" fieldPosition="0">
        <references count="1">
          <reference field="4294967294" count="1">
            <x v="0"/>
          </reference>
        </references>
      </pivotArea>
    </format>
    <format dxfId="388">
      <pivotArea dataOnly="0" outline="0" fieldPosition="0">
        <references count="1">
          <reference field="13" count="0"/>
        </references>
      </pivotArea>
    </format>
    <format dxfId="387">
      <pivotArea dataOnly="0" outline="0" fieldPosition="0">
        <references count="1">
          <reference field="4" count="0" defaultSubtotal="1"/>
        </references>
      </pivotArea>
    </format>
    <format dxfId="386">
      <pivotArea dataOnly="0" grandCol="1" outline="0" fieldPosition="0"/>
    </format>
    <format dxfId="385">
      <pivotArea outline="0" collapsedLevelsAreSubtotals="1" fieldPosition="0"/>
    </format>
    <format dxfId="384">
      <pivotArea dataOnly="0" labelOnly="1" outline="0" fieldPosition="0">
        <references count="1">
          <reference field="6" count="0"/>
        </references>
      </pivotArea>
    </format>
    <format dxfId="383">
      <pivotArea field="4" type="button" dataOnly="0" labelOnly="1" outline="0" axis="axisCol" fieldPosition="0"/>
    </format>
    <format dxfId="382">
      <pivotArea field="13" type="button" dataOnly="0" labelOnly="1" outline="0" axis="axisCol" fieldPosition="1"/>
    </format>
    <format dxfId="381">
      <pivotArea type="topRight" dataOnly="0" labelOnly="1" outline="0" fieldPosition="0"/>
    </format>
    <format dxfId="380">
      <pivotArea dataOnly="0" labelOnly="1" fieldPosition="0">
        <references count="1">
          <reference field="4" count="0"/>
        </references>
      </pivotArea>
    </format>
    <format dxfId="379">
      <pivotArea dataOnly="0" labelOnly="1" fieldPosition="0">
        <references count="1">
          <reference field="4" count="0" defaultSubtotal="1"/>
        </references>
      </pivotArea>
    </format>
    <format dxfId="378">
      <pivotArea dataOnly="0" labelOnly="1" grandCol="1" outline="0" fieldPosition="0"/>
    </format>
    <format dxfId="377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376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375">
      <pivotArea outline="0" collapsedLevelsAreSubtotals="1" fieldPosition="0"/>
    </format>
    <format dxfId="374">
      <pivotArea dataOnly="0" labelOnly="1" outline="0" fieldPosition="0">
        <references count="1">
          <reference field="6" count="0"/>
        </references>
      </pivotArea>
    </format>
    <format dxfId="373">
      <pivotArea field="4" type="button" dataOnly="0" labelOnly="1" outline="0" axis="axisCol" fieldPosition="0"/>
    </format>
    <format dxfId="372">
      <pivotArea field="13" type="button" dataOnly="0" labelOnly="1" outline="0" axis="axisCol" fieldPosition="1"/>
    </format>
    <format dxfId="371">
      <pivotArea type="topRight" dataOnly="0" labelOnly="1" outline="0" fieldPosition="0"/>
    </format>
    <format dxfId="370">
      <pivotArea dataOnly="0" labelOnly="1" fieldPosition="0">
        <references count="1">
          <reference field="4" count="0"/>
        </references>
      </pivotArea>
    </format>
    <format dxfId="369">
      <pivotArea dataOnly="0" labelOnly="1" fieldPosition="0">
        <references count="1">
          <reference field="4" count="0" defaultSubtotal="1"/>
        </references>
      </pivotArea>
    </format>
    <format dxfId="368">
      <pivotArea dataOnly="0" labelOnly="1" grandCol="1" outline="0" fieldPosition="0"/>
    </format>
    <format dxfId="367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366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365">
      <pivotArea outline="0" collapsedLevelsAreSubtotals="1" fieldPosition="0"/>
    </format>
    <format dxfId="364">
      <pivotArea dataOnly="0" labelOnly="1" outline="0" fieldPosition="0">
        <references count="1">
          <reference field="6" count="0"/>
        </references>
      </pivotArea>
    </format>
    <format dxfId="363">
      <pivotArea field="4" type="button" dataOnly="0" labelOnly="1" outline="0" axis="axisCol" fieldPosition="0"/>
    </format>
    <format dxfId="362">
      <pivotArea field="13" type="button" dataOnly="0" labelOnly="1" outline="0" axis="axisCol" fieldPosition="1"/>
    </format>
    <format dxfId="361">
      <pivotArea type="topRight" dataOnly="0" labelOnly="1" outline="0" fieldPosition="0"/>
    </format>
    <format dxfId="360">
      <pivotArea dataOnly="0" labelOnly="1" fieldPosition="0">
        <references count="1">
          <reference field="4" count="0"/>
        </references>
      </pivotArea>
    </format>
    <format dxfId="359">
      <pivotArea dataOnly="0" labelOnly="1" fieldPosition="0">
        <references count="1">
          <reference field="4" count="0" defaultSubtotal="1"/>
        </references>
      </pivotArea>
    </format>
    <format dxfId="358">
      <pivotArea dataOnly="0" labelOnly="1" grandCol="1" outline="0" fieldPosition="0"/>
    </format>
    <format dxfId="357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356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10000000}" name="TablaDinámica2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2">
  <location ref="A20:D34" firstHeaderRow="1" firstDataRow="2" firstDataCol="1"/>
  <pivotFields count="18">
    <pivotField showAll="0"/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axis="axisRow" numFmtId="1" showAll="0">
      <items count="13">
        <item x="6"/>
        <item x="7"/>
        <item x="0"/>
        <item x="2"/>
        <item x="1"/>
        <item x="11"/>
        <item x="10"/>
        <item x="9"/>
        <item x="3"/>
        <item x="8"/>
        <item x="4"/>
        <item x="5"/>
        <item t="default"/>
      </items>
    </pivotField>
    <pivotField showAll="0"/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showAll="0"/>
    <pivotField showAll="0" defaultSubtotal="0"/>
    <pivotField numFmtId="16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uenta de target_m3" fld="11" subtotal="count" baseField="5" baseItem="2"/>
  </dataFields>
  <formats count="21">
    <format dxfId="20">
      <pivotArea outline="0" collapsedLevelsAreSubtotals="1" fieldPosition="0"/>
    </format>
    <format dxfId="19">
      <pivotArea collapsedLevelsAreSubtotals="1" fieldPosition="0">
        <references count="2">
          <reference field="4" count="1" selected="0">
            <x v="1"/>
          </reference>
          <reference field="5" count="2">
            <x v="3"/>
            <x v="4"/>
          </reference>
        </references>
      </pivotArea>
    </format>
    <format dxfId="18">
      <pivotArea dataOnly="0" outline="0" fieldPosition="0">
        <references count="1">
          <reference field="4" count="1">
            <x v="0"/>
          </reference>
        </references>
      </pivotArea>
    </format>
    <format dxfId="17">
      <pivotArea dataOnly="0" outline="0" fieldPosition="0">
        <references count="1">
          <reference field="4" count="1">
            <x v="0"/>
          </reference>
        </references>
      </pivotArea>
    </format>
    <format dxfId="16">
      <pivotArea dataOnly="0" outline="0" fieldPosition="0">
        <references count="1">
          <reference field="4" count="1">
            <x v="0"/>
          </reference>
        </references>
      </pivotArea>
    </format>
    <format dxfId="15">
      <pivotArea dataOnly="0" outline="0" fieldPosition="0">
        <references count="1">
          <reference field="4" count="1">
            <x v="1"/>
          </reference>
        </references>
      </pivotArea>
    </format>
    <format dxfId="14">
      <pivotArea dataOnly="0" outline="0" fieldPosition="0">
        <references count="1">
          <reference field="4" count="1">
            <x v="1"/>
          </reference>
        </references>
      </pivotArea>
    </format>
    <format dxfId="13">
      <pivotArea dataOnly="0" outline="0" fieldPosition="0">
        <references count="1">
          <reference field="4" count="1">
            <x v="1"/>
          </reference>
        </references>
      </pivotArea>
    </format>
    <format dxfId="12">
      <pivotArea dataOnly="0" grandCol="1" outline="0" fieldPosition="0"/>
    </format>
    <format dxfId="11">
      <pivotArea dataOnly="0" grandCol="1" outline="0" fieldPosition="0"/>
    </format>
    <format dxfId="10">
      <pivotArea dataOnly="0" grandCol="1" outline="0" fieldPosition="0"/>
    </format>
    <format dxfId="9">
      <pivotArea outline="0" collapsedLevelsAreSubtotals="1" fieldPosition="0"/>
    </format>
    <format dxfId="8">
      <pivotArea field="4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4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F000000}" name="TablaDinámica20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S93:V105" firstHeaderRow="1" firstDataRow="2" firstDataCol="1" rowPageCount="2" colPageCount="1"/>
  <pivotFields count="18">
    <pivotField axis="axisRow"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Page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2">
    <pageField fld="6" hier="-1"/>
    <pageField fld="13" item="0" hier="-1"/>
  </pageFields>
  <dataFields count="1">
    <dataField name="Cuenta de target_m3" fld="11" subtotal="count" baseField="15" baseItem="5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8">
    <format dxfId="48">
      <pivotArea dataOnly="0" outline="0" fieldPosition="0">
        <references count="1">
          <reference field="4294967294" count="1">
            <x v="0"/>
          </reference>
        </references>
      </pivotArea>
    </format>
    <format dxfId="47">
      <pivotArea dataOnly="0" outline="0" fieldPosition="0">
        <references count="1">
          <reference field="4" count="0" defaultSubtotal="1"/>
        </references>
      </pivotArea>
    </format>
    <format dxfId="46">
      <pivotArea dataOnly="0" grandCol="1" outline="0" fieldPosition="0"/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6" count="0"/>
        </references>
      </pivotArea>
    </format>
    <format dxfId="43">
      <pivotArea field="4" type="button" dataOnly="0" labelOnly="1" outline="0" axis="axisCol" fieldPosition="0"/>
    </format>
    <format dxfId="42">
      <pivotArea field="2" type="button" dataOnly="0" labelOnly="1" outline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fieldPosition="0">
        <references count="1">
          <reference field="4" count="0" defaultSubtotal="1"/>
        </references>
      </pivotArea>
    </format>
    <format dxfId="38">
      <pivotArea dataOnly="0" labelOnly="1" grandCol="1" outline="0" fieldPosition="0"/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6" count="0"/>
        </references>
      </pivotArea>
    </format>
    <format dxfId="35">
      <pivotArea field="4" type="button" dataOnly="0" labelOnly="1" outline="0" axis="axisCol" fieldPosition="0"/>
    </format>
    <format dxfId="34">
      <pivotArea field="2" type="button" dataOnly="0" labelOnly="1" outline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fieldPosition="0">
        <references count="1">
          <reference field="4" count="0" defaultSubtotal="1"/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6" count="0"/>
        </references>
      </pivotArea>
    </format>
    <format dxfId="27">
      <pivotArea field="4" type="button" dataOnly="0" labelOnly="1" outline="0" axis="axisCol" fieldPosition="0"/>
    </format>
    <format dxfId="26">
      <pivotArea field="2" type="button" dataOnly="0" labelOnly="1" outline="0"/>
    </format>
    <format dxfId="25">
      <pivotArea type="topRight" dataOnly="0" labelOnly="1" outline="0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fieldPosition="0">
        <references count="1">
          <reference field="4" count="0" defaultSubtotal="1"/>
        </references>
      </pivotArea>
    </format>
    <format dxfId="22">
      <pivotArea dataOnly="0" labelOnly="1" grandCol="1" outline="0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E000000}" name="TablaDinámica3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2">
  <location ref="A4:D18" firstHeaderRow="1" firstDataRow="2" firstDataCol="1"/>
  <pivotFields count="18">
    <pivotField showAll="0"/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axis="axisRow" numFmtId="1" showAll="0">
      <items count="13">
        <item x="6"/>
        <item x="7"/>
        <item x="0"/>
        <item x="2"/>
        <item x="1"/>
        <item x="11"/>
        <item x="10"/>
        <item x="9"/>
        <item x="3"/>
        <item x="8"/>
        <item x="4"/>
        <item x="5"/>
        <item t="default"/>
      </items>
    </pivotField>
    <pivotField showAll="0"/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showAll="0"/>
    <pivotField showAll="0" defaultSubtotal="0"/>
    <pivotField numFmtId="16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Promedio de target_m3" fld="11" subtotal="average" baseField="0" baseItem="0" numFmtId="9"/>
  </dataFields>
  <formats count="13">
    <format dxfId="61">
      <pivotArea outline="0" collapsedLevelsAreSubtotals="1" fieldPosition="0"/>
    </format>
    <format dxfId="60">
      <pivotArea collapsedLevelsAreSubtotals="1" fieldPosition="0">
        <references count="2">
          <reference field="4" count="1" selected="0">
            <x v="1"/>
          </reference>
          <reference field="5" count="2">
            <x v="3"/>
            <x v="4"/>
          </reference>
        </references>
      </pivotArea>
    </format>
    <format dxfId="59">
      <pivotArea collapsedLevelsAreSubtotals="1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58">
      <pivotArea outline="0" collapsedLevelsAreSubtotals="1" fieldPosition="0"/>
    </format>
    <format dxfId="57">
      <pivotArea field="4" type="button" dataOnly="0" labelOnly="1" outline="0" axis="axisCol" fieldPosition="0"/>
    </format>
    <format dxfId="56">
      <pivotArea type="topRight" dataOnly="0" labelOnly="1" outline="0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grandCol="1" outline="0" fieldPosition="0"/>
    </format>
    <format dxfId="53">
      <pivotArea outline="0" collapsedLevelsAreSubtotals="1" fieldPosition="0"/>
    </format>
    <format dxfId="52">
      <pivotArea field="4" type="button" dataOnly="0" labelOnly="1" outline="0" axis="axisCol" fieldPosition="0"/>
    </format>
    <format dxfId="51">
      <pivotArea type="topRight" dataOnly="0" labelOnly="1" outline="0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D000000}" name="TablaDinámica12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J93:Q106" firstHeaderRow="1" firstDataRow="3" firstDataCol="1" rowPageCount="2" colPageCount="1"/>
  <pivotFields count="18"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Page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6" hier="-1"/>
    <pageField fld="13" item="0" hier="-1"/>
  </pageFields>
  <dataFields count="1">
    <dataField name="Cuenta de target_m3" fld="11" subtotal="count" baseField="0" baseItem="0"/>
  </dataFields>
  <formats count="35">
    <format dxfId="96">
      <pivotArea dataOnly="0" outline="0" fieldPosition="0">
        <references count="1">
          <reference field="4294967294" count="1">
            <x v="0"/>
          </reference>
        </references>
      </pivotArea>
    </format>
    <format dxfId="95">
      <pivotArea dataOnly="0" outline="0" fieldPosition="0">
        <references count="1">
          <reference field="4" count="0" defaultSubtotal="1"/>
        </references>
      </pivotArea>
    </format>
    <format dxfId="94">
      <pivotArea dataOnly="0" grandCol="1" outline="0" fieldPosition="0"/>
    </format>
    <format dxfId="93">
      <pivotArea dataOnly="0" outline="0" fieldPosition="0">
        <references count="1">
          <reference field="2" count="1">
            <x v="0"/>
          </reference>
        </references>
      </pivotArea>
    </format>
    <format dxfId="92">
      <pivotArea dataOnly="0" outline="0" fieldPosition="0">
        <references count="1">
          <reference field="2" count="1">
            <x v="1"/>
          </reference>
        </references>
      </pivotArea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6" count="0"/>
        </references>
      </pivotArea>
    </format>
    <format dxfId="89">
      <pivotArea field="4" type="button" dataOnly="0" labelOnly="1" outline="0" axis="axisCol" fieldPosition="0"/>
    </format>
    <format dxfId="88">
      <pivotArea field="2" type="button" dataOnly="0" labelOnly="1" outline="0" axis="axisCol" fieldPosition="1"/>
    </format>
    <format dxfId="87">
      <pivotArea type="topRight" dataOnly="0" labelOnly="1" outline="0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fieldPosition="0">
        <references count="1">
          <reference field="4" count="0" defaultSubtotal="1"/>
        </references>
      </pivotArea>
    </format>
    <format dxfId="84">
      <pivotArea dataOnly="0" labelOnly="1" grandCol="1" outline="0" fieldPosition="0"/>
    </format>
    <format dxfId="83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82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6" count="0"/>
        </references>
      </pivotArea>
    </format>
    <format dxfId="79">
      <pivotArea field="4" type="button" dataOnly="0" labelOnly="1" outline="0" axis="axisCol" fieldPosition="0"/>
    </format>
    <format dxfId="78">
      <pivotArea field="2" type="button" dataOnly="0" labelOnly="1" outline="0" axis="axisCol" fieldPosition="1"/>
    </format>
    <format dxfId="77">
      <pivotArea type="topRight" dataOnly="0" labelOnly="1" outline="0" fieldPosition="0"/>
    </format>
    <format dxfId="76">
      <pivotArea dataOnly="0" labelOnly="1" fieldPosition="0">
        <references count="1">
          <reference field="4" count="0"/>
        </references>
      </pivotArea>
    </format>
    <format dxfId="75">
      <pivotArea dataOnly="0" labelOnly="1" fieldPosition="0">
        <references count="1">
          <reference field="4" count="0" defaultSubtotal="1"/>
        </references>
      </pivotArea>
    </format>
    <format dxfId="74">
      <pivotArea dataOnly="0" labelOnly="1" grandCol="1" outline="0" fieldPosition="0"/>
    </format>
    <format dxfId="73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72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6" count="0"/>
        </references>
      </pivotArea>
    </format>
    <format dxfId="69">
      <pivotArea field="4" type="button" dataOnly="0" labelOnly="1" outline="0" axis="axisCol" fieldPosition="0"/>
    </format>
    <format dxfId="68">
      <pivotArea field="2" type="button" dataOnly="0" labelOnly="1" outline="0" axis="axisCol" fieldPosition="1"/>
    </format>
    <format dxfId="67">
      <pivotArea type="topRight" dataOnly="0" labelOnly="1" outline="0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fieldPosition="0">
        <references count="1">
          <reference field="4" count="0" defaultSubtotal="1"/>
        </references>
      </pivotArea>
    </format>
    <format dxfId="64">
      <pivotArea dataOnly="0" labelOnly="1" grandCol="1" outline="0" fieldPosition="0"/>
    </format>
    <format dxfId="63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62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TablaDinámica14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J75:Q88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Col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0"/>
        <item x="1"/>
        <item x="2"/>
        <item x="3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Cuenta de target_m3" fld="11" subtotal="count" baseField="0" baseItem="0"/>
  </dataFields>
  <formats count="34">
    <format dxfId="130">
      <pivotArea dataOnly="0" outline="0" fieldPosition="0">
        <references count="1">
          <reference field="4294967294" count="1">
            <x v="0"/>
          </reference>
        </references>
      </pivotArea>
    </format>
    <format dxfId="129">
      <pivotArea dataOnly="0" outline="0" fieldPosition="0">
        <references count="1">
          <reference field="13" count="0"/>
        </references>
      </pivotArea>
    </format>
    <format dxfId="128">
      <pivotArea dataOnly="0" outline="0" fieldPosition="0">
        <references count="1">
          <reference field="4" count="0" defaultSubtotal="1"/>
        </references>
      </pivotArea>
    </format>
    <format dxfId="127">
      <pivotArea dataOnly="0" grandCol="1" outline="0" fieldPosition="0"/>
    </format>
    <format dxfId="126">
      <pivotArea outline="0" collapsedLevelsAreSubtotals="1" fieldPosition="0"/>
    </format>
    <format dxfId="125">
      <pivotArea dataOnly="0" labelOnly="1" outline="0" fieldPosition="0">
        <references count="1">
          <reference field="6" count="0"/>
        </references>
      </pivotArea>
    </format>
    <format dxfId="124">
      <pivotArea field="4" type="button" dataOnly="0" labelOnly="1" outline="0" axis="axisCol" fieldPosition="0"/>
    </format>
    <format dxfId="123">
      <pivotArea field="13" type="button" dataOnly="0" labelOnly="1" outline="0" axis="axisCol" fieldPosition="1"/>
    </format>
    <format dxfId="122">
      <pivotArea type="topRight" dataOnly="0" labelOnly="1" outline="0" fieldPosition="0"/>
    </format>
    <format dxfId="121">
      <pivotArea dataOnly="0" labelOnly="1" fieldPosition="0">
        <references count="1">
          <reference field="4" count="0"/>
        </references>
      </pivotArea>
    </format>
    <format dxfId="120">
      <pivotArea dataOnly="0" labelOnly="1" fieldPosition="0">
        <references count="1">
          <reference field="4" count="0" defaultSubtotal="1"/>
        </references>
      </pivotArea>
    </format>
    <format dxfId="119">
      <pivotArea dataOnly="0" labelOnly="1" grandCol="1" outline="0" fieldPosition="0"/>
    </format>
    <format dxfId="118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117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116">
      <pivotArea outline="0" collapsedLevelsAreSubtotals="1" fieldPosition="0"/>
    </format>
    <format dxfId="115">
      <pivotArea dataOnly="0" labelOnly="1" outline="0" fieldPosition="0">
        <references count="1">
          <reference field="6" count="0"/>
        </references>
      </pivotArea>
    </format>
    <format dxfId="114">
      <pivotArea field="4" type="button" dataOnly="0" labelOnly="1" outline="0" axis="axisCol" fieldPosition="0"/>
    </format>
    <format dxfId="113">
      <pivotArea field="13" type="button" dataOnly="0" labelOnly="1" outline="0" axis="axisCol" fieldPosition="1"/>
    </format>
    <format dxfId="112">
      <pivotArea type="topRight" dataOnly="0" labelOnly="1" outline="0" fieldPosition="0"/>
    </format>
    <format dxfId="111">
      <pivotArea dataOnly="0" labelOnly="1" fieldPosition="0">
        <references count="1">
          <reference field="4" count="0"/>
        </references>
      </pivotArea>
    </format>
    <format dxfId="110">
      <pivotArea dataOnly="0" labelOnly="1" fieldPosition="0">
        <references count="1">
          <reference field="4" count="0" defaultSubtotal="1"/>
        </references>
      </pivotArea>
    </format>
    <format dxfId="109">
      <pivotArea dataOnly="0" labelOnly="1" grandCol="1" outline="0" fieldPosition="0"/>
    </format>
    <format dxfId="108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107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106">
      <pivotArea outline="0" collapsedLevelsAreSubtotals="1" fieldPosition="0"/>
    </format>
    <format dxfId="105">
      <pivotArea dataOnly="0" labelOnly="1" outline="0" fieldPosition="0">
        <references count="1">
          <reference field="6" count="0"/>
        </references>
      </pivotArea>
    </format>
    <format dxfId="104">
      <pivotArea field="4" type="button" dataOnly="0" labelOnly="1" outline="0" axis="axisCol" fieldPosition="0"/>
    </format>
    <format dxfId="103">
      <pivotArea field="13" type="button" dataOnly="0" labelOnly="1" outline="0" axis="axisCol" fieldPosition="1"/>
    </format>
    <format dxfId="102">
      <pivotArea type="topRight" dataOnly="0" labelOnly="1" outline="0" fieldPosition="0"/>
    </format>
    <format dxfId="101">
      <pivotArea dataOnly="0" labelOnly="1" fieldPosition="0">
        <references count="1">
          <reference field="4" count="0"/>
        </references>
      </pivotArea>
    </format>
    <format dxfId="100">
      <pivotArea dataOnly="0" labelOnly="1" fieldPosition="0">
        <references count="1">
          <reference field="4" count="0" defaultSubtotal="1"/>
        </references>
      </pivotArea>
    </format>
    <format dxfId="99">
      <pivotArea dataOnly="0" labelOnly="1" grandCol="1" outline="0" fieldPosition="0"/>
    </format>
    <format dxfId="98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97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TablaDinámica6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2">
  <location ref="A40:D52" firstHeaderRow="1" firstDataRow="2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RotHC3m" fld="11" subtotal="average" baseField="0" baseItem="0" numFmtId="2"/>
  </dataFields>
  <formats count="14">
    <format dxfId="144">
      <pivotArea dataOnly="0" outline="0" fieldPosition="0">
        <references count="1">
          <reference field="4294967294" count="1">
            <x v="0"/>
          </reference>
        </references>
      </pivotArea>
    </format>
    <format dxfId="143">
      <pivotArea collapsedLevelsAreSubtotals="1" fieldPosition="0">
        <references count="2">
          <reference field="0" count="1">
            <x v="0"/>
          </reference>
          <reference field="4" count="1" selected="0">
            <x v="1"/>
          </reference>
        </references>
      </pivotArea>
    </format>
    <format dxfId="142">
      <pivotArea outline="0" collapsedLevelsAreSubtotals="1" fieldPosition="0"/>
    </format>
    <format dxfId="141">
      <pivotArea dataOnly="0" labelOnly="1" outline="0" fieldPosition="0">
        <references count="1">
          <reference field="6" count="0"/>
        </references>
      </pivotArea>
    </format>
    <format dxfId="140">
      <pivotArea field="4" type="button" dataOnly="0" labelOnly="1" outline="0" axis="axisCol" fieldPosition="0"/>
    </format>
    <format dxfId="139">
      <pivotArea type="topRight" dataOnly="0" labelOnly="1" outline="0" fieldPosition="0"/>
    </format>
    <format dxfId="138">
      <pivotArea dataOnly="0" labelOnly="1" fieldPosition="0">
        <references count="1">
          <reference field="4" count="0"/>
        </references>
      </pivotArea>
    </format>
    <format dxfId="137">
      <pivotArea dataOnly="0" labelOnly="1" grandCol="1" outline="0" fieldPosition="0"/>
    </format>
    <format dxfId="136">
      <pivotArea outline="0" collapsedLevelsAreSubtotals="1" fieldPosition="0"/>
    </format>
    <format dxfId="135">
      <pivotArea dataOnly="0" labelOnly="1" outline="0" fieldPosition="0">
        <references count="1">
          <reference field="6" count="0"/>
        </references>
      </pivotArea>
    </format>
    <format dxfId="134">
      <pivotArea field="4" type="button" dataOnly="0" labelOnly="1" outline="0" axis="axisCol" fieldPosition="0"/>
    </format>
    <format dxfId="133">
      <pivotArea type="topRight" dataOnly="0" labelOnly="1" outline="0" fieldPosition="0"/>
    </format>
    <format dxfId="132">
      <pivotArea dataOnly="0" labelOnly="1" fieldPosition="0">
        <references count="1">
          <reference field="4" count="0"/>
        </references>
      </pivotArea>
    </format>
    <format dxfId="131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TablaDinámica13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 chartFormat="5">
  <location ref="A93:D105" firstHeaderRow="1" firstDataRow="2" firstDataCol="1" rowPageCount="2" colPageCount="1"/>
  <pivotFields count="18">
    <pivotField axis="axisRow"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Page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2">
    <pageField fld="6" hier="-1"/>
    <pageField fld="13" item="0" hier="-1"/>
  </pageFields>
  <dataFields count="1">
    <dataField name="RotHC3m" fld="11" subtotal="average" baseField="0" baseItem="0" numFmtId="2"/>
  </dataFields>
  <formats count="17">
    <format dxfId="161">
      <pivotArea dataOnly="0" outline="0" fieldPosition="0">
        <references count="1">
          <reference field="4294967294" count="1">
            <x v="0"/>
          </reference>
        </references>
      </pivotArea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6" count="0"/>
        </references>
      </pivotArea>
    </format>
    <format dxfId="158">
      <pivotArea field="4" type="button" dataOnly="0" labelOnly="1" outline="0" axis="axisCol" fieldPosition="0"/>
    </format>
    <format dxfId="157">
      <pivotArea field="2" type="button" dataOnly="0" labelOnly="1" outline="0"/>
    </format>
    <format dxfId="156">
      <pivotArea type="topRight" dataOnly="0" labelOnly="1" outline="0" fieldPosition="0"/>
    </format>
    <format dxfId="155">
      <pivotArea dataOnly="0" labelOnly="1" fieldPosition="0">
        <references count="1">
          <reference field="4" count="0"/>
        </references>
      </pivotArea>
    </format>
    <format dxfId="154">
      <pivotArea dataOnly="0" labelOnly="1" fieldPosition="0">
        <references count="1">
          <reference field="4" count="0" defaultSubtotal="1"/>
        </references>
      </pivotArea>
    </format>
    <format dxfId="153">
      <pivotArea dataOnly="0" labelOnly="1" grandCol="1" outline="0" fieldPosition="0"/>
    </format>
    <format dxfId="152">
      <pivotArea outline="0" collapsedLevelsAreSubtotals="1" fieldPosition="0"/>
    </format>
    <format dxfId="151">
      <pivotArea dataOnly="0" labelOnly="1" outline="0" fieldPosition="0">
        <references count="1">
          <reference field="6" count="0"/>
        </references>
      </pivotArea>
    </format>
    <format dxfId="150">
      <pivotArea field="4" type="button" dataOnly="0" labelOnly="1" outline="0" axis="axisCol" fieldPosition="0"/>
    </format>
    <format dxfId="149">
      <pivotArea field="2" type="button" dataOnly="0" labelOnly="1" outline="0"/>
    </format>
    <format dxfId="148">
      <pivotArea type="topRight" dataOnly="0" labelOnly="1" outline="0" fieldPosition="0"/>
    </format>
    <format dxfId="147">
      <pivotArea dataOnly="0" labelOnly="1" fieldPosition="0">
        <references count="1">
          <reference field="4" count="0"/>
        </references>
      </pivotArea>
    </format>
    <format dxfId="146">
      <pivotArea dataOnly="0" labelOnly="1" fieldPosition="0">
        <references count="1">
          <reference field="4" count="0" defaultSubtotal="1"/>
        </references>
      </pivotArea>
    </format>
    <format dxfId="14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TablaDinámica11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A75:H88" firstHeaderRow="1" firstDataRow="3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axis="axisCol" showAll="0">
      <items count="3">
        <item x="1"/>
        <item x="0"/>
        <item t="default"/>
      </items>
    </pivotField>
    <pivotField numFmtId="165" showAll="0"/>
    <pivotField axis="axisRow" showAll="0">
      <items count="9">
        <item m="1" x="5"/>
        <item m="1" x="4"/>
        <item m="1" x="6"/>
        <item m="1" x="7"/>
        <item x="0"/>
        <item x="1"/>
        <item x="2"/>
        <item x="3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2">
    <field x="4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1">
    <pageField fld="6" hier="-1"/>
  </pageFields>
  <dataFields count="1">
    <dataField name="RotHC3m" fld="11" subtotal="average" baseField="0" baseItem="0" numFmtId="2"/>
  </dataFields>
  <formats count="21">
    <format dxfId="182">
      <pivotArea dataOnly="0" outline="0" fieldPosition="0">
        <references count="1">
          <reference field="4294967294" count="1">
            <x v="0"/>
          </reference>
        </references>
      </pivotArea>
    </format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6" count="0"/>
        </references>
      </pivotArea>
    </format>
    <format dxfId="179">
      <pivotArea field="4" type="button" dataOnly="0" labelOnly="1" outline="0" axis="axisCol" fieldPosition="0"/>
    </format>
    <format dxfId="178">
      <pivotArea field="13" type="button" dataOnly="0" labelOnly="1" outline="0" axis="axisCol" fieldPosition="1"/>
    </format>
    <format dxfId="177">
      <pivotArea type="topRight" dataOnly="0" labelOnly="1" outline="0" fieldPosition="0"/>
    </format>
    <format dxfId="176">
      <pivotArea dataOnly="0" labelOnly="1" fieldPosition="0">
        <references count="1">
          <reference field="4" count="0"/>
        </references>
      </pivotArea>
    </format>
    <format dxfId="175">
      <pivotArea dataOnly="0" labelOnly="1" fieldPosition="0">
        <references count="1">
          <reference field="4" count="0" defaultSubtotal="1"/>
        </references>
      </pivotArea>
    </format>
    <format dxfId="174">
      <pivotArea dataOnly="0" labelOnly="1" grandCol="1" outline="0" fieldPosition="0"/>
    </format>
    <format dxfId="173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172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6" count="0"/>
        </references>
      </pivotArea>
    </format>
    <format dxfId="169">
      <pivotArea field="4" type="button" dataOnly="0" labelOnly="1" outline="0" axis="axisCol" fieldPosition="0"/>
    </format>
    <format dxfId="168">
      <pivotArea field="13" type="button" dataOnly="0" labelOnly="1" outline="0" axis="axisCol" fieldPosition="1"/>
    </format>
    <format dxfId="167">
      <pivotArea type="topRight" dataOnly="0" labelOnly="1" outline="0" fieldPosition="0"/>
    </format>
    <format dxfId="166">
      <pivotArea dataOnly="0" labelOnly="1" fieldPosition="0">
        <references count="1">
          <reference field="4" count="0"/>
        </references>
      </pivotArea>
    </format>
    <format dxfId="165">
      <pivotArea dataOnly="0" labelOnly="1" fieldPosition="0">
        <references count="1">
          <reference field="4" count="0" defaultSubtotal="1"/>
        </references>
      </pivotArea>
    </format>
    <format dxfId="164">
      <pivotArea dataOnly="0" labelOnly="1" grandCol="1" outline="0" fieldPosition="0"/>
    </format>
    <format dxfId="163">
      <pivotArea dataOnly="0" labelOnly="1" fieldPosition="0">
        <references count="2">
          <reference field="4" count="1" selected="0">
            <x v="0"/>
          </reference>
          <reference field="13" count="0"/>
        </references>
      </pivotArea>
    </format>
    <format dxfId="162">
      <pivotArea dataOnly="0" labelOnly="1" fieldPosition="0">
        <references count="2">
          <reference field="4" count="1" selected="0">
            <x v="1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10" cacheId="0" applyNumberFormats="0" applyBorderFormats="0" applyFontFormats="0" applyPatternFormats="0" applyAlignmentFormats="0" applyWidthHeightFormats="1" dataCaption="Valores" updatedVersion="6" minRefreshableVersion="3" itemPrintTitles="1" createdVersion="8" indent="0" outline="1" outlineData="1" multipleFieldFilters="0">
  <location ref="F40:I52" firstHeaderRow="1" firstDataRow="2" firstDataCol="1" rowPageCount="1" colPageCount="1"/>
  <pivotFields count="18"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1" showAll="0"/>
    <pivotField axis="axisPage" multipleItemSelectionAllowed="1" showAll="0">
      <items count="18">
        <item x="14"/>
        <item x="9"/>
        <item x="0"/>
        <item h="1" x="3"/>
        <item h="1" x="2"/>
        <item h="1" x="16"/>
        <item h="1" x="13"/>
        <item h="1" x="12"/>
        <item h="1" x="4"/>
        <item h="1" x="10"/>
        <item h="1" x="6"/>
        <item h="1" x="7"/>
        <item x="8"/>
        <item x="15"/>
        <item x="5"/>
        <item h="1" x="11"/>
        <item h="1" x="1"/>
        <item t="default"/>
      </items>
    </pivotField>
    <pivotField showAll="0"/>
    <pivotField numFmtId="2" showAll="0"/>
    <pivotField numFmtId="2" showAll="0"/>
    <pivotField numFmtId="2" showAll="0" defaultSubtotal="0"/>
    <pivotField dataField="1" numFmtId="2" showAll="0"/>
    <pivotField numFmtId="2" showAll="0"/>
    <pivotField showAll="0"/>
    <pivotField numFmtId="165" showAll="0"/>
    <pivotField axis="axisRow" showAll="0">
      <items count="9">
        <item m="1" x="5"/>
        <item m="1" x="4"/>
        <item m="1" x="6"/>
        <item m="1" x="7"/>
        <item x="3"/>
        <item x="2"/>
        <item x="1"/>
        <item x="0"/>
        <item t="default"/>
      </items>
    </pivotField>
    <pivotField showAll="0" defaultSubtotal="0"/>
    <pivotField numFmtId="164" showAll="0"/>
  </pivotFields>
  <rowFields count="2">
    <field x="0"/>
    <field x="15"/>
  </rowFields>
  <rowItems count="11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6" hier="-1"/>
  </pageFields>
  <dataFields count="1">
    <dataField name="Cuenta de target_m3" fld="11" subtotal="count" baseField="0" baseItem="0"/>
  </dataFields>
  <formats count="23">
    <format dxfId="205">
      <pivotArea dataOnly="0" outline="0" fieldPosition="0">
        <references count="1">
          <reference field="4294967294" count="1">
            <x v="0"/>
          </reference>
        </references>
      </pivotArea>
    </format>
    <format dxfId="204">
      <pivotArea dataOnly="0" outline="0" fieldPosition="0">
        <references count="1">
          <reference field="4" count="0" defaultSubtotal="1"/>
        </references>
      </pivotArea>
    </format>
    <format dxfId="203">
      <pivotArea dataOnly="0" grandCol="1" outline="0" fieldPosition="0"/>
    </format>
    <format dxfId="202">
      <pivotArea dataOnly="0" outline="0" fieldPosition="0">
        <references count="1">
          <reference field="4" count="1">
            <x v="1"/>
          </reference>
        </references>
      </pivotArea>
    </format>
    <format dxfId="201">
      <pivotArea dataOnly="0" outline="0" fieldPosition="0">
        <references count="1">
          <reference field="4" count="1">
            <x v="0"/>
          </reference>
        </references>
      </pivotArea>
    </format>
    <format dxfId="200">
      <pivotArea outline="0" collapsedLevelsAreSubtotals="1" fieldPosition="0"/>
    </format>
    <format dxfId="199">
      <pivotArea dataOnly="0" labelOnly="1" outline="0" fieldPosition="0">
        <references count="1">
          <reference field="6" count="0"/>
        </references>
      </pivotArea>
    </format>
    <format dxfId="198">
      <pivotArea field="4" type="button" dataOnly="0" labelOnly="1" outline="0" axis="axisCol" fieldPosition="0"/>
    </format>
    <format dxfId="197">
      <pivotArea type="topRight" dataOnly="0" labelOnly="1" outline="0" fieldPosition="0"/>
    </format>
    <format dxfId="196">
      <pivotArea dataOnly="0" labelOnly="1" fieldPosition="0">
        <references count="1">
          <reference field="4" count="0"/>
        </references>
      </pivotArea>
    </format>
    <format dxfId="195">
      <pivotArea dataOnly="0" labelOnly="1" grandCol="1" outline="0" fieldPosition="0"/>
    </format>
    <format dxfId="194">
      <pivotArea outline="0" collapsedLevelsAreSubtotals="1" fieldPosition="0"/>
    </format>
    <format dxfId="193">
      <pivotArea dataOnly="0" labelOnly="1" outline="0" fieldPosition="0">
        <references count="1">
          <reference field="6" count="0"/>
        </references>
      </pivotArea>
    </format>
    <format dxfId="192">
      <pivotArea field="4" type="button" dataOnly="0" labelOnly="1" outline="0" axis="axisCol" fieldPosition="0"/>
    </format>
    <format dxfId="191">
      <pivotArea type="topRight" dataOnly="0" labelOnly="1" outline="0" fieldPosition="0"/>
    </format>
    <format dxfId="190">
      <pivotArea dataOnly="0" labelOnly="1" fieldPosition="0">
        <references count="1">
          <reference field="4" count="0"/>
        </references>
      </pivotArea>
    </format>
    <format dxfId="189">
      <pivotArea dataOnly="0" labelOnly="1" grandCol="1" outline="0" fieldPosition="0"/>
    </format>
    <format dxfId="188">
      <pivotArea outline="0" collapsedLevelsAreSubtotals="1" fieldPosition="0"/>
    </format>
    <format dxfId="187">
      <pivotArea dataOnly="0" labelOnly="1" outline="0" fieldPosition="0">
        <references count="1">
          <reference field="6" count="0"/>
        </references>
      </pivotArea>
    </format>
    <format dxfId="186">
      <pivotArea field="4" type="button" dataOnly="0" labelOnly="1" outline="0" axis="axisCol" fieldPosition="0"/>
    </format>
    <format dxfId="185">
      <pivotArea type="topRight" dataOnly="0" labelOnly="1" outline="0" fieldPosition="0"/>
    </format>
    <format dxfId="184">
      <pivotArea dataOnly="0" labelOnly="1" fieldPosition="0">
        <references count="1">
          <reference field="4" count="0"/>
        </references>
      </pivotArea>
    </format>
    <format dxfId="18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105"/>
  <sheetViews>
    <sheetView tabSelected="1" topLeftCell="A28" workbookViewId="0">
      <selection activeCell="N60" sqref="N60"/>
    </sheetView>
  </sheetViews>
  <sheetFormatPr baseColWidth="10" defaultRowHeight="14.4" x14ac:dyDescent="0.3"/>
  <cols>
    <col min="2" max="2" width="21" bestFit="1" customWidth="1"/>
    <col min="3" max="3" width="11" style="14" customWidth="1"/>
    <col min="4" max="4" width="10.44140625" style="14" customWidth="1"/>
    <col min="5" max="5" width="11.77734375" style="14" bestFit="1" customWidth="1"/>
    <col min="6" max="9" width="10.44140625" style="14" customWidth="1"/>
    <col min="10" max="10" width="13" bestFit="1" customWidth="1"/>
    <col min="11" max="11" width="16.44140625" customWidth="1"/>
    <col min="12" max="18" width="10.44140625" style="14" customWidth="1"/>
  </cols>
  <sheetData>
    <row r="4" spans="2:5" x14ac:dyDescent="0.3">
      <c r="B4" s="9" t="s">
        <v>37</v>
      </c>
      <c r="C4" s="15" t="s">
        <v>22</v>
      </c>
    </row>
    <row r="5" spans="2:5" x14ac:dyDescent="0.3">
      <c r="B5" s="9" t="s">
        <v>19</v>
      </c>
      <c r="C5" s="16">
        <v>2025</v>
      </c>
      <c r="D5" s="16">
        <v>2026</v>
      </c>
      <c r="E5" s="16" t="s">
        <v>20</v>
      </c>
    </row>
    <row r="6" spans="2:5" x14ac:dyDescent="0.3">
      <c r="B6" s="13">
        <v>1</v>
      </c>
      <c r="C6" s="17">
        <v>2.7027027027027029E-2</v>
      </c>
      <c r="D6" s="17">
        <v>0.11038961038961038</v>
      </c>
      <c r="E6" s="17">
        <v>8.3333333333333329E-2</v>
      </c>
    </row>
    <row r="7" spans="2:5" x14ac:dyDescent="0.3">
      <c r="B7" s="13">
        <v>2</v>
      </c>
      <c r="C7" s="17">
        <v>6.9930069930069935E-2</v>
      </c>
      <c r="D7" s="17">
        <v>0.1256544502617801</v>
      </c>
      <c r="E7" s="17">
        <v>0.10179640718562874</v>
      </c>
    </row>
    <row r="8" spans="2:5" x14ac:dyDescent="0.3">
      <c r="B8" s="13">
        <v>3</v>
      </c>
      <c r="C8" s="17">
        <v>0.12209302325581395</v>
      </c>
      <c r="D8" s="17">
        <v>0.11673151750972763</v>
      </c>
      <c r="E8" s="17">
        <v>0.11888111888111888</v>
      </c>
    </row>
    <row r="9" spans="2:5" x14ac:dyDescent="0.3">
      <c r="B9" s="13">
        <v>4</v>
      </c>
      <c r="C9" s="17">
        <v>2.8301886792452831E-2</v>
      </c>
      <c r="D9" s="17">
        <v>0.13636363636363635</v>
      </c>
      <c r="E9" s="17">
        <v>8.8235294117647065E-2</v>
      </c>
    </row>
    <row r="10" spans="2:5" x14ac:dyDescent="0.3">
      <c r="B10" s="13">
        <v>5</v>
      </c>
      <c r="C10" s="17">
        <v>0.1</v>
      </c>
      <c r="D10" s="18">
        <v>0.10714285714285714</v>
      </c>
      <c r="E10" s="17">
        <v>0.1037344398340249</v>
      </c>
    </row>
    <row r="11" spans="2:5" x14ac:dyDescent="0.3">
      <c r="B11" s="13">
        <v>6</v>
      </c>
      <c r="C11" s="17">
        <v>0.11666666666666667</v>
      </c>
      <c r="D11" s="17"/>
      <c r="E11" s="17">
        <v>0.11666666666666667</v>
      </c>
    </row>
    <row r="12" spans="2:5" x14ac:dyDescent="0.3">
      <c r="B12" s="13">
        <v>7</v>
      </c>
      <c r="C12" s="17">
        <v>0.10144927536231885</v>
      </c>
      <c r="D12" s="17"/>
      <c r="E12" s="17">
        <v>0.10144927536231885</v>
      </c>
    </row>
    <row r="13" spans="2:5" x14ac:dyDescent="0.3">
      <c r="B13" s="13">
        <v>8</v>
      </c>
      <c r="C13" s="17">
        <v>0.11046511627906977</v>
      </c>
      <c r="D13" s="17"/>
      <c r="E13" s="17">
        <v>0.11046511627906977</v>
      </c>
    </row>
    <row r="14" spans="2:5" x14ac:dyDescent="0.3">
      <c r="B14" s="13">
        <v>9</v>
      </c>
      <c r="C14" s="17">
        <v>0.10380622837370242</v>
      </c>
      <c r="D14" s="17"/>
      <c r="E14" s="17">
        <v>0.10380622837370242</v>
      </c>
    </row>
    <row r="15" spans="2:5" x14ac:dyDescent="0.3">
      <c r="B15" s="13">
        <v>10</v>
      </c>
      <c r="C15" s="17">
        <v>0.13186813186813187</v>
      </c>
      <c r="D15" s="17"/>
      <c r="E15" s="17">
        <v>0.13186813186813187</v>
      </c>
    </row>
    <row r="16" spans="2:5" x14ac:dyDescent="0.3">
      <c r="B16" s="13">
        <v>11</v>
      </c>
      <c r="C16" s="17">
        <v>0.1027190332326284</v>
      </c>
      <c r="D16" s="17"/>
      <c r="E16" s="17">
        <v>0.1027190332326284</v>
      </c>
    </row>
    <row r="17" spans="2:5" x14ac:dyDescent="0.3">
      <c r="B17" s="13">
        <v>12</v>
      </c>
      <c r="C17" s="17">
        <v>7.6036866359447008E-2</v>
      </c>
      <c r="D17" s="17"/>
      <c r="E17" s="17">
        <v>7.6036866359447008E-2</v>
      </c>
    </row>
    <row r="18" spans="2:5" x14ac:dyDescent="0.3">
      <c r="B18" s="13" t="s">
        <v>20</v>
      </c>
      <c r="C18" s="17">
        <v>9.2958860759493667E-2</v>
      </c>
      <c r="D18" s="17">
        <v>0.11985688729874776</v>
      </c>
      <c r="E18" s="17">
        <v>0.10120680197476686</v>
      </c>
    </row>
    <row r="20" spans="2:5" x14ac:dyDescent="0.3">
      <c r="B20" s="9" t="s">
        <v>24</v>
      </c>
      <c r="C20" s="15" t="s">
        <v>22</v>
      </c>
    </row>
    <row r="21" spans="2:5" x14ac:dyDescent="0.3">
      <c r="B21" s="9" t="s">
        <v>19</v>
      </c>
      <c r="C21" s="20">
        <v>2025</v>
      </c>
      <c r="D21" s="20">
        <v>2026</v>
      </c>
      <c r="E21" s="20" t="s">
        <v>20</v>
      </c>
    </row>
    <row r="22" spans="2:5" x14ac:dyDescent="0.3">
      <c r="B22" s="13">
        <v>1</v>
      </c>
      <c r="C22" s="20">
        <v>74</v>
      </c>
      <c r="D22" s="20">
        <v>154</v>
      </c>
      <c r="E22" s="20">
        <v>228</v>
      </c>
    </row>
    <row r="23" spans="2:5" x14ac:dyDescent="0.3">
      <c r="B23" s="13">
        <v>2</v>
      </c>
      <c r="C23" s="20">
        <v>143</v>
      </c>
      <c r="D23" s="20">
        <v>191</v>
      </c>
      <c r="E23" s="20">
        <v>334</v>
      </c>
    </row>
    <row r="24" spans="2:5" x14ac:dyDescent="0.3">
      <c r="B24" s="13">
        <v>3</v>
      </c>
      <c r="C24" s="20">
        <v>172</v>
      </c>
      <c r="D24" s="20">
        <v>257</v>
      </c>
      <c r="E24" s="20">
        <v>429</v>
      </c>
    </row>
    <row r="25" spans="2:5" x14ac:dyDescent="0.3">
      <c r="B25" s="13">
        <v>4</v>
      </c>
      <c r="C25" s="20">
        <v>212</v>
      </c>
      <c r="D25" s="21">
        <v>264</v>
      </c>
      <c r="E25" s="20">
        <v>476</v>
      </c>
    </row>
    <row r="26" spans="2:5" x14ac:dyDescent="0.3">
      <c r="B26" s="13">
        <v>5</v>
      </c>
      <c r="C26" s="20">
        <v>230</v>
      </c>
      <c r="D26" s="21">
        <v>252</v>
      </c>
      <c r="E26" s="20">
        <v>482</v>
      </c>
    </row>
    <row r="27" spans="2:5" x14ac:dyDescent="0.3">
      <c r="B27" s="13">
        <v>6</v>
      </c>
      <c r="C27" s="20">
        <v>60</v>
      </c>
      <c r="D27" s="20"/>
      <c r="E27" s="20">
        <v>60</v>
      </c>
    </row>
    <row r="28" spans="2:5" x14ac:dyDescent="0.3">
      <c r="B28" s="13">
        <v>7</v>
      </c>
      <c r="C28" s="20">
        <v>138</v>
      </c>
      <c r="D28" s="20"/>
      <c r="E28" s="20">
        <v>138</v>
      </c>
    </row>
    <row r="29" spans="2:5" x14ac:dyDescent="0.3">
      <c r="B29" s="13">
        <v>8</v>
      </c>
      <c r="C29" s="20">
        <v>172</v>
      </c>
      <c r="D29" s="20"/>
      <c r="E29" s="20">
        <v>172</v>
      </c>
    </row>
    <row r="30" spans="2:5" x14ac:dyDescent="0.3">
      <c r="B30" s="13">
        <v>9</v>
      </c>
      <c r="C30" s="20">
        <v>289</v>
      </c>
      <c r="D30" s="20"/>
      <c r="E30" s="20">
        <v>289</v>
      </c>
    </row>
    <row r="31" spans="2:5" x14ac:dyDescent="0.3">
      <c r="B31" s="13">
        <v>10</v>
      </c>
      <c r="C31" s="20">
        <v>273</v>
      </c>
      <c r="D31" s="20"/>
      <c r="E31" s="20">
        <v>273</v>
      </c>
    </row>
    <row r="32" spans="2:5" x14ac:dyDescent="0.3">
      <c r="B32" s="13">
        <v>11</v>
      </c>
      <c r="C32" s="20">
        <v>331</v>
      </c>
      <c r="D32" s="20"/>
      <c r="E32" s="20">
        <v>331</v>
      </c>
    </row>
    <row r="33" spans="2:10" x14ac:dyDescent="0.3">
      <c r="B33" s="13">
        <v>12</v>
      </c>
      <c r="C33" s="20">
        <v>434</v>
      </c>
      <c r="D33" s="20"/>
      <c r="E33" s="20">
        <v>434</v>
      </c>
    </row>
    <row r="34" spans="2:10" x14ac:dyDescent="0.3">
      <c r="B34" s="13" t="s">
        <v>20</v>
      </c>
      <c r="C34" s="20">
        <v>2528</v>
      </c>
      <c r="D34" s="20">
        <v>1118</v>
      </c>
      <c r="E34" s="20">
        <v>3646</v>
      </c>
    </row>
    <row r="38" spans="2:10" x14ac:dyDescent="0.3">
      <c r="B38" s="9" t="s">
        <v>29</v>
      </c>
      <c r="C38" s="14" t="s">
        <v>30</v>
      </c>
      <c r="G38" s="9" t="s">
        <v>29</v>
      </c>
      <c r="H38" s="14" t="s">
        <v>30</v>
      </c>
      <c r="J38" s="14"/>
    </row>
    <row r="39" spans="2:10" x14ac:dyDescent="0.3">
      <c r="G39"/>
      <c r="J39" s="14"/>
    </row>
    <row r="40" spans="2:10" x14ac:dyDescent="0.3">
      <c r="B40" s="9" t="s">
        <v>37</v>
      </c>
      <c r="C40" s="15" t="s">
        <v>22</v>
      </c>
      <c r="G40" s="9" t="s">
        <v>24</v>
      </c>
      <c r="H40" s="15" t="s">
        <v>22</v>
      </c>
      <c r="J40" s="14"/>
    </row>
    <row r="41" spans="2:10" x14ac:dyDescent="0.3">
      <c r="B41" s="9" t="s">
        <v>19</v>
      </c>
      <c r="C41" s="16">
        <v>2025</v>
      </c>
      <c r="D41" s="16">
        <v>2026</v>
      </c>
      <c r="E41" s="16" t="s">
        <v>20</v>
      </c>
      <c r="G41" s="9" t="s">
        <v>19</v>
      </c>
      <c r="H41" s="20">
        <v>2025</v>
      </c>
      <c r="I41" s="20">
        <v>2026</v>
      </c>
      <c r="J41" s="20" t="s">
        <v>20</v>
      </c>
    </row>
    <row r="42" spans="2:10" x14ac:dyDescent="0.3">
      <c r="B42" s="10" t="s">
        <v>11</v>
      </c>
      <c r="C42" s="17">
        <v>2.7027027027027029E-2</v>
      </c>
      <c r="D42" s="18">
        <v>0.15942028985507245</v>
      </c>
      <c r="E42" s="17">
        <v>6.9124423963133647E-2</v>
      </c>
      <c r="G42" s="10" t="s">
        <v>11</v>
      </c>
      <c r="H42" s="20">
        <v>148</v>
      </c>
      <c r="I42" s="20">
        <v>69</v>
      </c>
      <c r="J42" s="20">
        <v>217</v>
      </c>
    </row>
    <row r="43" spans="2:10" x14ac:dyDescent="0.3">
      <c r="B43" s="12" t="s">
        <v>32</v>
      </c>
      <c r="C43" s="17">
        <v>2.6315789473684209E-2</v>
      </c>
      <c r="D43" s="17">
        <v>0.1875</v>
      </c>
      <c r="E43" s="17">
        <v>7.407407407407407E-2</v>
      </c>
      <c r="G43" s="12" t="s">
        <v>32</v>
      </c>
      <c r="H43" s="20">
        <v>38</v>
      </c>
      <c r="I43" s="20">
        <v>16</v>
      </c>
      <c r="J43" s="20">
        <v>54</v>
      </c>
    </row>
    <row r="44" spans="2:10" x14ac:dyDescent="0.3">
      <c r="B44" s="12" t="s">
        <v>33</v>
      </c>
      <c r="C44" s="17">
        <v>5.0847457627118647E-2</v>
      </c>
      <c r="D44" s="17">
        <v>0.17241379310344829</v>
      </c>
      <c r="E44" s="17">
        <v>9.0909090909090912E-2</v>
      </c>
      <c r="G44" s="12" t="s">
        <v>33</v>
      </c>
      <c r="H44" s="20">
        <v>59</v>
      </c>
      <c r="I44" s="20">
        <v>29</v>
      </c>
      <c r="J44" s="20">
        <v>88</v>
      </c>
    </row>
    <row r="45" spans="2:10" x14ac:dyDescent="0.3">
      <c r="B45" s="12" t="s">
        <v>34</v>
      </c>
      <c r="C45" s="17">
        <v>0</v>
      </c>
      <c r="D45" s="17">
        <v>0</v>
      </c>
      <c r="E45" s="17">
        <v>0</v>
      </c>
      <c r="G45" s="12" t="s">
        <v>34</v>
      </c>
      <c r="H45" s="20">
        <v>24</v>
      </c>
      <c r="I45" s="20">
        <v>7</v>
      </c>
      <c r="J45" s="20">
        <v>31</v>
      </c>
    </row>
    <row r="46" spans="2:10" x14ac:dyDescent="0.3">
      <c r="B46" s="12" t="s">
        <v>35</v>
      </c>
      <c r="C46" s="17">
        <v>0</v>
      </c>
      <c r="D46" s="17">
        <v>0.17647058823529413</v>
      </c>
      <c r="E46" s="17">
        <v>6.8181818181818177E-2</v>
      </c>
      <c r="G46" s="12" t="s">
        <v>35</v>
      </c>
      <c r="H46" s="20">
        <v>27</v>
      </c>
      <c r="I46" s="20">
        <v>17</v>
      </c>
      <c r="J46" s="20">
        <v>44</v>
      </c>
    </row>
    <row r="47" spans="2:10" x14ac:dyDescent="0.3">
      <c r="B47" s="10" t="s">
        <v>7</v>
      </c>
      <c r="C47" s="17">
        <v>0.10174717368961973</v>
      </c>
      <c r="D47" s="17">
        <v>0.12045169385194479</v>
      </c>
      <c r="E47" s="17">
        <v>0.1071819176084579</v>
      </c>
      <c r="G47" s="10" t="s">
        <v>7</v>
      </c>
      <c r="H47" s="20">
        <v>1946</v>
      </c>
      <c r="I47" s="20">
        <v>797</v>
      </c>
      <c r="J47" s="20">
        <v>2743</v>
      </c>
    </row>
    <row r="48" spans="2:10" x14ac:dyDescent="0.3">
      <c r="B48" s="12" t="s">
        <v>32</v>
      </c>
      <c r="C48" s="17">
        <v>8.1229418221734365E-2</v>
      </c>
      <c r="D48" s="17">
        <v>9.2457420924574207E-2</v>
      </c>
      <c r="E48" s="17">
        <v>8.4720121028744322E-2</v>
      </c>
      <c r="G48" s="12" t="s">
        <v>32</v>
      </c>
      <c r="H48" s="20">
        <v>911</v>
      </c>
      <c r="I48" s="20">
        <v>411</v>
      </c>
      <c r="J48" s="20">
        <v>1322</v>
      </c>
    </row>
    <row r="49" spans="2:10" x14ac:dyDescent="0.3">
      <c r="B49" s="12" t="s">
        <v>33</v>
      </c>
      <c r="C49" s="17">
        <v>0.12</v>
      </c>
      <c r="D49" s="17">
        <v>0.1407942238267148</v>
      </c>
      <c r="E49" s="17">
        <v>0.12621359223300971</v>
      </c>
      <c r="G49" s="12" t="s">
        <v>33</v>
      </c>
      <c r="H49" s="20">
        <v>650</v>
      </c>
      <c r="I49" s="20">
        <v>277</v>
      </c>
      <c r="J49" s="20">
        <v>927</v>
      </c>
    </row>
    <row r="50" spans="2:10" x14ac:dyDescent="0.3">
      <c r="B50" s="12" t="s">
        <v>34</v>
      </c>
      <c r="C50" s="17">
        <v>0.12254901960784313</v>
      </c>
      <c r="D50" s="17">
        <v>0.23728813559322035</v>
      </c>
      <c r="E50" s="17">
        <v>0.14828897338403041</v>
      </c>
      <c r="G50" s="12" t="s">
        <v>34</v>
      </c>
      <c r="H50" s="20">
        <v>204</v>
      </c>
      <c r="I50" s="20">
        <v>59</v>
      </c>
      <c r="J50" s="20">
        <v>263</v>
      </c>
    </row>
    <row r="51" spans="2:10" x14ac:dyDescent="0.3">
      <c r="B51" s="12" t="s">
        <v>35</v>
      </c>
      <c r="C51" s="17">
        <v>0.11602209944751381</v>
      </c>
      <c r="D51" s="17">
        <v>0.1</v>
      </c>
      <c r="E51" s="17">
        <v>0.11255411255411256</v>
      </c>
      <c r="G51" s="12" t="s">
        <v>35</v>
      </c>
      <c r="H51" s="20">
        <v>181</v>
      </c>
      <c r="I51" s="20">
        <v>50</v>
      </c>
      <c r="J51" s="20">
        <v>231</v>
      </c>
    </row>
    <row r="52" spans="2:10" x14ac:dyDescent="0.3">
      <c r="B52" s="10" t="s">
        <v>20</v>
      </c>
      <c r="C52" s="17">
        <v>9.6466093600764094E-2</v>
      </c>
      <c r="D52" s="17">
        <v>0.12355658198614319</v>
      </c>
      <c r="E52" s="17">
        <v>0.10439189189189189</v>
      </c>
      <c r="G52" s="10" t="s">
        <v>20</v>
      </c>
      <c r="H52" s="20">
        <v>2094</v>
      </c>
      <c r="I52" s="20">
        <v>866</v>
      </c>
      <c r="J52" s="20">
        <v>2960</v>
      </c>
    </row>
    <row r="73" spans="2:18" x14ac:dyDescent="0.3">
      <c r="B73" s="9" t="s">
        <v>29</v>
      </c>
      <c r="C73" s="14" t="s">
        <v>30</v>
      </c>
      <c r="K73" s="9" t="s">
        <v>29</v>
      </c>
      <c r="L73" s="14" t="s">
        <v>30</v>
      </c>
    </row>
    <row r="75" spans="2:18" x14ac:dyDescent="0.3">
      <c r="B75" s="9" t="s">
        <v>37</v>
      </c>
      <c r="C75" s="15" t="s">
        <v>22</v>
      </c>
      <c r="K75" s="9" t="s">
        <v>24</v>
      </c>
      <c r="L75" s="15" t="s">
        <v>22</v>
      </c>
    </row>
    <row r="76" spans="2:18" x14ac:dyDescent="0.3">
      <c r="C76" s="16">
        <v>2025</v>
      </c>
      <c r="E76" s="16" t="s">
        <v>26</v>
      </c>
      <c r="F76" s="16">
        <v>2026</v>
      </c>
      <c r="H76" s="16" t="s">
        <v>27</v>
      </c>
      <c r="I76" s="16" t="s">
        <v>20</v>
      </c>
      <c r="L76" s="16">
        <v>2025</v>
      </c>
      <c r="N76" s="20" t="s">
        <v>26</v>
      </c>
      <c r="O76" s="16">
        <v>2026</v>
      </c>
      <c r="Q76" s="20" t="s">
        <v>27</v>
      </c>
      <c r="R76" s="20" t="s">
        <v>20</v>
      </c>
    </row>
    <row r="77" spans="2:18" x14ac:dyDescent="0.3">
      <c r="B77" s="9" t="s">
        <v>19</v>
      </c>
      <c r="C77" s="14" t="s">
        <v>9</v>
      </c>
      <c r="D77" s="14" t="s">
        <v>12</v>
      </c>
      <c r="F77" s="14" t="s">
        <v>9</v>
      </c>
      <c r="G77" s="14" t="s">
        <v>12</v>
      </c>
      <c r="K77" s="9" t="s">
        <v>19</v>
      </c>
      <c r="L77" s="20" t="s">
        <v>9</v>
      </c>
      <c r="M77" s="20" t="s">
        <v>12</v>
      </c>
      <c r="N77" s="20"/>
      <c r="O77" s="20" t="s">
        <v>9</v>
      </c>
      <c r="P77" s="20" t="s">
        <v>12</v>
      </c>
      <c r="Q77" s="20"/>
      <c r="R77" s="20"/>
    </row>
    <row r="78" spans="2:18" x14ac:dyDescent="0.3">
      <c r="B78" s="10" t="s">
        <v>11</v>
      </c>
      <c r="C78" s="17">
        <v>3.7383177570093455E-2</v>
      </c>
      <c r="D78" s="17">
        <v>0</v>
      </c>
      <c r="E78" s="17">
        <v>2.7027027027027029E-2</v>
      </c>
      <c r="F78" s="17">
        <v>0.14035087719298245</v>
      </c>
      <c r="G78" s="17">
        <v>0.25</v>
      </c>
      <c r="H78" s="17">
        <v>0.15942028985507245</v>
      </c>
      <c r="I78" s="17">
        <v>6.9124423963133647E-2</v>
      </c>
      <c r="K78" s="10" t="s">
        <v>11</v>
      </c>
      <c r="L78" s="20">
        <v>107</v>
      </c>
      <c r="M78" s="20">
        <v>41</v>
      </c>
      <c r="N78" s="20">
        <v>148</v>
      </c>
      <c r="O78" s="20">
        <v>57</v>
      </c>
      <c r="P78" s="20">
        <v>12</v>
      </c>
      <c r="Q78" s="20">
        <v>69</v>
      </c>
      <c r="R78" s="20">
        <v>217</v>
      </c>
    </row>
    <row r="79" spans="2:18" x14ac:dyDescent="0.3">
      <c r="B79" s="12" t="s">
        <v>35</v>
      </c>
      <c r="C79" s="17">
        <v>0</v>
      </c>
      <c r="D79" s="17">
        <v>0</v>
      </c>
      <c r="E79" s="17">
        <v>0</v>
      </c>
      <c r="F79" s="17">
        <v>0.1875</v>
      </c>
      <c r="G79" s="17">
        <v>0</v>
      </c>
      <c r="H79" s="17">
        <v>0.17647058823529413</v>
      </c>
      <c r="I79" s="17">
        <v>6.8181818181818177E-2</v>
      </c>
      <c r="K79" s="12" t="s">
        <v>35</v>
      </c>
      <c r="L79" s="20">
        <v>20</v>
      </c>
      <c r="M79" s="20">
        <v>7</v>
      </c>
      <c r="N79" s="20">
        <v>27</v>
      </c>
      <c r="O79" s="20">
        <v>16</v>
      </c>
      <c r="P79" s="20">
        <v>1</v>
      </c>
      <c r="Q79" s="20">
        <v>17</v>
      </c>
      <c r="R79" s="20">
        <v>44</v>
      </c>
    </row>
    <row r="80" spans="2:18" x14ac:dyDescent="0.3">
      <c r="B80" s="12" t="s">
        <v>34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K80" s="12" t="s">
        <v>34</v>
      </c>
      <c r="L80" s="20">
        <v>11</v>
      </c>
      <c r="M80" s="20">
        <v>13</v>
      </c>
      <c r="N80" s="20">
        <v>24</v>
      </c>
      <c r="O80" s="20">
        <v>4</v>
      </c>
      <c r="P80" s="20">
        <v>3</v>
      </c>
      <c r="Q80" s="20">
        <v>7</v>
      </c>
      <c r="R80" s="20">
        <v>31</v>
      </c>
    </row>
    <row r="81" spans="2:18" x14ac:dyDescent="0.3">
      <c r="B81" s="12" t="s">
        <v>33</v>
      </c>
      <c r="C81" s="17">
        <v>7.1428571428571425E-2</v>
      </c>
      <c r="D81" s="17">
        <v>0</v>
      </c>
      <c r="E81" s="17">
        <v>5.0847457627118647E-2</v>
      </c>
      <c r="F81" s="17">
        <v>9.0909090909090912E-2</v>
      </c>
      <c r="G81" s="17">
        <v>0.42857142857142855</v>
      </c>
      <c r="H81" s="17">
        <v>0.17241379310344829</v>
      </c>
      <c r="I81" s="17">
        <v>9.0909090909090912E-2</v>
      </c>
      <c r="K81" s="12" t="s">
        <v>33</v>
      </c>
      <c r="L81" s="20">
        <v>42</v>
      </c>
      <c r="M81" s="20">
        <v>17</v>
      </c>
      <c r="N81" s="20">
        <v>59</v>
      </c>
      <c r="O81" s="20">
        <v>22</v>
      </c>
      <c r="P81" s="20">
        <v>7</v>
      </c>
      <c r="Q81" s="20">
        <v>29</v>
      </c>
      <c r="R81" s="20">
        <v>88</v>
      </c>
    </row>
    <row r="82" spans="2:18" x14ac:dyDescent="0.3">
      <c r="B82" s="12" t="s">
        <v>32</v>
      </c>
      <c r="C82" s="17">
        <v>2.9411764705882353E-2</v>
      </c>
      <c r="D82" s="17">
        <v>0</v>
      </c>
      <c r="E82" s="17">
        <v>2.6315789473684209E-2</v>
      </c>
      <c r="F82" s="17">
        <v>0.2</v>
      </c>
      <c r="G82" s="17">
        <v>0</v>
      </c>
      <c r="H82" s="17">
        <v>0.1875</v>
      </c>
      <c r="I82" s="17">
        <v>7.407407407407407E-2</v>
      </c>
      <c r="K82" s="12" t="s">
        <v>32</v>
      </c>
      <c r="L82" s="20">
        <v>34</v>
      </c>
      <c r="M82" s="20">
        <v>4</v>
      </c>
      <c r="N82" s="20">
        <v>38</v>
      </c>
      <c r="O82" s="20">
        <v>15</v>
      </c>
      <c r="P82" s="20">
        <v>1</v>
      </c>
      <c r="Q82" s="20">
        <v>16</v>
      </c>
      <c r="R82" s="20">
        <v>54</v>
      </c>
    </row>
    <row r="83" spans="2:18" x14ac:dyDescent="0.3">
      <c r="B83" s="10" t="s">
        <v>7</v>
      </c>
      <c r="C83" s="17">
        <v>0.10756972111553785</v>
      </c>
      <c r="D83" s="17">
        <v>9.1172214182344433E-2</v>
      </c>
      <c r="E83" s="17">
        <v>0.10174717368961973</v>
      </c>
      <c r="F83" s="17">
        <v>0.11921708185053381</v>
      </c>
      <c r="G83" s="17">
        <v>0.12340425531914893</v>
      </c>
      <c r="H83" s="17">
        <v>0.12045169385194479</v>
      </c>
      <c r="I83" s="17">
        <v>0.1071819176084579</v>
      </c>
      <c r="K83" s="10" t="s">
        <v>7</v>
      </c>
      <c r="L83" s="20">
        <v>1255</v>
      </c>
      <c r="M83" s="20">
        <v>691</v>
      </c>
      <c r="N83" s="20">
        <v>1946</v>
      </c>
      <c r="O83" s="20">
        <v>562</v>
      </c>
      <c r="P83" s="20">
        <v>235</v>
      </c>
      <c r="Q83" s="20">
        <v>797</v>
      </c>
      <c r="R83" s="20">
        <v>2743</v>
      </c>
    </row>
    <row r="84" spans="2:18" x14ac:dyDescent="0.3">
      <c r="B84" s="12" t="s">
        <v>35</v>
      </c>
      <c r="C84" s="17">
        <v>9.4827586206896547E-2</v>
      </c>
      <c r="D84" s="17">
        <v>0.15384615384615385</v>
      </c>
      <c r="E84" s="17">
        <v>0.11602209944751381</v>
      </c>
      <c r="F84" s="17">
        <v>0.12121212121212122</v>
      </c>
      <c r="G84" s="17">
        <v>5.8823529411764705E-2</v>
      </c>
      <c r="H84" s="17">
        <v>0.1</v>
      </c>
      <c r="I84" s="17">
        <v>0.11255411255411256</v>
      </c>
      <c r="K84" s="12" t="s">
        <v>35</v>
      </c>
      <c r="L84" s="20">
        <v>116</v>
      </c>
      <c r="M84" s="20">
        <v>65</v>
      </c>
      <c r="N84" s="20">
        <v>181</v>
      </c>
      <c r="O84" s="20">
        <v>33</v>
      </c>
      <c r="P84" s="20">
        <v>17</v>
      </c>
      <c r="Q84" s="20">
        <v>50</v>
      </c>
      <c r="R84" s="20">
        <v>231</v>
      </c>
    </row>
    <row r="85" spans="2:18" x14ac:dyDescent="0.3">
      <c r="B85" s="12" t="s">
        <v>34</v>
      </c>
      <c r="C85" s="17">
        <v>0.19101123595505617</v>
      </c>
      <c r="D85" s="17">
        <v>6.9565217391304349E-2</v>
      </c>
      <c r="E85" s="17">
        <v>0.12254901960784313</v>
      </c>
      <c r="F85" s="17">
        <v>0.21428571428571427</v>
      </c>
      <c r="G85" s="17">
        <v>0.25806451612903225</v>
      </c>
      <c r="H85" s="17">
        <v>0.23728813559322035</v>
      </c>
      <c r="I85" s="17">
        <v>0.14828897338403041</v>
      </c>
      <c r="K85" s="12" t="s">
        <v>34</v>
      </c>
      <c r="L85" s="20">
        <v>89</v>
      </c>
      <c r="M85" s="20">
        <v>115</v>
      </c>
      <c r="N85" s="20">
        <v>204</v>
      </c>
      <c r="O85" s="20">
        <v>28</v>
      </c>
      <c r="P85" s="20">
        <v>31</v>
      </c>
      <c r="Q85" s="20">
        <v>59</v>
      </c>
      <c r="R85" s="20">
        <v>263</v>
      </c>
    </row>
    <row r="86" spans="2:18" x14ac:dyDescent="0.3">
      <c r="B86" s="12" t="s">
        <v>33</v>
      </c>
      <c r="C86" s="17">
        <v>0.12698412698412698</v>
      </c>
      <c r="D86" s="17">
        <v>0.11029411764705882</v>
      </c>
      <c r="E86" s="17">
        <v>0.12</v>
      </c>
      <c r="F86" s="17">
        <v>0.14814814814814814</v>
      </c>
      <c r="G86" s="17">
        <v>0.125</v>
      </c>
      <c r="H86" s="17">
        <v>0.1407942238267148</v>
      </c>
      <c r="I86" s="17">
        <v>0.12621359223300971</v>
      </c>
      <c r="K86" s="12" t="s">
        <v>33</v>
      </c>
      <c r="L86" s="20">
        <v>378</v>
      </c>
      <c r="M86" s="20">
        <v>272</v>
      </c>
      <c r="N86" s="20">
        <v>650</v>
      </c>
      <c r="O86" s="20">
        <v>189</v>
      </c>
      <c r="P86" s="20">
        <v>88</v>
      </c>
      <c r="Q86" s="20">
        <v>277</v>
      </c>
      <c r="R86" s="20">
        <v>927</v>
      </c>
    </row>
    <row r="87" spans="2:18" x14ac:dyDescent="0.3">
      <c r="B87" s="12" t="s">
        <v>32</v>
      </c>
      <c r="C87" s="17">
        <v>8.7797619047619041E-2</v>
      </c>
      <c r="D87" s="17">
        <v>6.2761506276150625E-2</v>
      </c>
      <c r="E87" s="17">
        <v>8.1229418221734365E-2</v>
      </c>
      <c r="F87" s="17">
        <v>9.2948717948717952E-2</v>
      </c>
      <c r="G87" s="17">
        <v>9.0909090909090912E-2</v>
      </c>
      <c r="H87" s="17">
        <v>9.2457420924574207E-2</v>
      </c>
      <c r="I87" s="17">
        <v>8.4720121028744322E-2</v>
      </c>
      <c r="K87" s="12" t="s">
        <v>32</v>
      </c>
      <c r="L87" s="20">
        <v>672</v>
      </c>
      <c r="M87" s="20">
        <v>239</v>
      </c>
      <c r="N87" s="20">
        <v>911</v>
      </c>
      <c r="O87" s="20">
        <v>312</v>
      </c>
      <c r="P87" s="20">
        <v>99</v>
      </c>
      <c r="Q87" s="20">
        <v>411</v>
      </c>
      <c r="R87" s="20">
        <v>1322</v>
      </c>
    </row>
    <row r="88" spans="2:18" x14ac:dyDescent="0.3">
      <c r="B88" s="10" t="s">
        <v>20</v>
      </c>
      <c r="C88" s="17">
        <v>0.10205580029368576</v>
      </c>
      <c r="D88" s="17">
        <v>8.6065573770491802E-2</v>
      </c>
      <c r="E88" s="17">
        <v>9.6466093600764094E-2</v>
      </c>
      <c r="F88" s="17">
        <v>0.12116316639741519</v>
      </c>
      <c r="G88" s="17">
        <v>0.12955465587044535</v>
      </c>
      <c r="H88" s="17">
        <v>0.12355658198614319</v>
      </c>
      <c r="I88" s="17">
        <v>0.10439189189189189</v>
      </c>
      <c r="K88" s="10" t="s">
        <v>20</v>
      </c>
      <c r="L88" s="20">
        <v>1362</v>
      </c>
      <c r="M88" s="20">
        <v>732</v>
      </c>
      <c r="N88" s="20">
        <v>2094</v>
      </c>
      <c r="O88" s="20">
        <v>619</v>
      </c>
      <c r="P88" s="20">
        <v>247</v>
      </c>
      <c r="Q88" s="20">
        <v>866</v>
      </c>
      <c r="R88" s="20">
        <v>2960</v>
      </c>
    </row>
    <row r="90" spans="2:18" x14ac:dyDescent="0.3">
      <c r="B90" s="9" t="s">
        <v>29</v>
      </c>
      <c r="C90" s="14" t="s">
        <v>30</v>
      </c>
      <c r="K90" s="9" t="s">
        <v>29</v>
      </c>
      <c r="L90" s="14" t="s">
        <v>30</v>
      </c>
    </row>
    <row r="92" spans="2:18" x14ac:dyDescent="0.3">
      <c r="B92" s="9" t="s">
        <v>25</v>
      </c>
      <c r="C92" s="15" t="s">
        <v>22</v>
      </c>
      <c r="K92" s="9" t="s">
        <v>24</v>
      </c>
      <c r="L92" s="15" t="s">
        <v>22</v>
      </c>
    </row>
    <row r="93" spans="2:18" x14ac:dyDescent="0.3">
      <c r="C93" s="16">
        <v>2025</v>
      </c>
      <c r="E93" s="16" t="s">
        <v>26</v>
      </c>
      <c r="F93" s="16">
        <v>2026</v>
      </c>
      <c r="H93" s="16" t="s">
        <v>27</v>
      </c>
      <c r="I93" s="16" t="s">
        <v>20</v>
      </c>
      <c r="L93" s="16">
        <v>2025</v>
      </c>
      <c r="N93" s="20" t="s">
        <v>26</v>
      </c>
      <c r="O93" s="16">
        <v>2026</v>
      </c>
      <c r="Q93" s="20" t="s">
        <v>27</v>
      </c>
      <c r="R93" s="20" t="s">
        <v>20</v>
      </c>
    </row>
    <row r="94" spans="2:18" x14ac:dyDescent="0.3">
      <c r="B94" s="9" t="s">
        <v>19</v>
      </c>
      <c r="C94" s="14" t="s">
        <v>8</v>
      </c>
      <c r="D94" s="14" t="s">
        <v>10</v>
      </c>
      <c r="F94" s="14" t="s">
        <v>8</v>
      </c>
      <c r="G94" s="14" t="s">
        <v>10</v>
      </c>
      <c r="K94" s="9" t="s">
        <v>19</v>
      </c>
      <c r="L94" s="20" t="s">
        <v>8</v>
      </c>
      <c r="M94" s="20" t="s">
        <v>10</v>
      </c>
      <c r="N94" s="20"/>
      <c r="O94" s="20" t="s">
        <v>8</v>
      </c>
      <c r="P94" s="20" t="s">
        <v>10</v>
      </c>
      <c r="Q94" s="20"/>
      <c r="R94" s="20"/>
    </row>
    <row r="95" spans="2:18" x14ac:dyDescent="0.3">
      <c r="B95" s="10" t="s">
        <v>11</v>
      </c>
      <c r="C95" s="17">
        <v>0.11650485436893204</v>
      </c>
      <c r="D95" s="17">
        <v>8.8888888888888892E-2</v>
      </c>
      <c r="E95" s="17">
        <v>0.10810810810810811</v>
      </c>
      <c r="F95" s="17">
        <v>0.21153846153846154</v>
      </c>
      <c r="G95" s="17">
        <v>0.41176470588235292</v>
      </c>
      <c r="H95" s="17">
        <v>0.2608695652173913</v>
      </c>
      <c r="I95" s="17">
        <v>0.15668202764976957</v>
      </c>
      <c r="K95" s="10" t="s">
        <v>11</v>
      </c>
      <c r="L95" s="20">
        <v>103</v>
      </c>
      <c r="M95" s="20">
        <v>45</v>
      </c>
      <c r="N95" s="20">
        <v>148</v>
      </c>
      <c r="O95" s="20">
        <v>52</v>
      </c>
      <c r="P95" s="20">
        <v>17</v>
      </c>
      <c r="Q95" s="20">
        <v>69</v>
      </c>
      <c r="R95" s="20">
        <v>217</v>
      </c>
    </row>
    <row r="96" spans="2:18" x14ac:dyDescent="0.3">
      <c r="B96" s="12" t="s">
        <v>32</v>
      </c>
      <c r="C96" s="17">
        <v>0.14285714285714285</v>
      </c>
      <c r="D96" s="17">
        <v>0.17647058823529413</v>
      </c>
      <c r="E96" s="17">
        <v>0.15789473684210525</v>
      </c>
      <c r="F96" s="17">
        <v>0.23076923076923078</v>
      </c>
      <c r="G96" s="17">
        <v>0.66666666666666663</v>
      </c>
      <c r="H96" s="17">
        <v>0.3125</v>
      </c>
      <c r="I96" s="17">
        <v>0.20370370370370369</v>
      </c>
      <c r="K96" s="12" t="s">
        <v>32</v>
      </c>
      <c r="L96" s="20">
        <v>21</v>
      </c>
      <c r="M96" s="20">
        <v>17</v>
      </c>
      <c r="N96" s="20">
        <v>38</v>
      </c>
      <c r="O96" s="20">
        <v>13</v>
      </c>
      <c r="P96" s="20">
        <v>3</v>
      </c>
      <c r="Q96" s="20">
        <v>16</v>
      </c>
      <c r="R96" s="20">
        <v>54</v>
      </c>
    </row>
    <row r="97" spans="2:18" x14ac:dyDescent="0.3">
      <c r="B97" s="12" t="s">
        <v>33</v>
      </c>
      <c r="C97" s="17">
        <v>0.12820512820512819</v>
      </c>
      <c r="D97" s="17">
        <v>0.05</v>
      </c>
      <c r="E97" s="17">
        <v>0.10169491525423729</v>
      </c>
      <c r="F97" s="17">
        <v>0.22222222222222221</v>
      </c>
      <c r="G97" s="17">
        <v>0.45454545454545453</v>
      </c>
      <c r="H97" s="17">
        <v>0.31034482758620691</v>
      </c>
      <c r="I97" s="17">
        <v>0.17045454545454544</v>
      </c>
      <c r="K97" s="12" t="s">
        <v>33</v>
      </c>
      <c r="L97" s="20">
        <v>39</v>
      </c>
      <c r="M97" s="20">
        <v>20</v>
      </c>
      <c r="N97" s="20">
        <v>59</v>
      </c>
      <c r="O97" s="20">
        <v>18</v>
      </c>
      <c r="P97" s="20">
        <v>11</v>
      </c>
      <c r="Q97" s="20">
        <v>29</v>
      </c>
      <c r="R97" s="20">
        <v>88</v>
      </c>
    </row>
    <row r="98" spans="2:18" x14ac:dyDescent="0.3">
      <c r="B98" s="12" t="s">
        <v>34</v>
      </c>
      <c r="C98" s="17">
        <v>0.15789473684210525</v>
      </c>
      <c r="D98" s="17">
        <v>0</v>
      </c>
      <c r="E98" s="17">
        <v>0.125</v>
      </c>
      <c r="F98" s="17">
        <v>0</v>
      </c>
      <c r="G98" s="17">
        <v>0</v>
      </c>
      <c r="H98" s="17">
        <v>0</v>
      </c>
      <c r="I98" s="17">
        <v>9.6774193548387094E-2</v>
      </c>
      <c r="K98" s="12" t="s">
        <v>34</v>
      </c>
      <c r="L98" s="20">
        <v>19</v>
      </c>
      <c r="M98" s="20">
        <v>5</v>
      </c>
      <c r="N98" s="20">
        <v>24</v>
      </c>
      <c r="O98" s="20">
        <v>6</v>
      </c>
      <c r="P98" s="20">
        <v>1</v>
      </c>
      <c r="Q98" s="20">
        <v>7</v>
      </c>
      <c r="R98" s="20">
        <v>31</v>
      </c>
    </row>
    <row r="99" spans="2:18" x14ac:dyDescent="0.3">
      <c r="B99" s="12" t="s">
        <v>35</v>
      </c>
      <c r="C99" s="17">
        <v>4.1666666666666664E-2</v>
      </c>
      <c r="D99" s="17">
        <v>0</v>
      </c>
      <c r="E99" s="17">
        <v>3.7037037037037035E-2</v>
      </c>
      <c r="F99" s="17">
        <v>0.26666666666666666</v>
      </c>
      <c r="G99" s="17">
        <v>0</v>
      </c>
      <c r="H99" s="17">
        <v>0.23529411764705882</v>
      </c>
      <c r="I99" s="17">
        <v>0.11363636363636363</v>
      </c>
      <c r="K99" s="12" t="s">
        <v>35</v>
      </c>
      <c r="L99" s="20">
        <v>24</v>
      </c>
      <c r="M99" s="20">
        <v>3</v>
      </c>
      <c r="N99" s="20">
        <v>27</v>
      </c>
      <c r="O99" s="20">
        <v>15</v>
      </c>
      <c r="P99" s="20">
        <v>2</v>
      </c>
      <c r="Q99" s="20">
        <v>17</v>
      </c>
      <c r="R99" s="20">
        <v>44</v>
      </c>
    </row>
    <row r="100" spans="2:18" x14ac:dyDescent="0.3">
      <c r="B100" s="10" t="s">
        <v>7</v>
      </c>
      <c r="C100" s="17">
        <v>0.25219298245614036</v>
      </c>
      <c r="D100" s="17">
        <v>0.24221453287197231</v>
      </c>
      <c r="E100" s="17">
        <v>0.24922918807810895</v>
      </c>
      <c r="F100" s="17">
        <v>0.30717863105175292</v>
      </c>
      <c r="G100" s="17">
        <v>0.35858585858585856</v>
      </c>
      <c r="H100" s="17">
        <v>0.31994981179422838</v>
      </c>
      <c r="I100" s="17">
        <v>0.26977761574917974</v>
      </c>
      <c r="K100" s="10" t="s">
        <v>7</v>
      </c>
      <c r="L100" s="20">
        <v>1368</v>
      </c>
      <c r="M100" s="20">
        <v>578</v>
      </c>
      <c r="N100" s="20">
        <v>1946</v>
      </c>
      <c r="O100" s="20">
        <v>599</v>
      </c>
      <c r="P100" s="20">
        <v>198</v>
      </c>
      <c r="Q100" s="20">
        <v>797</v>
      </c>
      <c r="R100" s="20">
        <v>2743</v>
      </c>
    </row>
    <row r="101" spans="2:18" x14ac:dyDescent="0.3">
      <c r="B101" s="12" t="s">
        <v>32</v>
      </c>
      <c r="C101" s="17">
        <v>0.24440619621342513</v>
      </c>
      <c r="D101" s="17">
        <v>0.22727272727272727</v>
      </c>
      <c r="E101" s="17">
        <v>0.23819978046103182</v>
      </c>
      <c r="F101" s="17">
        <v>0.29020979020979021</v>
      </c>
      <c r="G101" s="17">
        <v>0.376</v>
      </c>
      <c r="H101" s="17">
        <v>0.31630170316301703</v>
      </c>
      <c r="I101" s="17">
        <v>0.26248108925869895</v>
      </c>
      <c r="K101" s="12" t="s">
        <v>32</v>
      </c>
      <c r="L101" s="20">
        <v>581</v>
      </c>
      <c r="M101" s="20">
        <v>330</v>
      </c>
      <c r="N101" s="20">
        <v>911</v>
      </c>
      <c r="O101" s="20">
        <v>286</v>
      </c>
      <c r="P101" s="20">
        <v>125</v>
      </c>
      <c r="Q101" s="20">
        <v>411</v>
      </c>
      <c r="R101" s="20">
        <v>1322</v>
      </c>
    </row>
    <row r="102" spans="2:18" x14ac:dyDescent="0.3">
      <c r="B102" s="12" t="s">
        <v>33</v>
      </c>
      <c r="C102" s="17">
        <v>0.27608695652173915</v>
      </c>
      <c r="D102" s="17">
        <v>0.24736842105263157</v>
      </c>
      <c r="E102" s="17">
        <v>0.26769230769230767</v>
      </c>
      <c r="F102" s="17">
        <v>0.33486238532110091</v>
      </c>
      <c r="G102" s="17">
        <v>0.3559322033898305</v>
      </c>
      <c r="H102" s="17">
        <v>0.33935018050541516</v>
      </c>
      <c r="I102" s="17">
        <v>0.28910463861920171</v>
      </c>
      <c r="K102" s="12" t="s">
        <v>33</v>
      </c>
      <c r="L102" s="20">
        <v>460</v>
      </c>
      <c r="M102" s="20">
        <v>190</v>
      </c>
      <c r="N102" s="20">
        <v>650</v>
      </c>
      <c r="O102" s="20">
        <v>218</v>
      </c>
      <c r="P102" s="20">
        <v>59</v>
      </c>
      <c r="Q102" s="20">
        <v>277</v>
      </c>
      <c r="R102" s="20">
        <v>927</v>
      </c>
    </row>
    <row r="103" spans="2:18" x14ac:dyDescent="0.3">
      <c r="B103" s="12" t="s">
        <v>34</v>
      </c>
      <c r="C103" s="17">
        <v>0.22485207100591717</v>
      </c>
      <c r="D103" s="17">
        <v>0.34285714285714286</v>
      </c>
      <c r="E103" s="17">
        <v>0.24509803921568626</v>
      </c>
      <c r="F103" s="17">
        <v>0.38297872340425532</v>
      </c>
      <c r="G103" s="17">
        <v>0.25</v>
      </c>
      <c r="H103" s="17">
        <v>0.3559322033898305</v>
      </c>
      <c r="I103" s="17">
        <v>0.26996197718631176</v>
      </c>
      <c r="K103" s="12" t="s">
        <v>34</v>
      </c>
      <c r="L103" s="20">
        <v>169</v>
      </c>
      <c r="M103" s="20">
        <v>35</v>
      </c>
      <c r="N103" s="20">
        <v>204</v>
      </c>
      <c r="O103" s="20">
        <v>47</v>
      </c>
      <c r="P103" s="20">
        <v>12</v>
      </c>
      <c r="Q103" s="20">
        <v>59</v>
      </c>
      <c r="R103" s="20">
        <v>263</v>
      </c>
    </row>
    <row r="104" spans="2:18" x14ac:dyDescent="0.3">
      <c r="B104" s="12" t="s">
        <v>35</v>
      </c>
      <c r="C104" s="17">
        <v>0.24050632911392406</v>
      </c>
      <c r="D104" s="17">
        <v>0.2608695652173913</v>
      </c>
      <c r="E104" s="17">
        <v>0.24309392265193369</v>
      </c>
      <c r="F104" s="17">
        <v>0.20833333333333334</v>
      </c>
      <c r="G104" s="17">
        <v>0</v>
      </c>
      <c r="H104" s="17">
        <v>0.2</v>
      </c>
      <c r="I104" s="17">
        <v>0.23376623376623376</v>
      </c>
      <c r="K104" s="12" t="s">
        <v>35</v>
      </c>
      <c r="L104" s="20">
        <v>158</v>
      </c>
      <c r="M104" s="20">
        <v>23</v>
      </c>
      <c r="N104" s="20">
        <v>181</v>
      </c>
      <c r="O104" s="20">
        <v>48</v>
      </c>
      <c r="P104" s="20">
        <v>2</v>
      </c>
      <c r="Q104" s="20">
        <v>50</v>
      </c>
      <c r="R104" s="20">
        <v>231</v>
      </c>
    </row>
    <row r="105" spans="2:18" x14ac:dyDescent="0.3">
      <c r="B105" s="10" t="s">
        <v>20</v>
      </c>
      <c r="C105" s="17">
        <v>0.24269204622705642</v>
      </c>
      <c r="D105" s="17">
        <v>0.23113964686998395</v>
      </c>
      <c r="E105" s="17">
        <v>0.23925501432664756</v>
      </c>
      <c r="F105" s="17">
        <v>0.29953917050691242</v>
      </c>
      <c r="G105" s="17">
        <v>0.36279069767441863</v>
      </c>
      <c r="H105" s="17">
        <v>0.31524249422632794</v>
      </c>
      <c r="I105" s="17">
        <v>0.26148648648648648</v>
      </c>
      <c r="K105" s="10" t="s">
        <v>20</v>
      </c>
      <c r="L105" s="20">
        <v>1471</v>
      </c>
      <c r="M105" s="20">
        <v>623</v>
      </c>
      <c r="N105" s="20">
        <v>2094</v>
      </c>
      <c r="O105" s="20">
        <v>651</v>
      </c>
      <c r="P105" s="20">
        <v>215</v>
      </c>
      <c r="Q105" s="20">
        <v>866</v>
      </c>
      <c r="R105" s="20">
        <v>2960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Z106"/>
  <sheetViews>
    <sheetView zoomScale="90" zoomScaleNormal="90" workbookViewId="0">
      <selection activeCell="M16" sqref="M16"/>
    </sheetView>
  </sheetViews>
  <sheetFormatPr baseColWidth="10" defaultRowHeight="14.4" x14ac:dyDescent="0.3"/>
  <cols>
    <col min="1" max="1" width="17.21875" customWidth="1"/>
    <col min="2" max="2" width="11" style="14" customWidth="1"/>
    <col min="3" max="3" width="10.44140625" style="14" customWidth="1"/>
    <col min="4" max="4" width="11.77734375" style="14" bestFit="1" customWidth="1"/>
    <col min="5" max="5" width="10.44140625" style="14" customWidth="1"/>
    <col min="6" max="6" width="15.88671875" style="14" customWidth="1"/>
    <col min="7" max="7" width="10.44140625" style="14" customWidth="1"/>
    <col min="8" max="8" width="11.77734375" style="14" customWidth="1"/>
    <col min="9" max="9" width="2.6640625" customWidth="1"/>
    <col min="10" max="10" width="16.44140625" customWidth="1"/>
    <col min="11" max="17" width="10.44140625" style="14" customWidth="1"/>
    <col min="18" max="18" width="10.88671875" customWidth="1"/>
    <col min="19" max="19" width="15.21875" customWidth="1"/>
    <col min="21" max="21" width="13.44140625" bestFit="1" customWidth="1"/>
  </cols>
  <sheetData>
    <row r="4" spans="1:4" x14ac:dyDescent="0.3">
      <c r="A4" s="9" t="s">
        <v>23</v>
      </c>
      <c r="B4" s="15" t="s">
        <v>22</v>
      </c>
    </row>
    <row r="5" spans="1:4" x14ac:dyDescent="0.3">
      <c r="A5" s="9" t="s">
        <v>19</v>
      </c>
      <c r="B5" s="16">
        <v>2025</v>
      </c>
      <c r="C5" s="16">
        <v>2026</v>
      </c>
      <c r="D5" s="16" t="s">
        <v>20</v>
      </c>
    </row>
    <row r="6" spans="1:4" x14ac:dyDescent="0.3">
      <c r="A6" s="13">
        <v>1</v>
      </c>
      <c r="B6" s="17">
        <v>0.3108108108108108</v>
      </c>
      <c r="C6" s="17">
        <v>0.47402597402597402</v>
      </c>
      <c r="D6" s="17">
        <v>0.42105263157894735</v>
      </c>
    </row>
    <row r="7" spans="1:4" x14ac:dyDescent="0.3">
      <c r="A7" s="13">
        <v>2</v>
      </c>
      <c r="B7" s="17">
        <v>0.20979020979020979</v>
      </c>
      <c r="C7" s="17">
        <v>0.34554973821989526</v>
      </c>
      <c r="D7" s="17">
        <v>0.28742514970059879</v>
      </c>
    </row>
    <row r="8" spans="1:4" x14ac:dyDescent="0.3">
      <c r="A8" s="13">
        <v>3</v>
      </c>
      <c r="B8" s="17">
        <v>0.27325581395348836</v>
      </c>
      <c r="C8" s="19">
        <v>0.31128404669260701</v>
      </c>
      <c r="D8" s="17">
        <v>0.29603729603729606</v>
      </c>
    </row>
    <row r="9" spans="1:4" x14ac:dyDescent="0.3">
      <c r="A9" s="13">
        <v>4</v>
      </c>
      <c r="B9" s="17">
        <v>0.15094339622641509</v>
      </c>
      <c r="C9" s="18">
        <v>0.20454545454545456</v>
      </c>
      <c r="D9" s="17">
        <v>0.18067226890756302</v>
      </c>
    </row>
    <row r="10" spans="1:4" x14ac:dyDescent="0.3">
      <c r="A10" s="13">
        <v>5</v>
      </c>
      <c r="B10" s="17">
        <v>0.20434782608695654</v>
      </c>
      <c r="C10" s="18">
        <v>0.10714285714285714</v>
      </c>
      <c r="D10" s="17">
        <v>0.15352697095435686</v>
      </c>
    </row>
    <row r="11" spans="1:4" x14ac:dyDescent="0.3">
      <c r="A11" s="13">
        <v>6</v>
      </c>
      <c r="B11" s="17">
        <v>0.23333333333333334</v>
      </c>
      <c r="C11" s="17"/>
      <c r="D11" s="17">
        <v>0.23333333333333334</v>
      </c>
    </row>
    <row r="12" spans="1:4" x14ac:dyDescent="0.3">
      <c r="A12" s="13">
        <v>7</v>
      </c>
      <c r="B12" s="17">
        <v>0.24637681159420291</v>
      </c>
      <c r="C12" s="17"/>
      <c r="D12" s="17">
        <v>0.24637681159420291</v>
      </c>
    </row>
    <row r="13" spans="1:4" x14ac:dyDescent="0.3">
      <c r="A13" s="13">
        <v>8</v>
      </c>
      <c r="B13" s="17">
        <v>0.22093023255813954</v>
      </c>
      <c r="C13" s="17"/>
      <c r="D13" s="17">
        <v>0.22093023255813954</v>
      </c>
    </row>
    <row r="14" spans="1:4" x14ac:dyDescent="0.3">
      <c r="A14" s="13">
        <v>9</v>
      </c>
      <c r="B14" s="17">
        <v>0.22145328719723184</v>
      </c>
      <c r="C14" s="17"/>
      <c r="D14" s="17">
        <v>0.22145328719723184</v>
      </c>
    </row>
    <row r="15" spans="1:4" x14ac:dyDescent="0.3">
      <c r="A15" s="13">
        <v>10</v>
      </c>
      <c r="B15" s="17">
        <v>0.22344322344322345</v>
      </c>
      <c r="C15" s="17"/>
      <c r="D15" s="17">
        <v>0.22344322344322345</v>
      </c>
    </row>
    <row r="16" spans="1:4" x14ac:dyDescent="0.3">
      <c r="A16" s="13">
        <v>11</v>
      </c>
      <c r="B16" s="17">
        <v>0.33534743202416917</v>
      </c>
      <c r="C16" s="17"/>
      <c r="D16" s="17">
        <v>0.33534743202416917</v>
      </c>
    </row>
    <row r="17" spans="1:4" x14ac:dyDescent="0.3">
      <c r="A17" s="13">
        <v>12</v>
      </c>
      <c r="B17" s="17">
        <v>0.31105990783410137</v>
      </c>
      <c r="C17" s="17"/>
      <c r="D17" s="17">
        <v>0.31105990783410137</v>
      </c>
    </row>
    <row r="18" spans="1:4" x14ac:dyDescent="0.3">
      <c r="A18" s="13" t="s">
        <v>20</v>
      </c>
      <c r="B18" s="17">
        <v>0.25158227848101267</v>
      </c>
      <c r="C18" s="17">
        <v>0.26833631484794274</v>
      </c>
      <c r="D18" s="17">
        <v>0.25671969281404278</v>
      </c>
    </row>
    <row r="20" spans="1:4" x14ac:dyDescent="0.3">
      <c r="A20" s="9" t="s">
        <v>24</v>
      </c>
      <c r="B20" s="15" t="s">
        <v>22</v>
      </c>
    </row>
    <row r="21" spans="1:4" x14ac:dyDescent="0.3">
      <c r="A21" s="9" t="s">
        <v>19</v>
      </c>
      <c r="B21" s="20">
        <v>2025</v>
      </c>
      <c r="C21" s="20">
        <v>2026</v>
      </c>
      <c r="D21" s="20" t="s">
        <v>20</v>
      </c>
    </row>
    <row r="22" spans="1:4" x14ac:dyDescent="0.3">
      <c r="A22" s="13">
        <v>1</v>
      </c>
      <c r="B22" s="20">
        <v>74</v>
      </c>
      <c r="C22" s="20">
        <v>154</v>
      </c>
      <c r="D22" s="20">
        <v>228</v>
      </c>
    </row>
    <row r="23" spans="1:4" x14ac:dyDescent="0.3">
      <c r="A23" s="13">
        <v>2</v>
      </c>
      <c r="B23" s="20">
        <v>143</v>
      </c>
      <c r="C23" s="20">
        <v>191</v>
      </c>
      <c r="D23" s="20">
        <v>334</v>
      </c>
    </row>
    <row r="24" spans="1:4" x14ac:dyDescent="0.3">
      <c r="A24" s="13">
        <v>3</v>
      </c>
      <c r="B24" s="20">
        <v>172</v>
      </c>
      <c r="C24" s="20">
        <v>257</v>
      </c>
      <c r="D24" s="20">
        <v>429</v>
      </c>
    </row>
    <row r="25" spans="1:4" x14ac:dyDescent="0.3">
      <c r="A25" s="13">
        <v>4</v>
      </c>
      <c r="B25" s="20">
        <v>212</v>
      </c>
      <c r="C25" s="21">
        <v>264</v>
      </c>
      <c r="D25" s="20">
        <v>476</v>
      </c>
    </row>
    <row r="26" spans="1:4" x14ac:dyDescent="0.3">
      <c r="A26" s="13">
        <v>5</v>
      </c>
      <c r="B26" s="20">
        <v>230</v>
      </c>
      <c r="C26" s="21">
        <v>252</v>
      </c>
      <c r="D26" s="20">
        <v>482</v>
      </c>
    </row>
    <row r="27" spans="1:4" x14ac:dyDescent="0.3">
      <c r="A27" s="13">
        <v>6</v>
      </c>
      <c r="B27" s="20">
        <v>60</v>
      </c>
      <c r="C27" s="20"/>
      <c r="D27" s="20">
        <v>60</v>
      </c>
    </row>
    <row r="28" spans="1:4" x14ac:dyDescent="0.3">
      <c r="A28" s="13">
        <v>7</v>
      </c>
      <c r="B28" s="20">
        <v>138</v>
      </c>
      <c r="C28" s="20"/>
      <c r="D28" s="20">
        <v>138</v>
      </c>
    </row>
    <row r="29" spans="1:4" x14ac:dyDescent="0.3">
      <c r="A29" s="13">
        <v>8</v>
      </c>
      <c r="B29" s="20">
        <v>172</v>
      </c>
      <c r="C29" s="20"/>
      <c r="D29" s="20">
        <v>172</v>
      </c>
    </row>
    <row r="30" spans="1:4" x14ac:dyDescent="0.3">
      <c r="A30" s="13">
        <v>9</v>
      </c>
      <c r="B30" s="20">
        <v>289</v>
      </c>
      <c r="C30" s="20"/>
      <c r="D30" s="20">
        <v>289</v>
      </c>
    </row>
    <row r="31" spans="1:4" x14ac:dyDescent="0.3">
      <c r="A31" s="13">
        <v>10</v>
      </c>
      <c r="B31" s="20">
        <v>273</v>
      </c>
      <c r="C31" s="20"/>
      <c r="D31" s="20">
        <v>273</v>
      </c>
    </row>
    <row r="32" spans="1:4" x14ac:dyDescent="0.3">
      <c r="A32" s="13">
        <v>11</v>
      </c>
      <c r="B32" s="20">
        <v>331</v>
      </c>
      <c r="C32" s="20"/>
      <c r="D32" s="20">
        <v>331</v>
      </c>
    </row>
    <row r="33" spans="1:12" x14ac:dyDescent="0.3">
      <c r="A33" s="13">
        <v>12</v>
      </c>
      <c r="B33" s="20">
        <v>434</v>
      </c>
      <c r="C33" s="20"/>
      <c r="D33" s="20">
        <v>434</v>
      </c>
    </row>
    <row r="34" spans="1:12" x14ac:dyDescent="0.3">
      <c r="A34" s="13" t="s">
        <v>20</v>
      </c>
      <c r="B34" s="20">
        <v>2528</v>
      </c>
      <c r="C34" s="20">
        <v>1118</v>
      </c>
      <c r="D34" s="20">
        <v>3646</v>
      </c>
    </row>
    <row r="38" spans="1:12" x14ac:dyDescent="0.3">
      <c r="A38" s="9" t="s">
        <v>29</v>
      </c>
      <c r="B38" s="14" t="s">
        <v>30</v>
      </c>
      <c r="F38" s="9" t="s">
        <v>29</v>
      </c>
      <c r="G38" s="14" t="s">
        <v>30</v>
      </c>
      <c r="I38" s="14"/>
    </row>
    <row r="39" spans="1:12" x14ac:dyDescent="0.3">
      <c r="F39"/>
      <c r="I39" s="14"/>
    </row>
    <row r="40" spans="1:12" x14ac:dyDescent="0.3">
      <c r="A40" s="9" t="s">
        <v>25</v>
      </c>
      <c r="B40" s="15" t="s">
        <v>22</v>
      </c>
      <c r="F40" s="9" t="s">
        <v>24</v>
      </c>
      <c r="G40" s="15" t="s">
        <v>22</v>
      </c>
      <c r="I40" s="14"/>
    </row>
    <row r="41" spans="1:12" x14ac:dyDescent="0.3">
      <c r="A41" s="9" t="s">
        <v>19</v>
      </c>
      <c r="B41" s="16">
        <v>2025</v>
      </c>
      <c r="C41" s="16">
        <v>2026</v>
      </c>
      <c r="D41" s="16" t="s">
        <v>20</v>
      </c>
      <c r="F41" s="9" t="s">
        <v>19</v>
      </c>
      <c r="G41" s="20">
        <v>2025</v>
      </c>
      <c r="H41" s="20">
        <v>2026</v>
      </c>
      <c r="I41" s="20" t="s">
        <v>20</v>
      </c>
    </row>
    <row r="42" spans="1:12" x14ac:dyDescent="0.3">
      <c r="A42" s="10" t="s">
        <v>11</v>
      </c>
      <c r="B42" s="17">
        <v>0.10810810810810811</v>
      </c>
      <c r="C42" s="18">
        <v>0.27659574468085107</v>
      </c>
      <c r="D42" s="17">
        <v>0.20238095238095238</v>
      </c>
      <c r="F42" s="10" t="s">
        <v>11</v>
      </c>
      <c r="G42" s="20">
        <v>37</v>
      </c>
      <c r="H42" s="20">
        <v>47</v>
      </c>
      <c r="I42" s="20">
        <v>84</v>
      </c>
      <c r="K42" s="22">
        <f>G42/G52</f>
        <v>9.5115681233933158E-2</v>
      </c>
      <c r="L42" s="22">
        <f>H42/H52</f>
        <v>7.8073089700996676E-2</v>
      </c>
    </row>
    <row r="43" spans="1:12" x14ac:dyDescent="0.3">
      <c r="A43" s="12" t="s">
        <v>32</v>
      </c>
      <c r="B43" s="17">
        <v>0.125</v>
      </c>
      <c r="C43" s="17">
        <v>0.33333333333333331</v>
      </c>
      <c r="D43" s="17">
        <v>0.25</v>
      </c>
      <c r="F43" s="12" t="s">
        <v>32</v>
      </c>
      <c r="G43" s="20">
        <v>8</v>
      </c>
      <c r="H43" s="20">
        <v>12</v>
      </c>
      <c r="I43" s="20">
        <v>20</v>
      </c>
    </row>
    <row r="44" spans="1:12" x14ac:dyDescent="0.3">
      <c r="A44" s="12" t="s">
        <v>33</v>
      </c>
      <c r="B44" s="17">
        <v>0.13333333333333333</v>
      </c>
      <c r="C44" s="17">
        <v>0.3125</v>
      </c>
      <c r="D44" s="17">
        <v>0.22580645161290322</v>
      </c>
      <c r="F44" s="12" t="s">
        <v>33</v>
      </c>
      <c r="G44" s="20">
        <v>15</v>
      </c>
      <c r="H44" s="20">
        <v>16</v>
      </c>
      <c r="I44" s="20">
        <v>31</v>
      </c>
    </row>
    <row r="45" spans="1:12" x14ac:dyDescent="0.3">
      <c r="A45" s="12" t="s">
        <v>34</v>
      </c>
      <c r="B45" s="17">
        <v>0.14285714285714285</v>
      </c>
      <c r="C45" s="17">
        <v>0</v>
      </c>
      <c r="D45" s="17">
        <v>7.6923076923076927E-2</v>
      </c>
      <c r="F45" s="12" t="s">
        <v>34</v>
      </c>
      <c r="G45" s="20">
        <v>7</v>
      </c>
      <c r="H45" s="20">
        <v>6</v>
      </c>
      <c r="I45" s="20">
        <v>13</v>
      </c>
    </row>
    <row r="46" spans="1:12" x14ac:dyDescent="0.3">
      <c r="A46" s="12" t="s">
        <v>35</v>
      </c>
      <c r="B46" s="17">
        <v>0</v>
      </c>
      <c r="C46" s="17">
        <v>0.30769230769230771</v>
      </c>
      <c r="D46" s="17">
        <v>0.2</v>
      </c>
      <c r="F46" s="12" t="s">
        <v>35</v>
      </c>
      <c r="G46" s="20">
        <v>7</v>
      </c>
      <c r="H46" s="20">
        <v>13</v>
      </c>
      <c r="I46" s="20">
        <v>20</v>
      </c>
    </row>
    <row r="47" spans="1:12" x14ac:dyDescent="0.3">
      <c r="A47" s="10" t="s">
        <v>7</v>
      </c>
      <c r="B47" s="17">
        <v>0.27272727272727271</v>
      </c>
      <c r="C47" s="17">
        <v>0.37117117117117115</v>
      </c>
      <c r="D47" s="17">
        <v>0.33296582138919517</v>
      </c>
      <c r="F47" s="10" t="s">
        <v>7</v>
      </c>
      <c r="G47" s="20">
        <v>352</v>
      </c>
      <c r="H47" s="20">
        <v>555</v>
      </c>
      <c r="I47" s="20">
        <v>907</v>
      </c>
      <c r="K47" s="22">
        <f>100%-K42</f>
        <v>0.9048843187660669</v>
      </c>
      <c r="L47" s="22">
        <f>100%-L42</f>
        <v>0.92192691029900331</v>
      </c>
    </row>
    <row r="48" spans="1:12" x14ac:dyDescent="0.3">
      <c r="A48" s="12" t="s">
        <v>32</v>
      </c>
      <c r="B48" s="17">
        <v>0.32</v>
      </c>
      <c r="C48" s="17">
        <v>0.36824324324324326</v>
      </c>
      <c r="D48" s="17">
        <v>0.3503184713375796</v>
      </c>
      <c r="F48" s="12" t="s">
        <v>32</v>
      </c>
      <c r="G48" s="20">
        <v>175</v>
      </c>
      <c r="H48" s="20">
        <v>296</v>
      </c>
      <c r="I48" s="20">
        <v>471</v>
      </c>
    </row>
    <row r="49" spans="1:21" x14ac:dyDescent="0.3">
      <c r="A49" s="12" t="s">
        <v>33</v>
      </c>
      <c r="B49" s="17">
        <v>0.27586206896551724</v>
      </c>
      <c r="C49" s="17">
        <v>0.38341968911917096</v>
      </c>
      <c r="D49" s="17">
        <v>0.34304207119741098</v>
      </c>
      <c r="F49" s="12" t="s">
        <v>33</v>
      </c>
      <c r="G49" s="20">
        <v>116</v>
      </c>
      <c r="H49" s="20">
        <v>193</v>
      </c>
      <c r="I49" s="20">
        <v>309</v>
      </c>
    </row>
    <row r="50" spans="1:21" x14ac:dyDescent="0.3">
      <c r="A50" s="12" t="s">
        <v>34</v>
      </c>
      <c r="B50" s="17">
        <v>0.14705882352941177</v>
      </c>
      <c r="C50" s="17">
        <v>0.44736842105263158</v>
      </c>
      <c r="D50" s="17">
        <v>0.30555555555555558</v>
      </c>
      <c r="F50" s="12" t="s">
        <v>34</v>
      </c>
      <c r="G50" s="20">
        <v>34</v>
      </c>
      <c r="H50" s="20">
        <v>38</v>
      </c>
      <c r="I50" s="20">
        <v>72</v>
      </c>
    </row>
    <row r="51" spans="1:21" x14ac:dyDescent="0.3">
      <c r="A51" s="12" t="s">
        <v>35</v>
      </c>
      <c r="B51" s="17">
        <v>0.1111111111111111</v>
      </c>
      <c r="C51" s="17">
        <v>0.21428571428571427</v>
      </c>
      <c r="D51" s="17">
        <v>0.16363636363636364</v>
      </c>
      <c r="F51" s="12" t="s">
        <v>35</v>
      </c>
      <c r="G51" s="20">
        <v>27</v>
      </c>
      <c r="H51" s="20">
        <v>28</v>
      </c>
      <c r="I51" s="20">
        <v>55</v>
      </c>
    </row>
    <row r="52" spans="1:21" x14ac:dyDescent="0.3">
      <c r="A52" s="10" t="s">
        <v>20</v>
      </c>
      <c r="B52" s="17">
        <v>0.25706940874035988</v>
      </c>
      <c r="C52" s="17">
        <v>0.36378737541528239</v>
      </c>
      <c r="D52" s="17">
        <v>0.32189707366296672</v>
      </c>
      <c r="F52" s="10" t="s">
        <v>20</v>
      </c>
      <c r="G52" s="20">
        <v>389</v>
      </c>
      <c r="H52" s="20">
        <v>602</v>
      </c>
      <c r="I52" s="20">
        <v>991</v>
      </c>
    </row>
    <row r="58" spans="1:21" x14ac:dyDescent="0.3">
      <c r="S58" t="s">
        <v>38</v>
      </c>
      <c r="U58" t="s">
        <v>42</v>
      </c>
    </row>
    <row r="59" spans="1:21" x14ac:dyDescent="0.3">
      <c r="S59" t="s">
        <v>39</v>
      </c>
      <c r="U59" t="s">
        <v>43</v>
      </c>
    </row>
    <row r="60" spans="1:21" x14ac:dyDescent="0.3">
      <c r="S60" t="s">
        <v>40</v>
      </c>
      <c r="U60" t="s">
        <v>44</v>
      </c>
    </row>
    <row r="61" spans="1:21" x14ac:dyDescent="0.3">
      <c r="U61" t="s">
        <v>45</v>
      </c>
    </row>
    <row r="62" spans="1:21" x14ac:dyDescent="0.3">
      <c r="S62" t="s">
        <v>41</v>
      </c>
      <c r="U62" t="s">
        <v>46</v>
      </c>
    </row>
    <row r="73" spans="1:17" x14ac:dyDescent="0.3">
      <c r="A73" s="9" t="s">
        <v>29</v>
      </c>
      <c r="B73" s="14" t="s">
        <v>30</v>
      </c>
      <c r="J73" s="9" t="s">
        <v>29</v>
      </c>
      <c r="K73" s="14" t="s">
        <v>30</v>
      </c>
    </row>
    <row r="75" spans="1:17" x14ac:dyDescent="0.3">
      <c r="A75" s="9" t="s">
        <v>25</v>
      </c>
      <c r="B75" s="15" t="s">
        <v>22</v>
      </c>
      <c r="J75" s="9" t="s">
        <v>24</v>
      </c>
      <c r="K75" s="15" t="s">
        <v>22</v>
      </c>
    </row>
    <row r="76" spans="1:17" x14ac:dyDescent="0.3">
      <c r="B76" s="16">
        <v>2025</v>
      </c>
      <c r="D76" s="16" t="s">
        <v>26</v>
      </c>
      <c r="E76" s="16">
        <v>2026</v>
      </c>
      <c r="G76" s="16" t="s">
        <v>27</v>
      </c>
      <c r="H76" s="16" t="s">
        <v>20</v>
      </c>
      <c r="K76" s="16">
        <v>2025</v>
      </c>
      <c r="M76" s="20" t="s">
        <v>26</v>
      </c>
      <c r="N76" s="16">
        <v>2026</v>
      </c>
      <c r="P76" s="20" t="s">
        <v>27</v>
      </c>
      <c r="Q76" s="20" t="s">
        <v>20</v>
      </c>
    </row>
    <row r="77" spans="1:17" x14ac:dyDescent="0.3">
      <c r="A77" s="9" t="s">
        <v>19</v>
      </c>
      <c r="B77" s="14" t="s">
        <v>9</v>
      </c>
      <c r="C77" s="14" t="s">
        <v>12</v>
      </c>
      <c r="E77" s="14" t="s">
        <v>9</v>
      </c>
      <c r="F77" s="14" t="s">
        <v>12</v>
      </c>
      <c r="J77" s="9" t="s">
        <v>19</v>
      </c>
      <c r="K77" s="20" t="s">
        <v>9</v>
      </c>
      <c r="L77" s="20" t="s">
        <v>12</v>
      </c>
      <c r="M77" s="20"/>
      <c r="N77" s="20" t="s">
        <v>9</v>
      </c>
      <c r="O77" s="20" t="s">
        <v>12</v>
      </c>
      <c r="P77" s="20"/>
      <c r="Q77" s="20"/>
    </row>
    <row r="78" spans="1:17" x14ac:dyDescent="0.3">
      <c r="A78" s="10" t="s">
        <v>11</v>
      </c>
      <c r="B78" s="17">
        <v>0.15384615384615385</v>
      </c>
      <c r="C78" s="17">
        <v>0</v>
      </c>
      <c r="D78" s="17">
        <v>0.10810810810810811</v>
      </c>
      <c r="E78" s="17">
        <v>0.24390243902439024</v>
      </c>
      <c r="F78" s="17">
        <v>0.5</v>
      </c>
      <c r="G78" s="17">
        <v>0.27659574468085107</v>
      </c>
      <c r="H78" s="17">
        <v>0.20238095238095238</v>
      </c>
      <c r="J78" s="10" t="s">
        <v>11</v>
      </c>
      <c r="K78" s="20">
        <v>26</v>
      </c>
      <c r="L78" s="20">
        <v>11</v>
      </c>
      <c r="M78" s="20">
        <v>37</v>
      </c>
      <c r="N78" s="20">
        <v>41</v>
      </c>
      <c r="O78" s="20">
        <v>6</v>
      </c>
      <c r="P78" s="20">
        <v>47</v>
      </c>
      <c r="Q78" s="20">
        <v>84</v>
      </c>
    </row>
    <row r="79" spans="1:17" x14ac:dyDescent="0.3">
      <c r="A79" s="12" t="s">
        <v>35</v>
      </c>
      <c r="B79" s="17">
        <v>0</v>
      </c>
      <c r="C79" s="17">
        <v>0</v>
      </c>
      <c r="D79" s="17">
        <v>0</v>
      </c>
      <c r="E79" s="17">
        <v>0.30769230769230771</v>
      </c>
      <c r="F79" s="17"/>
      <c r="G79" s="17">
        <v>0.30769230769230771</v>
      </c>
      <c r="H79" s="17">
        <v>0.2</v>
      </c>
      <c r="J79" s="12" t="s">
        <v>35</v>
      </c>
      <c r="K79" s="20">
        <v>5</v>
      </c>
      <c r="L79" s="20">
        <v>2</v>
      </c>
      <c r="M79" s="20">
        <v>7</v>
      </c>
      <c r="N79" s="20">
        <v>13</v>
      </c>
      <c r="O79" s="20"/>
      <c r="P79" s="20">
        <v>13</v>
      </c>
      <c r="Q79" s="20">
        <v>20</v>
      </c>
    </row>
    <row r="80" spans="1:17" x14ac:dyDescent="0.3">
      <c r="A80" s="12" t="s">
        <v>34</v>
      </c>
      <c r="B80" s="17">
        <v>0.25</v>
      </c>
      <c r="C80" s="17">
        <v>0</v>
      </c>
      <c r="D80" s="17">
        <v>0.14285714285714285</v>
      </c>
      <c r="E80" s="17">
        <v>0</v>
      </c>
      <c r="F80" s="17">
        <v>0</v>
      </c>
      <c r="G80" s="17">
        <v>0</v>
      </c>
      <c r="H80" s="17">
        <v>7.6923076923076927E-2</v>
      </c>
      <c r="J80" s="12" t="s">
        <v>34</v>
      </c>
      <c r="K80" s="20">
        <v>4</v>
      </c>
      <c r="L80" s="20">
        <v>3</v>
      </c>
      <c r="M80" s="20">
        <v>7</v>
      </c>
      <c r="N80" s="20">
        <v>4</v>
      </c>
      <c r="O80" s="20">
        <v>2</v>
      </c>
      <c r="P80" s="20">
        <v>6</v>
      </c>
      <c r="Q80" s="20">
        <v>13</v>
      </c>
    </row>
    <row r="81" spans="1:26" x14ac:dyDescent="0.3">
      <c r="A81" s="12" t="s">
        <v>33</v>
      </c>
      <c r="B81" s="17">
        <v>0.18181818181818182</v>
      </c>
      <c r="C81" s="17">
        <v>0</v>
      </c>
      <c r="D81" s="17">
        <v>0.13333333333333333</v>
      </c>
      <c r="E81" s="17">
        <v>0.15384615384615385</v>
      </c>
      <c r="F81" s="17">
        <v>1</v>
      </c>
      <c r="G81" s="17">
        <v>0.3125</v>
      </c>
      <c r="H81" s="17">
        <v>0.22580645161290322</v>
      </c>
      <c r="J81" s="12" t="s">
        <v>33</v>
      </c>
      <c r="K81" s="20">
        <v>11</v>
      </c>
      <c r="L81" s="20">
        <v>4</v>
      </c>
      <c r="M81" s="20">
        <v>15</v>
      </c>
      <c r="N81" s="20">
        <v>13</v>
      </c>
      <c r="O81" s="20">
        <v>3</v>
      </c>
      <c r="P81" s="20">
        <v>16</v>
      </c>
      <c r="Q81" s="20">
        <v>31</v>
      </c>
    </row>
    <row r="82" spans="1:26" x14ac:dyDescent="0.3">
      <c r="A82" s="12" t="s">
        <v>32</v>
      </c>
      <c r="B82" s="17">
        <v>0.16666666666666666</v>
      </c>
      <c r="C82" s="17">
        <v>0</v>
      </c>
      <c r="D82" s="17">
        <v>0.125</v>
      </c>
      <c r="E82" s="17">
        <v>0.36363636363636365</v>
      </c>
      <c r="F82" s="17">
        <v>0</v>
      </c>
      <c r="G82" s="17">
        <v>0.33333333333333331</v>
      </c>
      <c r="H82" s="17">
        <v>0.25</v>
      </c>
      <c r="J82" s="12" t="s">
        <v>32</v>
      </c>
      <c r="K82" s="20">
        <v>6</v>
      </c>
      <c r="L82" s="20">
        <v>2</v>
      </c>
      <c r="M82" s="20">
        <v>8</v>
      </c>
      <c r="N82" s="20">
        <v>11</v>
      </c>
      <c r="O82" s="20">
        <v>1</v>
      </c>
      <c r="P82" s="20">
        <v>12</v>
      </c>
      <c r="Q82" s="20">
        <v>20</v>
      </c>
    </row>
    <row r="83" spans="1:26" x14ac:dyDescent="0.3">
      <c r="A83" s="10" t="s">
        <v>7</v>
      </c>
      <c r="B83" s="17">
        <v>0.2711864406779661</v>
      </c>
      <c r="C83" s="17">
        <v>0.27586206896551724</v>
      </c>
      <c r="D83" s="17">
        <v>0.27272727272727271</v>
      </c>
      <c r="E83" s="17">
        <v>0.375</v>
      </c>
      <c r="F83" s="17">
        <v>0.3619631901840491</v>
      </c>
      <c r="G83" s="17">
        <v>0.37117117117117115</v>
      </c>
      <c r="H83" s="17">
        <v>0.33296582138919517</v>
      </c>
      <c r="J83" s="10" t="s">
        <v>7</v>
      </c>
      <c r="K83" s="20">
        <v>236</v>
      </c>
      <c r="L83" s="20">
        <v>116</v>
      </c>
      <c r="M83" s="20">
        <v>352</v>
      </c>
      <c r="N83" s="20">
        <v>392</v>
      </c>
      <c r="O83" s="20">
        <v>163</v>
      </c>
      <c r="P83" s="20">
        <v>555</v>
      </c>
      <c r="Q83" s="20">
        <v>907</v>
      </c>
    </row>
    <row r="84" spans="1:26" x14ac:dyDescent="0.3">
      <c r="A84" s="12" t="s">
        <v>35</v>
      </c>
      <c r="B84" s="17">
        <v>0.10526315789473684</v>
      </c>
      <c r="C84" s="17">
        <v>0.125</v>
      </c>
      <c r="D84" s="17">
        <v>0.1111111111111111</v>
      </c>
      <c r="E84" s="17">
        <v>0.3</v>
      </c>
      <c r="F84" s="17">
        <v>0</v>
      </c>
      <c r="G84" s="17">
        <v>0.21428571428571427</v>
      </c>
      <c r="H84" s="17">
        <v>0.16363636363636364</v>
      </c>
      <c r="J84" s="12" t="s">
        <v>35</v>
      </c>
      <c r="K84" s="20">
        <v>19</v>
      </c>
      <c r="L84" s="20">
        <v>8</v>
      </c>
      <c r="M84" s="20">
        <v>27</v>
      </c>
      <c r="N84" s="20">
        <v>20</v>
      </c>
      <c r="O84" s="20">
        <v>8</v>
      </c>
      <c r="P84" s="20">
        <v>28</v>
      </c>
      <c r="Q84" s="20">
        <v>55</v>
      </c>
    </row>
    <row r="85" spans="1:26" x14ac:dyDescent="0.3">
      <c r="A85" s="12" t="s">
        <v>34</v>
      </c>
      <c r="B85" s="17">
        <v>0.21428571428571427</v>
      </c>
      <c r="C85" s="17">
        <v>0.1</v>
      </c>
      <c r="D85" s="17">
        <v>0.14705882352941177</v>
      </c>
      <c r="E85" s="17">
        <v>0.52941176470588236</v>
      </c>
      <c r="F85" s="17">
        <v>0.38095238095238093</v>
      </c>
      <c r="G85" s="17">
        <v>0.44736842105263158</v>
      </c>
      <c r="H85" s="17">
        <v>0.30555555555555558</v>
      </c>
      <c r="J85" s="12" t="s">
        <v>34</v>
      </c>
      <c r="K85" s="20">
        <v>14</v>
      </c>
      <c r="L85" s="20">
        <v>20</v>
      </c>
      <c r="M85" s="20">
        <v>34</v>
      </c>
      <c r="N85" s="20">
        <v>17</v>
      </c>
      <c r="O85" s="20">
        <v>21</v>
      </c>
      <c r="P85" s="20">
        <v>38</v>
      </c>
      <c r="Q85" s="20">
        <v>72</v>
      </c>
    </row>
    <row r="86" spans="1:26" x14ac:dyDescent="0.3">
      <c r="A86" s="12" t="s">
        <v>33</v>
      </c>
      <c r="B86" s="17">
        <v>0.25</v>
      </c>
      <c r="C86" s="17">
        <v>0.33333333333333331</v>
      </c>
      <c r="D86" s="17">
        <v>0.27586206896551724</v>
      </c>
      <c r="E86" s="17">
        <v>0.40310077519379844</v>
      </c>
      <c r="F86" s="17">
        <v>0.34375</v>
      </c>
      <c r="G86" s="17">
        <v>0.38341968911917096</v>
      </c>
      <c r="H86" s="17">
        <v>0.34304207119741098</v>
      </c>
      <c r="J86" s="12" t="s">
        <v>33</v>
      </c>
      <c r="K86" s="20">
        <v>80</v>
      </c>
      <c r="L86" s="20">
        <v>36</v>
      </c>
      <c r="M86" s="20">
        <v>116</v>
      </c>
      <c r="N86" s="20">
        <v>129</v>
      </c>
      <c r="O86" s="20">
        <v>64</v>
      </c>
      <c r="P86" s="20">
        <v>193</v>
      </c>
      <c r="Q86" s="20">
        <v>309</v>
      </c>
    </row>
    <row r="87" spans="1:26" x14ac:dyDescent="0.3">
      <c r="A87" s="12" t="s">
        <v>32</v>
      </c>
      <c r="B87" s="17">
        <v>0.31707317073170732</v>
      </c>
      <c r="C87" s="17">
        <v>0.32692307692307693</v>
      </c>
      <c r="D87" s="17">
        <v>0.32</v>
      </c>
      <c r="E87" s="17">
        <v>0.35398230088495575</v>
      </c>
      <c r="F87" s="17">
        <v>0.41428571428571431</v>
      </c>
      <c r="G87" s="17">
        <v>0.36824324324324326</v>
      </c>
      <c r="H87" s="17">
        <v>0.3503184713375796</v>
      </c>
      <c r="J87" s="12" t="s">
        <v>32</v>
      </c>
      <c r="K87" s="20">
        <v>123</v>
      </c>
      <c r="L87" s="20">
        <v>52</v>
      </c>
      <c r="M87" s="20">
        <v>175</v>
      </c>
      <c r="N87" s="20">
        <v>226</v>
      </c>
      <c r="O87" s="20">
        <v>70</v>
      </c>
      <c r="P87" s="20">
        <v>296</v>
      </c>
      <c r="Q87" s="20">
        <v>471</v>
      </c>
    </row>
    <row r="88" spans="1:26" x14ac:dyDescent="0.3">
      <c r="A88" s="10" t="s">
        <v>20</v>
      </c>
      <c r="B88" s="17">
        <v>0.25954198473282442</v>
      </c>
      <c r="C88" s="17">
        <v>0.25196850393700787</v>
      </c>
      <c r="D88" s="17">
        <v>0.25706940874035988</v>
      </c>
      <c r="E88" s="17">
        <v>0.3625866050808314</v>
      </c>
      <c r="F88" s="17">
        <v>0.36686390532544377</v>
      </c>
      <c r="G88" s="17">
        <v>0.36378737541528239</v>
      </c>
      <c r="H88" s="17">
        <v>0.32189707366296672</v>
      </c>
      <c r="J88" s="10" t="s">
        <v>20</v>
      </c>
      <c r="K88" s="20">
        <v>262</v>
      </c>
      <c r="L88" s="20">
        <v>127</v>
      </c>
      <c r="M88" s="20">
        <v>389</v>
      </c>
      <c r="N88" s="20">
        <v>433</v>
      </c>
      <c r="O88" s="20">
        <v>169</v>
      </c>
      <c r="P88" s="20">
        <v>602</v>
      </c>
      <c r="Q88" s="20">
        <v>991</v>
      </c>
    </row>
    <row r="89" spans="1:26" x14ac:dyDescent="0.3">
      <c r="A89" s="10"/>
      <c r="B89" s="17"/>
      <c r="C89" s="17"/>
      <c r="D89" s="17"/>
      <c r="E89" s="17"/>
      <c r="F89" s="17"/>
      <c r="G89" s="17"/>
      <c r="H89" s="17"/>
      <c r="J89" s="10"/>
      <c r="K89" s="20"/>
      <c r="L89" s="20"/>
      <c r="M89" s="20"/>
      <c r="N89" s="20"/>
      <c r="O89" s="20"/>
      <c r="P89" s="20"/>
      <c r="Q89" s="20"/>
    </row>
    <row r="90" spans="1:26" x14ac:dyDescent="0.3">
      <c r="A90" s="9" t="s">
        <v>29</v>
      </c>
      <c r="B90" s="14" t="s">
        <v>30</v>
      </c>
      <c r="J90" s="9" t="s">
        <v>29</v>
      </c>
      <c r="K90" s="14" t="s">
        <v>30</v>
      </c>
      <c r="S90" s="9" t="s">
        <v>29</v>
      </c>
      <c r="T90" s="14" t="s">
        <v>30</v>
      </c>
      <c r="U90" s="14"/>
      <c r="V90" s="14"/>
      <c r="W90" s="14"/>
      <c r="X90" s="14"/>
      <c r="Y90" s="14"/>
      <c r="Z90" s="14"/>
    </row>
    <row r="91" spans="1:26" x14ac:dyDescent="0.3">
      <c r="A91" s="9" t="s">
        <v>5</v>
      </c>
      <c r="B91" t="s">
        <v>9</v>
      </c>
      <c r="J91" s="9" t="s">
        <v>5</v>
      </c>
      <c r="K91" t="s">
        <v>9</v>
      </c>
      <c r="S91" s="9" t="s">
        <v>5</v>
      </c>
      <c r="T91" t="s">
        <v>9</v>
      </c>
      <c r="U91" s="14"/>
      <c r="V91" s="14"/>
      <c r="W91" s="14"/>
      <c r="X91" s="14"/>
      <c r="Y91" s="14"/>
      <c r="Z91" s="14"/>
    </row>
    <row r="92" spans="1:26" x14ac:dyDescent="0.3">
      <c r="T92" s="14"/>
      <c r="U92" s="14"/>
      <c r="V92" s="14"/>
      <c r="W92" s="14"/>
      <c r="X92" s="14"/>
      <c r="Y92" s="14"/>
      <c r="Z92" s="14"/>
    </row>
    <row r="93" spans="1:26" x14ac:dyDescent="0.3">
      <c r="A93" s="9" t="s">
        <v>25</v>
      </c>
      <c r="B93" s="15" t="s">
        <v>22</v>
      </c>
      <c r="E93"/>
      <c r="F93"/>
      <c r="G93"/>
      <c r="H93"/>
      <c r="J93" s="9" t="s">
        <v>24</v>
      </c>
      <c r="K93" s="15" t="s">
        <v>22</v>
      </c>
      <c r="S93" s="9" t="s">
        <v>24</v>
      </c>
      <c r="T93" s="15" t="s">
        <v>22</v>
      </c>
      <c r="U93" s="14"/>
      <c r="V93" s="14"/>
    </row>
    <row r="94" spans="1:26" x14ac:dyDescent="0.3">
      <c r="A94" s="9" t="s">
        <v>19</v>
      </c>
      <c r="B94" s="16">
        <v>2025</v>
      </c>
      <c r="C94" s="16">
        <v>2026</v>
      </c>
      <c r="D94" s="16" t="s">
        <v>20</v>
      </c>
      <c r="E94"/>
      <c r="F94"/>
      <c r="G94"/>
      <c r="H94"/>
      <c r="K94" s="16">
        <v>2025</v>
      </c>
      <c r="M94" s="20" t="s">
        <v>26</v>
      </c>
      <c r="N94" s="16">
        <v>2026</v>
      </c>
      <c r="P94" s="20" t="s">
        <v>27</v>
      </c>
      <c r="Q94" s="20" t="s">
        <v>20</v>
      </c>
      <c r="S94" s="9" t="s">
        <v>19</v>
      </c>
      <c r="T94" s="16">
        <v>2025</v>
      </c>
      <c r="U94" s="16">
        <v>2026</v>
      </c>
      <c r="V94" s="20" t="s">
        <v>20</v>
      </c>
    </row>
    <row r="95" spans="1:26" x14ac:dyDescent="0.3">
      <c r="A95" s="10" t="s">
        <v>11</v>
      </c>
      <c r="B95" s="17">
        <v>0.15384615384615385</v>
      </c>
      <c r="C95" s="17">
        <v>0.24390243902439024</v>
      </c>
      <c r="D95" s="17">
        <v>0.20895522388059701</v>
      </c>
      <c r="E95"/>
      <c r="F95"/>
      <c r="G95"/>
      <c r="H95"/>
      <c r="J95" s="9" t="s">
        <v>19</v>
      </c>
      <c r="K95" s="20" t="s">
        <v>8</v>
      </c>
      <c r="L95" s="20" t="s">
        <v>10</v>
      </c>
      <c r="M95" s="20"/>
      <c r="N95" s="20" t="s">
        <v>8</v>
      </c>
      <c r="O95" s="20" t="s">
        <v>10</v>
      </c>
      <c r="P95" s="20"/>
      <c r="Q95" s="20"/>
      <c r="S95" s="10" t="s">
        <v>11</v>
      </c>
      <c r="T95" s="23">
        <v>9.9236641221374045E-2</v>
      </c>
      <c r="U95" s="23">
        <v>9.4688221709006926E-2</v>
      </c>
      <c r="V95" s="23">
        <v>9.6402877697841727E-2</v>
      </c>
    </row>
    <row r="96" spans="1:26" x14ac:dyDescent="0.3">
      <c r="A96" s="12" t="s">
        <v>32</v>
      </c>
      <c r="B96" s="17">
        <v>0.16666666666666666</v>
      </c>
      <c r="C96" s="17">
        <v>0.36363636363636365</v>
      </c>
      <c r="D96" s="17">
        <v>0.29411764705882354</v>
      </c>
      <c r="E96"/>
      <c r="F96"/>
      <c r="G96"/>
      <c r="H96"/>
      <c r="J96" s="10" t="s">
        <v>11</v>
      </c>
      <c r="K96" s="20">
        <v>18</v>
      </c>
      <c r="L96" s="20">
        <v>8</v>
      </c>
      <c r="M96" s="20">
        <v>26</v>
      </c>
      <c r="N96" s="20">
        <v>30</v>
      </c>
      <c r="O96" s="20">
        <v>11</v>
      </c>
      <c r="P96" s="20">
        <v>41</v>
      </c>
      <c r="Q96" s="20">
        <v>67</v>
      </c>
      <c r="S96" s="12" t="s">
        <v>32</v>
      </c>
      <c r="T96" s="23">
        <v>0.23076923076923078</v>
      </c>
      <c r="U96" s="23">
        <v>0.26829268292682928</v>
      </c>
      <c r="V96" s="23">
        <v>0.2537313432835821</v>
      </c>
    </row>
    <row r="97" spans="1:22" x14ac:dyDescent="0.3">
      <c r="A97" s="12" t="s">
        <v>33</v>
      </c>
      <c r="B97" s="17">
        <v>0.18181818181818182</v>
      </c>
      <c r="C97" s="17">
        <v>0.15384615384615385</v>
      </c>
      <c r="D97" s="17">
        <v>0.16666666666666666</v>
      </c>
      <c r="E97"/>
      <c r="F97"/>
      <c r="G97"/>
      <c r="H97"/>
      <c r="J97" s="12" t="s">
        <v>32</v>
      </c>
      <c r="K97" s="20">
        <v>4</v>
      </c>
      <c r="L97" s="20">
        <v>2</v>
      </c>
      <c r="M97" s="20">
        <v>6</v>
      </c>
      <c r="N97" s="20">
        <v>9</v>
      </c>
      <c r="O97" s="20">
        <v>2</v>
      </c>
      <c r="P97" s="20">
        <v>11</v>
      </c>
      <c r="Q97" s="20">
        <v>17</v>
      </c>
      <c r="S97" s="12" t="s">
        <v>33</v>
      </c>
      <c r="T97" s="23">
        <v>0.42307692307692307</v>
      </c>
      <c r="U97" s="23">
        <v>0.31707317073170732</v>
      </c>
      <c r="V97" s="23">
        <v>0.35820895522388058</v>
      </c>
    </row>
    <row r="98" spans="1:22" x14ac:dyDescent="0.3">
      <c r="A98" s="12" t="s">
        <v>34</v>
      </c>
      <c r="B98" s="17">
        <v>0.25</v>
      </c>
      <c r="C98" s="17">
        <v>0</v>
      </c>
      <c r="D98" s="17">
        <v>0.125</v>
      </c>
      <c r="E98"/>
      <c r="F98"/>
      <c r="G98"/>
      <c r="H98"/>
      <c r="J98" s="12" t="s">
        <v>33</v>
      </c>
      <c r="K98" s="20">
        <v>6</v>
      </c>
      <c r="L98" s="20">
        <v>5</v>
      </c>
      <c r="M98" s="20">
        <v>11</v>
      </c>
      <c r="N98" s="20">
        <v>7</v>
      </c>
      <c r="O98" s="20">
        <v>6</v>
      </c>
      <c r="P98" s="20">
        <v>13</v>
      </c>
      <c r="Q98" s="20">
        <v>24</v>
      </c>
      <c r="S98" s="12" t="s">
        <v>34</v>
      </c>
      <c r="T98" s="23">
        <v>0.15384615384615385</v>
      </c>
      <c r="U98" s="23">
        <v>9.7560975609756101E-2</v>
      </c>
      <c r="V98" s="23">
        <v>0.11940298507462686</v>
      </c>
    </row>
    <row r="99" spans="1:22" x14ac:dyDescent="0.3">
      <c r="A99" s="12" t="s">
        <v>35</v>
      </c>
      <c r="B99" s="17">
        <v>0</v>
      </c>
      <c r="C99" s="17">
        <v>0.30769230769230771</v>
      </c>
      <c r="D99" s="17">
        <v>0.22222222222222221</v>
      </c>
      <c r="E99"/>
      <c r="F99"/>
      <c r="G99"/>
      <c r="H99"/>
      <c r="J99" s="12" t="s">
        <v>34</v>
      </c>
      <c r="K99" s="20">
        <v>3</v>
      </c>
      <c r="L99" s="20">
        <v>1</v>
      </c>
      <c r="M99" s="20">
        <v>4</v>
      </c>
      <c r="N99" s="20">
        <v>3</v>
      </c>
      <c r="O99" s="20">
        <v>1</v>
      </c>
      <c r="P99" s="20">
        <v>4</v>
      </c>
      <c r="Q99" s="20">
        <v>8</v>
      </c>
      <c r="S99" s="12" t="s">
        <v>35</v>
      </c>
      <c r="T99" s="23">
        <v>0.19230769230769232</v>
      </c>
      <c r="U99" s="23">
        <v>0.31707317073170732</v>
      </c>
      <c r="V99" s="23">
        <v>0.26865671641791045</v>
      </c>
    </row>
    <row r="100" spans="1:22" x14ac:dyDescent="0.3">
      <c r="A100" s="10" t="s">
        <v>7</v>
      </c>
      <c r="B100" s="17">
        <v>0.2711864406779661</v>
      </c>
      <c r="C100" s="17">
        <v>0.375</v>
      </c>
      <c r="D100" s="17">
        <v>0.3359872611464968</v>
      </c>
      <c r="E100"/>
      <c r="F100"/>
      <c r="G100"/>
      <c r="H100"/>
      <c r="J100" s="12" t="s">
        <v>35</v>
      </c>
      <c r="K100" s="20">
        <v>5</v>
      </c>
      <c r="L100" s="20"/>
      <c r="M100" s="20">
        <v>5</v>
      </c>
      <c r="N100" s="20">
        <v>11</v>
      </c>
      <c r="O100" s="20">
        <v>2</v>
      </c>
      <c r="P100" s="20">
        <v>13</v>
      </c>
      <c r="Q100" s="20">
        <v>18</v>
      </c>
      <c r="S100" s="10" t="s">
        <v>7</v>
      </c>
      <c r="T100" s="23">
        <v>0.9007633587786259</v>
      </c>
      <c r="U100" s="23">
        <v>0.90531177829099307</v>
      </c>
      <c r="V100" s="23">
        <v>0.90359712230215827</v>
      </c>
    </row>
    <row r="101" spans="1:22" x14ac:dyDescent="0.3">
      <c r="A101" s="12" t="s">
        <v>32</v>
      </c>
      <c r="B101" s="17">
        <v>0.31707317073170732</v>
      </c>
      <c r="C101" s="17">
        <v>0.35398230088495575</v>
      </c>
      <c r="D101" s="17">
        <v>0.34097421203438394</v>
      </c>
      <c r="E101"/>
      <c r="F101"/>
      <c r="G101"/>
      <c r="H101"/>
      <c r="J101" s="10" t="s">
        <v>7</v>
      </c>
      <c r="K101" s="20">
        <v>166</v>
      </c>
      <c r="L101" s="20">
        <v>70</v>
      </c>
      <c r="M101" s="20">
        <v>236</v>
      </c>
      <c r="N101" s="20">
        <v>284</v>
      </c>
      <c r="O101" s="20">
        <v>108</v>
      </c>
      <c r="P101" s="20">
        <v>392</v>
      </c>
      <c r="Q101" s="20">
        <v>628</v>
      </c>
      <c r="S101" s="12" t="s">
        <v>32</v>
      </c>
      <c r="T101" s="23">
        <v>0.52118644067796616</v>
      </c>
      <c r="U101" s="23">
        <v>0.57653061224489799</v>
      </c>
      <c r="V101" s="23">
        <v>0.55573248407643316</v>
      </c>
    </row>
    <row r="102" spans="1:22" x14ac:dyDescent="0.3">
      <c r="A102" s="12" t="s">
        <v>33</v>
      </c>
      <c r="B102" s="17">
        <v>0.25</v>
      </c>
      <c r="C102" s="17">
        <v>0.40310077519379844</v>
      </c>
      <c r="D102" s="17">
        <v>0.34449760765550241</v>
      </c>
      <c r="E102"/>
      <c r="F102"/>
      <c r="G102"/>
      <c r="H102"/>
      <c r="J102" s="12" t="s">
        <v>32</v>
      </c>
      <c r="K102" s="20">
        <v>85</v>
      </c>
      <c r="L102" s="20">
        <v>38</v>
      </c>
      <c r="M102" s="20">
        <v>123</v>
      </c>
      <c r="N102" s="20">
        <v>152</v>
      </c>
      <c r="O102" s="20">
        <v>74</v>
      </c>
      <c r="P102" s="20">
        <v>226</v>
      </c>
      <c r="Q102" s="20">
        <v>349</v>
      </c>
      <c r="S102" s="12" t="s">
        <v>33</v>
      </c>
      <c r="T102" s="23">
        <v>0.33898305084745761</v>
      </c>
      <c r="U102" s="23">
        <v>0.32908163265306123</v>
      </c>
      <c r="V102" s="23">
        <v>0.33280254777070062</v>
      </c>
    </row>
    <row r="103" spans="1:22" x14ac:dyDescent="0.3">
      <c r="A103" s="12" t="s">
        <v>34</v>
      </c>
      <c r="B103" s="17">
        <v>0.21428571428571427</v>
      </c>
      <c r="C103" s="17">
        <v>0.52941176470588236</v>
      </c>
      <c r="D103" s="17">
        <v>0.38709677419354838</v>
      </c>
      <c r="E103"/>
      <c r="F103"/>
      <c r="G103"/>
      <c r="H103"/>
      <c r="J103" s="12" t="s">
        <v>33</v>
      </c>
      <c r="K103" s="20">
        <v>53</v>
      </c>
      <c r="L103" s="20">
        <v>27</v>
      </c>
      <c r="M103" s="20">
        <v>80</v>
      </c>
      <c r="N103" s="20">
        <v>98</v>
      </c>
      <c r="O103" s="20">
        <v>31</v>
      </c>
      <c r="P103" s="20">
        <v>129</v>
      </c>
      <c r="Q103" s="20">
        <v>209</v>
      </c>
      <c r="S103" s="12" t="s">
        <v>34</v>
      </c>
      <c r="T103" s="23">
        <v>5.9322033898305086E-2</v>
      </c>
      <c r="U103" s="23">
        <v>4.336734693877551E-2</v>
      </c>
      <c r="V103" s="23">
        <v>4.9363057324840767E-2</v>
      </c>
    </row>
    <row r="104" spans="1:22" x14ac:dyDescent="0.3">
      <c r="A104" s="12" t="s">
        <v>35</v>
      </c>
      <c r="B104" s="17">
        <v>0.10526315789473684</v>
      </c>
      <c r="C104" s="17">
        <v>0.3</v>
      </c>
      <c r="D104" s="17">
        <v>0.20512820512820512</v>
      </c>
      <c r="E104"/>
      <c r="F104"/>
      <c r="G104"/>
      <c r="H104"/>
      <c r="J104" s="12" t="s">
        <v>34</v>
      </c>
      <c r="K104" s="20">
        <v>10</v>
      </c>
      <c r="L104" s="20">
        <v>4</v>
      </c>
      <c r="M104" s="20">
        <v>14</v>
      </c>
      <c r="N104" s="20">
        <v>15</v>
      </c>
      <c r="O104" s="20">
        <v>2</v>
      </c>
      <c r="P104" s="20">
        <v>17</v>
      </c>
      <c r="Q104" s="20">
        <v>31</v>
      </c>
      <c r="S104" s="12" t="s">
        <v>35</v>
      </c>
      <c r="T104" s="23">
        <v>8.050847457627118E-2</v>
      </c>
      <c r="U104" s="23">
        <v>5.1020408163265307E-2</v>
      </c>
      <c r="V104" s="23">
        <v>6.2101910828025478E-2</v>
      </c>
    </row>
    <row r="105" spans="1:22" x14ac:dyDescent="0.3">
      <c r="A105" s="10" t="s">
        <v>20</v>
      </c>
      <c r="B105" s="17">
        <v>0.25954198473282442</v>
      </c>
      <c r="C105" s="17">
        <v>0.3625866050808314</v>
      </c>
      <c r="D105" s="17">
        <v>0.32374100719424459</v>
      </c>
      <c r="E105"/>
      <c r="F105"/>
      <c r="G105"/>
      <c r="H105"/>
      <c r="J105" s="12" t="s">
        <v>35</v>
      </c>
      <c r="K105" s="20">
        <v>18</v>
      </c>
      <c r="L105" s="20">
        <v>1</v>
      </c>
      <c r="M105" s="20">
        <v>19</v>
      </c>
      <c r="N105" s="20">
        <v>19</v>
      </c>
      <c r="O105" s="20">
        <v>1</v>
      </c>
      <c r="P105" s="20">
        <v>20</v>
      </c>
      <c r="Q105" s="20">
        <v>39</v>
      </c>
      <c r="S105" s="10" t="s">
        <v>20</v>
      </c>
      <c r="T105" s="23">
        <v>1</v>
      </c>
      <c r="U105" s="23">
        <v>1</v>
      </c>
      <c r="V105" s="23">
        <v>1</v>
      </c>
    </row>
    <row r="106" spans="1:22" x14ac:dyDescent="0.3">
      <c r="B106"/>
      <c r="C106"/>
      <c r="D106"/>
      <c r="E106"/>
      <c r="F106"/>
      <c r="G106"/>
      <c r="H106"/>
      <c r="J106" s="10" t="s">
        <v>20</v>
      </c>
      <c r="K106" s="20">
        <v>184</v>
      </c>
      <c r="L106" s="20">
        <v>78</v>
      </c>
      <c r="M106" s="20">
        <v>262</v>
      </c>
      <c r="N106" s="20">
        <v>314</v>
      </c>
      <c r="O106" s="20">
        <v>119</v>
      </c>
      <c r="P106" s="20">
        <v>433</v>
      </c>
      <c r="Q106" s="20">
        <v>695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47"/>
  <sheetViews>
    <sheetView workbookViewId="0">
      <selection activeCell="E1" sqref="A1:E1"/>
    </sheetView>
  </sheetViews>
  <sheetFormatPr baseColWidth="10" defaultColWidth="8.88671875" defaultRowHeight="14.4" x14ac:dyDescent="0.3"/>
  <cols>
    <col min="1" max="1" width="10.109375" bestFit="1" customWidth="1"/>
    <col min="2" max="2" width="9" bestFit="1" customWidth="1"/>
    <col min="3" max="3" width="9.33203125" bestFit="1" customWidth="1"/>
    <col min="4" max="4" width="18" style="4" bestFit="1" customWidth="1"/>
    <col min="5" max="7" width="18" style="4" customWidth="1"/>
    <col min="8" max="8" width="18" style="4" bestFit="1" customWidth="1"/>
    <col min="9" max="11" width="18" style="4" customWidth="1"/>
    <col min="12" max="13" width="18" style="5" customWidth="1"/>
    <col min="14" max="14" width="11.33203125" bestFit="1" customWidth="1"/>
    <col min="15" max="17" width="11.33203125" customWidth="1"/>
    <col min="18" max="18" width="18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21</v>
      </c>
      <c r="F1" s="3" t="s">
        <v>28</v>
      </c>
      <c r="G1" s="3" t="s">
        <v>29</v>
      </c>
      <c r="H1" s="3" t="s">
        <v>4</v>
      </c>
      <c r="I1" s="3" t="s">
        <v>13</v>
      </c>
      <c r="J1" s="3" t="s">
        <v>14</v>
      </c>
      <c r="K1" s="3" t="s">
        <v>36</v>
      </c>
      <c r="L1" s="6" t="s">
        <v>15</v>
      </c>
      <c r="M1" s="6" t="s">
        <v>16</v>
      </c>
      <c r="N1" s="1" t="s">
        <v>5</v>
      </c>
      <c r="O1" s="7" t="s">
        <v>17</v>
      </c>
      <c r="P1" s="1" t="s">
        <v>18</v>
      </c>
      <c r="Q1" s="1" t="s">
        <v>31</v>
      </c>
      <c r="R1" s="1" t="s">
        <v>6</v>
      </c>
    </row>
    <row r="2" spans="1:18" x14ac:dyDescent="0.3">
      <c r="A2" t="s">
        <v>11</v>
      </c>
      <c r="B2">
        <v>580</v>
      </c>
      <c r="C2" t="s">
        <v>8</v>
      </c>
      <c r="D2" s="4">
        <v>45717</v>
      </c>
      <c r="E2" s="11">
        <f>+YEAR(D2)</f>
        <v>2025</v>
      </c>
      <c r="F2" s="11">
        <f>+MONTH(D2)</f>
        <v>3</v>
      </c>
      <c r="G2" s="11" t="str">
        <f>+TEXT(D2, "yyymm")</f>
        <v>202503</v>
      </c>
      <c r="I2" s="5">
        <v>9999</v>
      </c>
      <c r="J2" s="5">
        <v>333.3</v>
      </c>
      <c r="K2" s="5">
        <f>IF(J2&lt;=1,1,0)</f>
        <v>0</v>
      </c>
      <c r="L2" s="5">
        <v>0</v>
      </c>
      <c r="M2" s="5">
        <v>0</v>
      </c>
      <c r="N2" t="s">
        <v>12</v>
      </c>
      <c r="O2" s="8">
        <v>44.539726027397258</v>
      </c>
      <c r="P2" t="s">
        <v>35</v>
      </c>
      <c r="Q2">
        <v>4</v>
      </c>
      <c r="R2" s="2">
        <v>29460</v>
      </c>
    </row>
    <row r="3" spans="1:18" x14ac:dyDescent="0.3">
      <c r="A3" t="s">
        <v>7</v>
      </c>
      <c r="B3">
        <v>1235</v>
      </c>
      <c r="C3" t="s">
        <v>10</v>
      </c>
      <c r="D3" s="4">
        <v>46162</v>
      </c>
      <c r="E3" s="11">
        <f t="shared" ref="E3:E66" si="0">+YEAR(D3)</f>
        <v>2026</v>
      </c>
      <c r="F3" s="11">
        <f t="shared" ref="F3:F66" si="1">+MONTH(D3)</f>
        <v>5</v>
      </c>
      <c r="G3" s="11" t="str">
        <f t="shared" ref="G3:G66" si="2">+TEXT(D3, "yyymm")</f>
        <v>202605</v>
      </c>
      <c r="I3" s="5">
        <v>9999</v>
      </c>
      <c r="J3" s="5">
        <v>333.3</v>
      </c>
      <c r="K3" s="5">
        <f t="shared" ref="K3:K66" si="3">IF(J3&lt;=1,1,0)</f>
        <v>0</v>
      </c>
      <c r="L3" s="5">
        <v>0</v>
      </c>
      <c r="M3" s="5">
        <v>0</v>
      </c>
      <c r="N3" t="s">
        <v>12</v>
      </c>
      <c r="O3" s="8">
        <v>34.197260273972603</v>
      </c>
      <c r="P3" t="s">
        <v>35</v>
      </c>
      <c r="Q3">
        <v>4</v>
      </c>
      <c r="R3" s="2">
        <v>33680</v>
      </c>
    </row>
    <row r="4" spans="1:18" x14ac:dyDescent="0.3">
      <c r="A4" t="s">
        <v>11</v>
      </c>
      <c r="B4">
        <v>1331</v>
      </c>
      <c r="C4" t="s">
        <v>8</v>
      </c>
      <c r="D4" s="4">
        <v>45779</v>
      </c>
      <c r="E4" s="11">
        <f t="shared" si="0"/>
        <v>2025</v>
      </c>
      <c r="F4" s="11">
        <f t="shared" si="1"/>
        <v>5</v>
      </c>
      <c r="G4" s="11" t="str">
        <f t="shared" si="2"/>
        <v>202505</v>
      </c>
      <c r="I4" s="5">
        <v>9999</v>
      </c>
      <c r="J4" s="5">
        <v>333.3</v>
      </c>
      <c r="K4" s="5">
        <f t="shared" si="3"/>
        <v>0</v>
      </c>
      <c r="L4" s="5">
        <v>0</v>
      </c>
      <c r="M4" s="5">
        <v>0</v>
      </c>
      <c r="N4" t="s">
        <v>9</v>
      </c>
      <c r="O4" s="8">
        <v>37.542465753424658</v>
      </c>
      <c r="P4" t="s">
        <v>35</v>
      </c>
      <c r="Q4">
        <v>4</v>
      </c>
      <c r="R4" s="2">
        <v>32076</v>
      </c>
    </row>
    <row r="5" spans="1:18" x14ac:dyDescent="0.3">
      <c r="A5" t="s">
        <v>7</v>
      </c>
      <c r="B5">
        <v>3166</v>
      </c>
      <c r="C5" t="s">
        <v>8</v>
      </c>
      <c r="D5" s="4">
        <v>45749</v>
      </c>
      <c r="E5" s="11">
        <f t="shared" si="0"/>
        <v>2025</v>
      </c>
      <c r="F5" s="11">
        <f t="shared" si="1"/>
        <v>4</v>
      </c>
      <c r="G5" s="11" t="str">
        <f t="shared" si="2"/>
        <v>202504</v>
      </c>
      <c r="I5" s="5">
        <v>9999</v>
      </c>
      <c r="J5" s="5">
        <v>333.3</v>
      </c>
      <c r="K5" s="5">
        <f t="shared" si="3"/>
        <v>0</v>
      </c>
      <c r="L5" s="5">
        <v>0</v>
      </c>
      <c r="M5" s="5">
        <v>0</v>
      </c>
      <c r="N5" t="s">
        <v>12</v>
      </c>
      <c r="O5" s="8">
        <v>30.682191780821917</v>
      </c>
      <c r="P5" t="s">
        <v>34</v>
      </c>
      <c r="Q5">
        <v>3</v>
      </c>
      <c r="R5" s="2">
        <v>34550</v>
      </c>
    </row>
    <row r="6" spans="1:18" x14ac:dyDescent="0.3">
      <c r="A6" t="s">
        <v>7</v>
      </c>
      <c r="B6">
        <v>6606</v>
      </c>
      <c r="C6" t="s">
        <v>8</v>
      </c>
      <c r="D6" s="4">
        <v>46155</v>
      </c>
      <c r="E6" s="11">
        <f t="shared" si="0"/>
        <v>2026</v>
      </c>
      <c r="F6" s="11">
        <f t="shared" si="1"/>
        <v>5</v>
      </c>
      <c r="G6" s="11" t="str">
        <f t="shared" si="2"/>
        <v>202605</v>
      </c>
      <c r="H6" s="4">
        <v>46173</v>
      </c>
      <c r="I6" s="5">
        <v>18</v>
      </c>
      <c r="J6" s="5">
        <v>0.6</v>
      </c>
      <c r="K6" s="5">
        <f t="shared" si="3"/>
        <v>1</v>
      </c>
      <c r="L6" s="5">
        <v>1</v>
      </c>
      <c r="M6" s="5">
        <v>1</v>
      </c>
      <c r="N6" t="s">
        <v>12</v>
      </c>
      <c r="O6" s="8">
        <v>37.104109589041094</v>
      </c>
      <c r="P6" t="s">
        <v>35</v>
      </c>
      <c r="Q6">
        <v>4</v>
      </c>
      <c r="R6" s="2">
        <v>32612</v>
      </c>
    </row>
    <row r="7" spans="1:18" x14ac:dyDescent="0.3">
      <c r="A7" t="s">
        <v>7</v>
      </c>
      <c r="B7">
        <v>10640</v>
      </c>
      <c r="C7" t="s">
        <v>8</v>
      </c>
      <c r="D7" s="4">
        <v>45778</v>
      </c>
      <c r="E7" s="11">
        <f t="shared" si="0"/>
        <v>2025</v>
      </c>
      <c r="F7" s="11">
        <f t="shared" si="1"/>
        <v>5</v>
      </c>
      <c r="G7" s="11" t="str">
        <f t="shared" si="2"/>
        <v>202505</v>
      </c>
      <c r="I7" s="5">
        <v>9999</v>
      </c>
      <c r="J7" s="5">
        <v>333.3</v>
      </c>
      <c r="K7" s="5">
        <f t="shared" si="3"/>
        <v>0</v>
      </c>
      <c r="L7" s="5">
        <v>0</v>
      </c>
      <c r="M7" s="5">
        <v>0</v>
      </c>
      <c r="N7" t="s">
        <v>12</v>
      </c>
      <c r="O7" s="8">
        <v>48.706849315068496</v>
      </c>
      <c r="P7" t="s">
        <v>35</v>
      </c>
      <c r="Q7">
        <v>4</v>
      </c>
      <c r="R7" s="2">
        <v>28000</v>
      </c>
    </row>
    <row r="8" spans="1:18" x14ac:dyDescent="0.3">
      <c r="A8" t="s">
        <v>7</v>
      </c>
      <c r="B8">
        <v>13305</v>
      </c>
      <c r="C8" t="s">
        <v>8</v>
      </c>
      <c r="D8" s="4">
        <v>45917</v>
      </c>
      <c r="E8" s="11">
        <f t="shared" si="0"/>
        <v>2025</v>
      </c>
      <c r="F8" s="11">
        <f t="shared" si="1"/>
        <v>9</v>
      </c>
      <c r="G8" s="11" t="str">
        <f t="shared" si="2"/>
        <v>202509</v>
      </c>
      <c r="I8" s="5">
        <v>9999</v>
      </c>
      <c r="J8" s="5">
        <v>333.3</v>
      </c>
      <c r="K8" s="5">
        <f t="shared" si="3"/>
        <v>0</v>
      </c>
      <c r="L8" s="5">
        <v>0</v>
      </c>
      <c r="M8" s="5">
        <v>0</v>
      </c>
      <c r="N8" t="s">
        <v>12</v>
      </c>
      <c r="O8" s="8">
        <v>34.194520547945203</v>
      </c>
      <c r="P8" t="s">
        <v>35</v>
      </c>
      <c r="Q8">
        <v>4</v>
      </c>
      <c r="R8" s="2">
        <v>33436</v>
      </c>
    </row>
    <row r="9" spans="1:18" x14ac:dyDescent="0.3">
      <c r="A9" t="s">
        <v>7</v>
      </c>
      <c r="B9">
        <v>18454</v>
      </c>
      <c r="C9" t="s">
        <v>8</v>
      </c>
      <c r="D9" s="4">
        <v>45901</v>
      </c>
      <c r="E9" s="11">
        <f t="shared" si="0"/>
        <v>2025</v>
      </c>
      <c r="F9" s="11">
        <f t="shared" si="1"/>
        <v>9</v>
      </c>
      <c r="G9" s="11" t="str">
        <f t="shared" si="2"/>
        <v>202509</v>
      </c>
      <c r="I9" s="5">
        <v>9999</v>
      </c>
      <c r="J9" s="5">
        <v>333.3</v>
      </c>
      <c r="K9" s="5">
        <f t="shared" si="3"/>
        <v>0</v>
      </c>
      <c r="L9" s="5">
        <v>0</v>
      </c>
      <c r="M9" s="5">
        <v>0</v>
      </c>
      <c r="N9" t="s">
        <v>12</v>
      </c>
      <c r="O9" s="8">
        <v>37.624657534246573</v>
      </c>
      <c r="P9" t="s">
        <v>35</v>
      </c>
      <c r="Q9">
        <v>4</v>
      </c>
      <c r="R9" s="2">
        <v>32168</v>
      </c>
    </row>
    <row r="10" spans="1:18" x14ac:dyDescent="0.3">
      <c r="A10" t="s">
        <v>7</v>
      </c>
      <c r="B10">
        <v>18994</v>
      </c>
      <c r="C10" t="s">
        <v>8</v>
      </c>
      <c r="D10" s="4">
        <v>46099</v>
      </c>
      <c r="E10" s="11">
        <f t="shared" si="0"/>
        <v>2026</v>
      </c>
      <c r="F10" s="11">
        <f t="shared" si="1"/>
        <v>3</v>
      </c>
      <c r="G10" s="11" t="str">
        <f t="shared" si="2"/>
        <v>202603</v>
      </c>
      <c r="I10" s="5">
        <v>9999</v>
      </c>
      <c r="J10" s="5">
        <v>333.3</v>
      </c>
      <c r="K10" s="5">
        <f t="shared" si="3"/>
        <v>0</v>
      </c>
      <c r="L10" s="5">
        <v>0</v>
      </c>
      <c r="M10" s="5">
        <v>0</v>
      </c>
      <c r="N10" t="s">
        <v>9</v>
      </c>
      <c r="O10" s="8">
        <v>41.449315068493149</v>
      </c>
      <c r="P10" t="s">
        <v>35</v>
      </c>
      <c r="Q10">
        <v>4</v>
      </c>
      <c r="R10" s="2">
        <v>30970</v>
      </c>
    </row>
    <row r="11" spans="1:18" x14ac:dyDescent="0.3">
      <c r="A11" t="s">
        <v>7</v>
      </c>
      <c r="B11">
        <v>20548</v>
      </c>
      <c r="C11" t="s">
        <v>8</v>
      </c>
      <c r="D11" s="4">
        <v>45778</v>
      </c>
      <c r="E11" s="11">
        <f t="shared" si="0"/>
        <v>2025</v>
      </c>
      <c r="F11" s="11">
        <f t="shared" si="1"/>
        <v>5</v>
      </c>
      <c r="G11" s="11" t="str">
        <f t="shared" si="2"/>
        <v>202505</v>
      </c>
      <c r="I11" s="5">
        <v>9999</v>
      </c>
      <c r="J11" s="5">
        <v>333.3</v>
      </c>
      <c r="K11" s="5">
        <f t="shared" si="3"/>
        <v>0</v>
      </c>
      <c r="L11" s="5">
        <v>0</v>
      </c>
      <c r="M11" s="5">
        <v>0</v>
      </c>
      <c r="N11" t="s">
        <v>9</v>
      </c>
      <c r="O11" s="8">
        <v>40.665753424657531</v>
      </c>
      <c r="P11" t="s">
        <v>35</v>
      </c>
      <c r="Q11">
        <v>4</v>
      </c>
      <c r="R11" s="2">
        <v>30935</v>
      </c>
    </row>
    <row r="12" spans="1:18" x14ac:dyDescent="0.3">
      <c r="A12" t="s">
        <v>7</v>
      </c>
      <c r="B12">
        <v>21250</v>
      </c>
      <c r="C12" t="s">
        <v>8</v>
      </c>
      <c r="D12" s="4">
        <v>45717</v>
      </c>
      <c r="E12" s="11">
        <f t="shared" si="0"/>
        <v>2025</v>
      </c>
      <c r="F12" s="11">
        <f t="shared" si="1"/>
        <v>3</v>
      </c>
      <c r="G12" s="11" t="str">
        <f t="shared" si="2"/>
        <v>202503</v>
      </c>
      <c r="H12" s="4">
        <v>46174</v>
      </c>
      <c r="I12" s="5">
        <v>457</v>
      </c>
      <c r="J12" s="5">
        <v>15.233333333333333</v>
      </c>
      <c r="K12" s="5">
        <f t="shared" si="3"/>
        <v>0</v>
      </c>
      <c r="L12" s="5">
        <v>0</v>
      </c>
      <c r="M12" s="5">
        <v>0</v>
      </c>
      <c r="N12" t="s">
        <v>12</v>
      </c>
      <c r="O12" s="8">
        <v>37.805479452054797</v>
      </c>
      <c r="P12" t="s">
        <v>35</v>
      </c>
      <c r="Q12">
        <v>4</v>
      </c>
      <c r="R12" s="2">
        <v>31918</v>
      </c>
    </row>
    <row r="13" spans="1:18" x14ac:dyDescent="0.3">
      <c r="A13" t="s">
        <v>7</v>
      </c>
      <c r="B13">
        <v>24176</v>
      </c>
      <c r="C13" t="s">
        <v>8</v>
      </c>
      <c r="D13" s="4">
        <v>45964</v>
      </c>
      <c r="E13" s="11">
        <f t="shared" si="0"/>
        <v>2025</v>
      </c>
      <c r="F13" s="11">
        <f t="shared" si="1"/>
        <v>11</v>
      </c>
      <c r="G13" s="11" t="str">
        <f t="shared" si="2"/>
        <v>202511</v>
      </c>
      <c r="H13" s="4">
        <v>46056</v>
      </c>
      <c r="I13" s="5">
        <v>92</v>
      </c>
      <c r="J13" s="5">
        <v>3.0666666666666669</v>
      </c>
      <c r="K13" s="5">
        <f t="shared" si="3"/>
        <v>0</v>
      </c>
      <c r="L13" s="5">
        <v>0</v>
      </c>
      <c r="M13" s="5">
        <v>1</v>
      </c>
      <c r="N13" t="s">
        <v>9</v>
      </c>
      <c r="O13" s="8">
        <v>32.216438356164382</v>
      </c>
      <c r="P13" t="s">
        <v>35</v>
      </c>
      <c r="Q13">
        <v>4</v>
      </c>
      <c r="R13" s="2">
        <v>34205</v>
      </c>
    </row>
    <row r="14" spans="1:18" x14ac:dyDescent="0.3">
      <c r="A14" t="s">
        <v>11</v>
      </c>
      <c r="B14">
        <v>28980</v>
      </c>
      <c r="C14" t="s">
        <v>8</v>
      </c>
      <c r="D14" s="4">
        <v>45992</v>
      </c>
      <c r="E14" s="11">
        <f t="shared" si="0"/>
        <v>2025</v>
      </c>
      <c r="F14" s="11">
        <f t="shared" si="1"/>
        <v>12</v>
      </c>
      <c r="G14" s="11" t="str">
        <f t="shared" si="2"/>
        <v>202512</v>
      </c>
      <c r="I14" s="5">
        <v>9999</v>
      </c>
      <c r="J14" s="5">
        <v>333.3</v>
      </c>
      <c r="K14" s="5">
        <f t="shared" si="3"/>
        <v>0</v>
      </c>
      <c r="L14" s="5">
        <v>0</v>
      </c>
      <c r="M14" s="5">
        <v>0</v>
      </c>
      <c r="N14" t="s">
        <v>9</v>
      </c>
      <c r="O14" s="8">
        <v>33.679452054794524</v>
      </c>
      <c r="P14" t="s">
        <v>35</v>
      </c>
      <c r="Q14">
        <v>4</v>
      </c>
      <c r="R14" s="2">
        <v>33699</v>
      </c>
    </row>
    <row r="15" spans="1:18" x14ac:dyDescent="0.3">
      <c r="A15" t="s">
        <v>7</v>
      </c>
      <c r="B15">
        <v>38162</v>
      </c>
      <c r="C15" t="s">
        <v>8</v>
      </c>
      <c r="D15" s="4">
        <v>45901</v>
      </c>
      <c r="E15" s="11">
        <f t="shared" si="0"/>
        <v>2025</v>
      </c>
      <c r="F15" s="11">
        <f t="shared" si="1"/>
        <v>9</v>
      </c>
      <c r="G15" s="11" t="str">
        <f t="shared" si="2"/>
        <v>202509</v>
      </c>
      <c r="I15" s="5">
        <v>9999</v>
      </c>
      <c r="J15" s="5">
        <v>333.3</v>
      </c>
      <c r="K15" s="5">
        <f t="shared" si="3"/>
        <v>0</v>
      </c>
      <c r="L15" s="5">
        <v>0</v>
      </c>
      <c r="M15" s="5">
        <v>0</v>
      </c>
      <c r="N15" t="s">
        <v>9</v>
      </c>
      <c r="O15" s="8">
        <v>29.553424657534247</v>
      </c>
      <c r="P15" t="s">
        <v>34</v>
      </c>
      <c r="Q15">
        <v>3</v>
      </c>
      <c r="R15" s="2">
        <v>35114</v>
      </c>
    </row>
    <row r="16" spans="1:18" x14ac:dyDescent="0.3">
      <c r="A16" t="s">
        <v>7</v>
      </c>
      <c r="B16">
        <v>39273</v>
      </c>
      <c r="C16" t="s">
        <v>8</v>
      </c>
      <c r="D16" s="4">
        <v>45979</v>
      </c>
      <c r="E16" s="11">
        <f t="shared" si="0"/>
        <v>2025</v>
      </c>
      <c r="F16" s="11">
        <f t="shared" si="1"/>
        <v>11</v>
      </c>
      <c r="G16" s="11" t="str">
        <f t="shared" si="2"/>
        <v>202511</v>
      </c>
      <c r="I16" s="5">
        <v>9999</v>
      </c>
      <c r="J16" s="5">
        <v>333.3</v>
      </c>
      <c r="K16" s="5">
        <f t="shared" si="3"/>
        <v>0</v>
      </c>
      <c r="L16" s="5">
        <v>0</v>
      </c>
      <c r="M16" s="5">
        <v>0</v>
      </c>
      <c r="N16" t="s">
        <v>9</v>
      </c>
      <c r="O16" s="8">
        <v>51.010958904109586</v>
      </c>
      <c r="P16" t="s">
        <v>35</v>
      </c>
      <c r="Q16">
        <v>4</v>
      </c>
      <c r="R16" s="2">
        <v>27360</v>
      </c>
    </row>
    <row r="17" spans="1:18" x14ac:dyDescent="0.3">
      <c r="A17" t="s">
        <v>11</v>
      </c>
      <c r="B17">
        <v>42822</v>
      </c>
      <c r="C17" t="s">
        <v>8</v>
      </c>
      <c r="D17" s="4">
        <v>45992</v>
      </c>
      <c r="E17" s="11">
        <f t="shared" si="0"/>
        <v>2025</v>
      </c>
      <c r="F17" s="11">
        <f t="shared" si="1"/>
        <v>12</v>
      </c>
      <c r="G17" s="11" t="str">
        <f t="shared" si="2"/>
        <v>202512</v>
      </c>
      <c r="I17" s="5">
        <v>9999</v>
      </c>
      <c r="J17" s="5">
        <v>333.3</v>
      </c>
      <c r="K17" s="5">
        <f t="shared" si="3"/>
        <v>0</v>
      </c>
      <c r="L17" s="5">
        <v>0</v>
      </c>
      <c r="M17" s="5">
        <v>0</v>
      </c>
      <c r="N17" t="s">
        <v>12</v>
      </c>
      <c r="O17" s="8">
        <v>33.38356164383562</v>
      </c>
      <c r="P17" t="s">
        <v>35</v>
      </c>
      <c r="Q17">
        <v>4</v>
      </c>
      <c r="R17" s="2">
        <v>33807</v>
      </c>
    </row>
    <row r="18" spans="1:18" x14ac:dyDescent="0.3">
      <c r="A18" t="s">
        <v>7</v>
      </c>
      <c r="B18">
        <v>50416</v>
      </c>
      <c r="C18" t="s">
        <v>10</v>
      </c>
      <c r="D18" s="4">
        <v>46023</v>
      </c>
      <c r="E18" s="11">
        <f t="shared" si="0"/>
        <v>2026</v>
      </c>
      <c r="F18" s="11">
        <f t="shared" si="1"/>
        <v>1</v>
      </c>
      <c r="G18" s="11" t="str">
        <f t="shared" si="2"/>
        <v>202601</v>
      </c>
      <c r="I18" s="5">
        <v>9999</v>
      </c>
      <c r="J18" s="5">
        <v>333.3</v>
      </c>
      <c r="K18" s="5">
        <f t="shared" si="3"/>
        <v>0</v>
      </c>
      <c r="L18" s="5">
        <v>0</v>
      </c>
      <c r="M18" s="5">
        <v>0</v>
      </c>
      <c r="N18" t="s">
        <v>12</v>
      </c>
      <c r="O18" s="8">
        <v>30.643835616438356</v>
      </c>
      <c r="P18" t="s">
        <v>34</v>
      </c>
      <c r="Q18">
        <v>3</v>
      </c>
      <c r="R18" s="2">
        <v>34838</v>
      </c>
    </row>
    <row r="19" spans="1:18" x14ac:dyDescent="0.3">
      <c r="A19" t="s">
        <v>7</v>
      </c>
      <c r="B19">
        <v>50816</v>
      </c>
      <c r="C19" t="s">
        <v>10</v>
      </c>
      <c r="D19" s="4">
        <v>45689</v>
      </c>
      <c r="E19" s="11">
        <f t="shared" si="0"/>
        <v>2025</v>
      </c>
      <c r="F19" s="11">
        <f t="shared" si="1"/>
        <v>2</v>
      </c>
      <c r="G19" s="11" t="str">
        <f t="shared" si="2"/>
        <v>202502</v>
      </c>
      <c r="H19" s="4">
        <v>45884</v>
      </c>
      <c r="I19" s="5">
        <v>195</v>
      </c>
      <c r="J19" s="5">
        <v>6.5</v>
      </c>
      <c r="K19" s="5">
        <f t="shared" si="3"/>
        <v>0</v>
      </c>
      <c r="L19" s="5">
        <v>0</v>
      </c>
      <c r="M19" s="5">
        <v>0</v>
      </c>
      <c r="N19" t="s">
        <v>12</v>
      </c>
      <c r="O19" s="8">
        <v>27.227397260273971</v>
      </c>
      <c r="P19" t="s">
        <v>34</v>
      </c>
      <c r="Q19">
        <v>3</v>
      </c>
      <c r="R19" s="2">
        <v>35751</v>
      </c>
    </row>
    <row r="20" spans="1:18" x14ac:dyDescent="0.3">
      <c r="A20" t="s">
        <v>7</v>
      </c>
      <c r="B20">
        <v>53028</v>
      </c>
      <c r="C20" t="s">
        <v>10</v>
      </c>
      <c r="D20" s="4">
        <v>45952</v>
      </c>
      <c r="E20" s="11">
        <f t="shared" si="0"/>
        <v>2025</v>
      </c>
      <c r="F20" s="11">
        <f t="shared" si="1"/>
        <v>10</v>
      </c>
      <c r="G20" s="11" t="str">
        <f t="shared" si="2"/>
        <v>202510</v>
      </c>
      <c r="H20" s="4">
        <v>45966</v>
      </c>
      <c r="I20" s="5">
        <v>14</v>
      </c>
      <c r="J20" s="5">
        <v>0.46666666666666667</v>
      </c>
      <c r="K20" s="5">
        <f t="shared" si="3"/>
        <v>1</v>
      </c>
      <c r="L20" s="5">
        <v>1</v>
      </c>
      <c r="M20" s="5">
        <v>1</v>
      </c>
      <c r="N20" t="s">
        <v>9</v>
      </c>
      <c r="O20" s="8">
        <v>30.082191780821919</v>
      </c>
      <c r="P20" t="s">
        <v>34</v>
      </c>
      <c r="Q20">
        <v>3</v>
      </c>
      <c r="R20" s="2">
        <v>34972</v>
      </c>
    </row>
    <row r="21" spans="1:18" x14ac:dyDescent="0.3">
      <c r="A21" t="s">
        <v>11</v>
      </c>
      <c r="B21">
        <v>55042</v>
      </c>
      <c r="C21" t="s">
        <v>8</v>
      </c>
      <c r="D21" s="4">
        <v>46113</v>
      </c>
      <c r="E21" s="11">
        <f t="shared" si="0"/>
        <v>2026</v>
      </c>
      <c r="F21" s="11">
        <f t="shared" si="1"/>
        <v>4</v>
      </c>
      <c r="G21" s="11" t="str">
        <f t="shared" si="2"/>
        <v>202604</v>
      </c>
      <c r="I21" s="5">
        <v>9999</v>
      </c>
      <c r="J21" s="5">
        <v>333.3</v>
      </c>
      <c r="K21" s="5">
        <f t="shared" si="3"/>
        <v>0</v>
      </c>
      <c r="L21" s="5">
        <v>0</v>
      </c>
      <c r="M21" s="5">
        <v>0</v>
      </c>
      <c r="N21" t="s">
        <v>9</v>
      </c>
      <c r="O21" s="8">
        <v>40.238356164383561</v>
      </c>
      <c r="P21" t="s">
        <v>35</v>
      </c>
      <c r="Q21">
        <v>4</v>
      </c>
      <c r="R21" s="2">
        <v>31426</v>
      </c>
    </row>
    <row r="22" spans="1:18" x14ac:dyDescent="0.3">
      <c r="A22" t="s">
        <v>11</v>
      </c>
      <c r="B22">
        <v>56192</v>
      </c>
      <c r="C22" t="s">
        <v>8</v>
      </c>
      <c r="D22" s="4">
        <v>45689</v>
      </c>
      <c r="E22" s="11">
        <f t="shared" si="0"/>
        <v>2025</v>
      </c>
      <c r="F22" s="11">
        <f t="shared" si="1"/>
        <v>2</v>
      </c>
      <c r="G22" s="11" t="str">
        <f t="shared" si="2"/>
        <v>202502</v>
      </c>
      <c r="H22" s="4">
        <v>45914</v>
      </c>
      <c r="I22" s="5">
        <v>225</v>
      </c>
      <c r="J22" s="5">
        <v>7.5</v>
      </c>
      <c r="K22" s="5">
        <f t="shared" si="3"/>
        <v>0</v>
      </c>
      <c r="L22" s="5">
        <v>0</v>
      </c>
      <c r="M22" s="5">
        <v>0</v>
      </c>
      <c r="N22" t="s">
        <v>9</v>
      </c>
      <c r="O22" s="8">
        <v>34.682191780821917</v>
      </c>
      <c r="P22" t="s">
        <v>35</v>
      </c>
      <c r="Q22">
        <v>4</v>
      </c>
      <c r="R22" s="2">
        <v>33030</v>
      </c>
    </row>
    <row r="23" spans="1:18" x14ac:dyDescent="0.3">
      <c r="A23" t="s">
        <v>7</v>
      </c>
      <c r="B23">
        <v>72934</v>
      </c>
      <c r="C23" t="s">
        <v>8</v>
      </c>
      <c r="D23" s="4">
        <v>45894</v>
      </c>
      <c r="E23" s="11">
        <f t="shared" si="0"/>
        <v>2025</v>
      </c>
      <c r="F23" s="11">
        <f t="shared" si="1"/>
        <v>8</v>
      </c>
      <c r="G23" s="11" t="str">
        <f t="shared" si="2"/>
        <v>202508</v>
      </c>
      <c r="H23" s="4">
        <v>45903</v>
      </c>
      <c r="I23" s="5">
        <v>9</v>
      </c>
      <c r="J23" s="5">
        <v>0.3</v>
      </c>
      <c r="K23" s="5">
        <f t="shared" si="3"/>
        <v>1</v>
      </c>
      <c r="L23" s="5">
        <v>1</v>
      </c>
      <c r="M23" s="5">
        <v>1</v>
      </c>
      <c r="N23" t="s">
        <v>9</v>
      </c>
      <c r="O23" s="8">
        <v>33.69041095890411</v>
      </c>
      <c r="P23" t="s">
        <v>35</v>
      </c>
      <c r="Q23">
        <v>4</v>
      </c>
      <c r="R23" s="2">
        <v>33597</v>
      </c>
    </row>
    <row r="24" spans="1:18" x14ac:dyDescent="0.3">
      <c r="A24" t="s">
        <v>7</v>
      </c>
      <c r="B24">
        <v>93669</v>
      </c>
      <c r="C24" t="s">
        <v>8</v>
      </c>
      <c r="D24" s="4">
        <v>45840</v>
      </c>
      <c r="E24" s="11">
        <f t="shared" si="0"/>
        <v>2025</v>
      </c>
      <c r="F24" s="11">
        <f t="shared" si="1"/>
        <v>7</v>
      </c>
      <c r="G24" s="11" t="str">
        <f t="shared" si="2"/>
        <v>202507</v>
      </c>
      <c r="H24" s="4">
        <v>45932</v>
      </c>
      <c r="I24" s="5">
        <v>92</v>
      </c>
      <c r="J24" s="5">
        <v>3.0666666666666669</v>
      </c>
      <c r="K24" s="5">
        <f t="shared" si="3"/>
        <v>0</v>
      </c>
      <c r="L24" s="5">
        <v>0</v>
      </c>
      <c r="M24" s="5">
        <v>1</v>
      </c>
      <c r="N24" t="s">
        <v>12</v>
      </c>
      <c r="O24" s="8">
        <v>32.208219178082189</v>
      </c>
      <c r="P24" t="s">
        <v>35</v>
      </c>
      <c r="Q24">
        <v>4</v>
      </c>
      <c r="R24" s="2">
        <v>34084</v>
      </c>
    </row>
    <row r="25" spans="1:18" x14ac:dyDescent="0.3">
      <c r="A25" t="s">
        <v>7</v>
      </c>
      <c r="B25">
        <v>98576</v>
      </c>
      <c r="C25" t="s">
        <v>8</v>
      </c>
      <c r="D25" s="4">
        <v>45882</v>
      </c>
      <c r="E25" s="11">
        <f t="shared" si="0"/>
        <v>2025</v>
      </c>
      <c r="F25" s="11">
        <f t="shared" si="1"/>
        <v>8</v>
      </c>
      <c r="G25" s="11" t="str">
        <f t="shared" si="2"/>
        <v>202508</v>
      </c>
      <c r="I25" s="5">
        <v>9999</v>
      </c>
      <c r="J25" s="5">
        <v>333.3</v>
      </c>
      <c r="K25" s="5">
        <f t="shared" si="3"/>
        <v>0</v>
      </c>
      <c r="L25" s="5">
        <v>0</v>
      </c>
      <c r="M25" s="5">
        <v>0</v>
      </c>
      <c r="N25" t="s">
        <v>12</v>
      </c>
      <c r="O25" s="8">
        <v>28.479452054794521</v>
      </c>
      <c r="P25" t="s">
        <v>34</v>
      </c>
      <c r="Q25">
        <v>3</v>
      </c>
      <c r="R25" s="2">
        <v>35487</v>
      </c>
    </row>
    <row r="26" spans="1:18" x14ac:dyDescent="0.3">
      <c r="A26" t="s">
        <v>7</v>
      </c>
      <c r="B26">
        <v>98964</v>
      </c>
      <c r="C26" t="s">
        <v>8</v>
      </c>
      <c r="D26" s="4">
        <v>45717</v>
      </c>
      <c r="E26" s="11">
        <f t="shared" si="0"/>
        <v>2025</v>
      </c>
      <c r="F26" s="11">
        <f t="shared" si="1"/>
        <v>3</v>
      </c>
      <c r="G26" s="11" t="str">
        <f t="shared" si="2"/>
        <v>202503</v>
      </c>
      <c r="I26" s="5">
        <v>9999</v>
      </c>
      <c r="J26" s="5">
        <v>333.3</v>
      </c>
      <c r="K26" s="5">
        <f t="shared" si="3"/>
        <v>0</v>
      </c>
      <c r="L26" s="5">
        <v>0</v>
      </c>
      <c r="M26" s="5">
        <v>0</v>
      </c>
      <c r="N26" t="s">
        <v>9</v>
      </c>
      <c r="O26" s="8">
        <v>29.572602739726026</v>
      </c>
      <c r="P26" t="s">
        <v>34</v>
      </c>
      <c r="Q26">
        <v>3</v>
      </c>
      <c r="R26" s="2">
        <v>34923</v>
      </c>
    </row>
    <row r="27" spans="1:18" x14ac:dyDescent="0.3">
      <c r="A27" t="s">
        <v>7</v>
      </c>
      <c r="B27">
        <v>99135</v>
      </c>
      <c r="C27" t="s">
        <v>8</v>
      </c>
      <c r="D27" s="4">
        <v>45880</v>
      </c>
      <c r="E27" s="11">
        <f t="shared" si="0"/>
        <v>2025</v>
      </c>
      <c r="F27" s="11">
        <f t="shared" si="1"/>
        <v>8</v>
      </c>
      <c r="G27" s="11" t="str">
        <f t="shared" si="2"/>
        <v>202508</v>
      </c>
      <c r="H27" s="4">
        <v>45900</v>
      </c>
      <c r="I27" s="5">
        <v>20</v>
      </c>
      <c r="J27" s="5">
        <v>0.66666666666666663</v>
      </c>
      <c r="K27" s="5">
        <f t="shared" si="3"/>
        <v>1</v>
      </c>
      <c r="L27" s="5">
        <v>1</v>
      </c>
      <c r="M27" s="5">
        <v>1</v>
      </c>
      <c r="N27" t="s">
        <v>9</v>
      </c>
      <c r="O27" s="8">
        <v>26.646575342465752</v>
      </c>
      <c r="P27" t="s">
        <v>34</v>
      </c>
      <c r="Q27">
        <v>3</v>
      </c>
      <c r="R27" s="2">
        <v>36154</v>
      </c>
    </row>
    <row r="28" spans="1:18" x14ac:dyDescent="0.3">
      <c r="A28" t="s">
        <v>11</v>
      </c>
      <c r="B28">
        <v>103603</v>
      </c>
      <c r="C28" t="s">
        <v>10</v>
      </c>
      <c r="D28" s="4">
        <v>46143</v>
      </c>
      <c r="E28" s="11">
        <f t="shared" si="0"/>
        <v>2026</v>
      </c>
      <c r="F28" s="11">
        <f t="shared" si="1"/>
        <v>5</v>
      </c>
      <c r="G28" s="11" t="str">
        <f t="shared" si="2"/>
        <v>202605</v>
      </c>
      <c r="I28" s="5">
        <v>9999</v>
      </c>
      <c r="J28" s="5">
        <v>333.3</v>
      </c>
      <c r="K28" s="5">
        <f t="shared" si="3"/>
        <v>0</v>
      </c>
      <c r="L28" s="5">
        <v>0</v>
      </c>
      <c r="M28" s="5">
        <v>0</v>
      </c>
      <c r="N28" t="s">
        <v>9</v>
      </c>
      <c r="O28" s="8">
        <v>39.923287671232877</v>
      </c>
      <c r="P28" t="s">
        <v>35</v>
      </c>
      <c r="Q28">
        <v>4</v>
      </c>
      <c r="R28" s="2">
        <v>31571</v>
      </c>
    </row>
    <row r="29" spans="1:18" x14ac:dyDescent="0.3">
      <c r="A29" t="s">
        <v>7</v>
      </c>
      <c r="B29">
        <v>109590</v>
      </c>
      <c r="C29" t="s">
        <v>8</v>
      </c>
      <c r="D29" s="4">
        <v>45778</v>
      </c>
      <c r="E29" s="11">
        <f t="shared" si="0"/>
        <v>2025</v>
      </c>
      <c r="F29" s="11">
        <f t="shared" si="1"/>
        <v>5</v>
      </c>
      <c r="G29" s="11" t="str">
        <f t="shared" si="2"/>
        <v>202505</v>
      </c>
      <c r="I29" s="5">
        <v>9999</v>
      </c>
      <c r="J29" s="5">
        <v>333.3</v>
      </c>
      <c r="K29" s="5">
        <f t="shared" si="3"/>
        <v>0</v>
      </c>
      <c r="L29" s="5">
        <v>0</v>
      </c>
      <c r="M29" s="5">
        <v>0</v>
      </c>
      <c r="N29" t="s">
        <v>9</v>
      </c>
      <c r="O29" s="8">
        <v>38.676712328767124</v>
      </c>
      <c r="P29" t="s">
        <v>35</v>
      </c>
      <c r="Q29">
        <v>4</v>
      </c>
      <c r="R29" s="2">
        <v>31661</v>
      </c>
    </row>
    <row r="30" spans="1:18" x14ac:dyDescent="0.3">
      <c r="A30" t="s">
        <v>11</v>
      </c>
      <c r="B30">
        <v>110571</v>
      </c>
      <c r="C30" t="s">
        <v>8</v>
      </c>
      <c r="D30" s="4">
        <v>45658</v>
      </c>
      <c r="E30" s="11">
        <f t="shared" si="0"/>
        <v>2025</v>
      </c>
      <c r="F30" s="11">
        <f t="shared" si="1"/>
        <v>1</v>
      </c>
      <c r="G30" s="11" t="str">
        <f t="shared" si="2"/>
        <v>202501</v>
      </c>
      <c r="I30" s="5">
        <v>9999</v>
      </c>
      <c r="J30" s="5">
        <v>333.3</v>
      </c>
      <c r="K30" s="5">
        <f t="shared" si="3"/>
        <v>0</v>
      </c>
      <c r="L30" s="5">
        <v>0</v>
      </c>
      <c r="M30" s="5">
        <v>0</v>
      </c>
      <c r="N30" t="s">
        <v>12</v>
      </c>
      <c r="O30" s="8">
        <v>34.6</v>
      </c>
      <c r="P30" t="s">
        <v>35</v>
      </c>
      <c r="Q30">
        <v>4</v>
      </c>
      <c r="R30" s="2">
        <v>33029</v>
      </c>
    </row>
    <row r="31" spans="1:18" x14ac:dyDescent="0.3">
      <c r="A31" t="s">
        <v>7</v>
      </c>
      <c r="B31">
        <v>128966</v>
      </c>
      <c r="C31" t="s">
        <v>8</v>
      </c>
      <c r="D31" s="4">
        <v>46113</v>
      </c>
      <c r="E31" s="11">
        <f t="shared" si="0"/>
        <v>2026</v>
      </c>
      <c r="F31" s="11">
        <f t="shared" si="1"/>
        <v>4</v>
      </c>
      <c r="G31" s="11" t="str">
        <f t="shared" si="2"/>
        <v>202604</v>
      </c>
      <c r="I31" s="5">
        <v>9999</v>
      </c>
      <c r="J31" s="5">
        <v>333.3</v>
      </c>
      <c r="K31" s="5">
        <f t="shared" si="3"/>
        <v>0</v>
      </c>
      <c r="L31" s="5">
        <v>0</v>
      </c>
      <c r="M31" s="5">
        <v>0</v>
      </c>
      <c r="N31" t="s">
        <v>9</v>
      </c>
      <c r="O31" s="8">
        <v>38.838356164383562</v>
      </c>
      <c r="P31" t="s">
        <v>35</v>
      </c>
      <c r="Q31">
        <v>4</v>
      </c>
      <c r="R31" s="2">
        <v>31937</v>
      </c>
    </row>
    <row r="32" spans="1:18" x14ac:dyDescent="0.3">
      <c r="A32" t="s">
        <v>7</v>
      </c>
      <c r="B32">
        <v>203417</v>
      </c>
      <c r="C32" t="s">
        <v>8</v>
      </c>
      <c r="D32" s="4">
        <v>45748</v>
      </c>
      <c r="E32" s="11">
        <f t="shared" si="0"/>
        <v>2025</v>
      </c>
      <c r="F32" s="11">
        <f t="shared" si="1"/>
        <v>4</v>
      </c>
      <c r="G32" s="11" t="str">
        <f t="shared" si="2"/>
        <v>202504</v>
      </c>
      <c r="H32" s="4">
        <v>45991</v>
      </c>
      <c r="I32" s="5">
        <v>243</v>
      </c>
      <c r="J32" s="5">
        <v>8.1</v>
      </c>
      <c r="K32" s="5">
        <f t="shared" si="3"/>
        <v>0</v>
      </c>
      <c r="L32" s="5">
        <v>0</v>
      </c>
      <c r="M32" s="5">
        <v>0</v>
      </c>
      <c r="N32" t="s">
        <v>9</v>
      </c>
      <c r="O32" s="8">
        <v>44.742465753424661</v>
      </c>
      <c r="P32" t="s">
        <v>35</v>
      </c>
      <c r="Q32">
        <v>4</v>
      </c>
      <c r="R32" s="2">
        <v>29417</v>
      </c>
    </row>
    <row r="33" spans="1:18" x14ac:dyDescent="0.3">
      <c r="A33" t="s">
        <v>7</v>
      </c>
      <c r="B33">
        <v>203659</v>
      </c>
      <c r="C33" t="s">
        <v>10</v>
      </c>
      <c r="D33" s="4">
        <v>45839</v>
      </c>
      <c r="E33" s="11">
        <f t="shared" si="0"/>
        <v>2025</v>
      </c>
      <c r="F33" s="11">
        <f t="shared" si="1"/>
        <v>7</v>
      </c>
      <c r="G33" s="11" t="str">
        <f t="shared" si="2"/>
        <v>202507</v>
      </c>
      <c r="H33" s="4">
        <v>46023</v>
      </c>
      <c r="I33" s="5">
        <v>184</v>
      </c>
      <c r="J33" s="5">
        <v>6.1333333333333337</v>
      </c>
      <c r="K33" s="5">
        <f t="shared" si="3"/>
        <v>0</v>
      </c>
      <c r="L33" s="5">
        <v>0</v>
      </c>
      <c r="M33" s="5">
        <v>0</v>
      </c>
      <c r="N33" t="s">
        <v>12</v>
      </c>
      <c r="O33" s="8">
        <v>33.0027397260274</v>
      </c>
      <c r="P33" t="s">
        <v>35</v>
      </c>
      <c r="Q33">
        <v>4</v>
      </c>
      <c r="R33" s="2">
        <v>33793</v>
      </c>
    </row>
    <row r="34" spans="1:18" x14ac:dyDescent="0.3">
      <c r="A34" t="s">
        <v>11</v>
      </c>
      <c r="B34">
        <v>216043</v>
      </c>
      <c r="C34" t="s">
        <v>8</v>
      </c>
      <c r="D34" s="4">
        <v>45717</v>
      </c>
      <c r="E34" s="11">
        <f t="shared" si="0"/>
        <v>2025</v>
      </c>
      <c r="F34" s="11">
        <f t="shared" si="1"/>
        <v>3</v>
      </c>
      <c r="G34" s="11" t="str">
        <f t="shared" si="2"/>
        <v>202503</v>
      </c>
      <c r="I34" s="5">
        <v>9999</v>
      </c>
      <c r="J34" s="5">
        <v>333.3</v>
      </c>
      <c r="K34" s="5">
        <f t="shared" si="3"/>
        <v>0</v>
      </c>
      <c r="L34" s="5">
        <v>0</v>
      </c>
      <c r="M34" s="5">
        <v>0</v>
      </c>
      <c r="N34" t="s">
        <v>9</v>
      </c>
      <c r="O34" s="8">
        <v>34.712328767123289</v>
      </c>
      <c r="P34" t="s">
        <v>35</v>
      </c>
      <c r="Q34">
        <v>4</v>
      </c>
      <c r="R34" s="2">
        <v>33047</v>
      </c>
    </row>
    <row r="35" spans="1:18" x14ac:dyDescent="0.3">
      <c r="A35" t="s">
        <v>7</v>
      </c>
      <c r="B35">
        <v>216317</v>
      </c>
      <c r="C35" t="s">
        <v>8</v>
      </c>
      <c r="D35" s="4">
        <v>46054</v>
      </c>
      <c r="E35" s="11">
        <f t="shared" si="0"/>
        <v>2026</v>
      </c>
      <c r="F35" s="11">
        <f t="shared" si="1"/>
        <v>2</v>
      </c>
      <c r="G35" s="11" t="str">
        <f t="shared" si="2"/>
        <v>202602</v>
      </c>
      <c r="I35" s="5">
        <v>9999</v>
      </c>
      <c r="J35" s="5">
        <v>333.3</v>
      </c>
      <c r="K35" s="5">
        <f t="shared" si="3"/>
        <v>0</v>
      </c>
      <c r="L35" s="5">
        <v>0</v>
      </c>
      <c r="M35" s="5">
        <v>0</v>
      </c>
      <c r="N35" t="s">
        <v>12</v>
      </c>
      <c r="O35" s="8">
        <v>31.758904109589039</v>
      </c>
      <c r="P35" t="s">
        <v>35</v>
      </c>
      <c r="Q35">
        <v>4</v>
      </c>
      <c r="R35" s="2">
        <v>34462</v>
      </c>
    </row>
    <row r="36" spans="1:18" x14ac:dyDescent="0.3">
      <c r="A36" t="s">
        <v>11</v>
      </c>
      <c r="B36">
        <v>216345</v>
      </c>
      <c r="C36" t="s">
        <v>10</v>
      </c>
      <c r="D36" s="4">
        <v>46054</v>
      </c>
      <c r="E36" s="11">
        <f t="shared" si="0"/>
        <v>2026</v>
      </c>
      <c r="F36" s="11">
        <f t="shared" si="1"/>
        <v>2</v>
      </c>
      <c r="G36" s="11" t="str">
        <f t="shared" si="2"/>
        <v>202602</v>
      </c>
      <c r="I36" s="5">
        <v>9999</v>
      </c>
      <c r="J36" s="5">
        <v>333.3</v>
      </c>
      <c r="K36" s="5">
        <f t="shared" si="3"/>
        <v>0</v>
      </c>
      <c r="L36" s="5">
        <v>0</v>
      </c>
      <c r="M36" s="5">
        <v>0</v>
      </c>
      <c r="N36" t="s">
        <v>9</v>
      </c>
      <c r="O36" s="8">
        <v>28.665753424657535</v>
      </c>
      <c r="P36" t="s">
        <v>34</v>
      </c>
      <c r="Q36">
        <v>3</v>
      </c>
      <c r="R36" s="2">
        <v>35591</v>
      </c>
    </row>
    <row r="37" spans="1:18" x14ac:dyDescent="0.3">
      <c r="A37" t="s">
        <v>7</v>
      </c>
      <c r="B37">
        <v>216808</v>
      </c>
      <c r="C37" t="s">
        <v>8</v>
      </c>
      <c r="D37" s="4">
        <v>46054</v>
      </c>
      <c r="E37" s="11">
        <f t="shared" si="0"/>
        <v>2026</v>
      </c>
      <c r="F37" s="11">
        <f t="shared" si="1"/>
        <v>2</v>
      </c>
      <c r="G37" s="11" t="str">
        <f t="shared" si="2"/>
        <v>202602</v>
      </c>
      <c r="H37" s="4">
        <v>46112</v>
      </c>
      <c r="I37" s="5">
        <v>58</v>
      </c>
      <c r="J37" s="5">
        <v>1.9333333333333333</v>
      </c>
      <c r="K37" s="5">
        <f t="shared" si="3"/>
        <v>0</v>
      </c>
      <c r="L37" s="5">
        <v>1</v>
      </c>
      <c r="M37" s="5">
        <v>1</v>
      </c>
      <c r="N37" t="s">
        <v>9</v>
      </c>
      <c r="O37" s="8">
        <v>43.635616438356166</v>
      </c>
      <c r="P37" t="s">
        <v>35</v>
      </c>
      <c r="Q37">
        <v>4</v>
      </c>
      <c r="R37" s="2">
        <v>30127</v>
      </c>
    </row>
    <row r="38" spans="1:18" x14ac:dyDescent="0.3">
      <c r="A38" t="s">
        <v>7</v>
      </c>
      <c r="B38">
        <v>243555</v>
      </c>
      <c r="C38" t="s">
        <v>8</v>
      </c>
      <c r="D38" s="4">
        <v>46070</v>
      </c>
      <c r="E38" s="11">
        <f t="shared" si="0"/>
        <v>2026</v>
      </c>
      <c r="F38" s="11">
        <f t="shared" si="1"/>
        <v>2</v>
      </c>
      <c r="G38" s="11" t="str">
        <f t="shared" si="2"/>
        <v>202602</v>
      </c>
      <c r="I38" s="5">
        <v>9999</v>
      </c>
      <c r="J38" s="5">
        <v>333.3</v>
      </c>
      <c r="K38" s="5">
        <f t="shared" si="3"/>
        <v>0</v>
      </c>
      <c r="L38" s="5">
        <v>0</v>
      </c>
      <c r="M38" s="5">
        <v>0</v>
      </c>
      <c r="N38" t="s">
        <v>9</v>
      </c>
      <c r="O38" s="8">
        <v>30.602739726027398</v>
      </c>
      <c r="P38" t="s">
        <v>34</v>
      </c>
      <c r="Q38">
        <v>3</v>
      </c>
      <c r="R38" s="2">
        <v>34900</v>
      </c>
    </row>
    <row r="39" spans="1:18" x14ac:dyDescent="0.3">
      <c r="A39" t="s">
        <v>7</v>
      </c>
      <c r="B39">
        <v>246088</v>
      </c>
      <c r="C39" t="s">
        <v>8</v>
      </c>
      <c r="D39" s="4">
        <v>45901</v>
      </c>
      <c r="E39" s="11">
        <f t="shared" si="0"/>
        <v>2025</v>
      </c>
      <c r="F39" s="11">
        <f t="shared" si="1"/>
        <v>9</v>
      </c>
      <c r="G39" s="11" t="str">
        <f t="shared" si="2"/>
        <v>202509</v>
      </c>
      <c r="I39" s="5">
        <v>9999</v>
      </c>
      <c r="J39" s="5">
        <v>333.3</v>
      </c>
      <c r="K39" s="5">
        <f t="shared" si="3"/>
        <v>0</v>
      </c>
      <c r="L39" s="5">
        <v>0</v>
      </c>
      <c r="M39" s="5">
        <v>0</v>
      </c>
      <c r="N39" t="s">
        <v>12</v>
      </c>
      <c r="O39" s="8">
        <v>29.975342465753425</v>
      </c>
      <c r="P39" t="s">
        <v>34</v>
      </c>
      <c r="Q39">
        <v>3</v>
      </c>
      <c r="R39" s="2">
        <v>34960</v>
      </c>
    </row>
    <row r="40" spans="1:18" x14ac:dyDescent="0.3">
      <c r="A40" t="s">
        <v>7</v>
      </c>
      <c r="B40">
        <v>268134</v>
      </c>
      <c r="C40" t="s">
        <v>8</v>
      </c>
      <c r="D40" s="4">
        <v>45717</v>
      </c>
      <c r="E40" s="11">
        <f t="shared" si="0"/>
        <v>2025</v>
      </c>
      <c r="F40" s="11">
        <f t="shared" si="1"/>
        <v>3</v>
      </c>
      <c r="G40" s="11" t="str">
        <f t="shared" si="2"/>
        <v>202503</v>
      </c>
      <c r="H40" s="4">
        <v>45870</v>
      </c>
      <c r="I40" s="5">
        <v>153</v>
      </c>
      <c r="J40" s="5">
        <v>5.0999999999999996</v>
      </c>
      <c r="K40" s="5">
        <f t="shared" si="3"/>
        <v>0</v>
      </c>
      <c r="L40" s="5">
        <v>0</v>
      </c>
      <c r="M40" s="5">
        <v>1</v>
      </c>
      <c r="N40" t="s">
        <v>12</v>
      </c>
      <c r="O40" s="8">
        <v>28.402739726027399</v>
      </c>
      <c r="P40" t="s">
        <v>34</v>
      </c>
      <c r="Q40">
        <v>3</v>
      </c>
      <c r="R40" s="2">
        <v>35350</v>
      </c>
    </row>
    <row r="41" spans="1:18" x14ac:dyDescent="0.3">
      <c r="A41" t="s">
        <v>11</v>
      </c>
      <c r="B41">
        <v>268169</v>
      </c>
      <c r="C41" t="s">
        <v>8</v>
      </c>
      <c r="D41" s="4">
        <v>45992</v>
      </c>
      <c r="E41" s="11">
        <f t="shared" si="0"/>
        <v>2025</v>
      </c>
      <c r="F41" s="11">
        <f t="shared" si="1"/>
        <v>12</v>
      </c>
      <c r="G41" s="11" t="str">
        <f t="shared" si="2"/>
        <v>202512</v>
      </c>
      <c r="I41" s="5">
        <v>9999</v>
      </c>
      <c r="J41" s="5">
        <v>333.3</v>
      </c>
      <c r="K41" s="5">
        <f t="shared" si="3"/>
        <v>0</v>
      </c>
      <c r="L41" s="5">
        <v>0</v>
      </c>
      <c r="M41" s="5">
        <v>0</v>
      </c>
      <c r="N41" t="s">
        <v>9</v>
      </c>
      <c r="O41" s="8">
        <v>27.079452054794519</v>
      </c>
      <c r="P41" t="s">
        <v>34</v>
      </c>
      <c r="Q41">
        <v>3</v>
      </c>
      <c r="R41" s="2">
        <v>36108</v>
      </c>
    </row>
    <row r="42" spans="1:18" x14ac:dyDescent="0.3">
      <c r="A42" t="s">
        <v>7</v>
      </c>
      <c r="B42">
        <v>269448</v>
      </c>
      <c r="C42" t="s">
        <v>8</v>
      </c>
      <c r="D42" s="4">
        <v>45954</v>
      </c>
      <c r="E42" s="11">
        <f t="shared" si="0"/>
        <v>2025</v>
      </c>
      <c r="F42" s="11">
        <f t="shared" si="1"/>
        <v>10</v>
      </c>
      <c r="G42" s="11" t="str">
        <f t="shared" si="2"/>
        <v>202510</v>
      </c>
      <c r="I42" s="5">
        <v>9999</v>
      </c>
      <c r="J42" s="5">
        <v>333.3</v>
      </c>
      <c r="K42" s="5">
        <f t="shared" si="3"/>
        <v>0</v>
      </c>
      <c r="L42" s="5">
        <v>0</v>
      </c>
      <c r="M42" s="5">
        <v>0</v>
      </c>
      <c r="N42" t="s">
        <v>9</v>
      </c>
      <c r="O42" s="8">
        <v>32.287671232876711</v>
      </c>
      <c r="P42" t="s">
        <v>35</v>
      </c>
      <c r="Q42">
        <v>4</v>
      </c>
      <c r="R42" s="2">
        <v>34169</v>
      </c>
    </row>
    <row r="43" spans="1:18" x14ac:dyDescent="0.3">
      <c r="A43" t="s">
        <v>7</v>
      </c>
      <c r="B43">
        <v>272179</v>
      </c>
      <c r="C43" t="s">
        <v>8</v>
      </c>
      <c r="D43" s="4">
        <v>46147</v>
      </c>
      <c r="E43" s="11">
        <f t="shared" si="0"/>
        <v>2026</v>
      </c>
      <c r="F43" s="11">
        <f t="shared" si="1"/>
        <v>5</v>
      </c>
      <c r="G43" s="11" t="str">
        <f t="shared" si="2"/>
        <v>202605</v>
      </c>
      <c r="I43" s="5">
        <v>9999</v>
      </c>
      <c r="J43" s="5">
        <v>333.3</v>
      </c>
      <c r="K43" s="5">
        <f t="shared" si="3"/>
        <v>0</v>
      </c>
      <c r="L43" s="5">
        <v>0</v>
      </c>
      <c r="M43" s="5">
        <v>0</v>
      </c>
      <c r="N43" t="s">
        <v>9</v>
      </c>
      <c r="O43" s="8">
        <v>25.654794520547945</v>
      </c>
      <c r="P43" t="s">
        <v>33</v>
      </c>
      <c r="Q43">
        <v>2</v>
      </c>
      <c r="R43" s="2">
        <v>36783</v>
      </c>
    </row>
    <row r="44" spans="1:18" x14ac:dyDescent="0.3">
      <c r="A44" t="s">
        <v>7</v>
      </c>
      <c r="B44">
        <v>274399</v>
      </c>
      <c r="C44" t="s">
        <v>8</v>
      </c>
      <c r="D44" s="4">
        <v>45962</v>
      </c>
      <c r="E44" s="11">
        <f t="shared" si="0"/>
        <v>2025</v>
      </c>
      <c r="F44" s="11">
        <f t="shared" si="1"/>
        <v>11</v>
      </c>
      <c r="G44" s="11" t="str">
        <f t="shared" si="2"/>
        <v>202511</v>
      </c>
      <c r="I44" s="5">
        <v>9999</v>
      </c>
      <c r="J44" s="5">
        <v>333.3</v>
      </c>
      <c r="K44" s="5">
        <f t="shared" si="3"/>
        <v>0</v>
      </c>
      <c r="L44" s="5">
        <v>0</v>
      </c>
      <c r="M44" s="5">
        <v>0</v>
      </c>
      <c r="N44" t="s">
        <v>12</v>
      </c>
      <c r="O44" s="8">
        <v>30.350684931506848</v>
      </c>
      <c r="P44" t="s">
        <v>34</v>
      </c>
      <c r="Q44">
        <v>3</v>
      </c>
      <c r="R44" s="2">
        <v>34884</v>
      </c>
    </row>
    <row r="45" spans="1:18" x14ac:dyDescent="0.3">
      <c r="A45" t="s">
        <v>7</v>
      </c>
      <c r="B45">
        <v>275711</v>
      </c>
      <c r="C45" t="s">
        <v>8</v>
      </c>
      <c r="D45" s="4">
        <v>45717</v>
      </c>
      <c r="E45" s="11">
        <f t="shared" si="0"/>
        <v>2025</v>
      </c>
      <c r="F45" s="11">
        <f t="shared" si="1"/>
        <v>3</v>
      </c>
      <c r="G45" s="11" t="str">
        <f t="shared" si="2"/>
        <v>202503</v>
      </c>
      <c r="I45" s="5">
        <v>9999</v>
      </c>
      <c r="J45" s="5">
        <v>333.3</v>
      </c>
      <c r="K45" s="5">
        <f t="shared" si="3"/>
        <v>0</v>
      </c>
      <c r="L45" s="5">
        <v>0</v>
      </c>
      <c r="M45" s="5">
        <v>0</v>
      </c>
      <c r="N45" t="s">
        <v>12</v>
      </c>
      <c r="O45" s="8">
        <v>35.821917808219176</v>
      </c>
      <c r="P45" t="s">
        <v>35</v>
      </c>
      <c r="Q45">
        <v>4</v>
      </c>
      <c r="R45" s="2">
        <v>32642</v>
      </c>
    </row>
    <row r="46" spans="1:18" x14ac:dyDescent="0.3">
      <c r="A46" t="s">
        <v>7</v>
      </c>
      <c r="B46">
        <v>283361</v>
      </c>
      <c r="C46" t="s">
        <v>8</v>
      </c>
      <c r="D46" s="4">
        <v>45902</v>
      </c>
      <c r="E46" s="11">
        <f t="shared" si="0"/>
        <v>2025</v>
      </c>
      <c r="F46" s="11">
        <f t="shared" si="1"/>
        <v>9</v>
      </c>
      <c r="G46" s="11" t="str">
        <f t="shared" si="2"/>
        <v>202509</v>
      </c>
      <c r="H46" s="4">
        <v>46059</v>
      </c>
      <c r="I46" s="5">
        <v>157</v>
      </c>
      <c r="J46" s="5">
        <v>5.2333333333333334</v>
      </c>
      <c r="K46" s="5">
        <f t="shared" si="3"/>
        <v>0</v>
      </c>
      <c r="L46" s="5">
        <v>0</v>
      </c>
      <c r="M46" s="5">
        <v>1</v>
      </c>
      <c r="N46" t="s">
        <v>9</v>
      </c>
      <c r="O46" s="8">
        <v>26.736986301369864</v>
      </c>
      <c r="P46" t="s">
        <v>34</v>
      </c>
      <c r="Q46">
        <v>3</v>
      </c>
      <c r="R46" s="2">
        <v>36143</v>
      </c>
    </row>
    <row r="47" spans="1:18" x14ac:dyDescent="0.3">
      <c r="A47" t="s">
        <v>7</v>
      </c>
      <c r="B47">
        <v>299006</v>
      </c>
      <c r="C47" t="s">
        <v>8</v>
      </c>
      <c r="D47" s="4">
        <v>46054</v>
      </c>
      <c r="E47" s="11">
        <f t="shared" si="0"/>
        <v>2026</v>
      </c>
      <c r="F47" s="11">
        <f t="shared" si="1"/>
        <v>2</v>
      </c>
      <c r="G47" s="11" t="str">
        <f t="shared" si="2"/>
        <v>202602</v>
      </c>
      <c r="I47" s="5">
        <v>9999</v>
      </c>
      <c r="J47" s="5">
        <v>333.3</v>
      </c>
      <c r="K47" s="5">
        <f t="shared" si="3"/>
        <v>0</v>
      </c>
      <c r="L47" s="5">
        <v>0</v>
      </c>
      <c r="M47" s="5">
        <v>0</v>
      </c>
      <c r="N47" t="s">
        <v>9</v>
      </c>
      <c r="O47" s="8">
        <v>24.528767123287672</v>
      </c>
      <c r="P47" t="s">
        <v>33</v>
      </c>
      <c r="Q47">
        <v>2</v>
      </c>
      <c r="R47" s="2">
        <v>37101</v>
      </c>
    </row>
    <row r="48" spans="1:18" x14ac:dyDescent="0.3">
      <c r="A48" t="s">
        <v>11</v>
      </c>
      <c r="B48">
        <v>300598</v>
      </c>
      <c r="C48" t="s">
        <v>10</v>
      </c>
      <c r="D48" s="4">
        <v>45717</v>
      </c>
      <c r="E48" s="11">
        <f t="shared" si="0"/>
        <v>2025</v>
      </c>
      <c r="F48" s="11">
        <f t="shared" si="1"/>
        <v>3</v>
      </c>
      <c r="G48" s="11" t="str">
        <f t="shared" si="2"/>
        <v>202503</v>
      </c>
      <c r="I48" s="5">
        <v>9999</v>
      </c>
      <c r="J48" s="5">
        <v>333.3</v>
      </c>
      <c r="K48" s="5">
        <f t="shared" si="3"/>
        <v>0</v>
      </c>
      <c r="L48" s="5">
        <v>0</v>
      </c>
      <c r="M48" s="5">
        <v>0</v>
      </c>
      <c r="N48" t="s">
        <v>12</v>
      </c>
      <c r="O48" s="8">
        <v>26.230136986301371</v>
      </c>
      <c r="P48" t="s">
        <v>34</v>
      </c>
      <c r="Q48">
        <v>3</v>
      </c>
      <c r="R48" s="2">
        <v>36143</v>
      </c>
    </row>
    <row r="49" spans="1:18" x14ac:dyDescent="0.3">
      <c r="A49" t="s">
        <v>11</v>
      </c>
      <c r="B49">
        <v>303883</v>
      </c>
      <c r="C49" t="s">
        <v>8</v>
      </c>
      <c r="D49" s="4">
        <v>46143</v>
      </c>
      <c r="E49" s="11">
        <f t="shared" si="0"/>
        <v>2026</v>
      </c>
      <c r="F49" s="11">
        <f t="shared" si="1"/>
        <v>5</v>
      </c>
      <c r="G49" s="11" t="str">
        <f t="shared" si="2"/>
        <v>202605</v>
      </c>
      <c r="I49" s="5">
        <v>9999</v>
      </c>
      <c r="J49" s="5">
        <v>333.3</v>
      </c>
      <c r="K49" s="5">
        <f t="shared" si="3"/>
        <v>0</v>
      </c>
      <c r="L49" s="5">
        <v>0</v>
      </c>
      <c r="M49" s="5">
        <v>0</v>
      </c>
      <c r="N49" t="s">
        <v>12</v>
      </c>
      <c r="O49" s="8">
        <v>26.306849315068494</v>
      </c>
      <c r="P49" t="s">
        <v>34</v>
      </c>
      <c r="Q49">
        <v>3</v>
      </c>
      <c r="R49" s="2">
        <v>36541</v>
      </c>
    </row>
    <row r="50" spans="1:18" x14ac:dyDescent="0.3">
      <c r="A50" t="s">
        <v>7</v>
      </c>
      <c r="B50">
        <v>321790</v>
      </c>
      <c r="C50" t="s">
        <v>8</v>
      </c>
      <c r="D50" s="4">
        <v>45966</v>
      </c>
      <c r="E50" s="11">
        <f t="shared" si="0"/>
        <v>2025</v>
      </c>
      <c r="F50" s="11">
        <f t="shared" si="1"/>
        <v>11</v>
      </c>
      <c r="G50" s="11" t="str">
        <f t="shared" si="2"/>
        <v>202511</v>
      </c>
      <c r="H50" s="4">
        <v>46068</v>
      </c>
      <c r="I50" s="5">
        <v>102</v>
      </c>
      <c r="J50" s="5">
        <v>3.4</v>
      </c>
      <c r="K50" s="5">
        <f t="shared" si="3"/>
        <v>0</v>
      </c>
      <c r="L50" s="5">
        <v>0</v>
      </c>
      <c r="M50" s="5">
        <v>1</v>
      </c>
      <c r="N50" t="s">
        <v>12</v>
      </c>
      <c r="O50" s="8">
        <v>24.739726027397261</v>
      </c>
      <c r="P50" t="s">
        <v>33</v>
      </c>
      <c r="Q50">
        <v>2</v>
      </c>
      <c r="R50" s="2">
        <v>36936</v>
      </c>
    </row>
    <row r="51" spans="1:18" x14ac:dyDescent="0.3">
      <c r="A51" t="s">
        <v>7</v>
      </c>
      <c r="B51">
        <v>328922</v>
      </c>
      <c r="C51" t="s">
        <v>8</v>
      </c>
      <c r="D51" s="4">
        <v>45689</v>
      </c>
      <c r="E51" s="11">
        <f t="shared" si="0"/>
        <v>2025</v>
      </c>
      <c r="F51" s="11">
        <f t="shared" si="1"/>
        <v>2</v>
      </c>
      <c r="G51" s="11" t="str">
        <f t="shared" si="2"/>
        <v>202502</v>
      </c>
      <c r="I51" s="5">
        <v>9999</v>
      </c>
      <c r="J51" s="5">
        <v>333.3</v>
      </c>
      <c r="K51" s="5">
        <f t="shared" si="3"/>
        <v>0</v>
      </c>
      <c r="L51" s="5">
        <v>0</v>
      </c>
      <c r="M51" s="5">
        <v>0</v>
      </c>
      <c r="N51" t="s">
        <v>9</v>
      </c>
      <c r="O51" s="8">
        <v>24.545205479452054</v>
      </c>
      <c r="P51" t="s">
        <v>33</v>
      </c>
      <c r="Q51">
        <v>2</v>
      </c>
      <c r="R51" s="2">
        <v>36730</v>
      </c>
    </row>
    <row r="52" spans="1:18" x14ac:dyDescent="0.3">
      <c r="A52" t="s">
        <v>7</v>
      </c>
      <c r="B52">
        <v>631735</v>
      </c>
      <c r="C52" t="s">
        <v>8</v>
      </c>
      <c r="D52" s="4">
        <v>46118</v>
      </c>
      <c r="E52" s="11">
        <f t="shared" si="0"/>
        <v>2026</v>
      </c>
      <c r="F52" s="11">
        <f t="shared" si="1"/>
        <v>4</v>
      </c>
      <c r="G52" s="11" t="str">
        <f t="shared" si="2"/>
        <v>202604</v>
      </c>
      <c r="I52" s="5">
        <v>9999</v>
      </c>
      <c r="J52" s="5">
        <v>333.3</v>
      </c>
      <c r="K52" s="5">
        <f t="shared" si="3"/>
        <v>0</v>
      </c>
      <c r="L52" s="5">
        <v>0</v>
      </c>
      <c r="M52" s="5">
        <v>0</v>
      </c>
      <c r="N52" t="s">
        <v>12</v>
      </c>
      <c r="O52" s="8">
        <v>28.923287671232877</v>
      </c>
      <c r="P52" t="s">
        <v>34</v>
      </c>
      <c r="Q52">
        <v>3</v>
      </c>
      <c r="R52" s="2">
        <v>35561</v>
      </c>
    </row>
    <row r="53" spans="1:18" x14ac:dyDescent="0.3">
      <c r="A53" t="s">
        <v>7</v>
      </c>
      <c r="B53">
        <v>1247794</v>
      </c>
      <c r="C53" t="s">
        <v>10</v>
      </c>
      <c r="D53" s="4">
        <v>45748</v>
      </c>
      <c r="E53" s="11">
        <f t="shared" si="0"/>
        <v>2025</v>
      </c>
      <c r="F53" s="11">
        <f t="shared" si="1"/>
        <v>4</v>
      </c>
      <c r="G53" s="11" t="str">
        <f t="shared" si="2"/>
        <v>202504</v>
      </c>
      <c r="I53" s="5">
        <v>9999</v>
      </c>
      <c r="J53" s="5">
        <v>333.3</v>
      </c>
      <c r="K53" s="5">
        <f t="shared" si="3"/>
        <v>0</v>
      </c>
      <c r="L53" s="5">
        <v>0</v>
      </c>
      <c r="M53" s="5">
        <v>0</v>
      </c>
      <c r="N53" t="s">
        <v>12</v>
      </c>
      <c r="O53" s="8">
        <v>23.608219178082191</v>
      </c>
      <c r="P53" t="s">
        <v>33</v>
      </c>
      <c r="Q53">
        <v>2</v>
      </c>
      <c r="R53" s="2">
        <v>37131</v>
      </c>
    </row>
    <row r="54" spans="1:18" x14ac:dyDescent="0.3">
      <c r="A54" t="s">
        <v>7</v>
      </c>
      <c r="B54">
        <v>4922139</v>
      </c>
      <c r="C54" t="s">
        <v>8</v>
      </c>
      <c r="D54" s="4">
        <v>45876</v>
      </c>
      <c r="E54" s="11">
        <f t="shared" si="0"/>
        <v>2025</v>
      </c>
      <c r="F54" s="11">
        <f t="shared" si="1"/>
        <v>8</v>
      </c>
      <c r="G54" s="11" t="str">
        <f t="shared" si="2"/>
        <v>202508</v>
      </c>
      <c r="I54" s="5">
        <v>9999</v>
      </c>
      <c r="J54" s="5">
        <v>333.3</v>
      </c>
      <c r="K54" s="5">
        <f t="shared" si="3"/>
        <v>0</v>
      </c>
      <c r="L54" s="5">
        <v>0</v>
      </c>
      <c r="M54" s="5">
        <v>0</v>
      </c>
      <c r="N54" t="s">
        <v>12</v>
      </c>
      <c r="O54" s="8">
        <v>37.712328767123289</v>
      </c>
      <c r="P54" t="s">
        <v>35</v>
      </c>
      <c r="Q54">
        <v>4</v>
      </c>
      <c r="R54" s="2">
        <v>32111</v>
      </c>
    </row>
    <row r="55" spans="1:18" x14ac:dyDescent="0.3">
      <c r="A55" t="s">
        <v>11</v>
      </c>
      <c r="B55">
        <v>5395080</v>
      </c>
      <c r="C55" t="s">
        <v>10</v>
      </c>
      <c r="D55" s="4">
        <v>45748</v>
      </c>
      <c r="E55" s="11">
        <f t="shared" si="0"/>
        <v>2025</v>
      </c>
      <c r="F55" s="11">
        <f t="shared" si="1"/>
        <v>4</v>
      </c>
      <c r="G55" s="11" t="str">
        <f t="shared" si="2"/>
        <v>202504</v>
      </c>
      <c r="H55" s="4">
        <v>45900</v>
      </c>
      <c r="I55" s="5">
        <v>152</v>
      </c>
      <c r="J55" s="5">
        <v>5.0666666666666664</v>
      </c>
      <c r="K55" s="5">
        <f t="shared" si="3"/>
        <v>0</v>
      </c>
      <c r="L55" s="5">
        <v>0</v>
      </c>
      <c r="M55" s="5">
        <v>1</v>
      </c>
      <c r="N55" t="s">
        <v>9</v>
      </c>
      <c r="O55" s="8">
        <v>44.934246575342463</v>
      </c>
      <c r="P55" t="s">
        <v>35</v>
      </c>
      <c r="Q55">
        <v>4</v>
      </c>
      <c r="R55" s="2">
        <v>29347</v>
      </c>
    </row>
    <row r="56" spans="1:18" x14ac:dyDescent="0.3">
      <c r="A56" t="s">
        <v>7</v>
      </c>
      <c r="B56">
        <v>5395080</v>
      </c>
      <c r="C56" t="s">
        <v>10</v>
      </c>
      <c r="D56" s="4">
        <v>45901</v>
      </c>
      <c r="E56" s="11">
        <f t="shared" si="0"/>
        <v>2025</v>
      </c>
      <c r="F56" s="11">
        <f t="shared" si="1"/>
        <v>9</v>
      </c>
      <c r="G56" s="11" t="str">
        <f t="shared" si="2"/>
        <v>202509</v>
      </c>
      <c r="H56" s="4">
        <v>45947</v>
      </c>
      <c r="I56" s="5">
        <v>46</v>
      </c>
      <c r="J56" s="5">
        <v>1.5333333333333334</v>
      </c>
      <c r="K56" s="5">
        <f t="shared" si="3"/>
        <v>0</v>
      </c>
      <c r="L56" s="5">
        <v>1</v>
      </c>
      <c r="M56" s="5">
        <v>1</v>
      </c>
      <c r="N56" t="s">
        <v>9</v>
      </c>
      <c r="O56" s="8">
        <v>45.353424657534248</v>
      </c>
      <c r="P56" t="s">
        <v>35</v>
      </c>
      <c r="Q56">
        <v>4</v>
      </c>
      <c r="R56" s="2">
        <v>29347</v>
      </c>
    </row>
    <row r="57" spans="1:18" x14ac:dyDescent="0.3">
      <c r="A57" t="s">
        <v>7</v>
      </c>
      <c r="B57">
        <v>5611776</v>
      </c>
      <c r="C57" t="s">
        <v>8</v>
      </c>
      <c r="D57" s="4">
        <v>45996</v>
      </c>
      <c r="E57" s="11">
        <f t="shared" si="0"/>
        <v>2025</v>
      </c>
      <c r="F57" s="11">
        <f t="shared" si="1"/>
        <v>12</v>
      </c>
      <c r="G57" s="11" t="str">
        <f t="shared" si="2"/>
        <v>202512</v>
      </c>
      <c r="H57" s="4">
        <v>46006</v>
      </c>
      <c r="I57" s="5">
        <v>10</v>
      </c>
      <c r="J57" s="5">
        <v>0.33333333333333331</v>
      </c>
      <c r="K57" s="5">
        <f t="shared" si="3"/>
        <v>1</v>
      </c>
      <c r="L57" s="5">
        <v>1</v>
      </c>
      <c r="M57" s="5">
        <v>1</v>
      </c>
      <c r="N57" t="s">
        <v>12</v>
      </c>
      <c r="O57" s="8">
        <v>27.594520547945205</v>
      </c>
      <c r="P57" t="s">
        <v>34</v>
      </c>
      <c r="Q57">
        <v>3</v>
      </c>
      <c r="R57" s="2">
        <v>35924</v>
      </c>
    </row>
    <row r="58" spans="1:18" x14ac:dyDescent="0.3">
      <c r="A58" t="s">
        <v>7</v>
      </c>
      <c r="B58">
        <v>5733211</v>
      </c>
      <c r="C58" t="s">
        <v>10</v>
      </c>
      <c r="D58" s="4">
        <v>46041</v>
      </c>
      <c r="E58" s="11">
        <f t="shared" si="0"/>
        <v>2026</v>
      </c>
      <c r="F58" s="11">
        <f t="shared" si="1"/>
        <v>1</v>
      </c>
      <c r="G58" s="11" t="str">
        <f t="shared" si="2"/>
        <v>202601</v>
      </c>
      <c r="H58" s="4">
        <v>46174</v>
      </c>
      <c r="I58" s="5">
        <v>133</v>
      </c>
      <c r="J58" s="5">
        <v>4.4333333333333336</v>
      </c>
      <c r="K58" s="5">
        <f t="shared" si="3"/>
        <v>0</v>
      </c>
      <c r="L58" s="5">
        <v>0</v>
      </c>
      <c r="M58" s="5">
        <v>1</v>
      </c>
      <c r="N58" t="s">
        <v>12</v>
      </c>
      <c r="O58" s="8">
        <v>27.202739726027396</v>
      </c>
      <c r="P58" t="s">
        <v>34</v>
      </c>
      <c r="Q58">
        <v>3</v>
      </c>
      <c r="R58" s="2">
        <v>36112</v>
      </c>
    </row>
    <row r="59" spans="1:18" x14ac:dyDescent="0.3">
      <c r="A59" t="s">
        <v>7</v>
      </c>
      <c r="B59">
        <v>5853969</v>
      </c>
      <c r="C59" t="s">
        <v>8</v>
      </c>
      <c r="D59" s="4">
        <v>45814</v>
      </c>
      <c r="E59" s="11">
        <f t="shared" si="0"/>
        <v>2025</v>
      </c>
      <c r="F59" s="11">
        <f t="shared" si="1"/>
        <v>6</v>
      </c>
      <c r="G59" s="11" t="str">
        <f t="shared" si="2"/>
        <v>202506</v>
      </c>
      <c r="H59" s="4">
        <v>45819</v>
      </c>
      <c r="I59" s="5">
        <v>5</v>
      </c>
      <c r="J59" s="5">
        <v>0.16666666666666666</v>
      </c>
      <c r="K59" s="5">
        <f t="shared" si="3"/>
        <v>1</v>
      </c>
      <c r="L59" s="5">
        <v>1</v>
      </c>
      <c r="M59" s="5">
        <v>1</v>
      </c>
      <c r="N59" t="s">
        <v>12</v>
      </c>
      <c r="O59" s="8">
        <v>29.956164383561642</v>
      </c>
      <c r="P59" t="s">
        <v>34</v>
      </c>
      <c r="Q59">
        <v>3</v>
      </c>
      <c r="R59" s="2">
        <v>34880</v>
      </c>
    </row>
    <row r="60" spans="1:18" x14ac:dyDescent="0.3">
      <c r="A60" t="s">
        <v>7</v>
      </c>
      <c r="B60">
        <v>6201313</v>
      </c>
      <c r="C60" t="s">
        <v>8</v>
      </c>
      <c r="D60" s="4">
        <v>45809</v>
      </c>
      <c r="E60" s="11">
        <f t="shared" si="0"/>
        <v>2025</v>
      </c>
      <c r="F60" s="11">
        <f t="shared" si="1"/>
        <v>6</v>
      </c>
      <c r="G60" s="11" t="str">
        <f t="shared" si="2"/>
        <v>202506</v>
      </c>
      <c r="I60" s="5">
        <v>9999</v>
      </c>
      <c r="J60" s="5">
        <v>333.3</v>
      </c>
      <c r="K60" s="5">
        <f t="shared" si="3"/>
        <v>0</v>
      </c>
      <c r="L60" s="5">
        <v>0</v>
      </c>
      <c r="M60" s="5">
        <v>0</v>
      </c>
      <c r="N60" t="s">
        <v>9</v>
      </c>
      <c r="O60" s="8">
        <v>36.512328767123286</v>
      </c>
      <c r="P60" t="s">
        <v>35</v>
      </c>
      <c r="Q60">
        <v>4</v>
      </c>
      <c r="R60" s="2">
        <v>32482</v>
      </c>
    </row>
    <row r="61" spans="1:18" x14ac:dyDescent="0.3">
      <c r="A61" t="s">
        <v>11</v>
      </c>
      <c r="B61">
        <v>6265241</v>
      </c>
      <c r="C61" t="s">
        <v>10</v>
      </c>
      <c r="D61" s="4">
        <v>45748</v>
      </c>
      <c r="E61" s="11">
        <f t="shared" si="0"/>
        <v>2025</v>
      </c>
      <c r="F61" s="11">
        <f t="shared" si="1"/>
        <v>4</v>
      </c>
      <c r="G61" s="11" t="str">
        <f t="shared" si="2"/>
        <v>202504</v>
      </c>
      <c r="H61" s="4">
        <v>46094</v>
      </c>
      <c r="I61" s="5">
        <v>346</v>
      </c>
      <c r="J61" s="5">
        <v>11.533333333333333</v>
      </c>
      <c r="K61" s="5">
        <f t="shared" si="3"/>
        <v>0</v>
      </c>
      <c r="L61" s="5">
        <v>0</v>
      </c>
      <c r="M61" s="5">
        <v>0</v>
      </c>
      <c r="N61" t="s">
        <v>9</v>
      </c>
      <c r="O61" s="8">
        <v>23.104109589041094</v>
      </c>
      <c r="P61" t="s">
        <v>33</v>
      </c>
      <c r="Q61">
        <v>2</v>
      </c>
      <c r="R61" s="2">
        <v>37315</v>
      </c>
    </row>
    <row r="62" spans="1:18" x14ac:dyDescent="0.3">
      <c r="A62" t="s">
        <v>11</v>
      </c>
      <c r="B62">
        <v>7006608</v>
      </c>
      <c r="C62" t="s">
        <v>8</v>
      </c>
      <c r="D62" s="4">
        <v>45870</v>
      </c>
      <c r="E62" s="11">
        <f t="shared" si="0"/>
        <v>2025</v>
      </c>
      <c r="F62" s="11">
        <f t="shared" si="1"/>
        <v>8</v>
      </c>
      <c r="G62" s="11" t="str">
        <f t="shared" si="2"/>
        <v>202508</v>
      </c>
      <c r="I62" s="5">
        <v>9999</v>
      </c>
      <c r="J62" s="5">
        <v>333.3</v>
      </c>
      <c r="K62" s="5">
        <f t="shared" si="3"/>
        <v>0</v>
      </c>
      <c r="L62" s="5">
        <v>0</v>
      </c>
      <c r="M62" s="5">
        <v>0</v>
      </c>
      <c r="N62" t="s">
        <v>9</v>
      </c>
      <c r="O62" s="8">
        <v>35.5013698630137</v>
      </c>
      <c r="P62" t="s">
        <v>35</v>
      </c>
      <c r="Q62">
        <v>4</v>
      </c>
      <c r="R62" s="2">
        <v>32912</v>
      </c>
    </row>
    <row r="63" spans="1:18" x14ac:dyDescent="0.3">
      <c r="A63" t="s">
        <v>11</v>
      </c>
      <c r="B63">
        <v>7014819</v>
      </c>
      <c r="C63" t="s">
        <v>10</v>
      </c>
      <c r="D63" s="4">
        <v>45717</v>
      </c>
      <c r="E63" s="11">
        <f t="shared" si="0"/>
        <v>2025</v>
      </c>
      <c r="F63" s="11">
        <f t="shared" si="1"/>
        <v>3</v>
      </c>
      <c r="G63" s="11" t="str">
        <f t="shared" si="2"/>
        <v>202503</v>
      </c>
      <c r="H63" s="4">
        <v>45916</v>
      </c>
      <c r="I63" s="5">
        <v>199</v>
      </c>
      <c r="J63" s="5">
        <v>6.6333333333333337</v>
      </c>
      <c r="K63" s="5">
        <f t="shared" si="3"/>
        <v>0</v>
      </c>
      <c r="L63" s="5">
        <v>0</v>
      </c>
      <c r="M63" s="5">
        <v>0</v>
      </c>
      <c r="N63" t="s">
        <v>12</v>
      </c>
      <c r="O63" s="8">
        <v>23.082191780821919</v>
      </c>
      <c r="P63" t="s">
        <v>33</v>
      </c>
      <c r="Q63">
        <v>2</v>
      </c>
      <c r="R63" s="2">
        <v>37292</v>
      </c>
    </row>
    <row r="64" spans="1:18" x14ac:dyDescent="0.3">
      <c r="A64" t="s">
        <v>7</v>
      </c>
      <c r="B64">
        <v>8377804</v>
      </c>
      <c r="C64" t="s">
        <v>8</v>
      </c>
      <c r="D64" s="4">
        <v>46036</v>
      </c>
      <c r="E64" s="11">
        <f t="shared" si="0"/>
        <v>2026</v>
      </c>
      <c r="F64" s="11">
        <f t="shared" si="1"/>
        <v>1</v>
      </c>
      <c r="G64" s="11" t="str">
        <f t="shared" si="2"/>
        <v>202601</v>
      </c>
      <c r="I64" s="5">
        <v>9999</v>
      </c>
      <c r="J64" s="5">
        <v>333.3</v>
      </c>
      <c r="K64" s="5">
        <f t="shared" si="3"/>
        <v>0</v>
      </c>
      <c r="L64" s="5">
        <v>0</v>
      </c>
      <c r="M64" s="5">
        <v>0</v>
      </c>
      <c r="N64" t="s">
        <v>12</v>
      </c>
      <c r="O64" s="8">
        <v>33.769863013698632</v>
      </c>
      <c r="P64" t="s">
        <v>35</v>
      </c>
      <c r="Q64">
        <v>4</v>
      </c>
      <c r="R64" s="2">
        <v>33710</v>
      </c>
    </row>
    <row r="65" spans="1:18" x14ac:dyDescent="0.3">
      <c r="A65" t="s">
        <v>11</v>
      </c>
      <c r="B65">
        <v>9169460</v>
      </c>
      <c r="C65" t="s">
        <v>8</v>
      </c>
      <c r="D65" s="4">
        <v>46054</v>
      </c>
      <c r="E65" s="11">
        <f t="shared" si="0"/>
        <v>2026</v>
      </c>
      <c r="F65" s="11">
        <f t="shared" si="1"/>
        <v>2</v>
      </c>
      <c r="G65" s="11" t="str">
        <f t="shared" si="2"/>
        <v>202602</v>
      </c>
      <c r="I65" s="5">
        <v>9999</v>
      </c>
      <c r="J65" s="5">
        <v>333.3</v>
      </c>
      <c r="K65" s="5">
        <f t="shared" si="3"/>
        <v>0</v>
      </c>
      <c r="L65" s="5">
        <v>0</v>
      </c>
      <c r="M65" s="5">
        <v>0</v>
      </c>
      <c r="N65" t="s">
        <v>12</v>
      </c>
      <c r="O65" s="8">
        <v>30.391780821917809</v>
      </c>
      <c r="P65" t="s">
        <v>34</v>
      </c>
      <c r="Q65">
        <v>3</v>
      </c>
      <c r="R65" s="2">
        <v>34961</v>
      </c>
    </row>
    <row r="66" spans="1:18" x14ac:dyDescent="0.3">
      <c r="A66" t="s">
        <v>7</v>
      </c>
      <c r="B66">
        <v>9196445</v>
      </c>
      <c r="C66" t="s">
        <v>8</v>
      </c>
      <c r="D66" s="4">
        <v>45931</v>
      </c>
      <c r="E66" s="11">
        <f t="shared" si="0"/>
        <v>2025</v>
      </c>
      <c r="F66" s="11">
        <f t="shared" si="1"/>
        <v>10</v>
      </c>
      <c r="G66" s="11" t="str">
        <f t="shared" si="2"/>
        <v>202510</v>
      </c>
      <c r="I66" s="5">
        <v>9999</v>
      </c>
      <c r="J66" s="5">
        <v>333.3</v>
      </c>
      <c r="K66" s="5">
        <f t="shared" si="3"/>
        <v>0</v>
      </c>
      <c r="L66" s="5">
        <v>0</v>
      </c>
      <c r="M66" s="5">
        <v>0</v>
      </c>
      <c r="N66" t="s">
        <v>12</v>
      </c>
      <c r="O66" s="8">
        <v>31.432876712328767</v>
      </c>
      <c r="P66" t="s">
        <v>35</v>
      </c>
      <c r="Q66">
        <v>4</v>
      </c>
      <c r="R66" s="2">
        <v>34458</v>
      </c>
    </row>
    <row r="67" spans="1:18" x14ac:dyDescent="0.3">
      <c r="A67" t="s">
        <v>7</v>
      </c>
      <c r="B67">
        <v>9242442</v>
      </c>
      <c r="C67" t="s">
        <v>8</v>
      </c>
      <c r="D67" s="4">
        <v>45717</v>
      </c>
      <c r="E67" s="11">
        <f t="shared" ref="E67:E130" si="4">+YEAR(D67)</f>
        <v>2025</v>
      </c>
      <c r="F67" s="11">
        <f t="shared" ref="F67:F130" si="5">+MONTH(D67)</f>
        <v>3</v>
      </c>
      <c r="G67" s="11" t="str">
        <f t="shared" ref="G67:G130" si="6">+TEXT(D67, "yyymm")</f>
        <v>202503</v>
      </c>
      <c r="I67" s="5">
        <v>9999</v>
      </c>
      <c r="J67" s="5">
        <v>333.3</v>
      </c>
      <c r="K67" s="5">
        <f t="shared" ref="K67:K130" si="7">IF(J67&lt;=1,1,0)</f>
        <v>0</v>
      </c>
      <c r="L67" s="5">
        <v>0</v>
      </c>
      <c r="M67" s="5">
        <v>0</v>
      </c>
      <c r="N67" t="s">
        <v>12</v>
      </c>
      <c r="O67" s="8">
        <v>30.142465753424659</v>
      </c>
      <c r="P67" t="s">
        <v>34</v>
      </c>
      <c r="Q67">
        <v>3</v>
      </c>
      <c r="R67" s="2">
        <v>34715</v>
      </c>
    </row>
    <row r="68" spans="1:18" x14ac:dyDescent="0.3">
      <c r="A68" t="s">
        <v>7</v>
      </c>
      <c r="B68">
        <v>9520506</v>
      </c>
      <c r="C68" t="s">
        <v>10</v>
      </c>
      <c r="D68" s="4">
        <v>46113</v>
      </c>
      <c r="E68" s="11">
        <f t="shared" si="4"/>
        <v>2026</v>
      </c>
      <c r="F68" s="11">
        <f t="shared" si="5"/>
        <v>4</v>
      </c>
      <c r="G68" s="11" t="str">
        <f t="shared" si="6"/>
        <v>202604</v>
      </c>
      <c r="I68" s="5">
        <v>9999</v>
      </c>
      <c r="J68" s="5">
        <v>333.3</v>
      </c>
      <c r="K68" s="5">
        <f t="shared" si="7"/>
        <v>0</v>
      </c>
      <c r="L68" s="5">
        <v>0</v>
      </c>
      <c r="M68" s="5">
        <v>0</v>
      </c>
      <c r="N68" t="s">
        <v>12</v>
      </c>
      <c r="O68" s="8">
        <v>23.452054794520549</v>
      </c>
      <c r="P68" t="s">
        <v>33</v>
      </c>
      <c r="Q68">
        <v>2</v>
      </c>
      <c r="R68" s="2">
        <v>37553</v>
      </c>
    </row>
    <row r="69" spans="1:18" x14ac:dyDescent="0.3">
      <c r="A69" t="s">
        <v>7</v>
      </c>
      <c r="B69">
        <v>9524698</v>
      </c>
      <c r="C69" t="s">
        <v>8</v>
      </c>
      <c r="D69" s="4">
        <v>45929</v>
      </c>
      <c r="E69" s="11">
        <f t="shared" si="4"/>
        <v>2025</v>
      </c>
      <c r="F69" s="11">
        <f t="shared" si="5"/>
        <v>9</v>
      </c>
      <c r="G69" s="11" t="str">
        <f t="shared" si="6"/>
        <v>202509</v>
      </c>
      <c r="I69" s="5">
        <v>9999</v>
      </c>
      <c r="J69" s="5">
        <v>333.3</v>
      </c>
      <c r="K69" s="5">
        <f t="shared" si="7"/>
        <v>0</v>
      </c>
      <c r="L69" s="5">
        <v>0</v>
      </c>
      <c r="M69" s="5">
        <v>0</v>
      </c>
      <c r="N69" t="s">
        <v>9</v>
      </c>
      <c r="O69" s="8">
        <v>35.073972602739723</v>
      </c>
      <c r="P69" t="s">
        <v>35</v>
      </c>
      <c r="Q69">
        <v>4</v>
      </c>
      <c r="R69" s="2">
        <v>33127</v>
      </c>
    </row>
    <row r="70" spans="1:18" x14ac:dyDescent="0.3">
      <c r="A70" t="s">
        <v>7</v>
      </c>
      <c r="B70">
        <v>9698903</v>
      </c>
      <c r="C70" t="s">
        <v>8</v>
      </c>
      <c r="D70" s="4">
        <v>45792</v>
      </c>
      <c r="E70" s="11">
        <f t="shared" si="4"/>
        <v>2025</v>
      </c>
      <c r="F70" s="11">
        <f t="shared" si="5"/>
        <v>5</v>
      </c>
      <c r="G70" s="11" t="str">
        <f t="shared" si="6"/>
        <v>202505</v>
      </c>
      <c r="H70" s="4">
        <v>45808</v>
      </c>
      <c r="I70" s="5">
        <v>16</v>
      </c>
      <c r="J70" s="5">
        <v>0.53333333333333333</v>
      </c>
      <c r="K70" s="5">
        <f t="shared" si="7"/>
        <v>1</v>
      </c>
      <c r="L70" s="5">
        <v>1</v>
      </c>
      <c r="M70" s="5">
        <v>1</v>
      </c>
      <c r="N70" t="s">
        <v>12</v>
      </c>
      <c r="O70" s="8">
        <v>29.216438356164385</v>
      </c>
      <c r="P70" t="s">
        <v>34</v>
      </c>
      <c r="Q70">
        <v>3</v>
      </c>
      <c r="R70" s="2">
        <v>35128</v>
      </c>
    </row>
    <row r="71" spans="1:18" x14ac:dyDescent="0.3">
      <c r="A71" t="s">
        <v>7</v>
      </c>
      <c r="B71">
        <v>9752929</v>
      </c>
      <c r="C71" t="s">
        <v>8</v>
      </c>
      <c r="D71" s="4">
        <v>45957</v>
      </c>
      <c r="E71" s="11">
        <f t="shared" si="4"/>
        <v>2025</v>
      </c>
      <c r="F71" s="11">
        <f t="shared" si="5"/>
        <v>10</v>
      </c>
      <c r="G71" s="11" t="str">
        <f t="shared" si="6"/>
        <v>202510</v>
      </c>
      <c r="I71" s="5">
        <v>9999</v>
      </c>
      <c r="J71" s="5">
        <v>333.3</v>
      </c>
      <c r="K71" s="5">
        <f t="shared" si="7"/>
        <v>0</v>
      </c>
      <c r="L71" s="5">
        <v>0</v>
      </c>
      <c r="M71" s="5">
        <v>0</v>
      </c>
      <c r="N71" t="s">
        <v>9</v>
      </c>
      <c r="O71" s="8">
        <v>28.884931506849316</v>
      </c>
      <c r="P71" t="s">
        <v>34</v>
      </c>
      <c r="Q71">
        <v>3</v>
      </c>
      <c r="R71" s="2">
        <v>35414</v>
      </c>
    </row>
    <row r="72" spans="1:18" x14ac:dyDescent="0.3">
      <c r="A72" t="s">
        <v>7</v>
      </c>
      <c r="B72">
        <v>9789712</v>
      </c>
      <c r="C72" t="s">
        <v>8</v>
      </c>
      <c r="D72" s="4">
        <v>45972</v>
      </c>
      <c r="E72" s="11">
        <f t="shared" si="4"/>
        <v>2025</v>
      </c>
      <c r="F72" s="11">
        <f t="shared" si="5"/>
        <v>11</v>
      </c>
      <c r="G72" s="11" t="str">
        <f t="shared" si="6"/>
        <v>202511</v>
      </c>
      <c r="I72" s="5">
        <v>9999</v>
      </c>
      <c r="J72" s="5">
        <v>333.3</v>
      </c>
      <c r="K72" s="5">
        <f t="shared" si="7"/>
        <v>0</v>
      </c>
      <c r="L72" s="5">
        <v>0</v>
      </c>
      <c r="M72" s="5">
        <v>0</v>
      </c>
      <c r="N72" t="s">
        <v>9</v>
      </c>
      <c r="O72" s="8">
        <v>23.983561643835618</v>
      </c>
      <c r="P72" t="s">
        <v>33</v>
      </c>
      <c r="Q72">
        <v>2</v>
      </c>
      <c r="R72" s="2">
        <v>37218</v>
      </c>
    </row>
    <row r="73" spans="1:18" x14ac:dyDescent="0.3">
      <c r="A73" t="s">
        <v>7</v>
      </c>
      <c r="B73">
        <v>9862098</v>
      </c>
      <c r="C73" t="s">
        <v>8</v>
      </c>
      <c r="D73" s="4">
        <v>45937</v>
      </c>
      <c r="E73" s="11">
        <f t="shared" si="4"/>
        <v>2025</v>
      </c>
      <c r="F73" s="11">
        <f t="shared" si="5"/>
        <v>10</v>
      </c>
      <c r="G73" s="11" t="str">
        <f t="shared" si="6"/>
        <v>202510</v>
      </c>
      <c r="H73" s="4">
        <v>46061</v>
      </c>
      <c r="I73" s="5">
        <v>124</v>
      </c>
      <c r="J73" s="5">
        <v>4.1333333333333337</v>
      </c>
      <c r="K73" s="5">
        <f t="shared" si="7"/>
        <v>0</v>
      </c>
      <c r="L73" s="5">
        <v>0</v>
      </c>
      <c r="M73" s="5">
        <v>1</v>
      </c>
      <c r="N73" t="s">
        <v>12</v>
      </c>
      <c r="O73" s="8">
        <v>25.134246575342466</v>
      </c>
      <c r="P73" t="s">
        <v>33</v>
      </c>
      <c r="Q73">
        <v>2</v>
      </c>
      <c r="R73" s="2">
        <v>36763</v>
      </c>
    </row>
    <row r="74" spans="1:18" x14ac:dyDescent="0.3">
      <c r="A74" t="s">
        <v>7</v>
      </c>
      <c r="B74">
        <v>10187344</v>
      </c>
      <c r="C74" t="s">
        <v>10</v>
      </c>
      <c r="D74" s="4">
        <v>45923</v>
      </c>
      <c r="E74" s="11">
        <f t="shared" si="4"/>
        <v>2025</v>
      </c>
      <c r="F74" s="11">
        <f t="shared" si="5"/>
        <v>9</v>
      </c>
      <c r="G74" s="11" t="str">
        <f t="shared" si="6"/>
        <v>202509</v>
      </c>
      <c r="H74" s="4">
        <v>45933</v>
      </c>
      <c r="I74" s="5">
        <v>10</v>
      </c>
      <c r="J74" s="5">
        <v>0.33333333333333331</v>
      </c>
      <c r="K74" s="5">
        <f t="shared" si="7"/>
        <v>1</v>
      </c>
      <c r="L74" s="5">
        <v>1</v>
      </c>
      <c r="M74" s="5">
        <v>1</v>
      </c>
      <c r="N74" t="s">
        <v>12</v>
      </c>
      <c r="O74" s="8">
        <v>27.756164383561643</v>
      </c>
      <c r="P74" t="s">
        <v>34</v>
      </c>
      <c r="Q74">
        <v>3</v>
      </c>
      <c r="R74" s="2">
        <v>35792</v>
      </c>
    </row>
    <row r="75" spans="1:18" x14ac:dyDescent="0.3">
      <c r="A75" t="s">
        <v>7</v>
      </c>
      <c r="B75">
        <v>10199305</v>
      </c>
      <c r="C75" t="s">
        <v>8</v>
      </c>
      <c r="D75" s="4">
        <v>45958</v>
      </c>
      <c r="E75" s="11">
        <f t="shared" si="4"/>
        <v>2025</v>
      </c>
      <c r="F75" s="11">
        <f t="shared" si="5"/>
        <v>10</v>
      </c>
      <c r="G75" s="11" t="str">
        <f t="shared" si="6"/>
        <v>202510</v>
      </c>
      <c r="H75" s="4">
        <v>46173</v>
      </c>
      <c r="I75" s="5">
        <v>215</v>
      </c>
      <c r="J75" s="5">
        <v>7.166666666666667</v>
      </c>
      <c r="K75" s="5">
        <f t="shared" si="7"/>
        <v>0</v>
      </c>
      <c r="L75" s="5">
        <v>0</v>
      </c>
      <c r="M75" s="5">
        <v>0</v>
      </c>
      <c r="N75" t="s">
        <v>12</v>
      </c>
      <c r="O75" s="8">
        <v>29.950684931506849</v>
      </c>
      <c r="P75" t="s">
        <v>34</v>
      </c>
      <c r="Q75">
        <v>3</v>
      </c>
      <c r="R75" s="2">
        <v>35026</v>
      </c>
    </row>
    <row r="76" spans="1:18" x14ac:dyDescent="0.3">
      <c r="A76" t="s">
        <v>11</v>
      </c>
      <c r="B76">
        <v>10290251</v>
      </c>
      <c r="C76" t="s">
        <v>10</v>
      </c>
      <c r="D76" s="4">
        <v>45748</v>
      </c>
      <c r="E76" s="11">
        <f t="shared" si="4"/>
        <v>2025</v>
      </c>
      <c r="F76" s="11">
        <f t="shared" si="5"/>
        <v>4</v>
      </c>
      <c r="G76" s="11" t="str">
        <f t="shared" si="6"/>
        <v>202504</v>
      </c>
      <c r="I76" s="5">
        <v>9999</v>
      </c>
      <c r="J76" s="5">
        <v>333.3</v>
      </c>
      <c r="K76" s="5">
        <f t="shared" si="7"/>
        <v>0</v>
      </c>
      <c r="L76" s="5">
        <v>0</v>
      </c>
      <c r="M76" s="5">
        <v>0</v>
      </c>
      <c r="N76" t="s">
        <v>9</v>
      </c>
      <c r="O76" s="8">
        <v>24.663013698630138</v>
      </c>
      <c r="P76" t="s">
        <v>33</v>
      </c>
      <c r="Q76">
        <v>2</v>
      </c>
      <c r="R76" s="2">
        <v>36746</v>
      </c>
    </row>
    <row r="77" spans="1:18" x14ac:dyDescent="0.3">
      <c r="A77" t="s">
        <v>7</v>
      </c>
      <c r="B77">
        <v>10293444</v>
      </c>
      <c r="C77" t="s">
        <v>8</v>
      </c>
      <c r="D77" s="4">
        <v>46128</v>
      </c>
      <c r="E77" s="11">
        <f t="shared" si="4"/>
        <v>2026</v>
      </c>
      <c r="F77" s="11">
        <f t="shared" si="5"/>
        <v>4</v>
      </c>
      <c r="G77" s="11" t="str">
        <f t="shared" si="6"/>
        <v>202604</v>
      </c>
      <c r="I77" s="5">
        <v>9999</v>
      </c>
      <c r="J77" s="5">
        <v>333.3</v>
      </c>
      <c r="K77" s="5">
        <f t="shared" si="7"/>
        <v>0</v>
      </c>
      <c r="L77" s="5">
        <v>0</v>
      </c>
      <c r="M77" s="5">
        <v>0</v>
      </c>
      <c r="N77" t="s">
        <v>12</v>
      </c>
      <c r="O77" s="8">
        <v>31.838356164383562</v>
      </c>
      <c r="P77" t="s">
        <v>35</v>
      </c>
      <c r="Q77">
        <v>4</v>
      </c>
      <c r="R77" s="2">
        <v>34507</v>
      </c>
    </row>
    <row r="78" spans="1:18" x14ac:dyDescent="0.3">
      <c r="A78" t="s">
        <v>7</v>
      </c>
      <c r="B78">
        <v>10309431</v>
      </c>
      <c r="C78" t="s">
        <v>8</v>
      </c>
      <c r="D78" s="4">
        <v>46098</v>
      </c>
      <c r="E78" s="11">
        <f t="shared" si="4"/>
        <v>2026</v>
      </c>
      <c r="F78" s="11">
        <f t="shared" si="5"/>
        <v>3</v>
      </c>
      <c r="G78" s="11" t="str">
        <f t="shared" si="6"/>
        <v>202603</v>
      </c>
      <c r="I78" s="5">
        <v>9999</v>
      </c>
      <c r="J78" s="5">
        <v>333.3</v>
      </c>
      <c r="K78" s="5">
        <f t="shared" si="7"/>
        <v>0</v>
      </c>
      <c r="L78" s="5">
        <v>0</v>
      </c>
      <c r="M78" s="5">
        <v>0</v>
      </c>
      <c r="N78" t="s">
        <v>9</v>
      </c>
      <c r="O78" s="8">
        <v>25.290410958904111</v>
      </c>
      <c r="P78" t="s">
        <v>33</v>
      </c>
      <c r="Q78">
        <v>2</v>
      </c>
      <c r="R78" s="2">
        <v>36867</v>
      </c>
    </row>
    <row r="79" spans="1:18" x14ac:dyDescent="0.3">
      <c r="A79" t="s">
        <v>7</v>
      </c>
      <c r="B79">
        <v>10313723</v>
      </c>
      <c r="C79" t="s">
        <v>8</v>
      </c>
      <c r="D79" s="4">
        <v>46113</v>
      </c>
      <c r="E79" s="11">
        <f t="shared" si="4"/>
        <v>2026</v>
      </c>
      <c r="F79" s="11">
        <f t="shared" si="5"/>
        <v>4</v>
      </c>
      <c r="G79" s="11" t="str">
        <f t="shared" si="6"/>
        <v>202604</v>
      </c>
      <c r="I79" s="5">
        <v>9999</v>
      </c>
      <c r="J79" s="5">
        <v>333.3</v>
      </c>
      <c r="K79" s="5">
        <f t="shared" si="7"/>
        <v>0</v>
      </c>
      <c r="L79" s="5">
        <v>0</v>
      </c>
      <c r="M79" s="5">
        <v>0</v>
      </c>
      <c r="N79" t="s">
        <v>12</v>
      </c>
      <c r="O79" s="8">
        <v>32.528767123287672</v>
      </c>
      <c r="P79" t="s">
        <v>35</v>
      </c>
      <c r="Q79">
        <v>4</v>
      </c>
      <c r="R79" s="2">
        <v>34240</v>
      </c>
    </row>
    <row r="80" spans="1:18" x14ac:dyDescent="0.3">
      <c r="A80" t="s">
        <v>11</v>
      </c>
      <c r="B80">
        <v>10332794</v>
      </c>
      <c r="C80" t="s">
        <v>8</v>
      </c>
      <c r="D80" s="4">
        <v>45748</v>
      </c>
      <c r="E80" s="11">
        <f t="shared" si="4"/>
        <v>2025</v>
      </c>
      <c r="F80" s="11">
        <f t="shared" si="5"/>
        <v>4</v>
      </c>
      <c r="G80" s="11" t="str">
        <f t="shared" si="6"/>
        <v>202504</v>
      </c>
      <c r="H80" s="4">
        <v>46139</v>
      </c>
      <c r="I80" s="5">
        <v>391</v>
      </c>
      <c r="J80" s="5">
        <v>13.033333333333333</v>
      </c>
      <c r="K80" s="5">
        <f t="shared" si="7"/>
        <v>0</v>
      </c>
      <c r="L80" s="5">
        <v>0</v>
      </c>
      <c r="M80" s="5">
        <v>0</v>
      </c>
      <c r="N80" t="s">
        <v>12</v>
      </c>
      <c r="O80" s="8">
        <v>22.263013698630136</v>
      </c>
      <c r="P80" t="s">
        <v>33</v>
      </c>
      <c r="Q80">
        <v>2</v>
      </c>
      <c r="R80" s="2">
        <v>37622</v>
      </c>
    </row>
    <row r="81" spans="1:18" x14ac:dyDescent="0.3">
      <c r="A81" t="s">
        <v>11</v>
      </c>
      <c r="B81">
        <v>10424607</v>
      </c>
      <c r="C81" t="s">
        <v>8</v>
      </c>
      <c r="D81" s="4">
        <v>46054</v>
      </c>
      <c r="E81" s="11">
        <f t="shared" si="4"/>
        <v>2026</v>
      </c>
      <c r="F81" s="11">
        <f t="shared" si="5"/>
        <v>2</v>
      </c>
      <c r="G81" s="11" t="str">
        <f t="shared" si="6"/>
        <v>202602</v>
      </c>
      <c r="I81" s="5">
        <v>9999</v>
      </c>
      <c r="J81" s="5">
        <v>333.3</v>
      </c>
      <c r="K81" s="5">
        <f t="shared" si="7"/>
        <v>0</v>
      </c>
      <c r="L81" s="5">
        <v>0</v>
      </c>
      <c r="M81" s="5">
        <v>0</v>
      </c>
      <c r="N81" t="s">
        <v>9</v>
      </c>
      <c r="O81" s="8">
        <v>24.471232876712328</v>
      </c>
      <c r="P81" t="s">
        <v>33</v>
      </c>
      <c r="Q81">
        <v>2</v>
      </c>
      <c r="R81" s="2">
        <v>37122</v>
      </c>
    </row>
    <row r="82" spans="1:18" x14ac:dyDescent="0.3">
      <c r="A82" t="s">
        <v>11</v>
      </c>
      <c r="B82">
        <v>10558776</v>
      </c>
      <c r="C82" t="s">
        <v>10</v>
      </c>
      <c r="D82" s="4">
        <v>45809</v>
      </c>
      <c r="E82" s="11">
        <f t="shared" si="4"/>
        <v>2025</v>
      </c>
      <c r="F82" s="11">
        <f t="shared" si="5"/>
        <v>6</v>
      </c>
      <c r="G82" s="11" t="str">
        <f t="shared" si="6"/>
        <v>202506</v>
      </c>
      <c r="I82" s="5">
        <v>9999</v>
      </c>
      <c r="J82" s="5">
        <v>333.3</v>
      </c>
      <c r="K82" s="5">
        <f t="shared" si="7"/>
        <v>0</v>
      </c>
      <c r="L82" s="5">
        <v>0</v>
      </c>
      <c r="M82" s="5">
        <v>0</v>
      </c>
      <c r="N82" t="s">
        <v>9</v>
      </c>
      <c r="O82" s="8">
        <v>22.512328767123286</v>
      </c>
      <c r="P82" t="s">
        <v>33</v>
      </c>
      <c r="Q82">
        <v>2</v>
      </c>
      <c r="R82" s="2">
        <v>37592</v>
      </c>
    </row>
    <row r="83" spans="1:18" x14ac:dyDescent="0.3">
      <c r="A83" t="s">
        <v>7</v>
      </c>
      <c r="B83">
        <v>10890098</v>
      </c>
      <c r="C83" t="s">
        <v>8</v>
      </c>
      <c r="D83" s="4">
        <v>46094</v>
      </c>
      <c r="E83" s="11">
        <f t="shared" si="4"/>
        <v>2026</v>
      </c>
      <c r="F83" s="11">
        <f t="shared" si="5"/>
        <v>3</v>
      </c>
      <c r="G83" s="11" t="str">
        <f t="shared" si="6"/>
        <v>202603</v>
      </c>
      <c r="I83" s="5">
        <v>9999</v>
      </c>
      <c r="J83" s="5">
        <v>333.3</v>
      </c>
      <c r="K83" s="5">
        <f t="shared" si="7"/>
        <v>0</v>
      </c>
      <c r="L83" s="5">
        <v>0</v>
      </c>
      <c r="M83" s="5">
        <v>0</v>
      </c>
      <c r="N83" t="s">
        <v>12</v>
      </c>
      <c r="O83" s="8">
        <v>30.997260273972604</v>
      </c>
      <c r="P83" t="s">
        <v>34</v>
      </c>
      <c r="Q83">
        <v>3</v>
      </c>
      <c r="R83" s="2">
        <v>34780</v>
      </c>
    </row>
    <row r="84" spans="1:18" x14ac:dyDescent="0.3">
      <c r="A84" t="s">
        <v>11</v>
      </c>
      <c r="B84">
        <v>10969757</v>
      </c>
      <c r="C84" t="s">
        <v>8</v>
      </c>
      <c r="D84" s="4">
        <v>46143</v>
      </c>
      <c r="E84" s="11">
        <f t="shared" si="4"/>
        <v>2026</v>
      </c>
      <c r="F84" s="11">
        <f t="shared" si="5"/>
        <v>5</v>
      </c>
      <c r="G84" s="11" t="str">
        <f t="shared" si="6"/>
        <v>202605</v>
      </c>
      <c r="I84" s="5">
        <v>9999</v>
      </c>
      <c r="J84" s="5">
        <v>333.3</v>
      </c>
      <c r="K84" s="5">
        <f t="shared" si="7"/>
        <v>0</v>
      </c>
      <c r="L84" s="5">
        <v>0</v>
      </c>
      <c r="M84" s="5">
        <v>0</v>
      </c>
      <c r="N84" t="s">
        <v>9</v>
      </c>
      <c r="O84" s="8">
        <v>43.241095890410961</v>
      </c>
      <c r="P84" t="s">
        <v>35</v>
      </c>
      <c r="Q84">
        <v>4</v>
      </c>
      <c r="R84" s="2">
        <v>30360</v>
      </c>
    </row>
    <row r="85" spans="1:18" x14ac:dyDescent="0.3">
      <c r="A85" t="s">
        <v>11</v>
      </c>
      <c r="B85">
        <v>11162076</v>
      </c>
      <c r="C85" t="s">
        <v>8</v>
      </c>
      <c r="D85" s="4">
        <v>45689</v>
      </c>
      <c r="E85" s="11">
        <f t="shared" si="4"/>
        <v>2025</v>
      </c>
      <c r="F85" s="11">
        <f t="shared" si="5"/>
        <v>2</v>
      </c>
      <c r="G85" s="11" t="str">
        <f t="shared" si="6"/>
        <v>202502</v>
      </c>
      <c r="I85" s="5">
        <v>9999</v>
      </c>
      <c r="J85" s="5">
        <v>333.3</v>
      </c>
      <c r="K85" s="5">
        <f t="shared" si="7"/>
        <v>0</v>
      </c>
      <c r="L85" s="5">
        <v>0</v>
      </c>
      <c r="M85" s="5">
        <v>0</v>
      </c>
      <c r="N85" t="s">
        <v>9</v>
      </c>
      <c r="O85" s="8">
        <v>38.178082191780824</v>
      </c>
      <c r="P85" t="s">
        <v>35</v>
      </c>
      <c r="Q85">
        <v>4</v>
      </c>
      <c r="R85" s="2">
        <v>31754</v>
      </c>
    </row>
    <row r="86" spans="1:18" x14ac:dyDescent="0.3">
      <c r="A86" t="s">
        <v>7</v>
      </c>
      <c r="B86">
        <v>11312416</v>
      </c>
      <c r="C86" t="s">
        <v>8</v>
      </c>
      <c r="D86" s="4">
        <v>45842</v>
      </c>
      <c r="E86" s="11">
        <f t="shared" si="4"/>
        <v>2025</v>
      </c>
      <c r="F86" s="11">
        <f t="shared" si="5"/>
        <v>7</v>
      </c>
      <c r="G86" s="11" t="str">
        <f t="shared" si="6"/>
        <v>202507</v>
      </c>
      <c r="H86" s="4">
        <v>45909</v>
      </c>
      <c r="I86" s="5">
        <v>67</v>
      </c>
      <c r="J86" s="5">
        <v>2.2333333333333334</v>
      </c>
      <c r="K86" s="5">
        <f t="shared" si="7"/>
        <v>0</v>
      </c>
      <c r="L86" s="5">
        <v>1</v>
      </c>
      <c r="M86" s="5">
        <v>1</v>
      </c>
      <c r="N86" t="s">
        <v>12</v>
      </c>
      <c r="O86" s="8">
        <v>32.947945205479449</v>
      </c>
      <c r="P86" t="s">
        <v>35</v>
      </c>
      <c r="Q86">
        <v>4</v>
      </c>
      <c r="R86" s="2">
        <v>33816</v>
      </c>
    </row>
    <row r="87" spans="1:18" x14ac:dyDescent="0.3">
      <c r="A87" t="s">
        <v>11</v>
      </c>
      <c r="B87">
        <v>11342636</v>
      </c>
      <c r="C87" t="s">
        <v>8</v>
      </c>
      <c r="D87" s="4">
        <v>45769</v>
      </c>
      <c r="E87" s="11">
        <f t="shared" si="4"/>
        <v>2025</v>
      </c>
      <c r="F87" s="11">
        <f t="shared" si="5"/>
        <v>4</v>
      </c>
      <c r="G87" s="11" t="str">
        <f t="shared" si="6"/>
        <v>202504</v>
      </c>
      <c r="H87" s="4">
        <v>46003</v>
      </c>
      <c r="I87" s="5">
        <v>234</v>
      </c>
      <c r="J87" s="5">
        <v>7.8</v>
      </c>
      <c r="K87" s="5">
        <f t="shared" si="7"/>
        <v>0</v>
      </c>
      <c r="L87" s="5">
        <v>0</v>
      </c>
      <c r="M87" s="5">
        <v>0</v>
      </c>
      <c r="N87" t="s">
        <v>9</v>
      </c>
      <c r="O87" s="8">
        <v>21.980821917808218</v>
      </c>
      <c r="P87" t="s">
        <v>33</v>
      </c>
      <c r="Q87">
        <v>2</v>
      </c>
      <c r="R87" s="2">
        <v>37746</v>
      </c>
    </row>
    <row r="88" spans="1:18" x14ac:dyDescent="0.3">
      <c r="A88" t="s">
        <v>7</v>
      </c>
      <c r="B88">
        <v>11366165</v>
      </c>
      <c r="C88" t="s">
        <v>8</v>
      </c>
      <c r="D88" s="4">
        <v>45962</v>
      </c>
      <c r="E88" s="11">
        <f t="shared" si="4"/>
        <v>2025</v>
      </c>
      <c r="F88" s="11">
        <f t="shared" si="5"/>
        <v>11</v>
      </c>
      <c r="G88" s="11" t="str">
        <f t="shared" si="6"/>
        <v>202511</v>
      </c>
      <c r="H88" s="4">
        <v>46053</v>
      </c>
      <c r="I88" s="5">
        <v>91</v>
      </c>
      <c r="J88" s="5">
        <v>3.0333333333333332</v>
      </c>
      <c r="K88" s="5">
        <f t="shared" si="7"/>
        <v>0</v>
      </c>
      <c r="L88" s="5">
        <v>0</v>
      </c>
      <c r="M88" s="5">
        <v>1</v>
      </c>
      <c r="N88" t="s">
        <v>9</v>
      </c>
      <c r="O88" s="8">
        <v>22.830136986301369</v>
      </c>
      <c r="P88" t="s">
        <v>33</v>
      </c>
      <c r="Q88">
        <v>2</v>
      </c>
      <c r="R88" s="2">
        <v>37629</v>
      </c>
    </row>
    <row r="89" spans="1:18" x14ac:dyDescent="0.3">
      <c r="A89" t="s">
        <v>11</v>
      </c>
      <c r="B89">
        <v>11369697</v>
      </c>
      <c r="C89" t="s">
        <v>10</v>
      </c>
      <c r="D89" s="4">
        <v>45689</v>
      </c>
      <c r="E89" s="11">
        <f t="shared" si="4"/>
        <v>2025</v>
      </c>
      <c r="F89" s="11">
        <f t="shared" si="5"/>
        <v>2</v>
      </c>
      <c r="G89" s="11" t="str">
        <f t="shared" si="6"/>
        <v>202502</v>
      </c>
      <c r="H89" s="4">
        <v>46054</v>
      </c>
      <c r="I89" s="5">
        <v>365</v>
      </c>
      <c r="J89" s="5">
        <v>12.166666666666666</v>
      </c>
      <c r="K89" s="5">
        <f t="shared" si="7"/>
        <v>0</v>
      </c>
      <c r="L89" s="5">
        <v>0</v>
      </c>
      <c r="M89" s="5">
        <v>0</v>
      </c>
      <c r="N89" t="s">
        <v>9</v>
      </c>
      <c r="O89" s="8">
        <v>23.80821917808219</v>
      </c>
      <c r="P89" t="s">
        <v>33</v>
      </c>
      <c r="Q89">
        <v>2</v>
      </c>
      <c r="R89" s="2">
        <v>36999</v>
      </c>
    </row>
    <row r="90" spans="1:18" x14ac:dyDescent="0.3">
      <c r="A90" t="s">
        <v>7</v>
      </c>
      <c r="B90">
        <v>11371286</v>
      </c>
      <c r="C90" t="s">
        <v>8</v>
      </c>
      <c r="D90" s="4">
        <v>45805</v>
      </c>
      <c r="E90" s="11">
        <f t="shared" si="4"/>
        <v>2025</v>
      </c>
      <c r="F90" s="11">
        <f t="shared" si="5"/>
        <v>5</v>
      </c>
      <c r="G90" s="11" t="str">
        <f t="shared" si="6"/>
        <v>202505</v>
      </c>
      <c r="I90" s="5">
        <v>9999</v>
      </c>
      <c r="J90" s="5">
        <v>333.3</v>
      </c>
      <c r="K90" s="5">
        <f t="shared" si="7"/>
        <v>0</v>
      </c>
      <c r="L90" s="5">
        <v>0</v>
      </c>
      <c r="M90" s="5">
        <v>0</v>
      </c>
      <c r="N90" t="s">
        <v>12</v>
      </c>
      <c r="O90" s="8">
        <v>23.767123287671232</v>
      </c>
      <c r="P90" t="s">
        <v>33</v>
      </c>
      <c r="Q90">
        <v>2</v>
      </c>
      <c r="R90" s="2">
        <v>37130</v>
      </c>
    </row>
    <row r="91" spans="1:18" x14ac:dyDescent="0.3">
      <c r="A91" t="s">
        <v>11</v>
      </c>
      <c r="B91">
        <v>11428705</v>
      </c>
      <c r="C91" t="s">
        <v>8</v>
      </c>
      <c r="D91" s="4">
        <v>45992</v>
      </c>
      <c r="E91" s="11">
        <f t="shared" si="4"/>
        <v>2025</v>
      </c>
      <c r="F91" s="11">
        <f t="shared" si="5"/>
        <v>12</v>
      </c>
      <c r="G91" s="11" t="str">
        <f t="shared" si="6"/>
        <v>202512</v>
      </c>
      <c r="I91" s="5">
        <v>9999</v>
      </c>
      <c r="J91" s="5">
        <v>333.3</v>
      </c>
      <c r="K91" s="5">
        <f t="shared" si="7"/>
        <v>0</v>
      </c>
      <c r="L91" s="5">
        <v>0</v>
      </c>
      <c r="M91" s="5">
        <v>0</v>
      </c>
      <c r="N91" t="s">
        <v>12</v>
      </c>
      <c r="O91" s="8">
        <v>31.572602739726026</v>
      </c>
      <c r="P91" t="s">
        <v>35</v>
      </c>
      <c r="Q91">
        <v>4</v>
      </c>
      <c r="R91" s="2">
        <v>34468</v>
      </c>
    </row>
    <row r="92" spans="1:18" x14ac:dyDescent="0.3">
      <c r="A92" t="s">
        <v>7</v>
      </c>
      <c r="B92">
        <v>11431399</v>
      </c>
      <c r="C92" t="s">
        <v>10</v>
      </c>
      <c r="D92" s="4">
        <v>45990</v>
      </c>
      <c r="E92" s="11">
        <f t="shared" si="4"/>
        <v>2025</v>
      </c>
      <c r="F92" s="11">
        <f t="shared" si="5"/>
        <v>11</v>
      </c>
      <c r="G92" s="11" t="str">
        <f t="shared" si="6"/>
        <v>202511</v>
      </c>
      <c r="H92" s="4">
        <v>46009</v>
      </c>
      <c r="I92" s="5">
        <v>19</v>
      </c>
      <c r="J92" s="5">
        <v>0.6333333333333333</v>
      </c>
      <c r="K92" s="5">
        <f t="shared" si="7"/>
        <v>1</v>
      </c>
      <c r="L92" s="5">
        <v>1</v>
      </c>
      <c r="M92" s="5">
        <v>1</v>
      </c>
      <c r="N92" t="s">
        <v>12</v>
      </c>
      <c r="O92" s="8">
        <v>25.643835616438356</v>
      </c>
      <c r="P92" t="s">
        <v>33</v>
      </c>
      <c r="Q92">
        <v>2</v>
      </c>
      <c r="R92" s="2">
        <v>36630</v>
      </c>
    </row>
    <row r="93" spans="1:18" x14ac:dyDescent="0.3">
      <c r="A93" t="s">
        <v>11</v>
      </c>
      <c r="B93">
        <v>11438473</v>
      </c>
      <c r="C93" t="s">
        <v>8</v>
      </c>
      <c r="D93" s="4">
        <v>45689</v>
      </c>
      <c r="E93" s="11">
        <f t="shared" si="4"/>
        <v>2025</v>
      </c>
      <c r="F93" s="11">
        <f t="shared" si="5"/>
        <v>2</v>
      </c>
      <c r="G93" s="11" t="str">
        <f t="shared" si="6"/>
        <v>202502</v>
      </c>
      <c r="I93" s="5">
        <v>9999</v>
      </c>
      <c r="J93" s="5">
        <v>333.3</v>
      </c>
      <c r="K93" s="5">
        <f t="shared" si="7"/>
        <v>0</v>
      </c>
      <c r="L93" s="5">
        <v>0</v>
      </c>
      <c r="M93" s="5">
        <v>0</v>
      </c>
      <c r="N93" t="s">
        <v>12</v>
      </c>
      <c r="O93" s="8">
        <v>23.975342465753425</v>
      </c>
      <c r="P93" t="s">
        <v>33</v>
      </c>
      <c r="Q93">
        <v>2</v>
      </c>
      <c r="R93" s="2">
        <v>36938</v>
      </c>
    </row>
    <row r="94" spans="1:18" x14ac:dyDescent="0.3">
      <c r="A94" t="s">
        <v>11</v>
      </c>
      <c r="B94">
        <v>11444000</v>
      </c>
      <c r="C94" t="s">
        <v>10</v>
      </c>
      <c r="D94" s="4">
        <v>45778</v>
      </c>
      <c r="E94" s="11">
        <f t="shared" si="4"/>
        <v>2025</v>
      </c>
      <c r="F94" s="11">
        <f t="shared" si="5"/>
        <v>5</v>
      </c>
      <c r="G94" s="11" t="str">
        <f t="shared" si="6"/>
        <v>202505</v>
      </c>
      <c r="H94" s="4">
        <v>45961</v>
      </c>
      <c r="I94" s="5">
        <v>183</v>
      </c>
      <c r="J94" s="5">
        <v>6.1</v>
      </c>
      <c r="K94" s="5">
        <f t="shared" si="7"/>
        <v>0</v>
      </c>
      <c r="L94" s="5">
        <v>0</v>
      </c>
      <c r="M94" s="5">
        <v>0</v>
      </c>
      <c r="N94" t="s">
        <v>9</v>
      </c>
      <c r="O94" s="8">
        <v>21.350684931506848</v>
      </c>
      <c r="P94" t="s">
        <v>33</v>
      </c>
      <c r="Q94">
        <v>2</v>
      </c>
      <c r="R94" s="2">
        <v>37985</v>
      </c>
    </row>
    <row r="95" spans="1:18" x14ac:dyDescent="0.3">
      <c r="A95" t="s">
        <v>7</v>
      </c>
      <c r="B95">
        <v>11447392</v>
      </c>
      <c r="C95" t="s">
        <v>8</v>
      </c>
      <c r="D95" s="4">
        <v>46167</v>
      </c>
      <c r="E95" s="11">
        <f t="shared" si="4"/>
        <v>2026</v>
      </c>
      <c r="F95" s="11">
        <f t="shared" si="5"/>
        <v>5</v>
      </c>
      <c r="G95" s="11" t="str">
        <f t="shared" si="6"/>
        <v>202605</v>
      </c>
      <c r="I95" s="5">
        <v>9999</v>
      </c>
      <c r="J95" s="5">
        <v>333.3</v>
      </c>
      <c r="K95" s="5">
        <f t="shared" si="7"/>
        <v>0</v>
      </c>
      <c r="L95" s="5">
        <v>0</v>
      </c>
      <c r="M95" s="5">
        <v>0</v>
      </c>
      <c r="N95" t="s">
        <v>9</v>
      </c>
      <c r="O95" s="8">
        <v>24.027397260273972</v>
      </c>
      <c r="P95" t="s">
        <v>33</v>
      </c>
      <c r="Q95">
        <v>2</v>
      </c>
      <c r="R95" s="2">
        <v>37397</v>
      </c>
    </row>
    <row r="96" spans="1:18" x14ac:dyDescent="0.3">
      <c r="A96" t="s">
        <v>7</v>
      </c>
      <c r="B96">
        <v>11448417</v>
      </c>
      <c r="C96" t="s">
        <v>8</v>
      </c>
      <c r="D96" s="4">
        <v>45818</v>
      </c>
      <c r="E96" s="11">
        <f t="shared" si="4"/>
        <v>2025</v>
      </c>
      <c r="F96" s="11">
        <f t="shared" si="5"/>
        <v>6</v>
      </c>
      <c r="G96" s="11" t="str">
        <f t="shared" si="6"/>
        <v>202506</v>
      </c>
      <c r="H96" s="4">
        <v>46009</v>
      </c>
      <c r="I96" s="5">
        <v>191</v>
      </c>
      <c r="J96" s="5">
        <v>6.3666666666666663</v>
      </c>
      <c r="K96" s="5">
        <f t="shared" si="7"/>
        <v>0</v>
      </c>
      <c r="L96" s="5">
        <v>0</v>
      </c>
      <c r="M96" s="5">
        <v>0</v>
      </c>
      <c r="N96" t="s">
        <v>12</v>
      </c>
      <c r="O96" s="8">
        <v>20.758904109589039</v>
      </c>
      <c r="P96" t="s">
        <v>32</v>
      </c>
      <c r="Q96">
        <v>1</v>
      </c>
      <c r="R96" s="2">
        <v>38241</v>
      </c>
    </row>
    <row r="97" spans="1:18" x14ac:dyDescent="0.3">
      <c r="A97" t="s">
        <v>7</v>
      </c>
      <c r="B97">
        <v>11505021</v>
      </c>
      <c r="C97" t="s">
        <v>8</v>
      </c>
      <c r="D97" s="4">
        <v>45698</v>
      </c>
      <c r="E97" s="11">
        <f t="shared" si="4"/>
        <v>2025</v>
      </c>
      <c r="F97" s="11">
        <f t="shared" si="5"/>
        <v>2</v>
      </c>
      <c r="G97" s="11" t="str">
        <f t="shared" si="6"/>
        <v>202502</v>
      </c>
      <c r="I97" s="5">
        <v>9999</v>
      </c>
      <c r="J97" s="5">
        <v>333.3</v>
      </c>
      <c r="K97" s="5">
        <f t="shared" si="7"/>
        <v>0</v>
      </c>
      <c r="L97" s="5">
        <v>0</v>
      </c>
      <c r="M97" s="5">
        <v>0</v>
      </c>
      <c r="N97" t="s">
        <v>12</v>
      </c>
      <c r="O97" s="8">
        <v>40.88219178082192</v>
      </c>
      <c r="P97" t="s">
        <v>35</v>
      </c>
      <c r="Q97">
        <v>4</v>
      </c>
      <c r="R97" s="2">
        <v>30776</v>
      </c>
    </row>
    <row r="98" spans="1:18" x14ac:dyDescent="0.3">
      <c r="A98" t="s">
        <v>7</v>
      </c>
      <c r="B98">
        <v>11510532</v>
      </c>
      <c r="C98" t="s">
        <v>8</v>
      </c>
      <c r="D98" s="4">
        <v>45717</v>
      </c>
      <c r="E98" s="11">
        <f t="shared" si="4"/>
        <v>2025</v>
      </c>
      <c r="F98" s="11">
        <f t="shared" si="5"/>
        <v>3</v>
      </c>
      <c r="G98" s="11" t="str">
        <f t="shared" si="6"/>
        <v>202503</v>
      </c>
      <c r="H98" s="4">
        <v>45754</v>
      </c>
      <c r="I98" s="5">
        <v>37</v>
      </c>
      <c r="J98" s="5">
        <v>1.2333333333333334</v>
      </c>
      <c r="K98" s="5">
        <f t="shared" si="7"/>
        <v>0</v>
      </c>
      <c r="L98" s="5">
        <v>1</v>
      </c>
      <c r="M98" s="5">
        <v>1</v>
      </c>
      <c r="N98" t="s">
        <v>12</v>
      </c>
      <c r="O98" s="8">
        <v>33.463013698630135</v>
      </c>
      <c r="P98" t="s">
        <v>35</v>
      </c>
      <c r="Q98">
        <v>4</v>
      </c>
      <c r="R98" s="2">
        <v>33503</v>
      </c>
    </row>
    <row r="99" spans="1:18" x14ac:dyDescent="0.3">
      <c r="A99" t="s">
        <v>7</v>
      </c>
      <c r="B99">
        <v>11572171</v>
      </c>
      <c r="C99" t="s">
        <v>8</v>
      </c>
      <c r="D99" s="4">
        <v>45870</v>
      </c>
      <c r="E99" s="11">
        <f t="shared" si="4"/>
        <v>2025</v>
      </c>
      <c r="F99" s="11">
        <f t="shared" si="5"/>
        <v>8</v>
      </c>
      <c r="G99" s="11" t="str">
        <f t="shared" si="6"/>
        <v>202508</v>
      </c>
      <c r="H99" s="4">
        <v>45931</v>
      </c>
      <c r="I99" s="5">
        <v>61</v>
      </c>
      <c r="J99" s="5">
        <v>2.0333333333333332</v>
      </c>
      <c r="K99" s="5">
        <f t="shared" si="7"/>
        <v>0</v>
      </c>
      <c r="L99" s="5">
        <v>1</v>
      </c>
      <c r="M99" s="5">
        <v>1</v>
      </c>
      <c r="N99" t="s">
        <v>12</v>
      </c>
      <c r="O99" s="8">
        <v>28.624657534246577</v>
      </c>
      <c r="P99" t="s">
        <v>34</v>
      </c>
      <c r="Q99">
        <v>3</v>
      </c>
      <c r="R99" s="2">
        <v>35422</v>
      </c>
    </row>
    <row r="100" spans="1:18" x14ac:dyDescent="0.3">
      <c r="A100" t="s">
        <v>7</v>
      </c>
      <c r="B100">
        <v>11573541</v>
      </c>
      <c r="C100" t="s">
        <v>10</v>
      </c>
      <c r="D100" s="4">
        <v>45689</v>
      </c>
      <c r="E100" s="11">
        <f t="shared" si="4"/>
        <v>2025</v>
      </c>
      <c r="F100" s="11">
        <f t="shared" si="5"/>
        <v>2</v>
      </c>
      <c r="G100" s="11" t="str">
        <f t="shared" si="6"/>
        <v>202502</v>
      </c>
      <c r="I100" s="5">
        <v>9999</v>
      </c>
      <c r="J100" s="5">
        <v>333.3</v>
      </c>
      <c r="K100" s="5">
        <f t="shared" si="7"/>
        <v>0</v>
      </c>
      <c r="L100" s="5">
        <v>0</v>
      </c>
      <c r="M100" s="5">
        <v>0</v>
      </c>
      <c r="N100" t="s">
        <v>12</v>
      </c>
      <c r="O100" s="8">
        <v>22.361643835616437</v>
      </c>
      <c r="P100" t="s">
        <v>33</v>
      </c>
      <c r="Q100">
        <v>2</v>
      </c>
      <c r="R100" s="2">
        <v>37527</v>
      </c>
    </row>
    <row r="101" spans="1:18" x14ac:dyDescent="0.3">
      <c r="A101" t="s">
        <v>7</v>
      </c>
      <c r="B101">
        <v>11625309</v>
      </c>
      <c r="C101" t="s">
        <v>10</v>
      </c>
      <c r="D101" s="4">
        <v>46066</v>
      </c>
      <c r="E101" s="11">
        <f t="shared" si="4"/>
        <v>2026</v>
      </c>
      <c r="F101" s="11">
        <f t="shared" si="5"/>
        <v>2</v>
      </c>
      <c r="G101" s="11" t="str">
        <f t="shared" si="6"/>
        <v>202602</v>
      </c>
      <c r="I101" s="5">
        <v>9999</v>
      </c>
      <c r="J101" s="5">
        <v>333.3</v>
      </c>
      <c r="K101" s="5">
        <f t="shared" si="7"/>
        <v>0</v>
      </c>
      <c r="L101" s="5">
        <v>0</v>
      </c>
      <c r="M101" s="5">
        <v>0</v>
      </c>
      <c r="N101" t="s">
        <v>12</v>
      </c>
      <c r="O101" s="8">
        <v>22.304109589041097</v>
      </c>
      <c r="P101" t="s">
        <v>33</v>
      </c>
      <c r="Q101">
        <v>2</v>
      </c>
      <c r="R101" s="2">
        <v>37925</v>
      </c>
    </row>
    <row r="102" spans="1:18" x14ac:dyDescent="0.3">
      <c r="A102" t="s">
        <v>11</v>
      </c>
      <c r="B102">
        <v>11639719</v>
      </c>
      <c r="C102" t="s">
        <v>8</v>
      </c>
      <c r="D102" s="4">
        <v>45689</v>
      </c>
      <c r="E102" s="11">
        <f t="shared" si="4"/>
        <v>2025</v>
      </c>
      <c r="F102" s="11">
        <f t="shared" si="5"/>
        <v>2</v>
      </c>
      <c r="G102" s="11" t="str">
        <f t="shared" si="6"/>
        <v>202502</v>
      </c>
      <c r="I102" s="5">
        <v>9999</v>
      </c>
      <c r="J102" s="5">
        <v>333.3</v>
      </c>
      <c r="K102" s="5">
        <f t="shared" si="7"/>
        <v>0</v>
      </c>
      <c r="L102" s="5">
        <v>0</v>
      </c>
      <c r="M102" s="5">
        <v>0</v>
      </c>
      <c r="N102" t="s">
        <v>9</v>
      </c>
      <c r="O102" s="8">
        <v>44.520547945205479</v>
      </c>
      <c r="P102" t="s">
        <v>35</v>
      </c>
      <c r="Q102">
        <v>4</v>
      </c>
      <c r="R102" s="2">
        <v>29439</v>
      </c>
    </row>
    <row r="103" spans="1:18" x14ac:dyDescent="0.3">
      <c r="A103" t="s">
        <v>7</v>
      </c>
      <c r="B103">
        <v>11640415</v>
      </c>
      <c r="C103" t="s">
        <v>10</v>
      </c>
      <c r="D103" s="4">
        <v>45748</v>
      </c>
      <c r="E103" s="11">
        <f t="shared" si="4"/>
        <v>2025</v>
      </c>
      <c r="F103" s="11">
        <f t="shared" si="5"/>
        <v>4</v>
      </c>
      <c r="G103" s="11" t="str">
        <f t="shared" si="6"/>
        <v>202504</v>
      </c>
      <c r="H103" s="4">
        <v>46112</v>
      </c>
      <c r="I103" s="5">
        <v>364</v>
      </c>
      <c r="J103" s="5">
        <v>12.133333333333333</v>
      </c>
      <c r="K103" s="5">
        <f t="shared" si="7"/>
        <v>0</v>
      </c>
      <c r="L103" s="5">
        <v>0</v>
      </c>
      <c r="M103" s="5">
        <v>0</v>
      </c>
      <c r="N103" t="s">
        <v>9</v>
      </c>
      <c r="O103" s="8">
        <v>21.142465753424659</v>
      </c>
      <c r="P103" t="s">
        <v>33</v>
      </c>
      <c r="Q103">
        <v>2</v>
      </c>
      <c r="R103" s="2">
        <v>38031</v>
      </c>
    </row>
    <row r="104" spans="1:18" x14ac:dyDescent="0.3">
      <c r="A104" t="s">
        <v>11</v>
      </c>
      <c r="B104">
        <v>11651096</v>
      </c>
      <c r="C104" t="s">
        <v>10</v>
      </c>
      <c r="D104" s="4">
        <v>45689</v>
      </c>
      <c r="E104" s="11">
        <f t="shared" si="4"/>
        <v>2025</v>
      </c>
      <c r="F104" s="11">
        <f t="shared" si="5"/>
        <v>2</v>
      </c>
      <c r="G104" s="11" t="str">
        <f t="shared" si="6"/>
        <v>202502</v>
      </c>
      <c r="H104" s="4">
        <v>45808</v>
      </c>
      <c r="I104" s="5">
        <v>119</v>
      </c>
      <c r="J104" s="5">
        <v>3.9666666666666668</v>
      </c>
      <c r="K104" s="5">
        <f t="shared" si="7"/>
        <v>0</v>
      </c>
      <c r="L104" s="5">
        <v>0</v>
      </c>
      <c r="M104" s="5">
        <v>1</v>
      </c>
      <c r="N104" t="s">
        <v>9</v>
      </c>
      <c r="O104" s="8">
        <v>24.55890410958904</v>
      </c>
      <c r="P104" t="s">
        <v>33</v>
      </c>
      <c r="Q104">
        <v>2</v>
      </c>
      <c r="R104" s="2">
        <v>36725</v>
      </c>
    </row>
    <row r="105" spans="1:18" x14ac:dyDescent="0.3">
      <c r="A105" t="s">
        <v>7</v>
      </c>
      <c r="B105">
        <v>11695579</v>
      </c>
      <c r="C105" t="s">
        <v>8</v>
      </c>
      <c r="D105" s="4">
        <v>46156</v>
      </c>
      <c r="E105" s="11">
        <f t="shared" si="4"/>
        <v>2026</v>
      </c>
      <c r="F105" s="11">
        <f t="shared" si="5"/>
        <v>5</v>
      </c>
      <c r="G105" s="11" t="str">
        <f t="shared" si="6"/>
        <v>202605</v>
      </c>
      <c r="I105" s="5">
        <v>9999</v>
      </c>
      <c r="J105" s="5">
        <v>333.3</v>
      </c>
      <c r="K105" s="5">
        <f t="shared" si="7"/>
        <v>0</v>
      </c>
      <c r="L105" s="5">
        <v>0</v>
      </c>
      <c r="M105" s="5">
        <v>0</v>
      </c>
      <c r="N105" t="s">
        <v>9</v>
      </c>
      <c r="O105" s="8">
        <v>26.098630136986301</v>
      </c>
      <c r="P105" t="s">
        <v>34</v>
      </c>
      <c r="Q105">
        <v>3</v>
      </c>
      <c r="R105" s="2">
        <v>36630</v>
      </c>
    </row>
    <row r="106" spans="1:18" x14ac:dyDescent="0.3">
      <c r="A106" t="s">
        <v>7</v>
      </c>
      <c r="B106">
        <v>11779966</v>
      </c>
      <c r="C106" t="s">
        <v>8</v>
      </c>
      <c r="D106" s="4">
        <v>45854</v>
      </c>
      <c r="E106" s="11">
        <f t="shared" si="4"/>
        <v>2025</v>
      </c>
      <c r="F106" s="11">
        <f t="shared" si="5"/>
        <v>7</v>
      </c>
      <c r="G106" s="11" t="str">
        <f t="shared" si="6"/>
        <v>202507</v>
      </c>
      <c r="I106" s="5">
        <v>9999</v>
      </c>
      <c r="J106" s="5">
        <v>333.3</v>
      </c>
      <c r="K106" s="5">
        <f t="shared" si="7"/>
        <v>0</v>
      </c>
      <c r="L106" s="5">
        <v>0</v>
      </c>
      <c r="M106" s="5">
        <v>0</v>
      </c>
      <c r="N106" t="s">
        <v>9</v>
      </c>
      <c r="O106" s="8">
        <v>21.813698630136987</v>
      </c>
      <c r="P106" t="s">
        <v>33</v>
      </c>
      <c r="Q106">
        <v>2</v>
      </c>
      <c r="R106" s="2">
        <v>37892</v>
      </c>
    </row>
    <row r="107" spans="1:18" x14ac:dyDescent="0.3">
      <c r="A107" t="s">
        <v>7</v>
      </c>
      <c r="B107">
        <v>11815669</v>
      </c>
      <c r="C107" t="s">
        <v>8</v>
      </c>
      <c r="D107" s="4">
        <v>45839</v>
      </c>
      <c r="E107" s="11">
        <f t="shared" si="4"/>
        <v>2025</v>
      </c>
      <c r="F107" s="11">
        <f t="shared" si="5"/>
        <v>7</v>
      </c>
      <c r="G107" s="11" t="str">
        <f t="shared" si="6"/>
        <v>202507</v>
      </c>
      <c r="I107" s="5">
        <v>9999</v>
      </c>
      <c r="J107" s="5">
        <v>333.3</v>
      </c>
      <c r="K107" s="5">
        <f t="shared" si="7"/>
        <v>0</v>
      </c>
      <c r="L107" s="5">
        <v>0</v>
      </c>
      <c r="M107" s="5">
        <v>0</v>
      </c>
      <c r="N107" t="s">
        <v>12</v>
      </c>
      <c r="O107" s="8">
        <v>23.931506849315067</v>
      </c>
      <c r="P107" t="s">
        <v>33</v>
      </c>
      <c r="Q107">
        <v>2</v>
      </c>
      <c r="R107" s="2">
        <v>37104</v>
      </c>
    </row>
    <row r="108" spans="1:18" x14ac:dyDescent="0.3">
      <c r="A108" t="s">
        <v>7</v>
      </c>
      <c r="B108">
        <v>11858604</v>
      </c>
      <c r="C108" t="s">
        <v>8</v>
      </c>
      <c r="D108" s="4">
        <v>45776</v>
      </c>
      <c r="E108" s="11">
        <f t="shared" si="4"/>
        <v>2025</v>
      </c>
      <c r="F108" s="11">
        <f t="shared" si="5"/>
        <v>4</v>
      </c>
      <c r="G108" s="11" t="str">
        <f t="shared" si="6"/>
        <v>202504</v>
      </c>
      <c r="H108" s="4">
        <v>46142</v>
      </c>
      <c r="I108" s="5">
        <v>366</v>
      </c>
      <c r="J108" s="5">
        <v>12.2</v>
      </c>
      <c r="K108" s="5">
        <f t="shared" si="7"/>
        <v>0</v>
      </c>
      <c r="L108" s="5">
        <v>0</v>
      </c>
      <c r="M108" s="5">
        <v>0</v>
      </c>
      <c r="N108" t="s">
        <v>12</v>
      </c>
      <c r="O108" s="8">
        <v>26.610958904109587</v>
      </c>
      <c r="P108" t="s">
        <v>34</v>
      </c>
      <c r="Q108">
        <v>3</v>
      </c>
      <c r="R108" s="2">
        <v>36063</v>
      </c>
    </row>
    <row r="109" spans="1:18" x14ac:dyDescent="0.3">
      <c r="A109" t="s">
        <v>7</v>
      </c>
      <c r="B109">
        <v>11873689</v>
      </c>
      <c r="C109" t="s">
        <v>10</v>
      </c>
      <c r="D109" s="4">
        <v>45734</v>
      </c>
      <c r="E109" s="11">
        <f t="shared" si="4"/>
        <v>2025</v>
      </c>
      <c r="F109" s="11">
        <f t="shared" si="5"/>
        <v>3</v>
      </c>
      <c r="G109" s="11" t="str">
        <f t="shared" si="6"/>
        <v>202503</v>
      </c>
      <c r="I109" s="5">
        <v>9999</v>
      </c>
      <c r="J109" s="5">
        <v>333.3</v>
      </c>
      <c r="K109" s="5">
        <f t="shared" si="7"/>
        <v>0</v>
      </c>
      <c r="L109" s="5">
        <v>0</v>
      </c>
      <c r="M109" s="5">
        <v>0</v>
      </c>
      <c r="N109" t="s">
        <v>12</v>
      </c>
      <c r="O109" s="8">
        <v>31.646575342465752</v>
      </c>
      <c r="P109" t="s">
        <v>35</v>
      </c>
      <c r="Q109">
        <v>4</v>
      </c>
      <c r="R109" s="2">
        <v>34183</v>
      </c>
    </row>
    <row r="110" spans="1:18" x14ac:dyDescent="0.3">
      <c r="A110" t="s">
        <v>11</v>
      </c>
      <c r="B110">
        <v>11914285</v>
      </c>
      <c r="C110" t="s">
        <v>8</v>
      </c>
      <c r="D110" s="4">
        <v>45839</v>
      </c>
      <c r="E110" s="11">
        <f t="shared" si="4"/>
        <v>2025</v>
      </c>
      <c r="F110" s="11">
        <f t="shared" si="5"/>
        <v>7</v>
      </c>
      <c r="G110" s="11" t="str">
        <f t="shared" si="6"/>
        <v>202507</v>
      </c>
      <c r="I110" s="5">
        <v>9999</v>
      </c>
      <c r="J110" s="5">
        <v>333.3</v>
      </c>
      <c r="K110" s="5">
        <f t="shared" si="7"/>
        <v>0</v>
      </c>
      <c r="L110" s="5">
        <v>0</v>
      </c>
      <c r="M110" s="5">
        <v>0</v>
      </c>
      <c r="N110" t="s">
        <v>9</v>
      </c>
      <c r="O110" s="8">
        <v>34.408219178082192</v>
      </c>
      <c r="P110" t="s">
        <v>35</v>
      </c>
      <c r="Q110">
        <v>4</v>
      </c>
      <c r="R110" s="2">
        <v>33280</v>
      </c>
    </row>
    <row r="111" spans="1:18" x14ac:dyDescent="0.3">
      <c r="A111" t="s">
        <v>7</v>
      </c>
      <c r="B111">
        <v>11930406</v>
      </c>
      <c r="C111" t="s">
        <v>10</v>
      </c>
      <c r="D111" s="4">
        <v>45966</v>
      </c>
      <c r="E111" s="11">
        <f t="shared" si="4"/>
        <v>2025</v>
      </c>
      <c r="F111" s="11">
        <f t="shared" si="5"/>
        <v>11</v>
      </c>
      <c r="G111" s="11" t="str">
        <f t="shared" si="6"/>
        <v>202511</v>
      </c>
      <c r="I111" s="5">
        <v>9999</v>
      </c>
      <c r="J111" s="5">
        <v>333.3</v>
      </c>
      <c r="K111" s="5">
        <f t="shared" si="7"/>
        <v>0</v>
      </c>
      <c r="L111" s="5">
        <v>0</v>
      </c>
      <c r="M111" s="5">
        <v>0</v>
      </c>
      <c r="N111" t="s">
        <v>9</v>
      </c>
      <c r="O111" s="8">
        <v>24.073972602739726</v>
      </c>
      <c r="P111" t="s">
        <v>33</v>
      </c>
      <c r="Q111">
        <v>2</v>
      </c>
      <c r="R111" s="2">
        <v>37179</v>
      </c>
    </row>
    <row r="112" spans="1:18" x14ac:dyDescent="0.3">
      <c r="A112" t="s">
        <v>7</v>
      </c>
      <c r="B112">
        <v>11930741</v>
      </c>
      <c r="C112" t="s">
        <v>8</v>
      </c>
      <c r="D112" s="4">
        <v>46008</v>
      </c>
      <c r="E112" s="11">
        <f t="shared" si="4"/>
        <v>2025</v>
      </c>
      <c r="F112" s="11">
        <f t="shared" si="5"/>
        <v>12</v>
      </c>
      <c r="G112" s="11" t="str">
        <f t="shared" si="6"/>
        <v>202512</v>
      </c>
      <c r="I112" s="5">
        <v>9999</v>
      </c>
      <c r="J112" s="5">
        <v>333.3</v>
      </c>
      <c r="K112" s="5">
        <f t="shared" si="7"/>
        <v>0</v>
      </c>
      <c r="L112" s="5">
        <v>0</v>
      </c>
      <c r="M112" s="5">
        <v>0</v>
      </c>
      <c r="N112" t="s">
        <v>12</v>
      </c>
      <c r="O112" s="8">
        <v>24.136986301369863</v>
      </c>
      <c r="P112" t="s">
        <v>33</v>
      </c>
      <c r="Q112">
        <v>2</v>
      </c>
      <c r="R112" s="2">
        <v>37198</v>
      </c>
    </row>
    <row r="113" spans="1:18" x14ac:dyDescent="0.3">
      <c r="A113" t="s">
        <v>11</v>
      </c>
      <c r="B113">
        <v>11966762</v>
      </c>
      <c r="C113" t="s">
        <v>8</v>
      </c>
      <c r="D113" s="4">
        <v>46054</v>
      </c>
      <c r="E113" s="11">
        <f t="shared" si="4"/>
        <v>2026</v>
      </c>
      <c r="F113" s="11">
        <f t="shared" si="5"/>
        <v>2</v>
      </c>
      <c r="G113" s="11" t="str">
        <f t="shared" si="6"/>
        <v>202602</v>
      </c>
      <c r="I113" s="5">
        <v>9999</v>
      </c>
      <c r="J113" s="5">
        <v>333.3</v>
      </c>
      <c r="K113" s="5">
        <f t="shared" si="7"/>
        <v>0</v>
      </c>
      <c r="L113" s="5">
        <v>0</v>
      </c>
      <c r="M113" s="5">
        <v>0</v>
      </c>
      <c r="N113" t="s">
        <v>9</v>
      </c>
      <c r="O113" s="8">
        <v>32.263013698630139</v>
      </c>
      <c r="P113" t="s">
        <v>35</v>
      </c>
      <c r="Q113">
        <v>4</v>
      </c>
      <c r="R113" s="2">
        <v>34278</v>
      </c>
    </row>
    <row r="114" spans="1:18" x14ac:dyDescent="0.3">
      <c r="A114" t="s">
        <v>11</v>
      </c>
      <c r="B114">
        <v>11967723</v>
      </c>
      <c r="C114" t="s">
        <v>8</v>
      </c>
      <c r="D114" s="4">
        <v>46113</v>
      </c>
      <c r="E114" s="11">
        <f t="shared" si="4"/>
        <v>2026</v>
      </c>
      <c r="F114" s="11">
        <f t="shared" si="5"/>
        <v>4</v>
      </c>
      <c r="G114" s="11" t="str">
        <f t="shared" si="6"/>
        <v>202604</v>
      </c>
      <c r="I114" s="5">
        <v>9999</v>
      </c>
      <c r="J114" s="5">
        <v>333.3</v>
      </c>
      <c r="K114" s="5">
        <f t="shared" si="7"/>
        <v>0</v>
      </c>
      <c r="L114" s="5">
        <v>0</v>
      </c>
      <c r="M114" s="5">
        <v>0</v>
      </c>
      <c r="N114" t="s">
        <v>12</v>
      </c>
      <c r="O114" s="8">
        <v>24.827397260273973</v>
      </c>
      <c r="P114" t="s">
        <v>33</v>
      </c>
      <c r="Q114">
        <v>2</v>
      </c>
      <c r="R114" s="2">
        <v>37051</v>
      </c>
    </row>
    <row r="115" spans="1:18" x14ac:dyDescent="0.3">
      <c r="A115" t="s">
        <v>11</v>
      </c>
      <c r="B115">
        <v>12032507</v>
      </c>
      <c r="C115" t="s">
        <v>8</v>
      </c>
      <c r="D115" s="4">
        <v>45778</v>
      </c>
      <c r="E115" s="11">
        <f t="shared" si="4"/>
        <v>2025</v>
      </c>
      <c r="F115" s="11">
        <f t="shared" si="5"/>
        <v>5</v>
      </c>
      <c r="G115" s="11" t="str">
        <f t="shared" si="6"/>
        <v>202505</v>
      </c>
      <c r="H115" s="4">
        <v>46112</v>
      </c>
      <c r="I115" s="5">
        <v>334</v>
      </c>
      <c r="J115" s="5">
        <v>11.133333333333333</v>
      </c>
      <c r="K115" s="5">
        <f t="shared" si="7"/>
        <v>0</v>
      </c>
      <c r="L115" s="5">
        <v>0</v>
      </c>
      <c r="M115" s="5">
        <v>0</v>
      </c>
      <c r="N115" t="s">
        <v>9</v>
      </c>
      <c r="O115" s="8">
        <v>35.098630136986301</v>
      </c>
      <c r="P115" t="s">
        <v>35</v>
      </c>
      <c r="Q115">
        <v>4</v>
      </c>
      <c r="R115" s="2">
        <v>32967</v>
      </c>
    </row>
    <row r="116" spans="1:18" x14ac:dyDescent="0.3">
      <c r="A116" t="s">
        <v>7</v>
      </c>
      <c r="B116">
        <v>12052143</v>
      </c>
      <c r="C116" t="s">
        <v>8</v>
      </c>
      <c r="D116" s="4">
        <v>46113</v>
      </c>
      <c r="E116" s="11">
        <f t="shared" si="4"/>
        <v>2026</v>
      </c>
      <c r="F116" s="11">
        <f t="shared" si="5"/>
        <v>4</v>
      </c>
      <c r="G116" s="11" t="str">
        <f t="shared" si="6"/>
        <v>202604</v>
      </c>
      <c r="I116" s="5">
        <v>9999</v>
      </c>
      <c r="J116" s="5">
        <v>333.3</v>
      </c>
      <c r="K116" s="5">
        <f t="shared" si="7"/>
        <v>0</v>
      </c>
      <c r="L116" s="5">
        <v>0</v>
      </c>
      <c r="M116" s="5">
        <v>0</v>
      </c>
      <c r="N116" t="s">
        <v>9</v>
      </c>
      <c r="O116" s="8">
        <v>23.528767123287672</v>
      </c>
      <c r="P116" t="s">
        <v>33</v>
      </c>
      <c r="Q116">
        <v>2</v>
      </c>
      <c r="R116" s="2">
        <v>37525</v>
      </c>
    </row>
    <row r="117" spans="1:18" x14ac:dyDescent="0.3">
      <c r="A117" t="s">
        <v>11</v>
      </c>
      <c r="B117">
        <v>12055585</v>
      </c>
      <c r="C117" t="s">
        <v>8</v>
      </c>
      <c r="D117" s="4">
        <v>45778</v>
      </c>
      <c r="E117" s="11">
        <f t="shared" si="4"/>
        <v>2025</v>
      </c>
      <c r="F117" s="11">
        <f t="shared" si="5"/>
        <v>5</v>
      </c>
      <c r="G117" s="11" t="str">
        <f t="shared" si="6"/>
        <v>202505</v>
      </c>
      <c r="I117" s="5">
        <v>9999</v>
      </c>
      <c r="J117" s="5">
        <v>333.3</v>
      </c>
      <c r="K117" s="5">
        <f t="shared" si="7"/>
        <v>0</v>
      </c>
      <c r="L117" s="5">
        <v>0</v>
      </c>
      <c r="M117" s="5">
        <v>0</v>
      </c>
      <c r="N117" t="s">
        <v>9</v>
      </c>
      <c r="O117" s="8">
        <v>57.290410958904111</v>
      </c>
      <c r="P117" t="s">
        <v>35</v>
      </c>
      <c r="Q117">
        <v>4</v>
      </c>
      <c r="R117" s="2">
        <v>24867</v>
      </c>
    </row>
    <row r="118" spans="1:18" x14ac:dyDescent="0.3">
      <c r="A118" t="s">
        <v>7</v>
      </c>
      <c r="B118">
        <v>12069551</v>
      </c>
      <c r="C118" t="s">
        <v>10</v>
      </c>
      <c r="D118" s="4">
        <v>46092</v>
      </c>
      <c r="E118" s="11">
        <f t="shared" si="4"/>
        <v>2026</v>
      </c>
      <c r="F118" s="11">
        <f t="shared" si="5"/>
        <v>3</v>
      </c>
      <c r="G118" s="11" t="str">
        <f t="shared" si="6"/>
        <v>202603</v>
      </c>
      <c r="I118" s="5">
        <v>9999</v>
      </c>
      <c r="J118" s="5">
        <v>333.3</v>
      </c>
      <c r="K118" s="5">
        <f t="shared" si="7"/>
        <v>0</v>
      </c>
      <c r="L118" s="5">
        <v>0</v>
      </c>
      <c r="M118" s="5">
        <v>0</v>
      </c>
      <c r="N118" t="s">
        <v>9</v>
      </c>
      <c r="O118" s="8">
        <v>22.624657534246577</v>
      </c>
      <c r="P118" t="s">
        <v>33</v>
      </c>
      <c r="Q118">
        <v>2</v>
      </c>
      <c r="R118" s="2">
        <v>37834</v>
      </c>
    </row>
    <row r="119" spans="1:18" x14ac:dyDescent="0.3">
      <c r="A119" t="s">
        <v>7</v>
      </c>
      <c r="B119">
        <v>12129377</v>
      </c>
      <c r="C119" t="s">
        <v>8</v>
      </c>
      <c r="D119" s="4">
        <v>45972</v>
      </c>
      <c r="E119" s="11">
        <f t="shared" si="4"/>
        <v>2025</v>
      </c>
      <c r="F119" s="11">
        <f t="shared" si="5"/>
        <v>11</v>
      </c>
      <c r="G119" s="11" t="str">
        <f t="shared" si="6"/>
        <v>202511</v>
      </c>
      <c r="H119" s="4">
        <v>46023</v>
      </c>
      <c r="I119" s="5">
        <v>51</v>
      </c>
      <c r="J119" s="5">
        <v>1.7</v>
      </c>
      <c r="K119" s="5">
        <f t="shared" si="7"/>
        <v>0</v>
      </c>
      <c r="L119" s="5">
        <v>1</v>
      </c>
      <c r="M119" s="5">
        <v>1</v>
      </c>
      <c r="N119" t="s">
        <v>12</v>
      </c>
      <c r="O119" s="8">
        <v>23.052054794520547</v>
      </c>
      <c r="P119" t="s">
        <v>33</v>
      </c>
      <c r="Q119">
        <v>2</v>
      </c>
      <c r="R119" s="2">
        <v>37558</v>
      </c>
    </row>
    <row r="120" spans="1:18" x14ac:dyDescent="0.3">
      <c r="A120" t="s">
        <v>11</v>
      </c>
      <c r="B120">
        <v>12133973</v>
      </c>
      <c r="C120" t="s">
        <v>8</v>
      </c>
      <c r="D120" s="4">
        <v>45901</v>
      </c>
      <c r="E120" s="11">
        <f t="shared" si="4"/>
        <v>2025</v>
      </c>
      <c r="F120" s="11">
        <f t="shared" si="5"/>
        <v>9</v>
      </c>
      <c r="G120" s="11" t="str">
        <f t="shared" si="6"/>
        <v>202509</v>
      </c>
      <c r="I120" s="5">
        <v>9999</v>
      </c>
      <c r="J120" s="5">
        <v>333.3</v>
      </c>
      <c r="K120" s="5">
        <f t="shared" si="7"/>
        <v>0</v>
      </c>
      <c r="L120" s="5">
        <v>0</v>
      </c>
      <c r="M120" s="5">
        <v>0</v>
      </c>
      <c r="N120" t="s">
        <v>9</v>
      </c>
      <c r="O120" s="8">
        <v>20.93972602739726</v>
      </c>
      <c r="P120" t="s">
        <v>32</v>
      </c>
      <c r="Q120">
        <v>1</v>
      </c>
      <c r="R120" s="2">
        <v>38258</v>
      </c>
    </row>
    <row r="121" spans="1:18" x14ac:dyDescent="0.3">
      <c r="A121" t="s">
        <v>11</v>
      </c>
      <c r="B121">
        <v>12175732</v>
      </c>
      <c r="C121" t="s">
        <v>8</v>
      </c>
      <c r="D121" s="4">
        <v>45658</v>
      </c>
      <c r="E121" s="11">
        <f t="shared" si="4"/>
        <v>2025</v>
      </c>
      <c r="F121" s="11">
        <f t="shared" si="5"/>
        <v>1</v>
      </c>
      <c r="G121" s="11" t="str">
        <f t="shared" si="6"/>
        <v>202501</v>
      </c>
      <c r="I121" s="5">
        <v>9999</v>
      </c>
      <c r="J121" s="5">
        <v>333.3</v>
      </c>
      <c r="K121" s="5">
        <f t="shared" si="7"/>
        <v>0</v>
      </c>
      <c r="L121" s="5">
        <v>0</v>
      </c>
      <c r="M121" s="5">
        <v>0</v>
      </c>
      <c r="N121" t="s">
        <v>12</v>
      </c>
      <c r="O121" s="8">
        <v>26.624657534246577</v>
      </c>
      <c r="P121" t="s">
        <v>34</v>
      </c>
      <c r="Q121">
        <v>3</v>
      </c>
      <c r="R121" s="2">
        <v>35940</v>
      </c>
    </row>
    <row r="122" spans="1:18" x14ac:dyDescent="0.3">
      <c r="A122" t="s">
        <v>11</v>
      </c>
      <c r="B122">
        <v>12192019</v>
      </c>
      <c r="C122" t="s">
        <v>8</v>
      </c>
      <c r="D122" s="4">
        <v>45689</v>
      </c>
      <c r="E122" s="11">
        <f t="shared" si="4"/>
        <v>2025</v>
      </c>
      <c r="F122" s="11">
        <f t="shared" si="5"/>
        <v>2</v>
      </c>
      <c r="G122" s="11" t="str">
        <f t="shared" si="6"/>
        <v>202502</v>
      </c>
      <c r="I122" s="5">
        <v>9999</v>
      </c>
      <c r="J122" s="5">
        <v>333.3</v>
      </c>
      <c r="K122" s="5">
        <f t="shared" si="7"/>
        <v>0</v>
      </c>
      <c r="L122" s="5">
        <v>0</v>
      </c>
      <c r="M122" s="5">
        <v>0</v>
      </c>
      <c r="N122" t="s">
        <v>12</v>
      </c>
      <c r="O122" s="8">
        <v>22.553424657534247</v>
      </c>
      <c r="P122" t="s">
        <v>33</v>
      </c>
      <c r="Q122">
        <v>2</v>
      </c>
      <c r="R122" s="2">
        <v>37457</v>
      </c>
    </row>
    <row r="123" spans="1:18" x14ac:dyDescent="0.3">
      <c r="A123" t="s">
        <v>11</v>
      </c>
      <c r="B123">
        <v>12205480</v>
      </c>
      <c r="C123" t="s">
        <v>10</v>
      </c>
      <c r="D123" s="4">
        <v>46168</v>
      </c>
      <c r="E123" s="11">
        <f t="shared" si="4"/>
        <v>2026</v>
      </c>
      <c r="F123" s="11">
        <f t="shared" si="5"/>
        <v>5</v>
      </c>
      <c r="G123" s="11" t="str">
        <f t="shared" si="6"/>
        <v>202605</v>
      </c>
      <c r="I123" s="5">
        <v>9999</v>
      </c>
      <c r="J123" s="5">
        <v>333.3</v>
      </c>
      <c r="K123" s="5">
        <f t="shared" si="7"/>
        <v>0</v>
      </c>
      <c r="L123" s="5">
        <v>0</v>
      </c>
      <c r="M123" s="5">
        <v>0</v>
      </c>
      <c r="N123" t="s">
        <v>9</v>
      </c>
      <c r="O123" s="8">
        <v>22.550684931506851</v>
      </c>
      <c r="P123" t="s">
        <v>33</v>
      </c>
      <c r="Q123">
        <v>2</v>
      </c>
      <c r="R123" s="2">
        <v>37937</v>
      </c>
    </row>
    <row r="124" spans="1:18" x14ac:dyDescent="0.3">
      <c r="A124" t="s">
        <v>11</v>
      </c>
      <c r="B124">
        <v>12297739</v>
      </c>
      <c r="C124" t="s">
        <v>8</v>
      </c>
      <c r="D124" s="4">
        <v>45962</v>
      </c>
      <c r="E124" s="11">
        <f t="shared" si="4"/>
        <v>2025</v>
      </c>
      <c r="F124" s="11">
        <f t="shared" si="5"/>
        <v>11</v>
      </c>
      <c r="G124" s="11" t="str">
        <f t="shared" si="6"/>
        <v>202511</v>
      </c>
      <c r="I124" s="5">
        <v>9999</v>
      </c>
      <c r="J124" s="5">
        <v>333.3</v>
      </c>
      <c r="K124" s="5">
        <f t="shared" si="7"/>
        <v>0</v>
      </c>
      <c r="L124" s="5">
        <v>0</v>
      </c>
      <c r="M124" s="5">
        <v>0</v>
      </c>
      <c r="N124" t="s">
        <v>12</v>
      </c>
      <c r="O124" s="8">
        <v>23.490410958904111</v>
      </c>
      <c r="P124" t="s">
        <v>33</v>
      </c>
      <c r="Q124">
        <v>2</v>
      </c>
      <c r="R124" s="2">
        <v>37388</v>
      </c>
    </row>
    <row r="125" spans="1:18" x14ac:dyDescent="0.3">
      <c r="A125" t="s">
        <v>11</v>
      </c>
      <c r="B125">
        <v>12309872</v>
      </c>
      <c r="C125" t="s">
        <v>8</v>
      </c>
      <c r="D125" s="4">
        <v>46113</v>
      </c>
      <c r="E125" s="11">
        <f t="shared" si="4"/>
        <v>2026</v>
      </c>
      <c r="F125" s="11">
        <f t="shared" si="5"/>
        <v>4</v>
      </c>
      <c r="G125" s="11" t="str">
        <f t="shared" si="6"/>
        <v>202604</v>
      </c>
      <c r="I125" s="5">
        <v>9999</v>
      </c>
      <c r="J125" s="5">
        <v>333.3</v>
      </c>
      <c r="K125" s="5">
        <f t="shared" si="7"/>
        <v>0</v>
      </c>
      <c r="L125" s="5">
        <v>0</v>
      </c>
      <c r="M125" s="5">
        <v>0</v>
      </c>
      <c r="N125" t="s">
        <v>9</v>
      </c>
      <c r="O125" s="8">
        <v>24.378082191780823</v>
      </c>
      <c r="P125" t="s">
        <v>33</v>
      </c>
      <c r="Q125">
        <v>2</v>
      </c>
      <c r="R125" s="2">
        <v>37215</v>
      </c>
    </row>
    <row r="126" spans="1:18" x14ac:dyDescent="0.3">
      <c r="A126" t="s">
        <v>11</v>
      </c>
      <c r="B126">
        <v>12322530</v>
      </c>
      <c r="C126" t="s">
        <v>8</v>
      </c>
      <c r="D126" s="4">
        <v>45689</v>
      </c>
      <c r="E126" s="11">
        <f t="shared" si="4"/>
        <v>2025</v>
      </c>
      <c r="F126" s="11">
        <f t="shared" si="5"/>
        <v>2</v>
      </c>
      <c r="G126" s="11" t="str">
        <f t="shared" si="6"/>
        <v>202502</v>
      </c>
      <c r="I126" s="5">
        <v>9999</v>
      </c>
      <c r="J126" s="5">
        <v>333.3</v>
      </c>
      <c r="K126" s="5">
        <f t="shared" si="7"/>
        <v>0</v>
      </c>
      <c r="L126" s="5">
        <v>0</v>
      </c>
      <c r="M126" s="5">
        <v>0</v>
      </c>
      <c r="N126" t="s">
        <v>9</v>
      </c>
      <c r="O126" s="8">
        <v>32.534246575342465</v>
      </c>
      <c r="P126" t="s">
        <v>35</v>
      </c>
      <c r="Q126">
        <v>4</v>
      </c>
      <c r="R126" s="2">
        <v>33814</v>
      </c>
    </row>
    <row r="127" spans="1:18" x14ac:dyDescent="0.3">
      <c r="A127" t="s">
        <v>7</v>
      </c>
      <c r="B127">
        <v>12398638</v>
      </c>
      <c r="C127" t="s">
        <v>10</v>
      </c>
      <c r="D127" s="4">
        <v>45684</v>
      </c>
      <c r="E127" s="11">
        <f t="shared" si="4"/>
        <v>2025</v>
      </c>
      <c r="F127" s="11">
        <f t="shared" si="5"/>
        <v>1</v>
      </c>
      <c r="G127" s="11" t="str">
        <f t="shared" si="6"/>
        <v>202501</v>
      </c>
      <c r="H127" s="4">
        <v>45744</v>
      </c>
      <c r="I127" s="5">
        <v>60</v>
      </c>
      <c r="J127" s="5">
        <v>2</v>
      </c>
      <c r="K127" s="5">
        <f t="shared" si="7"/>
        <v>0</v>
      </c>
      <c r="L127" s="5">
        <v>1</v>
      </c>
      <c r="M127" s="5">
        <v>1</v>
      </c>
      <c r="N127" t="s">
        <v>12</v>
      </c>
      <c r="O127" s="8">
        <v>20.13150684931507</v>
      </c>
      <c r="P127" t="s">
        <v>32</v>
      </c>
      <c r="Q127">
        <v>1</v>
      </c>
      <c r="R127" s="2">
        <v>38336</v>
      </c>
    </row>
    <row r="128" spans="1:18" x14ac:dyDescent="0.3">
      <c r="A128" t="s">
        <v>11</v>
      </c>
      <c r="B128">
        <v>12442735</v>
      </c>
      <c r="C128" t="s">
        <v>8</v>
      </c>
      <c r="D128" s="4">
        <v>45717</v>
      </c>
      <c r="E128" s="11">
        <f t="shared" si="4"/>
        <v>2025</v>
      </c>
      <c r="F128" s="11">
        <f t="shared" si="5"/>
        <v>3</v>
      </c>
      <c r="G128" s="11" t="str">
        <f t="shared" si="6"/>
        <v>202503</v>
      </c>
      <c r="H128" s="4">
        <v>45840</v>
      </c>
      <c r="I128" s="5">
        <v>123</v>
      </c>
      <c r="J128" s="5">
        <v>4.0999999999999996</v>
      </c>
      <c r="K128" s="5">
        <f t="shared" si="7"/>
        <v>0</v>
      </c>
      <c r="L128" s="5">
        <v>0</v>
      </c>
      <c r="M128" s="5">
        <v>1</v>
      </c>
      <c r="N128" t="s">
        <v>9</v>
      </c>
      <c r="O128" s="8">
        <v>21.608219178082191</v>
      </c>
      <c r="P128" t="s">
        <v>33</v>
      </c>
      <c r="Q128">
        <v>2</v>
      </c>
      <c r="R128" s="2">
        <v>37830</v>
      </c>
    </row>
    <row r="129" spans="1:18" x14ac:dyDescent="0.3">
      <c r="A129" t="s">
        <v>7</v>
      </c>
      <c r="B129">
        <v>12443033</v>
      </c>
      <c r="C129" t="s">
        <v>10</v>
      </c>
      <c r="D129" s="4">
        <v>45748</v>
      </c>
      <c r="E129" s="11">
        <f t="shared" si="4"/>
        <v>2025</v>
      </c>
      <c r="F129" s="11">
        <f t="shared" si="5"/>
        <v>4</v>
      </c>
      <c r="G129" s="11" t="str">
        <f t="shared" si="6"/>
        <v>202504</v>
      </c>
      <c r="I129" s="5">
        <v>9999</v>
      </c>
      <c r="J129" s="5">
        <v>333.3</v>
      </c>
      <c r="K129" s="5">
        <f t="shared" si="7"/>
        <v>0</v>
      </c>
      <c r="L129" s="5">
        <v>0</v>
      </c>
      <c r="M129" s="5">
        <v>0</v>
      </c>
      <c r="N129" t="s">
        <v>9</v>
      </c>
      <c r="O129" s="8">
        <v>23</v>
      </c>
      <c r="P129" t="s">
        <v>33</v>
      </c>
      <c r="Q129">
        <v>2</v>
      </c>
      <c r="R129" s="2">
        <v>37353</v>
      </c>
    </row>
    <row r="130" spans="1:18" x14ac:dyDescent="0.3">
      <c r="A130" t="s">
        <v>7</v>
      </c>
      <c r="B130">
        <v>12486292</v>
      </c>
      <c r="C130" t="s">
        <v>8</v>
      </c>
      <c r="D130" s="4">
        <v>45778</v>
      </c>
      <c r="E130" s="11">
        <f t="shared" si="4"/>
        <v>2025</v>
      </c>
      <c r="F130" s="11">
        <f t="shared" si="5"/>
        <v>5</v>
      </c>
      <c r="G130" s="11" t="str">
        <f t="shared" si="6"/>
        <v>202505</v>
      </c>
      <c r="H130" s="4">
        <v>46112</v>
      </c>
      <c r="I130" s="5">
        <v>334</v>
      </c>
      <c r="J130" s="5">
        <v>11.133333333333333</v>
      </c>
      <c r="K130" s="5">
        <f t="shared" si="7"/>
        <v>0</v>
      </c>
      <c r="L130" s="5">
        <v>0</v>
      </c>
      <c r="M130" s="5">
        <v>0</v>
      </c>
      <c r="N130" t="s">
        <v>12</v>
      </c>
      <c r="O130" s="8">
        <v>20.049315068493151</v>
      </c>
      <c r="P130" t="s">
        <v>32</v>
      </c>
      <c r="Q130">
        <v>1</v>
      </c>
      <c r="R130" s="2">
        <v>38460</v>
      </c>
    </row>
    <row r="131" spans="1:18" x14ac:dyDescent="0.3">
      <c r="A131" t="s">
        <v>7</v>
      </c>
      <c r="B131">
        <v>12570851</v>
      </c>
      <c r="C131" t="s">
        <v>8</v>
      </c>
      <c r="D131" s="4">
        <v>46143</v>
      </c>
      <c r="E131" s="11">
        <f t="shared" ref="E131:E194" si="8">+YEAR(D131)</f>
        <v>2026</v>
      </c>
      <c r="F131" s="11">
        <f t="shared" ref="F131:F194" si="9">+MONTH(D131)</f>
        <v>5</v>
      </c>
      <c r="G131" s="11" t="str">
        <f t="shared" ref="G131:G194" si="10">+TEXT(D131, "yyymm")</f>
        <v>202605</v>
      </c>
      <c r="I131" s="5">
        <v>9999</v>
      </c>
      <c r="J131" s="5">
        <v>333.3</v>
      </c>
      <c r="K131" s="5">
        <f t="shared" ref="K131:K194" si="11">IF(J131&lt;=1,1,0)</f>
        <v>0</v>
      </c>
      <c r="L131" s="5">
        <v>0</v>
      </c>
      <c r="M131" s="5">
        <v>0</v>
      </c>
      <c r="N131" t="s">
        <v>12</v>
      </c>
      <c r="O131" s="8">
        <v>28.838356164383562</v>
      </c>
      <c r="P131" t="s">
        <v>34</v>
      </c>
      <c r="Q131">
        <v>3</v>
      </c>
      <c r="R131" s="2">
        <v>35617</v>
      </c>
    </row>
    <row r="132" spans="1:18" x14ac:dyDescent="0.3">
      <c r="A132" t="s">
        <v>7</v>
      </c>
      <c r="B132">
        <v>12595714</v>
      </c>
      <c r="C132" t="s">
        <v>10</v>
      </c>
      <c r="D132" s="4">
        <v>45748</v>
      </c>
      <c r="E132" s="11">
        <f t="shared" si="8"/>
        <v>2025</v>
      </c>
      <c r="F132" s="11">
        <f t="shared" si="9"/>
        <v>4</v>
      </c>
      <c r="G132" s="11" t="str">
        <f t="shared" si="10"/>
        <v>202504</v>
      </c>
      <c r="H132" s="4">
        <v>46146</v>
      </c>
      <c r="I132" s="5">
        <v>398</v>
      </c>
      <c r="J132" s="5">
        <v>13.266666666666667</v>
      </c>
      <c r="K132" s="5">
        <f t="shared" si="11"/>
        <v>0</v>
      </c>
      <c r="L132" s="5">
        <v>0</v>
      </c>
      <c r="M132" s="5">
        <v>0</v>
      </c>
      <c r="N132" t="s">
        <v>12</v>
      </c>
      <c r="O132" s="8">
        <v>22.797260273972604</v>
      </c>
      <c r="P132" t="s">
        <v>33</v>
      </c>
      <c r="Q132">
        <v>2</v>
      </c>
      <c r="R132" s="2">
        <v>37427</v>
      </c>
    </row>
    <row r="133" spans="1:18" x14ac:dyDescent="0.3">
      <c r="A133" t="s">
        <v>11</v>
      </c>
      <c r="B133">
        <v>12771524</v>
      </c>
      <c r="C133" t="s">
        <v>10</v>
      </c>
      <c r="D133" s="4">
        <v>45748</v>
      </c>
      <c r="E133" s="11">
        <f t="shared" si="8"/>
        <v>2025</v>
      </c>
      <c r="F133" s="11">
        <f t="shared" si="9"/>
        <v>4</v>
      </c>
      <c r="G133" s="11" t="str">
        <f t="shared" si="10"/>
        <v>202504</v>
      </c>
      <c r="H133" s="4">
        <v>46085</v>
      </c>
      <c r="I133" s="5">
        <v>337</v>
      </c>
      <c r="J133" s="5">
        <v>11.233333333333333</v>
      </c>
      <c r="K133" s="5">
        <f t="shared" si="11"/>
        <v>0</v>
      </c>
      <c r="L133" s="5">
        <v>0</v>
      </c>
      <c r="M133" s="5">
        <v>0</v>
      </c>
      <c r="N133" t="s">
        <v>9</v>
      </c>
      <c r="O133" s="8">
        <v>23.767123287671232</v>
      </c>
      <c r="P133" t="s">
        <v>33</v>
      </c>
      <c r="Q133">
        <v>2</v>
      </c>
      <c r="R133" s="2">
        <v>37073</v>
      </c>
    </row>
    <row r="134" spans="1:18" x14ac:dyDescent="0.3">
      <c r="A134" t="s">
        <v>7</v>
      </c>
      <c r="B134">
        <v>12851031</v>
      </c>
      <c r="C134" t="s">
        <v>8</v>
      </c>
      <c r="D134" s="4">
        <v>45786</v>
      </c>
      <c r="E134" s="11">
        <f t="shared" si="8"/>
        <v>2025</v>
      </c>
      <c r="F134" s="11">
        <f t="shared" si="9"/>
        <v>5</v>
      </c>
      <c r="G134" s="11" t="str">
        <f t="shared" si="10"/>
        <v>202505</v>
      </c>
      <c r="H134" s="4">
        <v>45900</v>
      </c>
      <c r="I134" s="5">
        <v>114</v>
      </c>
      <c r="J134" s="5">
        <v>3.8</v>
      </c>
      <c r="K134" s="5">
        <f t="shared" si="11"/>
        <v>0</v>
      </c>
      <c r="L134" s="5">
        <v>0</v>
      </c>
      <c r="M134" s="5">
        <v>1</v>
      </c>
      <c r="N134" t="s">
        <v>12</v>
      </c>
      <c r="O134" s="8">
        <v>30.956164383561642</v>
      </c>
      <c r="P134" t="s">
        <v>34</v>
      </c>
      <c r="Q134">
        <v>3</v>
      </c>
      <c r="R134" s="2">
        <v>34487</v>
      </c>
    </row>
    <row r="135" spans="1:18" x14ac:dyDescent="0.3">
      <c r="A135" t="s">
        <v>7</v>
      </c>
      <c r="B135">
        <v>12921546</v>
      </c>
      <c r="C135" t="s">
        <v>10</v>
      </c>
      <c r="D135" s="4">
        <v>45717</v>
      </c>
      <c r="E135" s="11">
        <f t="shared" si="8"/>
        <v>2025</v>
      </c>
      <c r="F135" s="11">
        <f t="shared" si="9"/>
        <v>3</v>
      </c>
      <c r="G135" s="11" t="str">
        <f t="shared" si="10"/>
        <v>202503</v>
      </c>
      <c r="H135" s="4">
        <v>45762</v>
      </c>
      <c r="I135" s="5">
        <v>45</v>
      </c>
      <c r="J135" s="5">
        <v>1.5</v>
      </c>
      <c r="K135" s="5">
        <f t="shared" si="11"/>
        <v>0</v>
      </c>
      <c r="L135" s="5">
        <v>1</v>
      </c>
      <c r="M135" s="5">
        <v>1</v>
      </c>
      <c r="N135" t="s">
        <v>9</v>
      </c>
      <c r="O135" s="8">
        <v>20.378082191780823</v>
      </c>
      <c r="P135" t="s">
        <v>32</v>
      </c>
      <c r="Q135">
        <v>1</v>
      </c>
      <c r="R135" s="2">
        <v>38279</v>
      </c>
    </row>
    <row r="136" spans="1:18" x14ac:dyDescent="0.3">
      <c r="A136" t="s">
        <v>11</v>
      </c>
      <c r="B136">
        <v>13041887</v>
      </c>
      <c r="C136" t="s">
        <v>8</v>
      </c>
      <c r="D136" s="4">
        <v>45931</v>
      </c>
      <c r="E136" s="11">
        <f t="shared" si="8"/>
        <v>2025</v>
      </c>
      <c r="F136" s="11">
        <f t="shared" si="9"/>
        <v>10</v>
      </c>
      <c r="G136" s="11" t="str">
        <f t="shared" si="10"/>
        <v>202510</v>
      </c>
      <c r="H136" s="4">
        <v>46082</v>
      </c>
      <c r="I136" s="5">
        <v>151</v>
      </c>
      <c r="J136" s="5">
        <v>5.0333333333333332</v>
      </c>
      <c r="K136" s="5">
        <f t="shared" si="11"/>
        <v>0</v>
      </c>
      <c r="L136" s="5">
        <v>0</v>
      </c>
      <c r="M136" s="5">
        <v>1</v>
      </c>
      <c r="N136" t="s">
        <v>9</v>
      </c>
      <c r="O136" s="8">
        <v>25.504109589041096</v>
      </c>
      <c r="P136" t="s">
        <v>33</v>
      </c>
      <c r="Q136">
        <v>2</v>
      </c>
      <c r="R136" s="2">
        <v>36622</v>
      </c>
    </row>
    <row r="137" spans="1:18" x14ac:dyDescent="0.3">
      <c r="A137" t="s">
        <v>7</v>
      </c>
      <c r="B137">
        <v>13045234</v>
      </c>
      <c r="C137" t="s">
        <v>8</v>
      </c>
      <c r="D137" s="4">
        <v>45809</v>
      </c>
      <c r="E137" s="11">
        <f t="shared" si="8"/>
        <v>2025</v>
      </c>
      <c r="F137" s="11">
        <f t="shared" si="9"/>
        <v>6</v>
      </c>
      <c r="G137" s="11" t="str">
        <f t="shared" si="10"/>
        <v>202506</v>
      </c>
      <c r="I137" s="5">
        <v>9999</v>
      </c>
      <c r="J137" s="5">
        <v>333.3</v>
      </c>
      <c r="K137" s="5">
        <f t="shared" si="11"/>
        <v>0</v>
      </c>
      <c r="L137" s="5">
        <v>0</v>
      </c>
      <c r="M137" s="5">
        <v>0</v>
      </c>
      <c r="N137" t="s">
        <v>12</v>
      </c>
      <c r="O137" s="8">
        <v>21.780821917808218</v>
      </c>
      <c r="P137" t="s">
        <v>33</v>
      </c>
      <c r="Q137">
        <v>2</v>
      </c>
      <c r="R137" s="2">
        <v>37859</v>
      </c>
    </row>
    <row r="138" spans="1:18" x14ac:dyDescent="0.3">
      <c r="A138" t="s">
        <v>11</v>
      </c>
      <c r="B138">
        <v>13045236</v>
      </c>
      <c r="C138" t="s">
        <v>8</v>
      </c>
      <c r="D138" s="4">
        <v>45778</v>
      </c>
      <c r="E138" s="11">
        <f t="shared" si="8"/>
        <v>2025</v>
      </c>
      <c r="F138" s="11">
        <f t="shared" si="9"/>
        <v>5</v>
      </c>
      <c r="G138" s="11" t="str">
        <f t="shared" si="10"/>
        <v>202505</v>
      </c>
      <c r="I138" s="5">
        <v>9999</v>
      </c>
      <c r="J138" s="5">
        <v>333.3</v>
      </c>
      <c r="K138" s="5">
        <f t="shared" si="11"/>
        <v>0</v>
      </c>
      <c r="L138" s="5">
        <v>0</v>
      </c>
      <c r="M138" s="5">
        <v>0</v>
      </c>
      <c r="N138" t="s">
        <v>12</v>
      </c>
      <c r="O138" s="8">
        <v>20.167123287671235</v>
      </c>
      <c r="P138" t="s">
        <v>32</v>
      </c>
      <c r="Q138">
        <v>1</v>
      </c>
      <c r="R138" s="2">
        <v>38417</v>
      </c>
    </row>
    <row r="139" spans="1:18" x14ac:dyDescent="0.3">
      <c r="A139" t="s">
        <v>7</v>
      </c>
      <c r="B139">
        <v>13172228</v>
      </c>
      <c r="C139" t="s">
        <v>8</v>
      </c>
      <c r="D139" s="4">
        <v>46143</v>
      </c>
      <c r="E139" s="11">
        <f t="shared" si="8"/>
        <v>2026</v>
      </c>
      <c r="F139" s="11">
        <f t="shared" si="9"/>
        <v>5</v>
      </c>
      <c r="G139" s="11" t="str">
        <f t="shared" si="10"/>
        <v>202605</v>
      </c>
      <c r="I139" s="5">
        <v>9999</v>
      </c>
      <c r="J139" s="5">
        <v>333.3</v>
      </c>
      <c r="K139" s="5">
        <f t="shared" si="11"/>
        <v>0</v>
      </c>
      <c r="L139" s="5">
        <v>0</v>
      </c>
      <c r="M139" s="5">
        <v>0</v>
      </c>
      <c r="N139" t="s">
        <v>9</v>
      </c>
      <c r="O139" s="8">
        <v>25.394520547945206</v>
      </c>
      <c r="P139" t="s">
        <v>33</v>
      </c>
      <c r="Q139">
        <v>2</v>
      </c>
      <c r="R139" s="2">
        <v>36874</v>
      </c>
    </row>
    <row r="140" spans="1:18" x14ac:dyDescent="0.3">
      <c r="A140" t="s">
        <v>11</v>
      </c>
      <c r="B140">
        <v>13244825</v>
      </c>
      <c r="C140" t="s">
        <v>10</v>
      </c>
      <c r="D140" s="4">
        <v>45874</v>
      </c>
      <c r="E140" s="11">
        <f t="shared" si="8"/>
        <v>2025</v>
      </c>
      <c r="F140" s="11">
        <f t="shared" si="9"/>
        <v>8</v>
      </c>
      <c r="G140" s="11" t="str">
        <f t="shared" si="10"/>
        <v>202508</v>
      </c>
      <c r="H140" s="4">
        <v>46081</v>
      </c>
      <c r="I140" s="5">
        <v>207</v>
      </c>
      <c r="J140" s="5">
        <v>6.9</v>
      </c>
      <c r="K140" s="5">
        <f t="shared" si="11"/>
        <v>0</v>
      </c>
      <c r="L140" s="5">
        <v>0</v>
      </c>
      <c r="M140" s="5">
        <v>0</v>
      </c>
      <c r="N140" t="s">
        <v>9</v>
      </c>
      <c r="O140" s="8">
        <v>21.564383561643837</v>
      </c>
      <c r="P140" t="s">
        <v>33</v>
      </c>
      <c r="Q140">
        <v>2</v>
      </c>
      <c r="R140" s="2">
        <v>38003</v>
      </c>
    </row>
    <row r="141" spans="1:18" x14ac:dyDescent="0.3">
      <c r="A141" t="s">
        <v>7</v>
      </c>
      <c r="B141">
        <v>13252474</v>
      </c>
      <c r="C141" t="s">
        <v>10</v>
      </c>
      <c r="D141" s="4">
        <v>45839</v>
      </c>
      <c r="E141" s="11">
        <f t="shared" si="8"/>
        <v>2025</v>
      </c>
      <c r="F141" s="11">
        <f t="shared" si="9"/>
        <v>7</v>
      </c>
      <c r="G141" s="11" t="str">
        <f t="shared" si="10"/>
        <v>202507</v>
      </c>
      <c r="H141" s="4">
        <v>46006</v>
      </c>
      <c r="I141" s="5">
        <v>167</v>
      </c>
      <c r="J141" s="5">
        <v>5.5666666666666664</v>
      </c>
      <c r="K141" s="5">
        <f t="shared" si="11"/>
        <v>0</v>
      </c>
      <c r="L141" s="5">
        <v>0</v>
      </c>
      <c r="M141" s="5">
        <v>1</v>
      </c>
      <c r="N141" t="s">
        <v>9</v>
      </c>
      <c r="O141" s="8">
        <v>21.375342465753423</v>
      </c>
      <c r="P141" t="s">
        <v>33</v>
      </c>
      <c r="Q141">
        <v>2</v>
      </c>
      <c r="R141" s="2">
        <v>38037</v>
      </c>
    </row>
    <row r="142" spans="1:18" x14ac:dyDescent="0.3">
      <c r="A142" t="s">
        <v>11</v>
      </c>
      <c r="B142">
        <v>13289522</v>
      </c>
      <c r="C142" t="s">
        <v>8</v>
      </c>
      <c r="D142" s="4">
        <v>45809</v>
      </c>
      <c r="E142" s="11">
        <f t="shared" si="8"/>
        <v>2025</v>
      </c>
      <c r="F142" s="11">
        <f t="shared" si="9"/>
        <v>6</v>
      </c>
      <c r="G142" s="11" t="str">
        <f t="shared" si="10"/>
        <v>202506</v>
      </c>
      <c r="I142" s="5">
        <v>9999</v>
      </c>
      <c r="J142" s="5">
        <v>333.3</v>
      </c>
      <c r="K142" s="5">
        <f t="shared" si="11"/>
        <v>0</v>
      </c>
      <c r="L142" s="5">
        <v>0</v>
      </c>
      <c r="M142" s="5">
        <v>0</v>
      </c>
      <c r="N142" t="s">
        <v>12</v>
      </c>
      <c r="O142" s="8">
        <v>27.547945205479451</v>
      </c>
      <c r="P142" t="s">
        <v>34</v>
      </c>
      <c r="Q142">
        <v>3</v>
      </c>
      <c r="R142" s="2">
        <v>35754</v>
      </c>
    </row>
    <row r="143" spans="1:18" x14ac:dyDescent="0.3">
      <c r="A143" t="s">
        <v>7</v>
      </c>
      <c r="B143">
        <v>13293542</v>
      </c>
      <c r="C143" t="s">
        <v>8</v>
      </c>
      <c r="D143" s="4">
        <v>45931</v>
      </c>
      <c r="E143" s="11">
        <f t="shared" si="8"/>
        <v>2025</v>
      </c>
      <c r="F143" s="11">
        <f t="shared" si="9"/>
        <v>10</v>
      </c>
      <c r="G143" s="11" t="str">
        <f t="shared" si="10"/>
        <v>202510</v>
      </c>
      <c r="I143" s="5">
        <v>9999</v>
      </c>
      <c r="J143" s="5">
        <v>333.3</v>
      </c>
      <c r="K143" s="5">
        <f t="shared" si="11"/>
        <v>0</v>
      </c>
      <c r="L143" s="5">
        <v>0</v>
      </c>
      <c r="M143" s="5">
        <v>0</v>
      </c>
      <c r="N143" t="s">
        <v>9</v>
      </c>
      <c r="O143" s="8">
        <v>20.704109589041096</v>
      </c>
      <c r="P143" t="s">
        <v>32</v>
      </c>
      <c r="Q143">
        <v>1</v>
      </c>
      <c r="R143" s="2">
        <v>38374</v>
      </c>
    </row>
    <row r="144" spans="1:18" x14ac:dyDescent="0.3">
      <c r="A144" t="s">
        <v>11</v>
      </c>
      <c r="B144">
        <v>13293553</v>
      </c>
      <c r="C144" t="s">
        <v>8</v>
      </c>
      <c r="D144" s="4">
        <v>45870</v>
      </c>
      <c r="E144" s="11">
        <f t="shared" si="8"/>
        <v>2025</v>
      </c>
      <c r="F144" s="11">
        <f t="shared" si="9"/>
        <v>8</v>
      </c>
      <c r="G144" s="11" t="str">
        <f t="shared" si="10"/>
        <v>202508</v>
      </c>
      <c r="H144" s="4">
        <v>46112</v>
      </c>
      <c r="I144" s="5">
        <v>242</v>
      </c>
      <c r="J144" s="5">
        <v>8.0666666666666664</v>
      </c>
      <c r="K144" s="5">
        <f t="shared" si="11"/>
        <v>0</v>
      </c>
      <c r="L144" s="5">
        <v>0</v>
      </c>
      <c r="M144" s="5">
        <v>0</v>
      </c>
      <c r="N144" t="s">
        <v>9</v>
      </c>
      <c r="O144" s="8">
        <v>21.931506849315067</v>
      </c>
      <c r="P144" t="s">
        <v>33</v>
      </c>
      <c r="Q144">
        <v>2</v>
      </c>
      <c r="R144" s="2">
        <v>37865</v>
      </c>
    </row>
    <row r="145" spans="1:18" x14ac:dyDescent="0.3">
      <c r="A145" t="s">
        <v>7</v>
      </c>
      <c r="B145">
        <v>13307151</v>
      </c>
      <c r="C145" t="s">
        <v>10</v>
      </c>
      <c r="D145" s="4">
        <v>45748</v>
      </c>
      <c r="E145" s="11">
        <f t="shared" si="8"/>
        <v>2025</v>
      </c>
      <c r="F145" s="11">
        <f t="shared" si="9"/>
        <v>4</v>
      </c>
      <c r="G145" s="11" t="str">
        <f t="shared" si="10"/>
        <v>202504</v>
      </c>
      <c r="H145" s="4">
        <v>46132</v>
      </c>
      <c r="I145" s="5">
        <v>384</v>
      </c>
      <c r="J145" s="5">
        <v>12.8</v>
      </c>
      <c r="K145" s="5">
        <f t="shared" si="11"/>
        <v>0</v>
      </c>
      <c r="L145" s="5">
        <v>0</v>
      </c>
      <c r="M145" s="5">
        <v>0</v>
      </c>
      <c r="N145" t="s">
        <v>12</v>
      </c>
      <c r="O145" s="8">
        <v>20.076712328767123</v>
      </c>
      <c r="P145" t="s">
        <v>32</v>
      </c>
      <c r="Q145">
        <v>1</v>
      </c>
      <c r="R145" s="2">
        <v>38420</v>
      </c>
    </row>
    <row r="146" spans="1:18" x14ac:dyDescent="0.3">
      <c r="A146" t="s">
        <v>7</v>
      </c>
      <c r="B146">
        <v>13312197</v>
      </c>
      <c r="C146" t="s">
        <v>8</v>
      </c>
      <c r="D146" s="4">
        <v>45926</v>
      </c>
      <c r="E146" s="11">
        <f t="shared" si="8"/>
        <v>2025</v>
      </c>
      <c r="F146" s="11">
        <f t="shared" si="9"/>
        <v>9</v>
      </c>
      <c r="G146" s="11" t="str">
        <f t="shared" si="10"/>
        <v>202509</v>
      </c>
      <c r="H146" s="4">
        <v>45992</v>
      </c>
      <c r="I146" s="5">
        <v>66</v>
      </c>
      <c r="J146" s="5">
        <v>2.2000000000000002</v>
      </c>
      <c r="K146" s="5">
        <f t="shared" si="11"/>
        <v>0</v>
      </c>
      <c r="L146" s="5">
        <v>1</v>
      </c>
      <c r="M146" s="5">
        <v>1</v>
      </c>
      <c r="N146" t="s">
        <v>9</v>
      </c>
      <c r="O146" s="8">
        <v>27.506849315068493</v>
      </c>
      <c r="P146" t="s">
        <v>34</v>
      </c>
      <c r="Q146">
        <v>3</v>
      </c>
      <c r="R146" s="2">
        <v>35886</v>
      </c>
    </row>
    <row r="147" spans="1:18" x14ac:dyDescent="0.3">
      <c r="A147" t="s">
        <v>7</v>
      </c>
      <c r="B147">
        <v>13316388</v>
      </c>
      <c r="C147" t="s">
        <v>10</v>
      </c>
      <c r="D147" s="4">
        <v>45954</v>
      </c>
      <c r="E147" s="11">
        <f t="shared" si="8"/>
        <v>2025</v>
      </c>
      <c r="F147" s="11">
        <f t="shared" si="9"/>
        <v>10</v>
      </c>
      <c r="G147" s="11" t="str">
        <f t="shared" si="10"/>
        <v>202510</v>
      </c>
      <c r="H147" s="4">
        <v>46054</v>
      </c>
      <c r="I147" s="5">
        <v>100</v>
      </c>
      <c r="J147" s="5">
        <v>3.3333333333333335</v>
      </c>
      <c r="K147" s="5">
        <f t="shared" si="11"/>
        <v>0</v>
      </c>
      <c r="L147" s="5">
        <v>0</v>
      </c>
      <c r="M147" s="5">
        <v>1</v>
      </c>
      <c r="N147" t="s">
        <v>9</v>
      </c>
      <c r="O147" s="8">
        <v>20.6</v>
      </c>
      <c r="P147" t="s">
        <v>32</v>
      </c>
      <c r="Q147">
        <v>1</v>
      </c>
      <c r="R147" s="2">
        <v>38435</v>
      </c>
    </row>
    <row r="148" spans="1:18" x14ac:dyDescent="0.3">
      <c r="A148" t="s">
        <v>11</v>
      </c>
      <c r="B148">
        <v>13375368</v>
      </c>
      <c r="C148" t="s">
        <v>10</v>
      </c>
      <c r="D148" s="4">
        <v>45809</v>
      </c>
      <c r="E148" s="11">
        <f t="shared" si="8"/>
        <v>2025</v>
      </c>
      <c r="F148" s="11">
        <f t="shared" si="9"/>
        <v>6</v>
      </c>
      <c r="G148" s="11" t="str">
        <f t="shared" si="10"/>
        <v>202506</v>
      </c>
      <c r="H148" s="4">
        <v>46113</v>
      </c>
      <c r="I148" s="5">
        <v>304</v>
      </c>
      <c r="J148" s="5">
        <v>10.133333333333333</v>
      </c>
      <c r="K148" s="5">
        <f t="shared" si="11"/>
        <v>0</v>
      </c>
      <c r="L148" s="5">
        <v>0</v>
      </c>
      <c r="M148" s="5">
        <v>0</v>
      </c>
      <c r="N148" t="s">
        <v>9</v>
      </c>
      <c r="O148" s="8">
        <v>23.276712328767122</v>
      </c>
      <c r="P148" t="s">
        <v>33</v>
      </c>
      <c r="Q148">
        <v>2</v>
      </c>
      <c r="R148" s="2">
        <v>37313</v>
      </c>
    </row>
    <row r="149" spans="1:18" x14ac:dyDescent="0.3">
      <c r="A149" t="s">
        <v>11</v>
      </c>
      <c r="B149">
        <v>13375374</v>
      </c>
      <c r="C149" t="s">
        <v>8</v>
      </c>
      <c r="D149" s="4">
        <v>45748</v>
      </c>
      <c r="E149" s="11">
        <f t="shared" si="8"/>
        <v>2025</v>
      </c>
      <c r="F149" s="11">
        <f t="shared" si="9"/>
        <v>4</v>
      </c>
      <c r="G149" s="11" t="str">
        <f t="shared" si="10"/>
        <v>202504</v>
      </c>
      <c r="I149" s="5">
        <v>9999</v>
      </c>
      <c r="J149" s="5">
        <v>333.3</v>
      </c>
      <c r="K149" s="5">
        <f t="shared" si="11"/>
        <v>0</v>
      </c>
      <c r="L149" s="5">
        <v>0</v>
      </c>
      <c r="M149" s="5">
        <v>0</v>
      </c>
      <c r="N149" t="s">
        <v>12</v>
      </c>
      <c r="O149" s="8">
        <v>19.967123287671232</v>
      </c>
      <c r="P149" t="s">
        <v>32</v>
      </c>
      <c r="Q149">
        <v>1</v>
      </c>
      <c r="R149" s="2">
        <v>38460</v>
      </c>
    </row>
    <row r="150" spans="1:18" x14ac:dyDescent="0.3">
      <c r="A150" t="s">
        <v>7</v>
      </c>
      <c r="B150">
        <v>13375698</v>
      </c>
      <c r="C150" t="s">
        <v>10</v>
      </c>
      <c r="D150" s="4">
        <v>45776</v>
      </c>
      <c r="E150" s="11">
        <f t="shared" si="8"/>
        <v>2025</v>
      </c>
      <c r="F150" s="11">
        <f t="shared" si="9"/>
        <v>4</v>
      </c>
      <c r="G150" s="11" t="str">
        <f t="shared" si="10"/>
        <v>202504</v>
      </c>
      <c r="I150" s="5">
        <v>9999</v>
      </c>
      <c r="J150" s="5">
        <v>333.3</v>
      </c>
      <c r="K150" s="5">
        <f t="shared" si="11"/>
        <v>0</v>
      </c>
      <c r="L150" s="5">
        <v>0</v>
      </c>
      <c r="M150" s="5">
        <v>0</v>
      </c>
      <c r="N150" t="s">
        <v>12</v>
      </c>
      <c r="O150" s="8">
        <v>23.61917808219178</v>
      </c>
      <c r="P150" t="s">
        <v>33</v>
      </c>
      <c r="Q150">
        <v>2</v>
      </c>
      <c r="R150" s="2">
        <v>37155</v>
      </c>
    </row>
    <row r="151" spans="1:18" x14ac:dyDescent="0.3">
      <c r="A151" t="s">
        <v>11</v>
      </c>
      <c r="B151">
        <v>13375708</v>
      </c>
      <c r="C151" t="s">
        <v>8</v>
      </c>
      <c r="D151" s="4">
        <v>45962</v>
      </c>
      <c r="E151" s="11">
        <f t="shared" si="8"/>
        <v>2025</v>
      </c>
      <c r="F151" s="11">
        <f t="shared" si="9"/>
        <v>11</v>
      </c>
      <c r="G151" s="11" t="str">
        <f t="shared" si="10"/>
        <v>202511</v>
      </c>
      <c r="I151" s="5">
        <v>9999</v>
      </c>
      <c r="J151" s="5">
        <v>333.3</v>
      </c>
      <c r="K151" s="5">
        <f t="shared" si="11"/>
        <v>0</v>
      </c>
      <c r="L151" s="5">
        <v>0</v>
      </c>
      <c r="M151" s="5">
        <v>0</v>
      </c>
      <c r="N151" t="s">
        <v>9</v>
      </c>
      <c r="O151" s="8">
        <v>24.301369863013697</v>
      </c>
      <c r="P151" t="s">
        <v>33</v>
      </c>
      <c r="Q151">
        <v>2</v>
      </c>
      <c r="R151" s="2">
        <v>37092</v>
      </c>
    </row>
    <row r="152" spans="1:18" x14ac:dyDescent="0.3">
      <c r="A152" t="s">
        <v>11</v>
      </c>
      <c r="B152">
        <v>13375845</v>
      </c>
      <c r="C152" t="s">
        <v>8</v>
      </c>
      <c r="D152" s="4">
        <v>45839</v>
      </c>
      <c r="E152" s="11">
        <f t="shared" si="8"/>
        <v>2025</v>
      </c>
      <c r="F152" s="11">
        <f t="shared" si="9"/>
        <v>7</v>
      </c>
      <c r="G152" s="11" t="str">
        <f t="shared" si="10"/>
        <v>202507</v>
      </c>
      <c r="I152" s="5">
        <v>9999</v>
      </c>
      <c r="J152" s="5">
        <v>333.3</v>
      </c>
      <c r="K152" s="5">
        <f t="shared" si="11"/>
        <v>0</v>
      </c>
      <c r="L152" s="5">
        <v>0</v>
      </c>
      <c r="M152" s="5">
        <v>0</v>
      </c>
      <c r="N152" t="s">
        <v>12</v>
      </c>
      <c r="O152" s="8">
        <v>27.12876712328767</v>
      </c>
      <c r="P152" t="s">
        <v>34</v>
      </c>
      <c r="Q152">
        <v>3</v>
      </c>
      <c r="R152" s="2">
        <v>35937</v>
      </c>
    </row>
    <row r="153" spans="1:18" x14ac:dyDescent="0.3">
      <c r="A153" t="s">
        <v>11</v>
      </c>
      <c r="B153">
        <v>13377332</v>
      </c>
      <c r="C153" t="s">
        <v>8</v>
      </c>
      <c r="D153" s="4">
        <v>45962</v>
      </c>
      <c r="E153" s="11">
        <f t="shared" si="8"/>
        <v>2025</v>
      </c>
      <c r="F153" s="11">
        <f t="shared" si="9"/>
        <v>11</v>
      </c>
      <c r="G153" s="11" t="str">
        <f t="shared" si="10"/>
        <v>202511</v>
      </c>
      <c r="I153" s="5">
        <v>9999</v>
      </c>
      <c r="J153" s="5">
        <v>333.3</v>
      </c>
      <c r="K153" s="5">
        <f t="shared" si="11"/>
        <v>0</v>
      </c>
      <c r="L153" s="5">
        <v>0</v>
      </c>
      <c r="M153" s="5">
        <v>0</v>
      </c>
      <c r="N153" t="s">
        <v>12</v>
      </c>
      <c r="O153" s="8">
        <v>23.605479452054794</v>
      </c>
      <c r="P153" t="s">
        <v>33</v>
      </c>
      <c r="Q153">
        <v>2</v>
      </c>
      <c r="R153" s="2">
        <v>37346</v>
      </c>
    </row>
    <row r="154" spans="1:18" x14ac:dyDescent="0.3">
      <c r="A154" t="s">
        <v>11</v>
      </c>
      <c r="B154">
        <v>13527684</v>
      </c>
      <c r="C154" t="s">
        <v>10</v>
      </c>
      <c r="D154" s="4">
        <v>45658</v>
      </c>
      <c r="E154" s="11">
        <f t="shared" si="8"/>
        <v>2025</v>
      </c>
      <c r="F154" s="11">
        <f t="shared" si="9"/>
        <v>1</v>
      </c>
      <c r="G154" s="11" t="str">
        <f t="shared" si="10"/>
        <v>202501</v>
      </c>
      <c r="H154" s="4">
        <v>45788</v>
      </c>
      <c r="I154" s="5">
        <v>130</v>
      </c>
      <c r="J154" s="5">
        <v>4.333333333333333</v>
      </c>
      <c r="K154" s="5">
        <f t="shared" si="11"/>
        <v>0</v>
      </c>
      <c r="L154" s="5">
        <v>0</v>
      </c>
      <c r="M154" s="5">
        <v>1</v>
      </c>
      <c r="N154" t="s">
        <v>9</v>
      </c>
      <c r="O154" s="8">
        <v>22.857534246575341</v>
      </c>
      <c r="P154" t="s">
        <v>33</v>
      </c>
      <c r="Q154">
        <v>2</v>
      </c>
      <c r="R154" s="2">
        <v>37315</v>
      </c>
    </row>
    <row r="155" spans="1:18" x14ac:dyDescent="0.3">
      <c r="A155" t="s">
        <v>11</v>
      </c>
      <c r="B155">
        <v>13533846</v>
      </c>
      <c r="C155" t="s">
        <v>8</v>
      </c>
      <c r="D155" s="4">
        <v>45809</v>
      </c>
      <c r="E155" s="11">
        <f t="shared" si="8"/>
        <v>2025</v>
      </c>
      <c r="F155" s="11">
        <f t="shared" si="9"/>
        <v>6</v>
      </c>
      <c r="G155" s="11" t="str">
        <f t="shared" si="10"/>
        <v>202506</v>
      </c>
      <c r="I155" s="5">
        <v>9999</v>
      </c>
      <c r="J155" s="5">
        <v>333.3</v>
      </c>
      <c r="K155" s="5">
        <f t="shared" si="11"/>
        <v>0</v>
      </c>
      <c r="L155" s="5">
        <v>0</v>
      </c>
      <c r="M155" s="5">
        <v>0</v>
      </c>
      <c r="N155" t="s">
        <v>12</v>
      </c>
      <c r="O155" s="8">
        <v>22.350684931506848</v>
      </c>
      <c r="P155" t="s">
        <v>33</v>
      </c>
      <c r="Q155">
        <v>2</v>
      </c>
      <c r="R155" s="2">
        <v>37651</v>
      </c>
    </row>
    <row r="156" spans="1:18" x14ac:dyDescent="0.3">
      <c r="A156" t="s">
        <v>11</v>
      </c>
      <c r="B156">
        <v>13606257</v>
      </c>
      <c r="C156" t="s">
        <v>8</v>
      </c>
      <c r="D156" s="4">
        <v>45778</v>
      </c>
      <c r="E156" s="11">
        <f t="shared" si="8"/>
        <v>2025</v>
      </c>
      <c r="F156" s="11">
        <f t="shared" si="9"/>
        <v>5</v>
      </c>
      <c r="G156" s="11" t="str">
        <f t="shared" si="10"/>
        <v>202505</v>
      </c>
      <c r="I156" s="5">
        <v>9999</v>
      </c>
      <c r="J156" s="5">
        <v>333.3</v>
      </c>
      <c r="K156" s="5">
        <f t="shared" si="11"/>
        <v>0</v>
      </c>
      <c r="L156" s="5">
        <v>0</v>
      </c>
      <c r="M156" s="5">
        <v>0</v>
      </c>
      <c r="N156" t="s">
        <v>12</v>
      </c>
      <c r="O156" s="8">
        <v>32.536986301369865</v>
      </c>
      <c r="P156" t="s">
        <v>35</v>
      </c>
      <c r="Q156">
        <v>4</v>
      </c>
      <c r="R156" s="2">
        <v>33902</v>
      </c>
    </row>
    <row r="157" spans="1:18" x14ac:dyDescent="0.3">
      <c r="A157" t="s">
        <v>7</v>
      </c>
      <c r="B157">
        <v>13639150</v>
      </c>
      <c r="C157" t="s">
        <v>8</v>
      </c>
      <c r="D157" s="4">
        <v>46132</v>
      </c>
      <c r="E157" s="11">
        <f t="shared" si="8"/>
        <v>2026</v>
      </c>
      <c r="F157" s="11">
        <f t="shared" si="9"/>
        <v>4</v>
      </c>
      <c r="G157" s="11" t="str">
        <f t="shared" si="10"/>
        <v>202604</v>
      </c>
      <c r="I157" s="5">
        <v>9999</v>
      </c>
      <c r="J157" s="5">
        <v>333.3</v>
      </c>
      <c r="K157" s="5">
        <f t="shared" si="11"/>
        <v>0</v>
      </c>
      <c r="L157" s="5">
        <v>0</v>
      </c>
      <c r="M157" s="5">
        <v>0</v>
      </c>
      <c r="N157" t="s">
        <v>9</v>
      </c>
      <c r="O157" s="8">
        <v>21.967123287671232</v>
      </c>
      <c r="P157" t="s">
        <v>33</v>
      </c>
      <c r="Q157">
        <v>2</v>
      </c>
      <c r="R157" s="2">
        <v>38114</v>
      </c>
    </row>
    <row r="158" spans="1:18" x14ac:dyDescent="0.3">
      <c r="A158" t="s">
        <v>7</v>
      </c>
      <c r="B158">
        <v>13660238</v>
      </c>
      <c r="C158" t="s">
        <v>8</v>
      </c>
      <c r="D158" s="4">
        <v>46113</v>
      </c>
      <c r="E158" s="11">
        <f t="shared" si="8"/>
        <v>2026</v>
      </c>
      <c r="F158" s="11">
        <f t="shared" si="9"/>
        <v>4</v>
      </c>
      <c r="G158" s="11" t="str">
        <f t="shared" si="10"/>
        <v>202604</v>
      </c>
      <c r="H158" s="4">
        <v>46142</v>
      </c>
      <c r="I158" s="5">
        <v>29</v>
      </c>
      <c r="J158" s="5">
        <v>0.96666666666666667</v>
      </c>
      <c r="K158" s="5">
        <f t="shared" si="11"/>
        <v>1</v>
      </c>
      <c r="L158" s="5">
        <v>1</v>
      </c>
      <c r="M158" s="5">
        <v>1</v>
      </c>
      <c r="N158" t="s">
        <v>9</v>
      </c>
      <c r="O158" s="8">
        <v>24.134246575342466</v>
      </c>
      <c r="P158" t="s">
        <v>33</v>
      </c>
      <c r="Q158">
        <v>2</v>
      </c>
      <c r="R158" s="2">
        <v>37304</v>
      </c>
    </row>
    <row r="159" spans="1:18" x14ac:dyDescent="0.3">
      <c r="A159" t="s">
        <v>11</v>
      </c>
      <c r="B159">
        <v>13685489</v>
      </c>
      <c r="C159" t="s">
        <v>8</v>
      </c>
      <c r="D159" s="4">
        <v>45962</v>
      </c>
      <c r="E159" s="11">
        <f t="shared" si="8"/>
        <v>2025</v>
      </c>
      <c r="F159" s="11">
        <f t="shared" si="9"/>
        <v>11</v>
      </c>
      <c r="G159" s="11" t="str">
        <f t="shared" si="10"/>
        <v>202511</v>
      </c>
      <c r="I159" s="5">
        <v>9999</v>
      </c>
      <c r="J159" s="5">
        <v>333.3</v>
      </c>
      <c r="K159" s="5">
        <f t="shared" si="11"/>
        <v>0</v>
      </c>
      <c r="L159" s="5">
        <v>0</v>
      </c>
      <c r="M159" s="5">
        <v>0</v>
      </c>
      <c r="N159" t="s">
        <v>12</v>
      </c>
      <c r="O159" s="8">
        <v>22.567123287671233</v>
      </c>
      <c r="P159" t="s">
        <v>33</v>
      </c>
      <c r="Q159">
        <v>2</v>
      </c>
      <c r="R159" s="2">
        <v>37725</v>
      </c>
    </row>
    <row r="160" spans="1:18" x14ac:dyDescent="0.3">
      <c r="A160" t="s">
        <v>7</v>
      </c>
      <c r="B160">
        <v>13701985</v>
      </c>
      <c r="C160" t="s">
        <v>8</v>
      </c>
      <c r="D160" s="4">
        <v>45957</v>
      </c>
      <c r="E160" s="11">
        <f t="shared" si="8"/>
        <v>2025</v>
      </c>
      <c r="F160" s="11">
        <f t="shared" si="9"/>
        <v>10</v>
      </c>
      <c r="G160" s="11" t="str">
        <f t="shared" si="10"/>
        <v>202510</v>
      </c>
      <c r="H160" s="4">
        <v>46094</v>
      </c>
      <c r="I160" s="5">
        <v>137</v>
      </c>
      <c r="J160" s="5">
        <v>4.5666666666666664</v>
      </c>
      <c r="K160" s="5">
        <f t="shared" si="11"/>
        <v>0</v>
      </c>
      <c r="L160" s="5">
        <v>0</v>
      </c>
      <c r="M160" s="5">
        <v>1</v>
      </c>
      <c r="N160" t="s">
        <v>9</v>
      </c>
      <c r="O160" s="8">
        <v>21.767123287671232</v>
      </c>
      <c r="P160" t="s">
        <v>33</v>
      </c>
      <c r="Q160">
        <v>2</v>
      </c>
      <c r="R160" s="2">
        <v>38012</v>
      </c>
    </row>
    <row r="161" spans="1:18" x14ac:dyDescent="0.3">
      <c r="A161" t="s">
        <v>7</v>
      </c>
      <c r="B161">
        <v>13782960</v>
      </c>
      <c r="C161" t="s">
        <v>8</v>
      </c>
      <c r="D161" s="4">
        <v>45743</v>
      </c>
      <c r="E161" s="11">
        <f t="shared" si="8"/>
        <v>2025</v>
      </c>
      <c r="F161" s="11">
        <f t="shared" si="9"/>
        <v>3</v>
      </c>
      <c r="G161" s="11" t="str">
        <f t="shared" si="10"/>
        <v>202503</v>
      </c>
      <c r="H161" s="4">
        <v>45808</v>
      </c>
      <c r="I161" s="5">
        <v>65</v>
      </c>
      <c r="J161" s="5">
        <v>2.1666666666666665</v>
      </c>
      <c r="K161" s="5">
        <f t="shared" si="11"/>
        <v>0</v>
      </c>
      <c r="L161" s="5">
        <v>1</v>
      </c>
      <c r="M161" s="5">
        <v>1</v>
      </c>
      <c r="N161" t="s">
        <v>12</v>
      </c>
      <c r="O161" s="8">
        <v>20.542465753424658</v>
      </c>
      <c r="P161" t="s">
        <v>32</v>
      </c>
      <c r="Q161">
        <v>1</v>
      </c>
      <c r="R161" s="2">
        <v>38245</v>
      </c>
    </row>
    <row r="162" spans="1:18" x14ac:dyDescent="0.3">
      <c r="A162" t="s">
        <v>7</v>
      </c>
      <c r="B162">
        <v>13796723</v>
      </c>
      <c r="C162" t="s">
        <v>8</v>
      </c>
      <c r="D162" s="4">
        <v>45933</v>
      </c>
      <c r="E162" s="11">
        <f t="shared" si="8"/>
        <v>2025</v>
      </c>
      <c r="F162" s="11">
        <f t="shared" si="9"/>
        <v>10</v>
      </c>
      <c r="G162" s="11" t="str">
        <f t="shared" si="10"/>
        <v>202510</v>
      </c>
      <c r="I162" s="5">
        <v>9999</v>
      </c>
      <c r="J162" s="5">
        <v>333.3</v>
      </c>
      <c r="K162" s="5">
        <f t="shared" si="11"/>
        <v>0</v>
      </c>
      <c r="L162" s="5">
        <v>0</v>
      </c>
      <c r="M162" s="5">
        <v>0</v>
      </c>
      <c r="N162" t="s">
        <v>9</v>
      </c>
      <c r="O162" s="8">
        <v>22.304109589041097</v>
      </c>
      <c r="P162" t="s">
        <v>33</v>
      </c>
      <c r="Q162">
        <v>2</v>
      </c>
      <c r="R162" s="2">
        <v>37792</v>
      </c>
    </row>
    <row r="163" spans="1:18" x14ac:dyDescent="0.3">
      <c r="A163" t="s">
        <v>7</v>
      </c>
      <c r="B163">
        <v>13797341</v>
      </c>
      <c r="C163" t="s">
        <v>8</v>
      </c>
      <c r="D163" s="4">
        <v>45966</v>
      </c>
      <c r="E163" s="11">
        <f t="shared" si="8"/>
        <v>2025</v>
      </c>
      <c r="F163" s="11">
        <f t="shared" si="9"/>
        <v>11</v>
      </c>
      <c r="G163" s="11" t="str">
        <f t="shared" si="10"/>
        <v>202511</v>
      </c>
      <c r="H163" s="4">
        <v>45991</v>
      </c>
      <c r="I163" s="5">
        <v>25</v>
      </c>
      <c r="J163" s="5">
        <v>0.83333333333333337</v>
      </c>
      <c r="K163" s="5">
        <f t="shared" si="11"/>
        <v>1</v>
      </c>
      <c r="L163" s="5">
        <v>1</v>
      </c>
      <c r="M163" s="5">
        <v>1</v>
      </c>
      <c r="N163" t="s">
        <v>9</v>
      </c>
      <c r="O163" s="8">
        <v>20.775342465753425</v>
      </c>
      <c r="P163" t="s">
        <v>32</v>
      </c>
      <c r="Q163">
        <v>1</v>
      </c>
      <c r="R163" s="2">
        <v>38383</v>
      </c>
    </row>
    <row r="164" spans="1:18" x14ac:dyDescent="0.3">
      <c r="A164" t="s">
        <v>11</v>
      </c>
      <c r="B164">
        <v>13797628</v>
      </c>
      <c r="C164" t="s">
        <v>10</v>
      </c>
      <c r="D164" s="4">
        <v>45870</v>
      </c>
      <c r="E164" s="11">
        <f t="shared" si="8"/>
        <v>2025</v>
      </c>
      <c r="F164" s="11">
        <f t="shared" si="9"/>
        <v>8</v>
      </c>
      <c r="G164" s="11" t="str">
        <f t="shared" si="10"/>
        <v>202508</v>
      </c>
      <c r="I164" s="5">
        <v>9999</v>
      </c>
      <c r="J164" s="5">
        <v>333.3</v>
      </c>
      <c r="K164" s="5">
        <f t="shared" si="11"/>
        <v>0</v>
      </c>
      <c r="L164" s="5">
        <v>0</v>
      </c>
      <c r="M164" s="5">
        <v>0</v>
      </c>
      <c r="N164" t="s">
        <v>9</v>
      </c>
      <c r="O164" s="8">
        <v>21.104109589041094</v>
      </c>
      <c r="P164" t="s">
        <v>33</v>
      </c>
      <c r="Q164">
        <v>2</v>
      </c>
      <c r="R164" s="2">
        <v>38167</v>
      </c>
    </row>
    <row r="165" spans="1:18" x14ac:dyDescent="0.3">
      <c r="A165" t="s">
        <v>11</v>
      </c>
      <c r="B165">
        <v>13808535</v>
      </c>
      <c r="C165" t="s">
        <v>8</v>
      </c>
      <c r="D165" s="4">
        <v>46054</v>
      </c>
      <c r="E165" s="11">
        <f t="shared" si="8"/>
        <v>2026</v>
      </c>
      <c r="F165" s="11">
        <f t="shared" si="9"/>
        <v>2</v>
      </c>
      <c r="G165" s="11" t="str">
        <f t="shared" si="10"/>
        <v>202602</v>
      </c>
      <c r="I165" s="5">
        <v>9999</v>
      </c>
      <c r="J165" s="5">
        <v>333.3</v>
      </c>
      <c r="K165" s="5">
        <f t="shared" si="11"/>
        <v>0</v>
      </c>
      <c r="L165" s="5">
        <v>0</v>
      </c>
      <c r="M165" s="5">
        <v>0</v>
      </c>
      <c r="N165" t="s">
        <v>9</v>
      </c>
      <c r="O165" s="8">
        <v>23.934246575342467</v>
      </c>
      <c r="P165" t="s">
        <v>33</v>
      </c>
      <c r="Q165">
        <v>2</v>
      </c>
      <c r="R165" s="2">
        <v>37318</v>
      </c>
    </row>
    <row r="166" spans="1:18" x14ac:dyDescent="0.3">
      <c r="A166" t="s">
        <v>7</v>
      </c>
      <c r="B166">
        <v>13980433</v>
      </c>
      <c r="C166" t="s">
        <v>8</v>
      </c>
      <c r="D166" s="4">
        <v>45953</v>
      </c>
      <c r="E166" s="11">
        <f t="shared" si="8"/>
        <v>2025</v>
      </c>
      <c r="F166" s="11">
        <f t="shared" si="9"/>
        <v>10</v>
      </c>
      <c r="G166" s="11" t="str">
        <f t="shared" si="10"/>
        <v>202510</v>
      </c>
      <c r="H166" s="4">
        <v>46063</v>
      </c>
      <c r="I166" s="5">
        <v>110</v>
      </c>
      <c r="J166" s="5">
        <v>3.6666666666666665</v>
      </c>
      <c r="K166" s="5">
        <f t="shared" si="11"/>
        <v>0</v>
      </c>
      <c r="L166" s="5">
        <v>0</v>
      </c>
      <c r="M166" s="5">
        <v>1</v>
      </c>
      <c r="N166" t="s">
        <v>12</v>
      </c>
      <c r="O166" s="8">
        <v>27.273972602739725</v>
      </c>
      <c r="P166" t="s">
        <v>34</v>
      </c>
      <c r="Q166">
        <v>3</v>
      </c>
      <c r="R166" s="2">
        <v>35998</v>
      </c>
    </row>
    <row r="167" spans="1:18" x14ac:dyDescent="0.3">
      <c r="A167" t="s">
        <v>7</v>
      </c>
      <c r="B167">
        <v>13996024</v>
      </c>
      <c r="C167" t="s">
        <v>8</v>
      </c>
      <c r="D167" s="4">
        <v>45870</v>
      </c>
      <c r="E167" s="11">
        <f t="shared" si="8"/>
        <v>2025</v>
      </c>
      <c r="F167" s="11">
        <f t="shared" si="9"/>
        <v>8</v>
      </c>
      <c r="G167" s="11" t="str">
        <f t="shared" si="10"/>
        <v>202508</v>
      </c>
      <c r="H167" s="4">
        <v>45911</v>
      </c>
      <c r="I167" s="5">
        <v>41</v>
      </c>
      <c r="J167" s="5">
        <v>1.3666666666666667</v>
      </c>
      <c r="K167" s="5">
        <f t="shared" si="11"/>
        <v>0</v>
      </c>
      <c r="L167" s="5">
        <v>1</v>
      </c>
      <c r="M167" s="5">
        <v>1</v>
      </c>
      <c r="N167" t="s">
        <v>12</v>
      </c>
      <c r="O167" s="8">
        <v>22.224657534246575</v>
      </c>
      <c r="P167" t="s">
        <v>33</v>
      </c>
      <c r="Q167">
        <v>2</v>
      </c>
      <c r="R167" s="2">
        <v>37758</v>
      </c>
    </row>
    <row r="168" spans="1:18" x14ac:dyDescent="0.3">
      <c r="A168" t="s">
        <v>7</v>
      </c>
      <c r="B168">
        <v>14076722</v>
      </c>
      <c r="C168" t="s">
        <v>8</v>
      </c>
      <c r="D168" s="4">
        <v>45803</v>
      </c>
      <c r="E168" s="11">
        <f t="shared" si="8"/>
        <v>2025</v>
      </c>
      <c r="F168" s="11">
        <f t="shared" si="9"/>
        <v>5</v>
      </c>
      <c r="G168" s="11" t="str">
        <f t="shared" si="10"/>
        <v>202505</v>
      </c>
      <c r="I168" s="5">
        <v>9999</v>
      </c>
      <c r="J168" s="5">
        <v>333.3</v>
      </c>
      <c r="K168" s="5">
        <f t="shared" si="11"/>
        <v>0</v>
      </c>
      <c r="L168" s="5">
        <v>0</v>
      </c>
      <c r="M168" s="5">
        <v>0</v>
      </c>
      <c r="N168" t="s">
        <v>12</v>
      </c>
      <c r="O168" s="8">
        <v>21.610958904109587</v>
      </c>
      <c r="P168" t="s">
        <v>33</v>
      </c>
      <c r="Q168">
        <v>2</v>
      </c>
      <c r="R168" s="2">
        <v>37915</v>
      </c>
    </row>
    <row r="169" spans="1:18" x14ac:dyDescent="0.3">
      <c r="A169" t="s">
        <v>7</v>
      </c>
      <c r="B169">
        <v>14224251</v>
      </c>
      <c r="C169" t="s">
        <v>8</v>
      </c>
      <c r="D169" s="4">
        <v>45772</v>
      </c>
      <c r="E169" s="11">
        <f t="shared" si="8"/>
        <v>2025</v>
      </c>
      <c r="F169" s="11">
        <f t="shared" si="9"/>
        <v>4</v>
      </c>
      <c r="G169" s="11" t="str">
        <f t="shared" si="10"/>
        <v>202504</v>
      </c>
      <c r="I169" s="5">
        <v>9999</v>
      </c>
      <c r="J169" s="5">
        <v>333.3</v>
      </c>
      <c r="K169" s="5">
        <f t="shared" si="11"/>
        <v>0</v>
      </c>
      <c r="L169" s="5">
        <v>0</v>
      </c>
      <c r="M169" s="5">
        <v>0</v>
      </c>
      <c r="N169" t="s">
        <v>12</v>
      </c>
      <c r="O169" s="8">
        <v>21.12876712328767</v>
      </c>
      <c r="P169" t="s">
        <v>33</v>
      </c>
      <c r="Q169">
        <v>2</v>
      </c>
      <c r="R169" s="2">
        <v>38060</v>
      </c>
    </row>
    <row r="170" spans="1:18" x14ac:dyDescent="0.3">
      <c r="A170" t="s">
        <v>7</v>
      </c>
      <c r="B170">
        <v>14225908</v>
      </c>
      <c r="C170" t="s">
        <v>8</v>
      </c>
      <c r="D170" s="4">
        <v>46143</v>
      </c>
      <c r="E170" s="11">
        <f t="shared" si="8"/>
        <v>2026</v>
      </c>
      <c r="F170" s="11">
        <f t="shared" si="9"/>
        <v>5</v>
      </c>
      <c r="G170" s="11" t="str">
        <f t="shared" si="10"/>
        <v>202605</v>
      </c>
      <c r="I170" s="5">
        <v>9999</v>
      </c>
      <c r="J170" s="5">
        <v>333.3</v>
      </c>
      <c r="K170" s="5">
        <f t="shared" si="11"/>
        <v>0</v>
      </c>
      <c r="L170" s="5">
        <v>0</v>
      </c>
      <c r="M170" s="5">
        <v>0</v>
      </c>
      <c r="N170" t="s">
        <v>12</v>
      </c>
      <c r="O170" s="8">
        <v>34.92876712328767</v>
      </c>
      <c r="P170" t="s">
        <v>35</v>
      </c>
      <c r="Q170">
        <v>4</v>
      </c>
      <c r="R170" s="2">
        <v>33394</v>
      </c>
    </row>
    <row r="171" spans="1:18" x14ac:dyDescent="0.3">
      <c r="A171" t="s">
        <v>11</v>
      </c>
      <c r="B171">
        <v>14226083</v>
      </c>
      <c r="C171" t="s">
        <v>8</v>
      </c>
      <c r="D171" s="4">
        <v>45931</v>
      </c>
      <c r="E171" s="11">
        <f t="shared" si="8"/>
        <v>2025</v>
      </c>
      <c r="F171" s="11">
        <f t="shared" si="9"/>
        <v>10</v>
      </c>
      <c r="G171" s="11" t="str">
        <f t="shared" si="10"/>
        <v>202510</v>
      </c>
      <c r="H171" s="4">
        <v>46112</v>
      </c>
      <c r="I171" s="5">
        <v>181</v>
      </c>
      <c r="J171" s="5">
        <v>6.0333333333333332</v>
      </c>
      <c r="K171" s="5">
        <f t="shared" si="11"/>
        <v>0</v>
      </c>
      <c r="L171" s="5">
        <v>0</v>
      </c>
      <c r="M171" s="5">
        <v>0</v>
      </c>
      <c r="N171" t="s">
        <v>12</v>
      </c>
      <c r="O171" s="8">
        <v>21.783561643835615</v>
      </c>
      <c r="P171" t="s">
        <v>33</v>
      </c>
      <c r="Q171">
        <v>2</v>
      </c>
      <c r="R171" s="2">
        <v>37980</v>
      </c>
    </row>
    <row r="172" spans="1:18" x14ac:dyDescent="0.3">
      <c r="A172" t="s">
        <v>7</v>
      </c>
      <c r="B172">
        <v>14226083</v>
      </c>
      <c r="C172" t="s">
        <v>8</v>
      </c>
      <c r="D172" s="4">
        <v>45705</v>
      </c>
      <c r="E172" s="11">
        <f t="shared" si="8"/>
        <v>2025</v>
      </c>
      <c r="F172" s="11">
        <f t="shared" si="9"/>
        <v>2</v>
      </c>
      <c r="G172" s="11" t="str">
        <f t="shared" si="10"/>
        <v>202502</v>
      </c>
      <c r="H172" s="4">
        <v>45930</v>
      </c>
      <c r="I172" s="5">
        <v>225</v>
      </c>
      <c r="J172" s="5">
        <v>7.5</v>
      </c>
      <c r="K172" s="5">
        <f t="shared" si="11"/>
        <v>0</v>
      </c>
      <c r="L172" s="5">
        <v>0</v>
      </c>
      <c r="M172" s="5">
        <v>0</v>
      </c>
      <c r="N172" t="s">
        <v>12</v>
      </c>
      <c r="O172" s="8">
        <v>21.164383561643834</v>
      </c>
      <c r="P172" t="s">
        <v>33</v>
      </c>
      <c r="Q172">
        <v>2</v>
      </c>
      <c r="R172" s="2">
        <v>37980</v>
      </c>
    </row>
    <row r="173" spans="1:18" x14ac:dyDescent="0.3">
      <c r="A173" t="s">
        <v>7</v>
      </c>
      <c r="B173">
        <v>14236341</v>
      </c>
      <c r="C173" t="s">
        <v>10</v>
      </c>
      <c r="D173" s="4">
        <v>45980</v>
      </c>
      <c r="E173" s="11">
        <f t="shared" si="8"/>
        <v>2025</v>
      </c>
      <c r="F173" s="11">
        <f t="shared" si="9"/>
        <v>11</v>
      </c>
      <c r="G173" s="11" t="str">
        <f t="shared" si="10"/>
        <v>202511</v>
      </c>
      <c r="H173" s="4">
        <v>46067</v>
      </c>
      <c r="I173" s="5">
        <v>87</v>
      </c>
      <c r="J173" s="5">
        <v>2.9</v>
      </c>
      <c r="K173" s="5">
        <f t="shared" si="11"/>
        <v>0</v>
      </c>
      <c r="L173" s="5">
        <v>1</v>
      </c>
      <c r="M173" s="5">
        <v>1</v>
      </c>
      <c r="N173" t="s">
        <v>9</v>
      </c>
      <c r="O173" s="8">
        <v>20.068493150684933</v>
      </c>
      <c r="P173" t="s">
        <v>32</v>
      </c>
      <c r="Q173">
        <v>1</v>
      </c>
      <c r="R173" s="2">
        <v>38655</v>
      </c>
    </row>
    <row r="174" spans="1:18" x14ac:dyDescent="0.3">
      <c r="A174" t="s">
        <v>11</v>
      </c>
      <c r="B174">
        <v>14289198</v>
      </c>
      <c r="C174" t="s">
        <v>10</v>
      </c>
      <c r="D174" s="4">
        <v>45901</v>
      </c>
      <c r="E174" s="11">
        <f t="shared" si="8"/>
        <v>2025</v>
      </c>
      <c r="F174" s="11">
        <f t="shared" si="9"/>
        <v>9</v>
      </c>
      <c r="G174" s="11" t="str">
        <f t="shared" si="10"/>
        <v>202509</v>
      </c>
      <c r="H174" s="4">
        <v>46022</v>
      </c>
      <c r="I174" s="5">
        <v>121</v>
      </c>
      <c r="J174" s="5">
        <v>4.0333333333333332</v>
      </c>
      <c r="K174" s="5">
        <f t="shared" si="11"/>
        <v>0</v>
      </c>
      <c r="L174" s="5">
        <v>0</v>
      </c>
      <c r="M174" s="5">
        <v>1</v>
      </c>
      <c r="N174" t="s">
        <v>9</v>
      </c>
      <c r="O174" s="8">
        <v>19.605479452054794</v>
      </c>
      <c r="P174" t="s">
        <v>32</v>
      </c>
      <c r="Q174">
        <v>1</v>
      </c>
      <c r="R174" s="2">
        <v>38745</v>
      </c>
    </row>
    <row r="175" spans="1:18" x14ac:dyDescent="0.3">
      <c r="A175" t="s">
        <v>11</v>
      </c>
      <c r="B175">
        <v>14290348</v>
      </c>
      <c r="C175" t="s">
        <v>10</v>
      </c>
      <c r="D175" s="4">
        <v>45839</v>
      </c>
      <c r="E175" s="11">
        <f t="shared" si="8"/>
        <v>2025</v>
      </c>
      <c r="F175" s="11">
        <f t="shared" si="9"/>
        <v>7</v>
      </c>
      <c r="G175" s="11" t="str">
        <f t="shared" si="10"/>
        <v>202507</v>
      </c>
      <c r="I175" s="5">
        <v>9999</v>
      </c>
      <c r="J175" s="5">
        <v>333.3</v>
      </c>
      <c r="K175" s="5">
        <f t="shared" si="11"/>
        <v>0</v>
      </c>
      <c r="L175" s="5">
        <v>0</v>
      </c>
      <c r="M175" s="5">
        <v>0</v>
      </c>
      <c r="N175" t="s">
        <v>9</v>
      </c>
      <c r="O175" s="8">
        <v>22.306849315068494</v>
      </c>
      <c r="P175" t="s">
        <v>33</v>
      </c>
      <c r="Q175">
        <v>2</v>
      </c>
      <c r="R175" s="2">
        <v>37697</v>
      </c>
    </row>
    <row r="176" spans="1:18" x14ac:dyDescent="0.3">
      <c r="A176" t="s">
        <v>11</v>
      </c>
      <c r="B176">
        <v>14317161</v>
      </c>
      <c r="C176" t="s">
        <v>8</v>
      </c>
      <c r="D176" s="4">
        <v>45689</v>
      </c>
      <c r="E176" s="11">
        <f t="shared" si="8"/>
        <v>2025</v>
      </c>
      <c r="F176" s="11">
        <f t="shared" si="9"/>
        <v>2</v>
      </c>
      <c r="G176" s="11" t="str">
        <f t="shared" si="10"/>
        <v>202502</v>
      </c>
      <c r="H176" s="4">
        <v>45873</v>
      </c>
      <c r="I176" s="5">
        <v>184</v>
      </c>
      <c r="J176" s="5">
        <v>6.1333333333333337</v>
      </c>
      <c r="K176" s="5">
        <f t="shared" si="11"/>
        <v>0</v>
      </c>
      <c r="L176" s="5">
        <v>0</v>
      </c>
      <c r="M176" s="5">
        <v>0</v>
      </c>
      <c r="N176" t="s">
        <v>9</v>
      </c>
      <c r="O176" s="8">
        <v>29.534246575342465</v>
      </c>
      <c r="P176" t="s">
        <v>34</v>
      </c>
      <c r="Q176">
        <v>3</v>
      </c>
      <c r="R176" s="2">
        <v>34909</v>
      </c>
    </row>
    <row r="177" spans="1:18" x14ac:dyDescent="0.3">
      <c r="A177" t="s">
        <v>7</v>
      </c>
      <c r="B177">
        <v>14321938</v>
      </c>
      <c r="C177" t="s">
        <v>8</v>
      </c>
      <c r="D177" s="4">
        <v>45778</v>
      </c>
      <c r="E177" s="11">
        <f t="shared" si="8"/>
        <v>2025</v>
      </c>
      <c r="F177" s="11">
        <f t="shared" si="9"/>
        <v>5</v>
      </c>
      <c r="G177" s="11" t="str">
        <f t="shared" si="10"/>
        <v>202505</v>
      </c>
      <c r="H177" s="4">
        <v>45782</v>
      </c>
      <c r="I177" s="5">
        <v>4</v>
      </c>
      <c r="J177" s="5">
        <v>0.13333333333333333</v>
      </c>
      <c r="K177" s="5">
        <f t="shared" si="11"/>
        <v>1</v>
      </c>
      <c r="L177" s="5">
        <v>1</v>
      </c>
      <c r="M177" s="5">
        <v>1</v>
      </c>
      <c r="N177" t="s">
        <v>12</v>
      </c>
      <c r="O177" s="8">
        <v>23.07123287671233</v>
      </c>
      <c r="P177" t="s">
        <v>33</v>
      </c>
      <c r="Q177">
        <v>2</v>
      </c>
      <c r="R177" s="2">
        <v>37357</v>
      </c>
    </row>
    <row r="178" spans="1:18" x14ac:dyDescent="0.3">
      <c r="A178" t="s">
        <v>7</v>
      </c>
      <c r="B178">
        <v>14343886</v>
      </c>
      <c r="C178" t="s">
        <v>8</v>
      </c>
      <c r="D178" s="4">
        <v>46132</v>
      </c>
      <c r="E178" s="11">
        <f t="shared" si="8"/>
        <v>2026</v>
      </c>
      <c r="F178" s="11">
        <f t="shared" si="9"/>
        <v>4</v>
      </c>
      <c r="G178" s="11" t="str">
        <f t="shared" si="10"/>
        <v>202604</v>
      </c>
      <c r="I178" s="5">
        <v>9999</v>
      </c>
      <c r="J178" s="5">
        <v>333.3</v>
      </c>
      <c r="K178" s="5">
        <f t="shared" si="11"/>
        <v>0</v>
      </c>
      <c r="L178" s="5">
        <v>0</v>
      </c>
      <c r="M178" s="5">
        <v>0</v>
      </c>
      <c r="N178" t="s">
        <v>9</v>
      </c>
      <c r="O178" s="8">
        <v>22.495890410958904</v>
      </c>
      <c r="P178" t="s">
        <v>33</v>
      </c>
      <c r="Q178">
        <v>2</v>
      </c>
      <c r="R178" s="2">
        <v>37921</v>
      </c>
    </row>
    <row r="179" spans="1:18" x14ac:dyDescent="0.3">
      <c r="A179" t="s">
        <v>11</v>
      </c>
      <c r="B179">
        <v>14347691</v>
      </c>
      <c r="C179" t="s">
        <v>8</v>
      </c>
      <c r="D179" s="4">
        <v>45962</v>
      </c>
      <c r="E179" s="11">
        <f t="shared" si="8"/>
        <v>2025</v>
      </c>
      <c r="F179" s="11">
        <f t="shared" si="9"/>
        <v>11</v>
      </c>
      <c r="G179" s="11" t="str">
        <f t="shared" si="10"/>
        <v>202511</v>
      </c>
      <c r="H179" s="4">
        <v>46096</v>
      </c>
      <c r="I179" s="5">
        <v>134</v>
      </c>
      <c r="J179" s="5">
        <v>4.4666666666666668</v>
      </c>
      <c r="K179" s="5">
        <f t="shared" si="11"/>
        <v>0</v>
      </c>
      <c r="L179" s="5">
        <v>0</v>
      </c>
      <c r="M179" s="5">
        <v>1</v>
      </c>
      <c r="N179" t="s">
        <v>12</v>
      </c>
      <c r="O179" s="8">
        <v>30.789041095890411</v>
      </c>
      <c r="P179" t="s">
        <v>34</v>
      </c>
      <c r="Q179">
        <v>3</v>
      </c>
      <c r="R179" s="2">
        <v>34724</v>
      </c>
    </row>
    <row r="180" spans="1:18" x14ac:dyDescent="0.3">
      <c r="A180" t="s">
        <v>11</v>
      </c>
      <c r="B180">
        <v>14486043</v>
      </c>
      <c r="C180" t="s">
        <v>8</v>
      </c>
      <c r="D180" s="4">
        <v>46054</v>
      </c>
      <c r="E180" s="11">
        <f t="shared" si="8"/>
        <v>2026</v>
      </c>
      <c r="F180" s="11">
        <f t="shared" si="9"/>
        <v>2</v>
      </c>
      <c r="G180" s="11" t="str">
        <f t="shared" si="10"/>
        <v>202602</v>
      </c>
      <c r="I180" s="5">
        <v>9999</v>
      </c>
      <c r="J180" s="5">
        <v>333.3</v>
      </c>
      <c r="K180" s="5">
        <f t="shared" si="11"/>
        <v>0</v>
      </c>
      <c r="L180" s="5">
        <v>0</v>
      </c>
      <c r="M180" s="5">
        <v>0</v>
      </c>
      <c r="N180" t="s">
        <v>12</v>
      </c>
      <c r="O180" s="8">
        <v>20.602739726027398</v>
      </c>
      <c r="P180" t="s">
        <v>32</v>
      </c>
      <c r="Q180">
        <v>1</v>
      </c>
      <c r="R180" s="2">
        <v>38534</v>
      </c>
    </row>
    <row r="181" spans="1:18" x14ac:dyDescent="0.3">
      <c r="A181" t="s">
        <v>11</v>
      </c>
      <c r="B181">
        <v>14787999</v>
      </c>
      <c r="C181" t="s">
        <v>10</v>
      </c>
      <c r="D181" s="4">
        <v>45809</v>
      </c>
      <c r="E181" s="11">
        <f t="shared" si="8"/>
        <v>2025</v>
      </c>
      <c r="F181" s="11">
        <f t="shared" si="9"/>
        <v>6</v>
      </c>
      <c r="G181" s="11" t="str">
        <f t="shared" si="10"/>
        <v>202506</v>
      </c>
      <c r="I181" s="5">
        <v>9999</v>
      </c>
      <c r="J181" s="5">
        <v>333.3</v>
      </c>
      <c r="K181" s="5">
        <f t="shared" si="11"/>
        <v>0</v>
      </c>
      <c r="L181" s="5">
        <v>0</v>
      </c>
      <c r="M181" s="5">
        <v>0</v>
      </c>
      <c r="N181" t="s">
        <v>9</v>
      </c>
      <c r="O181" s="8">
        <v>19.950684931506849</v>
      </c>
      <c r="P181" t="s">
        <v>32</v>
      </c>
      <c r="Q181">
        <v>1</v>
      </c>
      <c r="R181" s="2">
        <v>38527</v>
      </c>
    </row>
    <row r="182" spans="1:18" x14ac:dyDescent="0.3">
      <c r="A182" t="s">
        <v>11</v>
      </c>
      <c r="B182">
        <v>14789027</v>
      </c>
      <c r="C182" t="s">
        <v>10</v>
      </c>
      <c r="D182" s="4">
        <v>45839</v>
      </c>
      <c r="E182" s="11">
        <f t="shared" si="8"/>
        <v>2025</v>
      </c>
      <c r="F182" s="11">
        <f t="shared" si="9"/>
        <v>7</v>
      </c>
      <c r="G182" s="11" t="str">
        <f t="shared" si="10"/>
        <v>202507</v>
      </c>
      <c r="I182" s="5">
        <v>9999</v>
      </c>
      <c r="J182" s="5">
        <v>333.3</v>
      </c>
      <c r="K182" s="5">
        <f t="shared" si="11"/>
        <v>0</v>
      </c>
      <c r="L182" s="5">
        <v>0</v>
      </c>
      <c r="M182" s="5">
        <v>0</v>
      </c>
      <c r="N182" t="s">
        <v>9</v>
      </c>
      <c r="O182" s="8">
        <v>28.021917808219179</v>
      </c>
      <c r="P182" t="s">
        <v>34</v>
      </c>
      <c r="Q182">
        <v>3</v>
      </c>
      <c r="R182" s="2">
        <v>35611</v>
      </c>
    </row>
    <row r="183" spans="1:18" x14ac:dyDescent="0.3">
      <c r="A183" t="s">
        <v>11</v>
      </c>
      <c r="B183">
        <v>14794617</v>
      </c>
      <c r="C183" t="s">
        <v>8</v>
      </c>
      <c r="D183" s="4">
        <v>46023</v>
      </c>
      <c r="E183" s="11">
        <f t="shared" si="8"/>
        <v>2026</v>
      </c>
      <c r="F183" s="11">
        <f t="shared" si="9"/>
        <v>1</v>
      </c>
      <c r="G183" s="11" t="str">
        <f t="shared" si="10"/>
        <v>202601</v>
      </c>
      <c r="I183" s="5">
        <v>9999</v>
      </c>
      <c r="J183" s="5">
        <v>333.3</v>
      </c>
      <c r="K183" s="5">
        <f t="shared" si="11"/>
        <v>0</v>
      </c>
      <c r="L183" s="5">
        <v>0</v>
      </c>
      <c r="M183" s="5">
        <v>0</v>
      </c>
      <c r="N183" t="s">
        <v>9</v>
      </c>
      <c r="O183" s="8">
        <v>21.30958904109589</v>
      </c>
      <c r="P183" t="s">
        <v>33</v>
      </c>
      <c r="Q183">
        <v>2</v>
      </c>
      <c r="R183" s="2">
        <v>38245</v>
      </c>
    </row>
    <row r="184" spans="1:18" x14ac:dyDescent="0.3">
      <c r="A184" t="s">
        <v>11</v>
      </c>
      <c r="B184">
        <v>14921901</v>
      </c>
      <c r="C184" t="s">
        <v>8</v>
      </c>
      <c r="D184" s="4">
        <v>46008</v>
      </c>
      <c r="E184" s="11">
        <f t="shared" si="8"/>
        <v>2025</v>
      </c>
      <c r="F184" s="11">
        <f t="shared" si="9"/>
        <v>12</v>
      </c>
      <c r="G184" s="11" t="str">
        <f t="shared" si="10"/>
        <v>202512</v>
      </c>
      <c r="H184" s="4">
        <v>46096</v>
      </c>
      <c r="I184" s="5">
        <v>88</v>
      </c>
      <c r="J184" s="5">
        <v>2.9333333333333331</v>
      </c>
      <c r="K184" s="5">
        <f t="shared" si="11"/>
        <v>0</v>
      </c>
      <c r="L184" s="5">
        <v>1</v>
      </c>
      <c r="M184" s="5">
        <v>1</v>
      </c>
      <c r="N184" t="s">
        <v>9</v>
      </c>
      <c r="O184" s="8">
        <v>21.950684931506849</v>
      </c>
      <c r="P184" t="s">
        <v>33</v>
      </c>
      <c r="Q184">
        <v>2</v>
      </c>
      <c r="R184" s="2">
        <v>37996</v>
      </c>
    </row>
    <row r="185" spans="1:18" x14ac:dyDescent="0.3">
      <c r="A185" t="s">
        <v>7</v>
      </c>
      <c r="B185">
        <v>15026469</v>
      </c>
      <c r="C185" t="s">
        <v>8</v>
      </c>
      <c r="D185" s="4">
        <v>45967</v>
      </c>
      <c r="E185" s="11">
        <f t="shared" si="8"/>
        <v>2025</v>
      </c>
      <c r="F185" s="11">
        <f t="shared" si="9"/>
        <v>11</v>
      </c>
      <c r="G185" s="11" t="str">
        <f t="shared" si="10"/>
        <v>202511</v>
      </c>
      <c r="I185" s="5">
        <v>9999</v>
      </c>
      <c r="J185" s="5">
        <v>333.3</v>
      </c>
      <c r="K185" s="5">
        <f t="shared" si="11"/>
        <v>0</v>
      </c>
      <c r="L185" s="5">
        <v>0</v>
      </c>
      <c r="M185" s="5">
        <v>0</v>
      </c>
      <c r="N185" t="s">
        <v>12</v>
      </c>
      <c r="O185" s="8">
        <v>19.791780821917808</v>
      </c>
      <c r="P185" t="s">
        <v>32</v>
      </c>
      <c r="Q185">
        <v>1</v>
      </c>
      <c r="R185" s="2">
        <v>38743</v>
      </c>
    </row>
    <row r="186" spans="1:18" x14ac:dyDescent="0.3">
      <c r="A186" t="s">
        <v>11</v>
      </c>
      <c r="B186">
        <v>15262407</v>
      </c>
      <c r="C186" t="s">
        <v>8</v>
      </c>
      <c r="D186" s="4">
        <v>45962</v>
      </c>
      <c r="E186" s="11">
        <f t="shared" si="8"/>
        <v>2025</v>
      </c>
      <c r="F186" s="11">
        <f t="shared" si="9"/>
        <v>11</v>
      </c>
      <c r="G186" s="11" t="str">
        <f t="shared" si="10"/>
        <v>202511</v>
      </c>
      <c r="H186" s="4">
        <v>46054</v>
      </c>
      <c r="I186" s="5">
        <v>92</v>
      </c>
      <c r="J186" s="5">
        <v>3.0666666666666669</v>
      </c>
      <c r="K186" s="5">
        <f t="shared" si="11"/>
        <v>0</v>
      </c>
      <c r="L186" s="5">
        <v>0</v>
      </c>
      <c r="M186" s="5">
        <v>1</v>
      </c>
      <c r="N186" t="s">
        <v>9</v>
      </c>
      <c r="O186" s="8">
        <v>22.586301369863012</v>
      </c>
      <c r="P186" t="s">
        <v>33</v>
      </c>
      <c r="Q186">
        <v>2</v>
      </c>
      <c r="R186" s="2">
        <v>37718</v>
      </c>
    </row>
    <row r="187" spans="1:18" x14ac:dyDescent="0.3">
      <c r="A187" t="s">
        <v>7</v>
      </c>
      <c r="B187">
        <v>15519312</v>
      </c>
      <c r="C187" t="s">
        <v>8</v>
      </c>
      <c r="D187" s="4">
        <v>46092</v>
      </c>
      <c r="E187" s="11">
        <f t="shared" si="8"/>
        <v>2026</v>
      </c>
      <c r="F187" s="11">
        <f t="shared" si="9"/>
        <v>3</v>
      </c>
      <c r="G187" s="11" t="str">
        <f t="shared" si="10"/>
        <v>202603</v>
      </c>
      <c r="I187" s="5">
        <v>9999</v>
      </c>
      <c r="J187" s="5">
        <v>333.3</v>
      </c>
      <c r="K187" s="5">
        <f t="shared" si="11"/>
        <v>0</v>
      </c>
      <c r="L187" s="5">
        <v>0</v>
      </c>
      <c r="M187" s="5">
        <v>0</v>
      </c>
      <c r="N187" t="s">
        <v>9</v>
      </c>
      <c r="O187" s="8">
        <v>33.484931506849314</v>
      </c>
      <c r="P187" t="s">
        <v>35</v>
      </c>
      <c r="Q187">
        <v>4</v>
      </c>
      <c r="R187" s="2">
        <v>33870</v>
      </c>
    </row>
    <row r="188" spans="1:18" x14ac:dyDescent="0.3">
      <c r="A188" t="s">
        <v>11</v>
      </c>
      <c r="B188">
        <v>15553142</v>
      </c>
      <c r="C188" t="s">
        <v>8</v>
      </c>
      <c r="D188" s="4">
        <v>45717</v>
      </c>
      <c r="E188" s="11">
        <f t="shared" si="8"/>
        <v>2025</v>
      </c>
      <c r="F188" s="11">
        <f t="shared" si="9"/>
        <v>3</v>
      </c>
      <c r="G188" s="11" t="str">
        <f t="shared" si="10"/>
        <v>202503</v>
      </c>
      <c r="H188" s="4">
        <v>45991</v>
      </c>
      <c r="I188" s="5">
        <v>274</v>
      </c>
      <c r="J188" s="5">
        <v>9.1333333333333329</v>
      </c>
      <c r="K188" s="5">
        <f t="shared" si="11"/>
        <v>0</v>
      </c>
      <c r="L188" s="5">
        <v>0</v>
      </c>
      <c r="M188" s="5">
        <v>0</v>
      </c>
      <c r="N188" t="s">
        <v>12</v>
      </c>
      <c r="O188" s="8">
        <v>20.331506849315069</v>
      </c>
      <c r="P188" t="s">
        <v>32</v>
      </c>
      <c r="Q188">
        <v>1</v>
      </c>
      <c r="R188" s="2">
        <v>38296</v>
      </c>
    </row>
    <row r="189" spans="1:18" x14ac:dyDescent="0.3">
      <c r="A189" t="s">
        <v>7</v>
      </c>
      <c r="B189">
        <v>15620983</v>
      </c>
      <c r="C189" t="s">
        <v>8</v>
      </c>
      <c r="D189" s="4">
        <v>45809</v>
      </c>
      <c r="E189" s="11">
        <f t="shared" si="8"/>
        <v>2025</v>
      </c>
      <c r="F189" s="11">
        <f t="shared" si="9"/>
        <v>6</v>
      </c>
      <c r="G189" s="11" t="str">
        <f t="shared" si="10"/>
        <v>202506</v>
      </c>
      <c r="I189" s="5">
        <v>9999</v>
      </c>
      <c r="J189" s="5">
        <v>333.3</v>
      </c>
      <c r="K189" s="5">
        <f t="shared" si="11"/>
        <v>0</v>
      </c>
      <c r="L189" s="5">
        <v>0</v>
      </c>
      <c r="M189" s="5">
        <v>0</v>
      </c>
      <c r="N189" t="s">
        <v>9</v>
      </c>
      <c r="O189" s="8">
        <v>19.164383561643834</v>
      </c>
      <c r="P189" t="s">
        <v>32</v>
      </c>
      <c r="Q189">
        <v>1</v>
      </c>
      <c r="R189" s="2">
        <v>38814</v>
      </c>
    </row>
    <row r="190" spans="1:18" x14ac:dyDescent="0.3">
      <c r="A190" t="s">
        <v>11</v>
      </c>
      <c r="B190">
        <v>15635398</v>
      </c>
      <c r="C190" t="s">
        <v>8</v>
      </c>
      <c r="D190" s="4">
        <v>45870</v>
      </c>
      <c r="E190" s="11">
        <f t="shared" si="8"/>
        <v>2025</v>
      </c>
      <c r="F190" s="11">
        <f t="shared" si="9"/>
        <v>8</v>
      </c>
      <c r="G190" s="11" t="str">
        <f t="shared" si="10"/>
        <v>202508</v>
      </c>
      <c r="I190" s="5">
        <v>9999</v>
      </c>
      <c r="J190" s="5">
        <v>333.3</v>
      </c>
      <c r="K190" s="5">
        <f t="shared" si="11"/>
        <v>0</v>
      </c>
      <c r="L190" s="5">
        <v>0</v>
      </c>
      <c r="M190" s="5">
        <v>0</v>
      </c>
      <c r="N190" t="s">
        <v>9</v>
      </c>
      <c r="O190" s="8">
        <v>20.63013698630137</v>
      </c>
      <c r="P190" t="s">
        <v>32</v>
      </c>
      <c r="Q190">
        <v>1</v>
      </c>
      <c r="R190" s="2">
        <v>38340</v>
      </c>
    </row>
    <row r="191" spans="1:18" x14ac:dyDescent="0.3">
      <c r="A191" t="s">
        <v>7</v>
      </c>
      <c r="B191">
        <v>15663438</v>
      </c>
      <c r="C191" t="s">
        <v>8</v>
      </c>
      <c r="D191" s="4">
        <v>46168</v>
      </c>
      <c r="E191" s="11">
        <f t="shared" si="8"/>
        <v>2026</v>
      </c>
      <c r="F191" s="11">
        <f t="shared" si="9"/>
        <v>5</v>
      </c>
      <c r="G191" s="11" t="str">
        <f t="shared" si="10"/>
        <v>202605</v>
      </c>
      <c r="I191" s="5">
        <v>9999</v>
      </c>
      <c r="J191" s="5">
        <v>333.3</v>
      </c>
      <c r="K191" s="5">
        <f t="shared" si="11"/>
        <v>0</v>
      </c>
      <c r="L191" s="5">
        <v>0</v>
      </c>
      <c r="M191" s="5">
        <v>0</v>
      </c>
      <c r="N191" t="s">
        <v>9</v>
      </c>
      <c r="O191" s="8">
        <v>29.649315068493152</v>
      </c>
      <c r="P191" t="s">
        <v>34</v>
      </c>
      <c r="Q191">
        <v>3</v>
      </c>
      <c r="R191" s="2">
        <v>35346</v>
      </c>
    </row>
    <row r="192" spans="1:18" x14ac:dyDescent="0.3">
      <c r="A192" t="s">
        <v>11</v>
      </c>
      <c r="B192">
        <v>15672235</v>
      </c>
      <c r="C192" t="s">
        <v>8</v>
      </c>
      <c r="D192" s="4">
        <v>46143</v>
      </c>
      <c r="E192" s="11">
        <f t="shared" si="8"/>
        <v>2026</v>
      </c>
      <c r="F192" s="11">
        <f t="shared" si="9"/>
        <v>5</v>
      </c>
      <c r="G192" s="11" t="str">
        <f t="shared" si="10"/>
        <v>202605</v>
      </c>
      <c r="I192" s="5">
        <v>9999</v>
      </c>
      <c r="J192" s="5">
        <v>333.3</v>
      </c>
      <c r="K192" s="5">
        <f t="shared" si="11"/>
        <v>0</v>
      </c>
      <c r="L192" s="5">
        <v>0</v>
      </c>
      <c r="M192" s="5">
        <v>0</v>
      </c>
      <c r="N192" t="s">
        <v>9</v>
      </c>
      <c r="O192" s="8">
        <v>39.969863013698628</v>
      </c>
      <c r="P192" t="s">
        <v>35</v>
      </c>
      <c r="Q192">
        <v>4</v>
      </c>
      <c r="R192" s="2">
        <v>31554</v>
      </c>
    </row>
    <row r="193" spans="1:18" x14ac:dyDescent="0.3">
      <c r="A193" t="s">
        <v>11</v>
      </c>
      <c r="B193">
        <v>15682438</v>
      </c>
      <c r="C193" t="s">
        <v>10</v>
      </c>
      <c r="D193" s="4">
        <v>45689</v>
      </c>
      <c r="E193" s="11">
        <f t="shared" si="8"/>
        <v>2025</v>
      </c>
      <c r="F193" s="11">
        <f t="shared" si="9"/>
        <v>2</v>
      </c>
      <c r="G193" s="11" t="str">
        <f t="shared" si="10"/>
        <v>202502</v>
      </c>
      <c r="I193" s="5">
        <v>9999</v>
      </c>
      <c r="J193" s="5">
        <v>333.3</v>
      </c>
      <c r="K193" s="5">
        <f t="shared" si="11"/>
        <v>0</v>
      </c>
      <c r="L193" s="5">
        <v>0</v>
      </c>
      <c r="M193" s="5">
        <v>0</v>
      </c>
      <c r="N193" t="s">
        <v>9</v>
      </c>
      <c r="O193" s="8">
        <v>26.786301369863015</v>
      </c>
      <c r="P193" t="s">
        <v>34</v>
      </c>
      <c r="Q193">
        <v>3</v>
      </c>
      <c r="R193" s="2">
        <v>35912</v>
      </c>
    </row>
    <row r="194" spans="1:18" x14ac:dyDescent="0.3">
      <c r="A194" t="s">
        <v>11</v>
      </c>
      <c r="B194">
        <v>15718562</v>
      </c>
      <c r="C194" t="s">
        <v>8</v>
      </c>
      <c r="D194" s="4">
        <v>45778</v>
      </c>
      <c r="E194" s="11">
        <f t="shared" si="8"/>
        <v>2025</v>
      </c>
      <c r="F194" s="11">
        <f t="shared" si="9"/>
        <v>5</v>
      </c>
      <c r="G194" s="11" t="str">
        <f t="shared" si="10"/>
        <v>202505</v>
      </c>
      <c r="I194" s="5">
        <v>9999</v>
      </c>
      <c r="J194" s="5">
        <v>333.3</v>
      </c>
      <c r="K194" s="5">
        <f t="shared" si="11"/>
        <v>0</v>
      </c>
      <c r="L194" s="5">
        <v>0</v>
      </c>
      <c r="M194" s="5">
        <v>0</v>
      </c>
      <c r="N194" t="s">
        <v>9</v>
      </c>
      <c r="O194" s="8">
        <v>41.010958904109586</v>
      </c>
      <c r="P194" t="s">
        <v>35</v>
      </c>
      <c r="Q194">
        <v>4</v>
      </c>
      <c r="R194" s="2">
        <v>30809</v>
      </c>
    </row>
    <row r="195" spans="1:18" x14ac:dyDescent="0.3">
      <c r="A195" t="s">
        <v>11</v>
      </c>
      <c r="B195">
        <v>15834574</v>
      </c>
      <c r="C195" t="s">
        <v>8</v>
      </c>
      <c r="D195" s="4">
        <v>45778</v>
      </c>
      <c r="E195" s="11">
        <f t="shared" ref="E195:E258" si="12">+YEAR(D195)</f>
        <v>2025</v>
      </c>
      <c r="F195" s="11">
        <f t="shared" ref="F195:F258" si="13">+MONTH(D195)</f>
        <v>5</v>
      </c>
      <c r="G195" s="11" t="str">
        <f t="shared" ref="G195:G258" si="14">+TEXT(D195, "yyymm")</f>
        <v>202505</v>
      </c>
      <c r="H195" s="4">
        <v>46059</v>
      </c>
      <c r="I195" s="5">
        <v>281</v>
      </c>
      <c r="J195" s="5">
        <v>9.3666666666666671</v>
      </c>
      <c r="K195" s="5">
        <f t="shared" ref="K195:K258" si="15">IF(J195&lt;=1,1,0)</f>
        <v>0</v>
      </c>
      <c r="L195" s="5">
        <v>0</v>
      </c>
      <c r="M195" s="5">
        <v>0</v>
      </c>
      <c r="N195" t="s">
        <v>9</v>
      </c>
      <c r="O195" s="8">
        <v>28.632876712328766</v>
      </c>
      <c r="P195" t="s">
        <v>34</v>
      </c>
      <c r="Q195">
        <v>3</v>
      </c>
      <c r="R195" s="2">
        <v>35327</v>
      </c>
    </row>
    <row r="196" spans="1:18" x14ac:dyDescent="0.3">
      <c r="A196" t="s">
        <v>7</v>
      </c>
      <c r="B196">
        <v>15836682</v>
      </c>
      <c r="C196" t="s">
        <v>8</v>
      </c>
      <c r="D196" s="4">
        <v>46161</v>
      </c>
      <c r="E196" s="11">
        <f t="shared" si="12"/>
        <v>2026</v>
      </c>
      <c r="F196" s="11">
        <f t="shared" si="13"/>
        <v>5</v>
      </c>
      <c r="G196" s="11" t="str">
        <f t="shared" si="14"/>
        <v>202605</v>
      </c>
      <c r="I196" s="5">
        <v>9999</v>
      </c>
      <c r="J196" s="5">
        <v>333.3</v>
      </c>
      <c r="K196" s="5">
        <f t="shared" si="15"/>
        <v>0</v>
      </c>
      <c r="L196" s="5">
        <v>0</v>
      </c>
      <c r="M196" s="5">
        <v>0</v>
      </c>
      <c r="N196" t="s">
        <v>12</v>
      </c>
      <c r="O196" s="8">
        <v>25.36986301369863</v>
      </c>
      <c r="P196" t="s">
        <v>33</v>
      </c>
      <c r="Q196">
        <v>2</v>
      </c>
      <c r="R196" s="2">
        <v>36901</v>
      </c>
    </row>
    <row r="197" spans="1:18" x14ac:dyDescent="0.3">
      <c r="A197" t="s">
        <v>11</v>
      </c>
      <c r="B197">
        <v>15878667</v>
      </c>
      <c r="C197" t="s">
        <v>10</v>
      </c>
      <c r="D197" s="4">
        <v>45892</v>
      </c>
      <c r="E197" s="11">
        <f t="shared" si="12"/>
        <v>2025</v>
      </c>
      <c r="F197" s="11">
        <f t="shared" si="13"/>
        <v>8</v>
      </c>
      <c r="G197" s="11" t="str">
        <f t="shared" si="14"/>
        <v>202508</v>
      </c>
      <c r="H197" s="4">
        <v>45915</v>
      </c>
      <c r="I197" s="5">
        <v>23</v>
      </c>
      <c r="J197" s="5">
        <v>0.76666666666666672</v>
      </c>
      <c r="K197" s="5">
        <f t="shared" si="15"/>
        <v>1</v>
      </c>
      <c r="L197" s="5">
        <v>1</v>
      </c>
      <c r="M197" s="5">
        <v>1</v>
      </c>
      <c r="N197" t="s">
        <v>9</v>
      </c>
      <c r="O197" s="8">
        <v>25.161643835616438</v>
      </c>
      <c r="P197" t="s">
        <v>33</v>
      </c>
      <c r="Q197">
        <v>2</v>
      </c>
      <c r="R197" s="2">
        <v>36708</v>
      </c>
    </row>
    <row r="198" spans="1:18" x14ac:dyDescent="0.3">
      <c r="A198" t="s">
        <v>11</v>
      </c>
      <c r="B198">
        <v>15879242</v>
      </c>
      <c r="C198" t="s">
        <v>8</v>
      </c>
      <c r="D198" s="4">
        <v>45778</v>
      </c>
      <c r="E198" s="11">
        <f t="shared" si="12"/>
        <v>2025</v>
      </c>
      <c r="F198" s="11">
        <f t="shared" si="13"/>
        <v>5</v>
      </c>
      <c r="G198" s="11" t="str">
        <f t="shared" si="14"/>
        <v>202505</v>
      </c>
      <c r="I198" s="5">
        <v>9999</v>
      </c>
      <c r="J198" s="5">
        <v>333.3</v>
      </c>
      <c r="K198" s="5">
        <f t="shared" si="15"/>
        <v>0</v>
      </c>
      <c r="L198" s="5">
        <v>0</v>
      </c>
      <c r="M198" s="5">
        <v>0</v>
      </c>
      <c r="N198" t="s">
        <v>12</v>
      </c>
      <c r="O198" s="8">
        <v>24.18904109589041</v>
      </c>
      <c r="P198" t="s">
        <v>33</v>
      </c>
      <c r="Q198">
        <v>2</v>
      </c>
      <c r="R198" s="2">
        <v>36949</v>
      </c>
    </row>
    <row r="199" spans="1:18" x14ac:dyDescent="0.3">
      <c r="A199" t="s">
        <v>11</v>
      </c>
      <c r="B199">
        <v>15958475</v>
      </c>
      <c r="C199" t="s">
        <v>8</v>
      </c>
      <c r="D199" s="4">
        <v>46143</v>
      </c>
      <c r="E199" s="11">
        <f t="shared" si="12"/>
        <v>2026</v>
      </c>
      <c r="F199" s="11">
        <f t="shared" si="13"/>
        <v>5</v>
      </c>
      <c r="G199" s="11" t="str">
        <f t="shared" si="14"/>
        <v>202605</v>
      </c>
      <c r="I199" s="5">
        <v>9999</v>
      </c>
      <c r="J199" s="5">
        <v>333.3</v>
      </c>
      <c r="K199" s="5">
        <f t="shared" si="15"/>
        <v>0</v>
      </c>
      <c r="L199" s="5">
        <v>0</v>
      </c>
      <c r="M199" s="5">
        <v>0</v>
      </c>
      <c r="N199" t="s">
        <v>12</v>
      </c>
      <c r="O199" s="8">
        <v>23.38082191780822</v>
      </c>
      <c r="P199" t="s">
        <v>33</v>
      </c>
      <c r="Q199">
        <v>2</v>
      </c>
      <c r="R199" s="2">
        <v>37609</v>
      </c>
    </row>
    <row r="200" spans="1:18" x14ac:dyDescent="0.3">
      <c r="A200" t="s">
        <v>11</v>
      </c>
      <c r="B200">
        <v>15985268</v>
      </c>
      <c r="C200" t="s">
        <v>8</v>
      </c>
      <c r="D200" s="4">
        <v>46082</v>
      </c>
      <c r="E200" s="11">
        <f t="shared" si="12"/>
        <v>2026</v>
      </c>
      <c r="F200" s="11">
        <f t="shared" si="13"/>
        <v>3</v>
      </c>
      <c r="G200" s="11" t="str">
        <f t="shared" si="14"/>
        <v>202603</v>
      </c>
      <c r="I200" s="5">
        <v>9999</v>
      </c>
      <c r="J200" s="5">
        <v>333.3</v>
      </c>
      <c r="K200" s="5">
        <f t="shared" si="15"/>
        <v>0</v>
      </c>
      <c r="L200" s="5">
        <v>0</v>
      </c>
      <c r="M200" s="5">
        <v>0</v>
      </c>
      <c r="N200" t="s">
        <v>9</v>
      </c>
      <c r="O200" s="8">
        <v>54.419178082191777</v>
      </c>
      <c r="P200" t="s">
        <v>35</v>
      </c>
      <c r="Q200">
        <v>4</v>
      </c>
      <c r="R200" s="2">
        <v>26219</v>
      </c>
    </row>
    <row r="201" spans="1:18" x14ac:dyDescent="0.3">
      <c r="A201" t="s">
        <v>11</v>
      </c>
      <c r="B201">
        <v>16013822</v>
      </c>
      <c r="C201" t="s">
        <v>8</v>
      </c>
      <c r="D201" s="4">
        <v>45748</v>
      </c>
      <c r="E201" s="11">
        <f t="shared" si="12"/>
        <v>2025</v>
      </c>
      <c r="F201" s="11">
        <f t="shared" si="13"/>
        <v>4</v>
      </c>
      <c r="G201" s="11" t="str">
        <f t="shared" si="14"/>
        <v>202504</v>
      </c>
      <c r="I201" s="5">
        <v>9999</v>
      </c>
      <c r="J201" s="5">
        <v>333.3</v>
      </c>
      <c r="K201" s="5">
        <f t="shared" si="15"/>
        <v>0</v>
      </c>
      <c r="L201" s="5">
        <v>0</v>
      </c>
      <c r="M201" s="5">
        <v>0</v>
      </c>
      <c r="N201" t="s">
        <v>9</v>
      </c>
      <c r="O201" s="8">
        <v>21.356164383561644</v>
      </c>
      <c r="P201" t="s">
        <v>33</v>
      </c>
      <c r="Q201">
        <v>2</v>
      </c>
      <c r="R201" s="2">
        <v>37953</v>
      </c>
    </row>
    <row r="202" spans="1:18" x14ac:dyDescent="0.3">
      <c r="A202" t="s">
        <v>7</v>
      </c>
      <c r="B202">
        <v>16027153</v>
      </c>
      <c r="C202" t="s">
        <v>10</v>
      </c>
      <c r="D202" s="4">
        <v>45992</v>
      </c>
      <c r="E202" s="11">
        <f t="shared" si="12"/>
        <v>2025</v>
      </c>
      <c r="F202" s="11">
        <f t="shared" si="13"/>
        <v>12</v>
      </c>
      <c r="G202" s="11" t="str">
        <f t="shared" si="14"/>
        <v>202512</v>
      </c>
      <c r="I202" s="5">
        <v>9999</v>
      </c>
      <c r="J202" s="5">
        <v>333.3</v>
      </c>
      <c r="K202" s="5">
        <f t="shared" si="15"/>
        <v>0</v>
      </c>
      <c r="L202" s="5">
        <v>0</v>
      </c>
      <c r="M202" s="5">
        <v>0</v>
      </c>
      <c r="N202" t="s">
        <v>12</v>
      </c>
      <c r="O202" s="8">
        <v>19.756164383561643</v>
      </c>
      <c r="P202" t="s">
        <v>32</v>
      </c>
      <c r="Q202">
        <v>1</v>
      </c>
      <c r="R202" s="2">
        <v>38781</v>
      </c>
    </row>
    <row r="203" spans="1:18" x14ac:dyDescent="0.3">
      <c r="A203" t="s">
        <v>11</v>
      </c>
      <c r="B203">
        <v>16032746</v>
      </c>
      <c r="C203" t="s">
        <v>8</v>
      </c>
      <c r="D203" s="4">
        <v>45689</v>
      </c>
      <c r="E203" s="11">
        <f t="shared" si="12"/>
        <v>2025</v>
      </c>
      <c r="F203" s="11">
        <f t="shared" si="13"/>
        <v>2</v>
      </c>
      <c r="G203" s="11" t="str">
        <f t="shared" si="14"/>
        <v>202502</v>
      </c>
      <c r="H203" s="4">
        <v>45808</v>
      </c>
      <c r="I203" s="5">
        <v>119</v>
      </c>
      <c r="J203" s="5">
        <v>3.9666666666666668</v>
      </c>
      <c r="K203" s="5">
        <f t="shared" si="15"/>
        <v>0</v>
      </c>
      <c r="L203" s="5">
        <v>0</v>
      </c>
      <c r="M203" s="5">
        <v>1</v>
      </c>
      <c r="N203" t="s">
        <v>12</v>
      </c>
      <c r="O203" s="8">
        <v>19.468493150684932</v>
      </c>
      <c r="P203" t="s">
        <v>32</v>
      </c>
      <c r="Q203">
        <v>1</v>
      </c>
      <c r="R203" s="2">
        <v>38583</v>
      </c>
    </row>
    <row r="204" spans="1:18" x14ac:dyDescent="0.3">
      <c r="A204" t="s">
        <v>7</v>
      </c>
      <c r="B204">
        <v>16053416</v>
      </c>
      <c r="C204" t="s">
        <v>10</v>
      </c>
      <c r="D204" s="4">
        <v>45926</v>
      </c>
      <c r="E204" s="11">
        <f t="shared" si="12"/>
        <v>2025</v>
      </c>
      <c r="F204" s="11">
        <f t="shared" si="13"/>
        <v>9</v>
      </c>
      <c r="G204" s="11" t="str">
        <f t="shared" si="14"/>
        <v>202509</v>
      </c>
      <c r="H204" s="4">
        <v>45936</v>
      </c>
      <c r="I204" s="5">
        <v>10</v>
      </c>
      <c r="J204" s="5">
        <v>0.33333333333333331</v>
      </c>
      <c r="K204" s="5">
        <f t="shared" si="15"/>
        <v>1</v>
      </c>
      <c r="L204" s="5">
        <v>1</v>
      </c>
      <c r="M204" s="5">
        <v>1</v>
      </c>
      <c r="N204" t="s">
        <v>12</v>
      </c>
      <c r="O204" s="8">
        <v>22.69041095890411</v>
      </c>
      <c r="P204" t="s">
        <v>33</v>
      </c>
      <c r="Q204">
        <v>2</v>
      </c>
      <c r="R204" s="2">
        <v>37644</v>
      </c>
    </row>
    <row r="205" spans="1:18" x14ac:dyDescent="0.3">
      <c r="A205" t="s">
        <v>7</v>
      </c>
      <c r="B205">
        <v>16053925</v>
      </c>
      <c r="C205" t="s">
        <v>8</v>
      </c>
      <c r="D205" s="4">
        <v>46161</v>
      </c>
      <c r="E205" s="11">
        <f t="shared" si="12"/>
        <v>2026</v>
      </c>
      <c r="F205" s="11">
        <f t="shared" si="13"/>
        <v>5</v>
      </c>
      <c r="G205" s="11" t="str">
        <f t="shared" si="14"/>
        <v>202605</v>
      </c>
      <c r="I205" s="5">
        <v>9999</v>
      </c>
      <c r="J205" s="5">
        <v>333.3</v>
      </c>
      <c r="K205" s="5">
        <f t="shared" si="15"/>
        <v>0</v>
      </c>
      <c r="L205" s="5">
        <v>0</v>
      </c>
      <c r="M205" s="5">
        <v>0</v>
      </c>
      <c r="N205" t="s">
        <v>12</v>
      </c>
      <c r="O205" s="8">
        <v>21.665753424657535</v>
      </c>
      <c r="P205" t="s">
        <v>33</v>
      </c>
      <c r="Q205">
        <v>2</v>
      </c>
      <c r="R205" s="2">
        <v>38253</v>
      </c>
    </row>
    <row r="206" spans="1:18" x14ac:dyDescent="0.3">
      <c r="A206" t="s">
        <v>7</v>
      </c>
      <c r="B206">
        <v>16220284</v>
      </c>
      <c r="C206" t="s">
        <v>8</v>
      </c>
      <c r="D206" s="4">
        <v>45902</v>
      </c>
      <c r="E206" s="11">
        <f t="shared" si="12"/>
        <v>2025</v>
      </c>
      <c r="F206" s="11">
        <f t="shared" si="13"/>
        <v>9</v>
      </c>
      <c r="G206" s="11" t="str">
        <f t="shared" si="14"/>
        <v>202509</v>
      </c>
      <c r="H206" s="4">
        <v>46081</v>
      </c>
      <c r="I206" s="5">
        <v>179</v>
      </c>
      <c r="J206" s="5">
        <v>5.9666666666666668</v>
      </c>
      <c r="K206" s="5">
        <f t="shared" si="15"/>
        <v>0</v>
      </c>
      <c r="L206" s="5">
        <v>0</v>
      </c>
      <c r="M206" s="5">
        <v>1</v>
      </c>
      <c r="N206" t="s">
        <v>9</v>
      </c>
      <c r="O206" s="8">
        <v>19.69041095890411</v>
      </c>
      <c r="P206" t="s">
        <v>32</v>
      </c>
      <c r="Q206">
        <v>1</v>
      </c>
      <c r="R206" s="2">
        <v>38715</v>
      </c>
    </row>
    <row r="207" spans="1:18" x14ac:dyDescent="0.3">
      <c r="A207" t="s">
        <v>11</v>
      </c>
      <c r="B207">
        <v>16221113</v>
      </c>
      <c r="C207" t="s">
        <v>8</v>
      </c>
      <c r="D207" s="4">
        <v>45717</v>
      </c>
      <c r="E207" s="11">
        <f t="shared" si="12"/>
        <v>2025</v>
      </c>
      <c r="F207" s="11">
        <f t="shared" si="13"/>
        <v>3</v>
      </c>
      <c r="G207" s="11" t="str">
        <f t="shared" si="14"/>
        <v>202503</v>
      </c>
      <c r="I207" s="5">
        <v>9999</v>
      </c>
      <c r="J207" s="5">
        <v>333.3</v>
      </c>
      <c r="K207" s="5">
        <f t="shared" si="15"/>
        <v>0</v>
      </c>
      <c r="L207" s="5">
        <v>0</v>
      </c>
      <c r="M207" s="5">
        <v>0</v>
      </c>
      <c r="N207" t="s">
        <v>12</v>
      </c>
      <c r="O207" s="8">
        <v>27.610958904109587</v>
      </c>
      <c r="P207" t="s">
        <v>34</v>
      </c>
      <c r="Q207">
        <v>3</v>
      </c>
      <c r="R207" s="2">
        <v>35639</v>
      </c>
    </row>
    <row r="208" spans="1:18" x14ac:dyDescent="0.3">
      <c r="A208" t="s">
        <v>7</v>
      </c>
      <c r="B208">
        <v>16239075</v>
      </c>
      <c r="C208" t="s">
        <v>8</v>
      </c>
      <c r="D208" s="4">
        <v>45717</v>
      </c>
      <c r="E208" s="11">
        <f t="shared" si="12"/>
        <v>2025</v>
      </c>
      <c r="F208" s="11">
        <f t="shared" si="13"/>
        <v>3</v>
      </c>
      <c r="G208" s="11" t="str">
        <f t="shared" si="14"/>
        <v>202503</v>
      </c>
      <c r="H208" s="4">
        <v>45791</v>
      </c>
      <c r="I208" s="5">
        <v>74</v>
      </c>
      <c r="J208" s="5">
        <v>2.4666666666666668</v>
      </c>
      <c r="K208" s="5">
        <f t="shared" si="15"/>
        <v>0</v>
      </c>
      <c r="L208" s="5">
        <v>1</v>
      </c>
      <c r="M208" s="5">
        <v>1</v>
      </c>
      <c r="N208" t="s">
        <v>12</v>
      </c>
      <c r="O208" s="8">
        <v>20.290410958904111</v>
      </c>
      <c r="P208" t="s">
        <v>32</v>
      </c>
      <c r="Q208">
        <v>1</v>
      </c>
      <c r="R208" s="2">
        <v>38311</v>
      </c>
    </row>
    <row r="209" spans="1:18" x14ac:dyDescent="0.3">
      <c r="A209" t="s">
        <v>7</v>
      </c>
      <c r="B209">
        <v>16267120</v>
      </c>
      <c r="C209" t="s">
        <v>8</v>
      </c>
      <c r="D209" s="4">
        <v>46153</v>
      </c>
      <c r="E209" s="11">
        <f t="shared" si="12"/>
        <v>2026</v>
      </c>
      <c r="F209" s="11">
        <f t="shared" si="13"/>
        <v>5</v>
      </c>
      <c r="G209" s="11" t="str">
        <f t="shared" si="14"/>
        <v>202605</v>
      </c>
      <c r="H209" s="4">
        <v>46173</v>
      </c>
      <c r="I209" s="5">
        <v>20</v>
      </c>
      <c r="J209" s="5">
        <v>0.66666666666666663</v>
      </c>
      <c r="K209" s="5">
        <f t="shared" si="15"/>
        <v>1</v>
      </c>
      <c r="L209" s="5">
        <v>1</v>
      </c>
      <c r="M209" s="5">
        <v>1</v>
      </c>
      <c r="N209" t="s">
        <v>9</v>
      </c>
      <c r="O209" s="8">
        <v>20.238356164383561</v>
      </c>
      <c r="P209" t="s">
        <v>32</v>
      </c>
      <c r="Q209">
        <v>1</v>
      </c>
      <c r="R209" s="2">
        <v>38766</v>
      </c>
    </row>
    <row r="210" spans="1:18" x14ac:dyDescent="0.3">
      <c r="A210" t="s">
        <v>11</v>
      </c>
      <c r="B210">
        <v>16382170</v>
      </c>
      <c r="C210" t="s">
        <v>8</v>
      </c>
      <c r="D210" s="4">
        <v>45778</v>
      </c>
      <c r="E210" s="11">
        <f t="shared" si="12"/>
        <v>2025</v>
      </c>
      <c r="F210" s="11">
        <f t="shared" si="13"/>
        <v>5</v>
      </c>
      <c r="G210" s="11" t="str">
        <f t="shared" si="14"/>
        <v>202505</v>
      </c>
      <c r="H210" s="4">
        <v>45813</v>
      </c>
      <c r="I210" s="5">
        <v>35</v>
      </c>
      <c r="J210" s="5">
        <v>1.1666666666666667</v>
      </c>
      <c r="K210" s="5">
        <f t="shared" si="15"/>
        <v>0</v>
      </c>
      <c r="L210" s="5">
        <v>1</v>
      </c>
      <c r="M210" s="5">
        <v>1</v>
      </c>
      <c r="N210" t="s">
        <v>12</v>
      </c>
      <c r="O210" s="8">
        <v>24.328767123287673</v>
      </c>
      <c r="P210" t="s">
        <v>33</v>
      </c>
      <c r="Q210">
        <v>2</v>
      </c>
      <c r="R210" s="2">
        <v>36898</v>
      </c>
    </row>
    <row r="211" spans="1:18" x14ac:dyDescent="0.3">
      <c r="A211" t="s">
        <v>11</v>
      </c>
      <c r="B211">
        <v>16481385</v>
      </c>
      <c r="C211" t="s">
        <v>8</v>
      </c>
      <c r="D211" s="4">
        <v>45839</v>
      </c>
      <c r="E211" s="11">
        <f t="shared" si="12"/>
        <v>2025</v>
      </c>
      <c r="F211" s="11">
        <f t="shared" si="13"/>
        <v>7</v>
      </c>
      <c r="G211" s="11" t="str">
        <f t="shared" si="14"/>
        <v>202507</v>
      </c>
      <c r="H211" s="4">
        <v>45994</v>
      </c>
      <c r="I211" s="5">
        <v>155</v>
      </c>
      <c r="J211" s="5">
        <v>5.166666666666667</v>
      </c>
      <c r="K211" s="5">
        <f t="shared" si="15"/>
        <v>0</v>
      </c>
      <c r="L211" s="5">
        <v>0</v>
      </c>
      <c r="M211" s="5">
        <v>1</v>
      </c>
      <c r="N211" t="s">
        <v>9</v>
      </c>
      <c r="O211" s="8">
        <v>27.145205479452056</v>
      </c>
      <c r="P211" t="s">
        <v>34</v>
      </c>
      <c r="Q211">
        <v>3</v>
      </c>
      <c r="R211" s="2">
        <v>35931</v>
      </c>
    </row>
    <row r="212" spans="1:18" x14ac:dyDescent="0.3">
      <c r="A212" t="s">
        <v>11</v>
      </c>
      <c r="B212">
        <v>16662518</v>
      </c>
      <c r="C212" t="s">
        <v>8</v>
      </c>
      <c r="D212" s="4">
        <v>46113</v>
      </c>
      <c r="E212" s="11">
        <f t="shared" si="12"/>
        <v>2026</v>
      </c>
      <c r="F212" s="11">
        <f t="shared" si="13"/>
        <v>4</v>
      </c>
      <c r="G212" s="11" t="str">
        <f t="shared" si="14"/>
        <v>202604</v>
      </c>
      <c r="I212" s="5">
        <v>9999</v>
      </c>
      <c r="J212" s="5">
        <v>333.3</v>
      </c>
      <c r="K212" s="5">
        <f t="shared" si="15"/>
        <v>0</v>
      </c>
      <c r="L212" s="5">
        <v>0</v>
      </c>
      <c r="M212" s="5">
        <v>0</v>
      </c>
      <c r="N212" t="s">
        <v>12</v>
      </c>
      <c r="O212" s="8">
        <v>28.495890410958904</v>
      </c>
      <c r="P212" t="s">
        <v>34</v>
      </c>
      <c r="Q212">
        <v>3</v>
      </c>
      <c r="R212" s="2">
        <v>35712</v>
      </c>
    </row>
    <row r="213" spans="1:18" x14ac:dyDescent="0.3">
      <c r="A213" t="s">
        <v>7</v>
      </c>
      <c r="B213">
        <v>16674816</v>
      </c>
      <c r="C213" t="s">
        <v>8</v>
      </c>
      <c r="D213" s="4">
        <v>45793</v>
      </c>
      <c r="E213" s="11">
        <f t="shared" si="12"/>
        <v>2025</v>
      </c>
      <c r="F213" s="11">
        <f t="shared" si="13"/>
        <v>5</v>
      </c>
      <c r="G213" s="11" t="str">
        <f t="shared" si="14"/>
        <v>202505</v>
      </c>
      <c r="I213" s="5">
        <v>9999</v>
      </c>
      <c r="J213" s="5">
        <v>333.3</v>
      </c>
      <c r="K213" s="5">
        <f t="shared" si="15"/>
        <v>0</v>
      </c>
      <c r="L213" s="5">
        <v>0</v>
      </c>
      <c r="M213" s="5">
        <v>0</v>
      </c>
      <c r="N213" t="s">
        <v>9</v>
      </c>
      <c r="O213" s="8">
        <v>21.934246575342467</v>
      </c>
      <c r="P213" t="s">
        <v>33</v>
      </c>
      <c r="Q213">
        <v>2</v>
      </c>
      <c r="R213" s="2">
        <v>37787</v>
      </c>
    </row>
    <row r="214" spans="1:18" x14ac:dyDescent="0.3">
      <c r="A214" t="s">
        <v>7</v>
      </c>
      <c r="B214">
        <v>16684091</v>
      </c>
      <c r="C214" t="s">
        <v>10</v>
      </c>
      <c r="D214" s="4">
        <v>46140</v>
      </c>
      <c r="E214" s="11">
        <f t="shared" si="12"/>
        <v>2026</v>
      </c>
      <c r="F214" s="11">
        <f t="shared" si="13"/>
        <v>4</v>
      </c>
      <c r="G214" s="11" t="str">
        <f t="shared" si="14"/>
        <v>202604</v>
      </c>
      <c r="I214" s="5">
        <v>9999</v>
      </c>
      <c r="J214" s="5">
        <v>333.3</v>
      </c>
      <c r="K214" s="5">
        <f t="shared" si="15"/>
        <v>0</v>
      </c>
      <c r="L214" s="5">
        <v>0</v>
      </c>
      <c r="M214" s="5">
        <v>0</v>
      </c>
      <c r="N214" t="s">
        <v>12</v>
      </c>
      <c r="O214" s="8">
        <v>23.117808219178084</v>
      </c>
      <c r="P214" t="s">
        <v>33</v>
      </c>
      <c r="Q214">
        <v>2</v>
      </c>
      <c r="R214" s="2">
        <v>37702</v>
      </c>
    </row>
    <row r="215" spans="1:18" x14ac:dyDescent="0.3">
      <c r="A215" t="s">
        <v>7</v>
      </c>
      <c r="B215">
        <v>16710385</v>
      </c>
      <c r="C215" t="s">
        <v>10</v>
      </c>
      <c r="D215" s="4">
        <v>45982</v>
      </c>
      <c r="E215" s="11">
        <f t="shared" si="12"/>
        <v>2025</v>
      </c>
      <c r="F215" s="11">
        <f t="shared" si="13"/>
        <v>11</v>
      </c>
      <c r="G215" s="11" t="str">
        <f t="shared" si="14"/>
        <v>202511</v>
      </c>
      <c r="H215" s="4">
        <v>45992</v>
      </c>
      <c r="I215" s="5">
        <v>10</v>
      </c>
      <c r="J215" s="5">
        <v>0.33333333333333331</v>
      </c>
      <c r="K215" s="5">
        <f t="shared" si="15"/>
        <v>1</v>
      </c>
      <c r="L215" s="5">
        <v>1</v>
      </c>
      <c r="M215" s="5">
        <v>1</v>
      </c>
      <c r="N215" t="s">
        <v>9</v>
      </c>
      <c r="O215" s="8">
        <v>19.92876712328767</v>
      </c>
      <c r="P215" t="s">
        <v>32</v>
      </c>
      <c r="Q215">
        <v>1</v>
      </c>
      <c r="R215" s="2">
        <v>38708</v>
      </c>
    </row>
    <row r="216" spans="1:18" x14ac:dyDescent="0.3">
      <c r="A216" t="s">
        <v>7</v>
      </c>
      <c r="B216">
        <v>16803565</v>
      </c>
      <c r="C216" t="s">
        <v>8</v>
      </c>
      <c r="D216" s="4">
        <v>45707</v>
      </c>
      <c r="E216" s="11">
        <f t="shared" si="12"/>
        <v>2025</v>
      </c>
      <c r="F216" s="11">
        <f t="shared" si="13"/>
        <v>2</v>
      </c>
      <c r="G216" s="11" t="str">
        <f t="shared" si="14"/>
        <v>202502</v>
      </c>
      <c r="H216" s="4">
        <v>46173</v>
      </c>
      <c r="I216" s="5">
        <v>466</v>
      </c>
      <c r="J216" s="5">
        <v>15.533333333333333</v>
      </c>
      <c r="K216" s="5">
        <f t="shared" si="15"/>
        <v>0</v>
      </c>
      <c r="L216" s="5">
        <v>0</v>
      </c>
      <c r="M216" s="5">
        <v>0</v>
      </c>
      <c r="N216" t="s">
        <v>12</v>
      </c>
      <c r="O216" s="8">
        <v>19.728767123287671</v>
      </c>
      <c r="P216" t="s">
        <v>32</v>
      </c>
      <c r="Q216">
        <v>1</v>
      </c>
      <c r="R216" s="2">
        <v>38506</v>
      </c>
    </row>
    <row r="217" spans="1:18" x14ac:dyDescent="0.3">
      <c r="A217" t="s">
        <v>11</v>
      </c>
      <c r="B217">
        <v>16823350</v>
      </c>
      <c r="C217" t="s">
        <v>10</v>
      </c>
      <c r="D217" s="4">
        <v>45901</v>
      </c>
      <c r="E217" s="11">
        <f t="shared" si="12"/>
        <v>2025</v>
      </c>
      <c r="F217" s="11">
        <f t="shared" si="13"/>
        <v>9</v>
      </c>
      <c r="G217" s="11" t="str">
        <f t="shared" si="14"/>
        <v>202509</v>
      </c>
      <c r="H217" s="4">
        <v>46037</v>
      </c>
      <c r="I217" s="5">
        <v>136</v>
      </c>
      <c r="J217" s="5">
        <v>4.5333333333333332</v>
      </c>
      <c r="K217" s="5">
        <f t="shared" si="15"/>
        <v>0</v>
      </c>
      <c r="L217" s="5">
        <v>0</v>
      </c>
      <c r="M217" s="5">
        <v>1</v>
      </c>
      <c r="N217" t="s">
        <v>9</v>
      </c>
      <c r="O217" s="8">
        <v>19.712328767123289</v>
      </c>
      <c r="P217" t="s">
        <v>32</v>
      </c>
      <c r="Q217">
        <v>1</v>
      </c>
      <c r="R217" s="2">
        <v>38706</v>
      </c>
    </row>
    <row r="218" spans="1:18" x14ac:dyDescent="0.3">
      <c r="A218" t="s">
        <v>11</v>
      </c>
      <c r="B218">
        <v>16850490</v>
      </c>
      <c r="C218" t="s">
        <v>10</v>
      </c>
      <c r="D218" s="4">
        <v>45717</v>
      </c>
      <c r="E218" s="11">
        <f t="shared" si="12"/>
        <v>2025</v>
      </c>
      <c r="F218" s="11">
        <f t="shared" si="13"/>
        <v>3</v>
      </c>
      <c r="G218" s="11" t="str">
        <f t="shared" si="14"/>
        <v>202503</v>
      </c>
      <c r="I218" s="5">
        <v>9999</v>
      </c>
      <c r="J218" s="5">
        <v>333.3</v>
      </c>
      <c r="K218" s="5">
        <f t="shared" si="15"/>
        <v>0</v>
      </c>
      <c r="L218" s="5">
        <v>0</v>
      </c>
      <c r="M218" s="5">
        <v>0</v>
      </c>
      <c r="N218" t="s">
        <v>9</v>
      </c>
      <c r="O218" s="8">
        <v>21.290410958904111</v>
      </c>
      <c r="P218" t="s">
        <v>33</v>
      </c>
      <c r="Q218">
        <v>2</v>
      </c>
      <c r="R218" s="2">
        <v>37946</v>
      </c>
    </row>
    <row r="219" spans="1:18" x14ac:dyDescent="0.3">
      <c r="A219" t="s">
        <v>11</v>
      </c>
      <c r="B219">
        <v>16860198</v>
      </c>
      <c r="C219" t="s">
        <v>10</v>
      </c>
      <c r="D219" s="4">
        <v>45931</v>
      </c>
      <c r="E219" s="11">
        <f t="shared" si="12"/>
        <v>2025</v>
      </c>
      <c r="F219" s="11">
        <f t="shared" si="13"/>
        <v>10</v>
      </c>
      <c r="G219" s="11" t="str">
        <f t="shared" si="14"/>
        <v>202510</v>
      </c>
      <c r="I219" s="5">
        <v>9999</v>
      </c>
      <c r="J219" s="5">
        <v>333.3</v>
      </c>
      <c r="K219" s="5">
        <f t="shared" si="15"/>
        <v>0</v>
      </c>
      <c r="L219" s="5">
        <v>0</v>
      </c>
      <c r="M219" s="5">
        <v>0</v>
      </c>
      <c r="N219" t="s">
        <v>9</v>
      </c>
      <c r="O219" s="8">
        <v>20.764383561643836</v>
      </c>
      <c r="P219" t="s">
        <v>32</v>
      </c>
      <c r="Q219">
        <v>1</v>
      </c>
      <c r="R219" s="2">
        <v>38352</v>
      </c>
    </row>
    <row r="220" spans="1:18" x14ac:dyDescent="0.3">
      <c r="A220" t="s">
        <v>7</v>
      </c>
      <c r="B220">
        <v>16867042</v>
      </c>
      <c r="C220" t="s">
        <v>8</v>
      </c>
      <c r="D220" s="4">
        <v>45882</v>
      </c>
      <c r="E220" s="11">
        <f t="shared" si="12"/>
        <v>2025</v>
      </c>
      <c r="F220" s="11">
        <f t="shared" si="13"/>
        <v>8</v>
      </c>
      <c r="G220" s="11" t="str">
        <f t="shared" si="14"/>
        <v>202508</v>
      </c>
      <c r="I220" s="5">
        <v>9999</v>
      </c>
      <c r="J220" s="5">
        <v>333.3</v>
      </c>
      <c r="K220" s="5">
        <f t="shared" si="15"/>
        <v>0</v>
      </c>
      <c r="L220" s="5">
        <v>0</v>
      </c>
      <c r="M220" s="5">
        <v>0</v>
      </c>
      <c r="N220" t="s">
        <v>9</v>
      </c>
      <c r="O220" s="8">
        <v>19.169863013698631</v>
      </c>
      <c r="P220" t="s">
        <v>32</v>
      </c>
      <c r="Q220">
        <v>1</v>
      </c>
      <c r="R220" s="2">
        <v>38885</v>
      </c>
    </row>
    <row r="221" spans="1:18" x14ac:dyDescent="0.3">
      <c r="A221" t="s">
        <v>11</v>
      </c>
      <c r="B221">
        <v>16867238</v>
      </c>
      <c r="C221" t="s">
        <v>10</v>
      </c>
      <c r="D221" s="4">
        <v>46082</v>
      </c>
      <c r="E221" s="11">
        <f t="shared" si="12"/>
        <v>2026</v>
      </c>
      <c r="F221" s="11">
        <f t="shared" si="13"/>
        <v>3</v>
      </c>
      <c r="G221" s="11" t="str">
        <f t="shared" si="14"/>
        <v>202603</v>
      </c>
      <c r="I221" s="5">
        <v>9999</v>
      </c>
      <c r="J221" s="5">
        <v>333.3</v>
      </c>
      <c r="K221" s="5">
        <f t="shared" si="15"/>
        <v>0</v>
      </c>
      <c r="L221" s="5">
        <v>0</v>
      </c>
      <c r="M221" s="5">
        <v>0</v>
      </c>
      <c r="N221" t="s">
        <v>9</v>
      </c>
      <c r="O221" s="8">
        <v>23.712328767123289</v>
      </c>
      <c r="P221" t="s">
        <v>33</v>
      </c>
      <c r="Q221">
        <v>2</v>
      </c>
      <c r="R221" s="2">
        <v>37427</v>
      </c>
    </row>
    <row r="222" spans="1:18" x14ac:dyDescent="0.3">
      <c r="A222" t="s">
        <v>11</v>
      </c>
      <c r="B222">
        <v>16893843</v>
      </c>
      <c r="C222" t="s">
        <v>8</v>
      </c>
      <c r="D222" s="4">
        <v>45931</v>
      </c>
      <c r="E222" s="11">
        <f t="shared" si="12"/>
        <v>2025</v>
      </c>
      <c r="F222" s="11">
        <f t="shared" si="13"/>
        <v>10</v>
      </c>
      <c r="G222" s="11" t="str">
        <f t="shared" si="14"/>
        <v>202510</v>
      </c>
      <c r="I222" s="5">
        <v>9999</v>
      </c>
      <c r="J222" s="5">
        <v>333.3</v>
      </c>
      <c r="K222" s="5">
        <f t="shared" si="15"/>
        <v>0</v>
      </c>
      <c r="L222" s="5">
        <v>0</v>
      </c>
      <c r="M222" s="5">
        <v>0</v>
      </c>
      <c r="N222" t="s">
        <v>9</v>
      </c>
      <c r="O222" s="8">
        <v>22.375342465753423</v>
      </c>
      <c r="P222" t="s">
        <v>33</v>
      </c>
      <c r="Q222">
        <v>2</v>
      </c>
      <c r="R222" s="2">
        <v>37764</v>
      </c>
    </row>
    <row r="223" spans="1:18" x14ac:dyDescent="0.3">
      <c r="A223" t="s">
        <v>7</v>
      </c>
      <c r="B223">
        <v>16905977</v>
      </c>
      <c r="C223" t="s">
        <v>8</v>
      </c>
      <c r="D223" s="4">
        <v>45778</v>
      </c>
      <c r="E223" s="11">
        <f t="shared" si="12"/>
        <v>2025</v>
      </c>
      <c r="F223" s="11">
        <f t="shared" si="13"/>
        <v>5</v>
      </c>
      <c r="G223" s="11" t="str">
        <f t="shared" si="14"/>
        <v>202505</v>
      </c>
      <c r="I223" s="5">
        <v>9999</v>
      </c>
      <c r="J223" s="5">
        <v>333.3</v>
      </c>
      <c r="K223" s="5">
        <f t="shared" si="15"/>
        <v>0</v>
      </c>
      <c r="L223" s="5">
        <v>0</v>
      </c>
      <c r="M223" s="5">
        <v>0</v>
      </c>
      <c r="N223" t="s">
        <v>12</v>
      </c>
      <c r="O223" s="8">
        <v>26.049315068493151</v>
      </c>
      <c r="P223" t="s">
        <v>34</v>
      </c>
      <c r="Q223">
        <v>3</v>
      </c>
      <c r="R223" s="2">
        <v>36270</v>
      </c>
    </row>
    <row r="224" spans="1:18" x14ac:dyDescent="0.3">
      <c r="A224" t="s">
        <v>11</v>
      </c>
      <c r="B224">
        <v>16995644</v>
      </c>
      <c r="C224" t="s">
        <v>8</v>
      </c>
      <c r="D224" s="4">
        <v>46113</v>
      </c>
      <c r="E224" s="11">
        <f t="shared" si="12"/>
        <v>2026</v>
      </c>
      <c r="F224" s="11">
        <f t="shared" si="13"/>
        <v>4</v>
      </c>
      <c r="G224" s="11" t="str">
        <f t="shared" si="14"/>
        <v>202604</v>
      </c>
      <c r="I224" s="5">
        <v>9999</v>
      </c>
      <c r="J224" s="5">
        <v>333.3</v>
      </c>
      <c r="K224" s="5">
        <f t="shared" si="15"/>
        <v>0</v>
      </c>
      <c r="L224" s="5">
        <v>0</v>
      </c>
      <c r="M224" s="5">
        <v>0</v>
      </c>
      <c r="N224" t="s">
        <v>12</v>
      </c>
      <c r="O224" s="8">
        <v>24.035616438356165</v>
      </c>
      <c r="P224" t="s">
        <v>33</v>
      </c>
      <c r="Q224">
        <v>2</v>
      </c>
      <c r="R224" s="2">
        <v>37340</v>
      </c>
    </row>
    <row r="225" spans="1:18" x14ac:dyDescent="0.3">
      <c r="A225" t="s">
        <v>11</v>
      </c>
      <c r="B225">
        <v>17016087</v>
      </c>
      <c r="C225" t="s">
        <v>8</v>
      </c>
      <c r="D225" s="4">
        <v>46054</v>
      </c>
      <c r="E225" s="11">
        <f t="shared" si="12"/>
        <v>2026</v>
      </c>
      <c r="F225" s="11">
        <f t="shared" si="13"/>
        <v>2</v>
      </c>
      <c r="G225" s="11" t="str">
        <f t="shared" si="14"/>
        <v>202602</v>
      </c>
      <c r="I225" s="5">
        <v>9999</v>
      </c>
      <c r="J225" s="5">
        <v>333.3</v>
      </c>
      <c r="K225" s="5">
        <f t="shared" si="15"/>
        <v>0</v>
      </c>
      <c r="L225" s="5">
        <v>0</v>
      </c>
      <c r="M225" s="5">
        <v>0</v>
      </c>
      <c r="N225" t="s">
        <v>9</v>
      </c>
      <c r="O225" s="8">
        <v>20.432876712328767</v>
      </c>
      <c r="P225" t="s">
        <v>32</v>
      </c>
      <c r="Q225">
        <v>1</v>
      </c>
      <c r="R225" s="2">
        <v>38596</v>
      </c>
    </row>
    <row r="226" spans="1:18" x14ac:dyDescent="0.3">
      <c r="A226" t="s">
        <v>11</v>
      </c>
      <c r="B226">
        <v>17017961</v>
      </c>
      <c r="C226" t="s">
        <v>8</v>
      </c>
      <c r="D226" s="4">
        <v>45748</v>
      </c>
      <c r="E226" s="11">
        <f t="shared" si="12"/>
        <v>2025</v>
      </c>
      <c r="F226" s="11">
        <f t="shared" si="13"/>
        <v>4</v>
      </c>
      <c r="G226" s="11" t="str">
        <f t="shared" si="14"/>
        <v>202504</v>
      </c>
      <c r="H226" s="4">
        <v>46069</v>
      </c>
      <c r="I226" s="5">
        <v>321</v>
      </c>
      <c r="J226" s="5">
        <v>10.7</v>
      </c>
      <c r="K226" s="5">
        <f t="shared" si="15"/>
        <v>0</v>
      </c>
      <c r="L226" s="5">
        <v>0</v>
      </c>
      <c r="M226" s="5">
        <v>0</v>
      </c>
      <c r="N226" t="s">
        <v>9</v>
      </c>
      <c r="O226" s="8">
        <v>39.80821917808219</v>
      </c>
      <c r="P226" t="s">
        <v>35</v>
      </c>
      <c r="Q226">
        <v>4</v>
      </c>
      <c r="R226" s="2">
        <v>31218</v>
      </c>
    </row>
    <row r="227" spans="1:18" x14ac:dyDescent="0.3">
      <c r="A227" t="s">
        <v>11</v>
      </c>
      <c r="B227">
        <v>17088184</v>
      </c>
      <c r="C227" t="s">
        <v>8</v>
      </c>
      <c r="D227" s="4">
        <v>45839</v>
      </c>
      <c r="E227" s="11">
        <f t="shared" si="12"/>
        <v>2025</v>
      </c>
      <c r="F227" s="11">
        <f t="shared" si="13"/>
        <v>7</v>
      </c>
      <c r="G227" s="11" t="str">
        <f t="shared" si="14"/>
        <v>202507</v>
      </c>
      <c r="H227" s="4">
        <v>45901</v>
      </c>
      <c r="I227" s="5">
        <v>62</v>
      </c>
      <c r="J227" s="5">
        <v>2.0666666666666669</v>
      </c>
      <c r="K227" s="5">
        <f t="shared" si="15"/>
        <v>0</v>
      </c>
      <c r="L227" s="5">
        <v>1</v>
      </c>
      <c r="M227" s="5">
        <v>1</v>
      </c>
      <c r="N227" t="s">
        <v>9</v>
      </c>
      <c r="O227" s="8">
        <v>21.854794520547944</v>
      </c>
      <c r="P227" t="s">
        <v>33</v>
      </c>
      <c r="Q227">
        <v>2</v>
      </c>
      <c r="R227" s="2">
        <v>37862</v>
      </c>
    </row>
    <row r="228" spans="1:18" x14ac:dyDescent="0.3">
      <c r="A228" t="s">
        <v>11</v>
      </c>
      <c r="B228">
        <v>17140435</v>
      </c>
      <c r="C228" t="s">
        <v>10</v>
      </c>
      <c r="D228" s="4">
        <v>46054</v>
      </c>
      <c r="E228" s="11">
        <f t="shared" si="12"/>
        <v>2026</v>
      </c>
      <c r="F228" s="11">
        <f t="shared" si="13"/>
        <v>2</v>
      </c>
      <c r="G228" s="11" t="str">
        <f t="shared" si="14"/>
        <v>202602</v>
      </c>
      <c r="H228" s="4">
        <v>46096</v>
      </c>
      <c r="I228" s="5">
        <v>42</v>
      </c>
      <c r="J228" s="5">
        <v>1.4</v>
      </c>
      <c r="K228" s="5">
        <f t="shared" si="15"/>
        <v>0</v>
      </c>
      <c r="L228" s="5">
        <v>1</v>
      </c>
      <c r="M228" s="5">
        <v>1</v>
      </c>
      <c r="N228" t="s">
        <v>9</v>
      </c>
      <c r="O228" s="8">
        <v>20.67945205479452</v>
      </c>
      <c r="P228" t="s">
        <v>32</v>
      </c>
      <c r="Q228">
        <v>1</v>
      </c>
      <c r="R228" s="2">
        <v>38506</v>
      </c>
    </row>
    <row r="229" spans="1:18" x14ac:dyDescent="0.3">
      <c r="A229" t="s">
        <v>7</v>
      </c>
      <c r="B229">
        <v>17140866</v>
      </c>
      <c r="C229" t="s">
        <v>8</v>
      </c>
      <c r="D229" s="4">
        <v>45981</v>
      </c>
      <c r="E229" s="11">
        <f t="shared" si="12"/>
        <v>2025</v>
      </c>
      <c r="F229" s="11">
        <f t="shared" si="13"/>
        <v>11</v>
      </c>
      <c r="G229" s="11" t="str">
        <f t="shared" si="14"/>
        <v>202511</v>
      </c>
      <c r="I229" s="5">
        <v>9999</v>
      </c>
      <c r="J229" s="5">
        <v>333.3</v>
      </c>
      <c r="K229" s="5">
        <f t="shared" si="15"/>
        <v>0</v>
      </c>
      <c r="L229" s="5">
        <v>0</v>
      </c>
      <c r="M229" s="5">
        <v>0</v>
      </c>
      <c r="N229" t="s">
        <v>9</v>
      </c>
      <c r="O229" s="8">
        <v>22.583561643835615</v>
      </c>
      <c r="P229" t="s">
        <v>33</v>
      </c>
      <c r="Q229">
        <v>2</v>
      </c>
      <c r="R229" s="2">
        <v>37738</v>
      </c>
    </row>
    <row r="230" spans="1:18" x14ac:dyDescent="0.3">
      <c r="A230" t="s">
        <v>11</v>
      </c>
      <c r="B230">
        <v>17161481</v>
      </c>
      <c r="C230" t="s">
        <v>10</v>
      </c>
      <c r="D230" s="4">
        <v>45901</v>
      </c>
      <c r="E230" s="11">
        <f t="shared" si="12"/>
        <v>2025</v>
      </c>
      <c r="F230" s="11">
        <f t="shared" si="13"/>
        <v>9</v>
      </c>
      <c r="G230" s="11" t="str">
        <f t="shared" si="14"/>
        <v>202509</v>
      </c>
      <c r="I230" s="5">
        <v>9999</v>
      </c>
      <c r="J230" s="5">
        <v>333.3</v>
      </c>
      <c r="K230" s="5">
        <f t="shared" si="15"/>
        <v>0</v>
      </c>
      <c r="L230" s="5">
        <v>0</v>
      </c>
      <c r="M230" s="5">
        <v>0</v>
      </c>
      <c r="N230" t="s">
        <v>12</v>
      </c>
      <c r="O230" s="8">
        <v>25.008219178082193</v>
      </c>
      <c r="P230" t="s">
        <v>33</v>
      </c>
      <c r="Q230">
        <v>2</v>
      </c>
      <c r="R230" s="2">
        <v>36773</v>
      </c>
    </row>
    <row r="231" spans="1:18" x14ac:dyDescent="0.3">
      <c r="A231" t="s">
        <v>11</v>
      </c>
      <c r="B231">
        <v>17220299</v>
      </c>
      <c r="C231" t="s">
        <v>8</v>
      </c>
      <c r="D231" s="4">
        <v>45689</v>
      </c>
      <c r="E231" s="11">
        <f t="shared" si="12"/>
        <v>2025</v>
      </c>
      <c r="F231" s="11">
        <f t="shared" si="13"/>
        <v>2</v>
      </c>
      <c r="G231" s="11" t="str">
        <f t="shared" si="14"/>
        <v>202502</v>
      </c>
      <c r="H231" s="4">
        <v>46098</v>
      </c>
      <c r="I231" s="5">
        <v>409</v>
      </c>
      <c r="J231" s="5">
        <v>13.633333333333333</v>
      </c>
      <c r="K231" s="5">
        <f t="shared" si="15"/>
        <v>0</v>
      </c>
      <c r="L231" s="5">
        <v>0</v>
      </c>
      <c r="M231" s="5">
        <v>0</v>
      </c>
      <c r="N231" t="s">
        <v>12</v>
      </c>
      <c r="O231" s="8">
        <v>25.394520547945206</v>
      </c>
      <c r="P231" t="s">
        <v>33</v>
      </c>
      <c r="Q231">
        <v>2</v>
      </c>
      <c r="R231" s="2">
        <v>36420</v>
      </c>
    </row>
    <row r="232" spans="1:18" x14ac:dyDescent="0.3">
      <c r="A232" t="s">
        <v>11</v>
      </c>
      <c r="B232">
        <v>17220739</v>
      </c>
      <c r="C232" t="s">
        <v>8</v>
      </c>
      <c r="D232" s="4">
        <v>45839</v>
      </c>
      <c r="E232" s="11">
        <f t="shared" si="12"/>
        <v>2025</v>
      </c>
      <c r="F232" s="11">
        <f t="shared" si="13"/>
        <v>7</v>
      </c>
      <c r="G232" s="11" t="str">
        <f t="shared" si="14"/>
        <v>202507</v>
      </c>
      <c r="H232" s="4">
        <v>45964</v>
      </c>
      <c r="I232" s="5">
        <v>125</v>
      </c>
      <c r="J232" s="5">
        <v>4.166666666666667</v>
      </c>
      <c r="K232" s="5">
        <f t="shared" si="15"/>
        <v>0</v>
      </c>
      <c r="L232" s="5">
        <v>0</v>
      </c>
      <c r="M232" s="5">
        <v>1</v>
      </c>
      <c r="N232" t="s">
        <v>12</v>
      </c>
      <c r="O232" s="8">
        <v>26.789041095890411</v>
      </c>
      <c r="P232" t="s">
        <v>34</v>
      </c>
      <c r="Q232">
        <v>3</v>
      </c>
      <c r="R232" s="2">
        <v>36061</v>
      </c>
    </row>
    <row r="233" spans="1:18" x14ac:dyDescent="0.3">
      <c r="A233" t="s">
        <v>11</v>
      </c>
      <c r="B233">
        <v>17268493</v>
      </c>
      <c r="C233" t="s">
        <v>8</v>
      </c>
      <c r="D233" s="4">
        <v>45778</v>
      </c>
      <c r="E233" s="11">
        <f t="shared" si="12"/>
        <v>2025</v>
      </c>
      <c r="F233" s="11">
        <f t="shared" si="13"/>
        <v>5</v>
      </c>
      <c r="G233" s="11" t="str">
        <f t="shared" si="14"/>
        <v>202505</v>
      </c>
      <c r="I233" s="5">
        <v>9999</v>
      </c>
      <c r="J233" s="5">
        <v>333.3</v>
      </c>
      <c r="K233" s="5">
        <f t="shared" si="15"/>
        <v>0</v>
      </c>
      <c r="L233" s="5">
        <v>0</v>
      </c>
      <c r="M233" s="5">
        <v>0</v>
      </c>
      <c r="N233" t="s">
        <v>9</v>
      </c>
      <c r="O233" s="8">
        <v>23.81917808219178</v>
      </c>
      <c r="P233" t="s">
        <v>33</v>
      </c>
      <c r="Q233">
        <v>2</v>
      </c>
      <c r="R233" s="2">
        <v>37084</v>
      </c>
    </row>
    <row r="234" spans="1:18" x14ac:dyDescent="0.3">
      <c r="A234" t="s">
        <v>7</v>
      </c>
      <c r="B234">
        <v>17304371</v>
      </c>
      <c r="C234" t="s">
        <v>8</v>
      </c>
      <c r="D234" s="4">
        <v>46054</v>
      </c>
      <c r="E234" s="11">
        <f t="shared" si="12"/>
        <v>2026</v>
      </c>
      <c r="F234" s="11">
        <f t="shared" si="13"/>
        <v>2</v>
      </c>
      <c r="G234" s="11" t="str">
        <f t="shared" si="14"/>
        <v>202602</v>
      </c>
      <c r="H234" s="4">
        <v>46173</v>
      </c>
      <c r="I234" s="5">
        <v>119</v>
      </c>
      <c r="J234" s="5">
        <v>3.9666666666666668</v>
      </c>
      <c r="K234" s="5">
        <f t="shared" si="15"/>
        <v>0</v>
      </c>
      <c r="L234" s="5">
        <v>0</v>
      </c>
      <c r="M234" s="5">
        <v>1</v>
      </c>
      <c r="N234" t="s">
        <v>9</v>
      </c>
      <c r="O234" s="8">
        <v>19.895890410958906</v>
      </c>
      <c r="P234" t="s">
        <v>32</v>
      </c>
      <c r="Q234">
        <v>1</v>
      </c>
      <c r="R234" s="2">
        <v>38792</v>
      </c>
    </row>
    <row r="235" spans="1:18" x14ac:dyDescent="0.3">
      <c r="A235" t="s">
        <v>11</v>
      </c>
      <c r="B235">
        <v>17304371</v>
      </c>
      <c r="C235" t="s">
        <v>8</v>
      </c>
      <c r="D235" s="4">
        <v>45778</v>
      </c>
      <c r="E235" s="11">
        <f t="shared" si="12"/>
        <v>2025</v>
      </c>
      <c r="F235" s="11">
        <f t="shared" si="13"/>
        <v>5</v>
      </c>
      <c r="G235" s="11" t="str">
        <f t="shared" si="14"/>
        <v>202505</v>
      </c>
      <c r="H235" s="4">
        <v>46053</v>
      </c>
      <c r="I235" s="5">
        <v>275</v>
      </c>
      <c r="J235" s="5">
        <v>9.1666666666666661</v>
      </c>
      <c r="K235" s="5">
        <f t="shared" si="15"/>
        <v>0</v>
      </c>
      <c r="L235" s="5">
        <v>0</v>
      </c>
      <c r="M235" s="5">
        <v>0</v>
      </c>
      <c r="N235" t="s">
        <v>9</v>
      </c>
      <c r="O235" s="8">
        <v>19.139726027397259</v>
      </c>
      <c r="P235" t="s">
        <v>32</v>
      </c>
      <c r="Q235">
        <v>1</v>
      </c>
      <c r="R235" s="2">
        <v>38792</v>
      </c>
    </row>
    <row r="236" spans="1:18" x14ac:dyDescent="0.3">
      <c r="A236" t="s">
        <v>11</v>
      </c>
      <c r="B236">
        <v>17304700</v>
      </c>
      <c r="C236" t="s">
        <v>10</v>
      </c>
      <c r="D236" s="4">
        <v>45809</v>
      </c>
      <c r="E236" s="11">
        <f t="shared" si="12"/>
        <v>2025</v>
      </c>
      <c r="F236" s="11">
        <f t="shared" si="13"/>
        <v>6</v>
      </c>
      <c r="G236" s="11" t="str">
        <f t="shared" si="14"/>
        <v>202506</v>
      </c>
      <c r="H236" s="4">
        <v>45870</v>
      </c>
      <c r="I236" s="5">
        <v>61</v>
      </c>
      <c r="J236" s="5">
        <v>2.0333333333333332</v>
      </c>
      <c r="K236" s="5">
        <f t="shared" si="15"/>
        <v>0</v>
      </c>
      <c r="L236" s="5">
        <v>1</v>
      </c>
      <c r="M236" s="5">
        <v>1</v>
      </c>
      <c r="N236" t="s">
        <v>9</v>
      </c>
      <c r="O236" s="8">
        <v>19.224657534246575</v>
      </c>
      <c r="P236" t="s">
        <v>32</v>
      </c>
      <c r="Q236">
        <v>1</v>
      </c>
      <c r="R236" s="2">
        <v>38792</v>
      </c>
    </row>
    <row r="237" spans="1:18" x14ac:dyDescent="0.3">
      <c r="A237" t="s">
        <v>11</v>
      </c>
      <c r="B237">
        <v>17342559</v>
      </c>
      <c r="C237" t="s">
        <v>8</v>
      </c>
      <c r="D237" s="4">
        <v>45931</v>
      </c>
      <c r="E237" s="11">
        <f t="shared" si="12"/>
        <v>2025</v>
      </c>
      <c r="F237" s="11">
        <f t="shared" si="13"/>
        <v>10</v>
      </c>
      <c r="G237" s="11" t="str">
        <f t="shared" si="14"/>
        <v>202510</v>
      </c>
      <c r="I237" s="5">
        <v>9999</v>
      </c>
      <c r="J237" s="5">
        <v>333.3</v>
      </c>
      <c r="K237" s="5">
        <f t="shared" si="15"/>
        <v>0</v>
      </c>
      <c r="L237" s="5">
        <v>0</v>
      </c>
      <c r="M237" s="5">
        <v>0</v>
      </c>
      <c r="N237" t="s">
        <v>12</v>
      </c>
      <c r="O237" s="8">
        <v>28.671232876712327</v>
      </c>
      <c r="P237" t="s">
        <v>34</v>
      </c>
      <c r="Q237">
        <v>3</v>
      </c>
      <c r="R237" s="2">
        <v>35466</v>
      </c>
    </row>
    <row r="238" spans="1:18" x14ac:dyDescent="0.3">
      <c r="A238" t="s">
        <v>11</v>
      </c>
      <c r="B238">
        <v>17366967</v>
      </c>
      <c r="C238" t="s">
        <v>10</v>
      </c>
      <c r="D238" s="4">
        <v>45748</v>
      </c>
      <c r="E238" s="11">
        <f t="shared" si="12"/>
        <v>2025</v>
      </c>
      <c r="F238" s="11">
        <f t="shared" si="13"/>
        <v>4</v>
      </c>
      <c r="G238" s="11" t="str">
        <f t="shared" si="14"/>
        <v>202504</v>
      </c>
      <c r="H238" s="4">
        <v>45915</v>
      </c>
      <c r="I238" s="5">
        <v>167</v>
      </c>
      <c r="J238" s="5">
        <v>5.5666666666666664</v>
      </c>
      <c r="K238" s="5">
        <f t="shared" si="15"/>
        <v>0</v>
      </c>
      <c r="L238" s="5">
        <v>0</v>
      </c>
      <c r="M238" s="5">
        <v>1</v>
      </c>
      <c r="N238" t="s">
        <v>9</v>
      </c>
      <c r="O238" s="8">
        <v>18.652054794520549</v>
      </c>
      <c r="P238" t="s">
        <v>32</v>
      </c>
      <c r="Q238">
        <v>1</v>
      </c>
      <c r="R238" s="2">
        <v>38940</v>
      </c>
    </row>
    <row r="239" spans="1:18" x14ac:dyDescent="0.3">
      <c r="A239" t="s">
        <v>11</v>
      </c>
      <c r="B239">
        <v>17431587</v>
      </c>
      <c r="C239" t="s">
        <v>8</v>
      </c>
      <c r="D239" s="4">
        <v>45901</v>
      </c>
      <c r="E239" s="11">
        <f t="shared" si="12"/>
        <v>2025</v>
      </c>
      <c r="F239" s="11">
        <f t="shared" si="13"/>
        <v>9</v>
      </c>
      <c r="G239" s="11" t="str">
        <f t="shared" si="14"/>
        <v>202509</v>
      </c>
      <c r="I239" s="5">
        <v>9999</v>
      </c>
      <c r="J239" s="5">
        <v>333.3</v>
      </c>
      <c r="K239" s="5">
        <f t="shared" si="15"/>
        <v>0</v>
      </c>
      <c r="L239" s="5">
        <v>0</v>
      </c>
      <c r="M239" s="5">
        <v>0</v>
      </c>
      <c r="N239" t="s">
        <v>9</v>
      </c>
      <c r="O239" s="8">
        <v>55.079452054794523</v>
      </c>
      <c r="P239" t="s">
        <v>35</v>
      </c>
      <c r="Q239">
        <v>4</v>
      </c>
      <c r="R239" s="2">
        <v>25797</v>
      </c>
    </row>
    <row r="240" spans="1:18" x14ac:dyDescent="0.3">
      <c r="A240" t="s">
        <v>7</v>
      </c>
      <c r="B240">
        <v>17438972</v>
      </c>
      <c r="C240" t="s">
        <v>10</v>
      </c>
      <c r="D240" s="4">
        <v>45901</v>
      </c>
      <c r="E240" s="11">
        <f t="shared" si="12"/>
        <v>2025</v>
      </c>
      <c r="F240" s="11">
        <f t="shared" si="13"/>
        <v>9</v>
      </c>
      <c r="G240" s="11" t="str">
        <f t="shared" si="14"/>
        <v>202509</v>
      </c>
      <c r="H240" s="4">
        <v>45907</v>
      </c>
      <c r="I240" s="5">
        <v>6</v>
      </c>
      <c r="J240" s="5">
        <v>0.2</v>
      </c>
      <c r="K240" s="5">
        <f t="shared" si="15"/>
        <v>1</v>
      </c>
      <c r="L240" s="5">
        <v>1</v>
      </c>
      <c r="M240" s="5">
        <v>1</v>
      </c>
      <c r="N240" t="s">
        <v>9</v>
      </c>
      <c r="O240" s="8">
        <v>19</v>
      </c>
      <c r="P240" t="s">
        <v>32</v>
      </c>
      <c r="Q240">
        <v>1</v>
      </c>
      <c r="R240" s="2">
        <v>38966</v>
      </c>
    </row>
    <row r="241" spans="1:18" x14ac:dyDescent="0.3">
      <c r="A241" t="s">
        <v>11</v>
      </c>
      <c r="B241">
        <v>17540108</v>
      </c>
      <c r="C241" t="s">
        <v>8</v>
      </c>
      <c r="D241" s="4">
        <v>46113</v>
      </c>
      <c r="E241" s="11">
        <f t="shared" si="12"/>
        <v>2026</v>
      </c>
      <c r="F241" s="11">
        <f t="shared" si="13"/>
        <v>4</v>
      </c>
      <c r="G241" s="11" t="str">
        <f t="shared" si="14"/>
        <v>202604</v>
      </c>
      <c r="I241" s="5">
        <v>9999</v>
      </c>
      <c r="J241" s="5">
        <v>333.3</v>
      </c>
      <c r="K241" s="5">
        <f t="shared" si="15"/>
        <v>0</v>
      </c>
      <c r="L241" s="5">
        <v>0</v>
      </c>
      <c r="M241" s="5">
        <v>0</v>
      </c>
      <c r="N241" t="s">
        <v>9</v>
      </c>
      <c r="O241" s="8">
        <v>21.24931506849315</v>
      </c>
      <c r="P241" t="s">
        <v>33</v>
      </c>
      <c r="Q241">
        <v>2</v>
      </c>
      <c r="R241" s="2">
        <v>38357</v>
      </c>
    </row>
    <row r="242" spans="1:18" x14ac:dyDescent="0.3">
      <c r="A242" t="s">
        <v>7</v>
      </c>
      <c r="B242">
        <v>17564647</v>
      </c>
      <c r="C242" t="s">
        <v>8</v>
      </c>
      <c r="D242" s="4">
        <v>45804</v>
      </c>
      <c r="E242" s="11">
        <f t="shared" si="12"/>
        <v>2025</v>
      </c>
      <c r="F242" s="11">
        <f t="shared" si="13"/>
        <v>5</v>
      </c>
      <c r="G242" s="11" t="str">
        <f t="shared" si="14"/>
        <v>202505</v>
      </c>
      <c r="H242" s="4">
        <v>46081</v>
      </c>
      <c r="I242" s="5">
        <v>277</v>
      </c>
      <c r="J242" s="5">
        <v>9.2333333333333325</v>
      </c>
      <c r="K242" s="5">
        <f t="shared" si="15"/>
        <v>0</v>
      </c>
      <c r="L242" s="5">
        <v>0</v>
      </c>
      <c r="M242" s="5">
        <v>0</v>
      </c>
      <c r="N242" t="s">
        <v>12</v>
      </c>
      <c r="O242" s="8">
        <v>19.567123287671233</v>
      </c>
      <c r="P242" t="s">
        <v>32</v>
      </c>
      <c r="Q242">
        <v>1</v>
      </c>
      <c r="R242" s="2">
        <v>38662</v>
      </c>
    </row>
    <row r="243" spans="1:18" x14ac:dyDescent="0.3">
      <c r="A243" t="s">
        <v>7</v>
      </c>
      <c r="B243">
        <v>17565878</v>
      </c>
      <c r="C243" t="s">
        <v>8</v>
      </c>
      <c r="D243" s="4">
        <v>45688</v>
      </c>
      <c r="E243" s="11">
        <f t="shared" si="12"/>
        <v>2025</v>
      </c>
      <c r="F243" s="11">
        <f t="shared" si="13"/>
        <v>1</v>
      </c>
      <c r="G243" s="11" t="str">
        <f t="shared" si="14"/>
        <v>202501</v>
      </c>
      <c r="H243" s="4">
        <v>45748</v>
      </c>
      <c r="I243" s="5">
        <v>60</v>
      </c>
      <c r="J243" s="5">
        <v>2</v>
      </c>
      <c r="K243" s="5">
        <f t="shared" si="15"/>
        <v>0</v>
      </c>
      <c r="L243" s="5">
        <v>1</v>
      </c>
      <c r="M243" s="5">
        <v>1</v>
      </c>
      <c r="N243" t="s">
        <v>12</v>
      </c>
      <c r="O243" s="8">
        <v>22.572602739726026</v>
      </c>
      <c r="P243" t="s">
        <v>33</v>
      </c>
      <c r="Q243">
        <v>2</v>
      </c>
      <c r="R243" s="2">
        <v>37449</v>
      </c>
    </row>
    <row r="244" spans="1:18" x14ac:dyDescent="0.3">
      <c r="A244" t="s">
        <v>7</v>
      </c>
      <c r="B244">
        <v>17571218</v>
      </c>
      <c r="C244" t="s">
        <v>8</v>
      </c>
      <c r="D244" s="4">
        <v>45748</v>
      </c>
      <c r="E244" s="11">
        <f t="shared" si="12"/>
        <v>2025</v>
      </c>
      <c r="F244" s="11">
        <f t="shared" si="13"/>
        <v>4</v>
      </c>
      <c r="G244" s="11" t="str">
        <f t="shared" si="14"/>
        <v>202504</v>
      </c>
      <c r="I244" s="5">
        <v>9999</v>
      </c>
      <c r="J244" s="5">
        <v>333.3</v>
      </c>
      <c r="K244" s="5">
        <f t="shared" si="15"/>
        <v>0</v>
      </c>
      <c r="L244" s="5">
        <v>0</v>
      </c>
      <c r="M244" s="5">
        <v>0</v>
      </c>
      <c r="N244" t="s">
        <v>12</v>
      </c>
      <c r="O244" s="8">
        <v>20.545205479452054</v>
      </c>
      <c r="P244" t="s">
        <v>32</v>
      </c>
      <c r="Q244">
        <v>1</v>
      </c>
      <c r="R244" s="2">
        <v>38249</v>
      </c>
    </row>
    <row r="245" spans="1:18" x14ac:dyDescent="0.3">
      <c r="A245" t="s">
        <v>7</v>
      </c>
      <c r="B245">
        <v>17571260</v>
      </c>
      <c r="C245" t="s">
        <v>8</v>
      </c>
      <c r="D245" s="4">
        <v>45755</v>
      </c>
      <c r="E245" s="11">
        <f t="shared" si="12"/>
        <v>2025</v>
      </c>
      <c r="F245" s="11">
        <f t="shared" si="13"/>
        <v>4</v>
      </c>
      <c r="G245" s="11" t="str">
        <f t="shared" si="14"/>
        <v>202504</v>
      </c>
      <c r="I245" s="5">
        <v>9999</v>
      </c>
      <c r="J245" s="5">
        <v>333.3</v>
      </c>
      <c r="K245" s="5">
        <f t="shared" si="15"/>
        <v>0</v>
      </c>
      <c r="L245" s="5">
        <v>0</v>
      </c>
      <c r="M245" s="5">
        <v>0</v>
      </c>
      <c r="N245" t="s">
        <v>12</v>
      </c>
      <c r="O245" s="8">
        <v>21.493150684931507</v>
      </c>
      <c r="P245" t="s">
        <v>33</v>
      </c>
      <c r="Q245">
        <v>2</v>
      </c>
      <c r="R245" s="2">
        <v>37910</v>
      </c>
    </row>
    <row r="246" spans="1:18" x14ac:dyDescent="0.3">
      <c r="A246" t="s">
        <v>7</v>
      </c>
      <c r="B246">
        <v>17577238</v>
      </c>
      <c r="C246" t="s">
        <v>8</v>
      </c>
      <c r="D246" s="4">
        <v>45981</v>
      </c>
      <c r="E246" s="11">
        <f t="shared" si="12"/>
        <v>2025</v>
      </c>
      <c r="F246" s="11">
        <f t="shared" si="13"/>
        <v>11</v>
      </c>
      <c r="G246" s="11" t="str">
        <f t="shared" si="14"/>
        <v>202511</v>
      </c>
      <c r="H246" s="4">
        <v>46023</v>
      </c>
      <c r="I246" s="5">
        <v>42</v>
      </c>
      <c r="J246" s="5">
        <v>1.4</v>
      </c>
      <c r="K246" s="5">
        <f t="shared" si="15"/>
        <v>0</v>
      </c>
      <c r="L246" s="5">
        <v>1</v>
      </c>
      <c r="M246" s="5">
        <v>1</v>
      </c>
      <c r="N246" t="s">
        <v>9</v>
      </c>
      <c r="O246" s="8">
        <v>25.539726027397261</v>
      </c>
      <c r="P246" t="s">
        <v>33</v>
      </c>
      <c r="Q246">
        <v>2</v>
      </c>
      <c r="R246" s="2">
        <v>36659</v>
      </c>
    </row>
    <row r="247" spans="1:18" x14ac:dyDescent="0.3">
      <c r="A247" t="s">
        <v>7</v>
      </c>
      <c r="B247">
        <v>17577239</v>
      </c>
      <c r="C247" t="s">
        <v>8</v>
      </c>
      <c r="D247" s="4">
        <v>46140</v>
      </c>
      <c r="E247" s="11">
        <f t="shared" si="12"/>
        <v>2026</v>
      </c>
      <c r="F247" s="11">
        <f t="shared" si="13"/>
        <v>4</v>
      </c>
      <c r="G247" s="11" t="str">
        <f t="shared" si="14"/>
        <v>202604</v>
      </c>
      <c r="I247" s="5">
        <v>9999</v>
      </c>
      <c r="J247" s="5">
        <v>333.3</v>
      </c>
      <c r="K247" s="5">
        <f t="shared" si="15"/>
        <v>0</v>
      </c>
      <c r="L247" s="5">
        <v>0</v>
      </c>
      <c r="M247" s="5">
        <v>0</v>
      </c>
      <c r="N247" t="s">
        <v>9</v>
      </c>
      <c r="O247" s="8">
        <v>25.079452054794519</v>
      </c>
      <c r="P247" t="s">
        <v>33</v>
      </c>
      <c r="Q247">
        <v>2</v>
      </c>
      <c r="R247" s="2">
        <v>36986</v>
      </c>
    </row>
    <row r="248" spans="1:18" x14ac:dyDescent="0.3">
      <c r="A248" t="s">
        <v>11</v>
      </c>
      <c r="B248">
        <v>17577247</v>
      </c>
      <c r="C248" t="s">
        <v>10</v>
      </c>
      <c r="D248" s="4">
        <v>45778</v>
      </c>
      <c r="E248" s="11">
        <f t="shared" si="12"/>
        <v>2025</v>
      </c>
      <c r="F248" s="11">
        <f t="shared" si="13"/>
        <v>5</v>
      </c>
      <c r="G248" s="11" t="str">
        <f t="shared" si="14"/>
        <v>202505</v>
      </c>
      <c r="H248" s="4">
        <v>45950</v>
      </c>
      <c r="I248" s="5">
        <v>172</v>
      </c>
      <c r="J248" s="5">
        <v>5.7333333333333334</v>
      </c>
      <c r="K248" s="5">
        <f t="shared" si="15"/>
        <v>0</v>
      </c>
      <c r="L248" s="5">
        <v>0</v>
      </c>
      <c r="M248" s="5">
        <v>1</v>
      </c>
      <c r="N248" t="s">
        <v>9</v>
      </c>
      <c r="O248" s="8">
        <v>23.150684931506849</v>
      </c>
      <c r="P248" t="s">
        <v>33</v>
      </c>
      <c r="Q248">
        <v>2</v>
      </c>
      <c r="R248" s="2">
        <v>37328</v>
      </c>
    </row>
    <row r="249" spans="1:18" x14ac:dyDescent="0.3">
      <c r="A249" t="s">
        <v>7</v>
      </c>
      <c r="B249">
        <v>17581363</v>
      </c>
      <c r="C249" t="s">
        <v>10</v>
      </c>
      <c r="D249" s="4">
        <v>45684</v>
      </c>
      <c r="E249" s="11">
        <f t="shared" si="12"/>
        <v>2025</v>
      </c>
      <c r="F249" s="11">
        <f t="shared" si="13"/>
        <v>1</v>
      </c>
      <c r="G249" s="11" t="str">
        <f t="shared" si="14"/>
        <v>202501</v>
      </c>
      <c r="H249" s="4">
        <v>45748</v>
      </c>
      <c r="I249" s="5">
        <v>64</v>
      </c>
      <c r="J249" s="5">
        <v>2.1333333333333333</v>
      </c>
      <c r="K249" s="5">
        <f t="shared" si="15"/>
        <v>0</v>
      </c>
      <c r="L249" s="5">
        <v>1</v>
      </c>
      <c r="M249" s="5">
        <v>1</v>
      </c>
      <c r="N249" t="s">
        <v>12</v>
      </c>
      <c r="O249" s="8">
        <v>18.638356164383563</v>
      </c>
      <c r="P249" t="s">
        <v>32</v>
      </c>
      <c r="Q249">
        <v>1</v>
      </c>
      <c r="R249" s="2">
        <v>38881</v>
      </c>
    </row>
    <row r="250" spans="1:18" x14ac:dyDescent="0.3">
      <c r="A250" t="s">
        <v>7</v>
      </c>
      <c r="B250">
        <v>17584524</v>
      </c>
      <c r="C250" t="s">
        <v>10</v>
      </c>
      <c r="D250" s="4">
        <v>45699</v>
      </c>
      <c r="E250" s="11">
        <f t="shared" si="12"/>
        <v>2025</v>
      </c>
      <c r="F250" s="11">
        <f t="shared" si="13"/>
        <v>2</v>
      </c>
      <c r="G250" s="11" t="str">
        <f t="shared" si="14"/>
        <v>202502</v>
      </c>
      <c r="H250" s="4">
        <v>45869</v>
      </c>
      <c r="I250" s="5">
        <v>170</v>
      </c>
      <c r="J250" s="5">
        <v>5.666666666666667</v>
      </c>
      <c r="K250" s="5">
        <f t="shared" si="15"/>
        <v>0</v>
      </c>
      <c r="L250" s="5">
        <v>0</v>
      </c>
      <c r="M250" s="5">
        <v>1</v>
      </c>
      <c r="N250" t="s">
        <v>9</v>
      </c>
      <c r="O250" s="8">
        <v>22.243835616438357</v>
      </c>
      <c r="P250" t="s">
        <v>33</v>
      </c>
      <c r="Q250">
        <v>2</v>
      </c>
      <c r="R250" s="2">
        <v>37580</v>
      </c>
    </row>
    <row r="251" spans="1:18" x14ac:dyDescent="0.3">
      <c r="A251" t="s">
        <v>7</v>
      </c>
      <c r="B251">
        <v>17587751</v>
      </c>
      <c r="C251" t="s">
        <v>8</v>
      </c>
      <c r="D251" s="4">
        <v>45695</v>
      </c>
      <c r="E251" s="11">
        <f t="shared" si="12"/>
        <v>2025</v>
      </c>
      <c r="F251" s="11">
        <f t="shared" si="13"/>
        <v>2</v>
      </c>
      <c r="G251" s="11" t="str">
        <f t="shared" si="14"/>
        <v>202502</v>
      </c>
      <c r="H251" s="4">
        <v>45777</v>
      </c>
      <c r="I251" s="5">
        <v>82</v>
      </c>
      <c r="J251" s="5">
        <v>2.7333333333333334</v>
      </c>
      <c r="K251" s="5">
        <f t="shared" si="15"/>
        <v>0</v>
      </c>
      <c r="L251" s="5">
        <v>1</v>
      </c>
      <c r="M251" s="5">
        <v>1</v>
      </c>
      <c r="N251" t="s">
        <v>9</v>
      </c>
      <c r="O251" s="8">
        <v>19.304109589041097</v>
      </c>
      <c r="P251" t="s">
        <v>32</v>
      </c>
      <c r="Q251">
        <v>1</v>
      </c>
      <c r="R251" s="2">
        <v>38649</v>
      </c>
    </row>
    <row r="252" spans="1:18" x14ac:dyDescent="0.3">
      <c r="A252" t="s">
        <v>7</v>
      </c>
      <c r="B252">
        <v>17600041</v>
      </c>
      <c r="C252" t="s">
        <v>8</v>
      </c>
      <c r="D252" s="4">
        <v>45688</v>
      </c>
      <c r="E252" s="11">
        <f t="shared" si="12"/>
        <v>2025</v>
      </c>
      <c r="F252" s="11">
        <f t="shared" si="13"/>
        <v>1</v>
      </c>
      <c r="G252" s="11" t="str">
        <f t="shared" si="14"/>
        <v>202501</v>
      </c>
      <c r="I252" s="5">
        <v>9999</v>
      </c>
      <c r="J252" s="5">
        <v>333.3</v>
      </c>
      <c r="K252" s="5">
        <f t="shared" si="15"/>
        <v>0</v>
      </c>
      <c r="L252" s="5">
        <v>0</v>
      </c>
      <c r="M252" s="5">
        <v>0</v>
      </c>
      <c r="N252" t="s">
        <v>12</v>
      </c>
      <c r="O252" s="8">
        <v>23.402739726027399</v>
      </c>
      <c r="P252" t="s">
        <v>33</v>
      </c>
      <c r="Q252">
        <v>2</v>
      </c>
      <c r="R252" s="2">
        <v>37146</v>
      </c>
    </row>
    <row r="253" spans="1:18" x14ac:dyDescent="0.3">
      <c r="A253" t="s">
        <v>7</v>
      </c>
      <c r="B253">
        <v>17601341</v>
      </c>
      <c r="C253" t="s">
        <v>8</v>
      </c>
      <c r="D253" s="4">
        <v>45784</v>
      </c>
      <c r="E253" s="11">
        <f t="shared" si="12"/>
        <v>2025</v>
      </c>
      <c r="F253" s="11">
        <f t="shared" si="13"/>
        <v>5</v>
      </c>
      <c r="G253" s="11" t="str">
        <f t="shared" si="14"/>
        <v>202505</v>
      </c>
      <c r="I253" s="5">
        <v>9999</v>
      </c>
      <c r="J253" s="5">
        <v>333.3</v>
      </c>
      <c r="K253" s="5">
        <f t="shared" si="15"/>
        <v>0</v>
      </c>
      <c r="L253" s="5">
        <v>0</v>
      </c>
      <c r="M253" s="5">
        <v>0</v>
      </c>
      <c r="N253" t="s">
        <v>12</v>
      </c>
      <c r="O253" s="8">
        <v>36.38356164383562</v>
      </c>
      <c r="P253" t="s">
        <v>35</v>
      </c>
      <c r="Q253">
        <v>4</v>
      </c>
      <c r="R253" s="2">
        <v>32504</v>
      </c>
    </row>
    <row r="254" spans="1:18" x14ac:dyDescent="0.3">
      <c r="A254" t="s">
        <v>11</v>
      </c>
      <c r="B254">
        <v>17602369</v>
      </c>
      <c r="C254" t="s">
        <v>8</v>
      </c>
      <c r="D254" s="4">
        <v>45748</v>
      </c>
      <c r="E254" s="11">
        <f t="shared" si="12"/>
        <v>2025</v>
      </c>
      <c r="F254" s="11">
        <f t="shared" si="13"/>
        <v>4</v>
      </c>
      <c r="G254" s="11" t="str">
        <f t="shared" si="14"/>
        <v>202504</v>
      </c>
      <c r="H254" s="4">
        <v>45945</v>
      </c>
      <c r="I254" s="5">
        <v>197</v>
      </c>
      <c r="J254" s="5">
        <v>6.5666666666666664</v>
      </c>
      <c r="K254" s="5">
        <f t="shared" si="15"/>
        <v>0</v>
      </c>
      <c r="L254" s="5">
        <v>0</v>
      </c>
      <c r="M254" s="5">
        <v>0</v>
      </c>
      <c r="N254" t="s">
        <v>9</v>
      </c>
      <c r="O254" s="8">
        <v>24.517808219178082</v>
      </c>
      <c r="P254" t="s">
        <v>33</v>
      </c>
      <c r="Q254">
        <v>2</v>
      </c>
      <c r="R254" s="2">
        <v>36799</v>
      </c>
    </row>
    <row r="255" spans="1:18" x14ac:dyDescent="0.3">
      <c r="A255" t="s">
        <v>7</v>
      </c>
      <c r="B255">
        <v>17603549</v>
      </c>
      <c r="C255" t="s">
        <v>8</v>
      </c>
      <c r="D255" s="4">
        <v>45898</v>
      </c>
      <c r="E255" s="11">
        <f t="shared" si="12"/>
        <v>2025</v>
      </c>
      <c r="F255" s="11">
        <f t="shared" si="13"/>
        <v>8</v>
      </c>
      <c r="G255" s="11" t="str">
        <f t="shared" si="14"/>
        <v>202508</v>
      </c>
      <c r="I255" s="5">
        <v>9999</v>
      </c>
      <c r="J255" s="5">
        <v>333.3</v>
      </c>
      <c r="K255" s="5">
        <f t="shared" si="15"/>
        <v>0</v>
      </c>
      <c r="L255" s="5">
        <v>0</v>
      </c>
      <c r="M255" s="5">
        <v>0</v>
      </c>
      <c r="N255" t="s">
        <v>12</v>
      </c>
      <c r="O255" s="8">
        <v>22.764383561643836</v>
      </c>
      <c r="P255" t="s">
        <v>33</v>
      </c>
      <c r="Q255">
        <v>2</v>
      </c>
      <c r="R255" s="2">
        <v>37589</v>
      </c>
    </row>
    <row r="256" spans="1:18" x14ac:dyDescent="0.3">
      <c r="A256" t="s">
        <v>7</v>
      </c>
      <c r="B256">
        <v>17606295</v>
      </c>
      <c r="C256" t="s">
        <v>10</v>
      </c>
      <c r="D256" s="4">
        <v>45737</v>
      </c>
      <c r="E256" s="11">
        <f t="shared" si="12"/>
        <v>2025</v>
      </c>
      <c r="F256" s="11">
        <f t="shared" si="13"/>
        <v>3</v>
      </c>
      <c r="G256" s="11" t="str">
        <f t="shared" si="14"/>
        <v>202503</v>
      </c>
      <c r="I256" s="5">
        <v>9999</v>
      </c>
      <c r="J256" s="5">
        <v>333.3</v>
      </c>
      <c r="K256" s="5">
        <f t="shared" si="15"/>
        <v>0</v>
      </c>
      <c r="L256" s="5">
        <v>0</v>
      </c>
      <c r="M256" s="5">
        <v>0</v>
      </c>
      <c r="N256" t="s">
        <v>12</v>
      </c>
      <c r="O256" s="8">
        <v>21.32054794520548</v>
      </c>
      <c r="P256" t="s">
        <v>33</v>
      </c>
      <c r="Q256">
        <v>2</v>
      </c>
      <c r="R256" s="2">
        <v>37955</v>
      </c>
    </row>
    <row r="257" spans="1:18" x14ac:dyDescent="0.3">
      <c r="A257" t="s">
        <v>7</v>
      </c>
      <c r="B257">
        <v>17609297</v>
      </c>
      <c r="C257" t="s">
        <v>10</v>
      </c>
      <c r="D257" s="4">
        <v>45909</v>
      </c>
      <c r="E257" s="11">
        <f t="shared" si="12"/>
        <v>2025</v>
      </c>
      <c r="F257" s="11">
        <f t="shared" si="13"/>
        <v>9</v>
      </c>
      <c r="G257" s="11" t="str">
        <f t="shared" si="14"/>
        <v>202509</v>
      </c>
      <c r="I257" s="5">
        <v>9999</v>
      </c>
      <c r="J257" s="5">
        <v>333.3</v>
      </c>
      <c r="K257" s="5">
        <f t="shared" si="15"/>
        <v>0</v>
      </c>
      <c r="L257" s="5">
        <v>0</v>
      </c>
      <c r="M257" s="5">
        <v>0</v>
      </c>
      <c r="N257" t="s">
        <v>12</v>
      </c>
      <c r="O257" s="8">
        <v>19.712328767123289</v>
      </c>
      <c r="P257" t="s">
        <v>32</v>
      </c>
      <c r="Q257">
        <v>1</v>
      </c>
      <c r="R257" s="2">
        <v>38714</v>
      </c>
    </row>
    <row r="258" spans="1:18" x14ac:dyDescent="0.3">
      <c r="A258" t="s">
        <v>7</v>
      </c>
      <c r="B258">
        <v>17609949</v>
      </c>
      <c r="C258" t="s">
        <v>8</v>
      </c>
      <c r="D258" s="4">
        <v>45748</v>
      </c>
      <c r="E258" s="11">
        <f t="shared" si="12"/>
        <v>2025</v>
      </c>
      <c r="F258" s="11">
        <f t="shared" si="13"/>
        <v>4</v>
      </c>
      <c r="G258" s="11" t="str">
        <f t="shared" si="14"/>
        <v>202504</v>
      </c>
      <c r="H258" s="4">
        <v>46022</v>
      </c>
      <c r="I258" s="5">
        <v>274</v>
      </c>
      <c r="J258" s="5">
        <v>9.1333333333333329</v>
      </c>
      <c r="K258" s="5">
        <f t="shared" si="15"/>
        <v>0</v>
      </c>
      <c r="L258" s="5">
        <v>0</v>
      </c>
      <c r="M258" s="5">
        <v>0</v>
      </c>
      <c r="N258" t="s">
        <v>12</v>
      </c>
      <c r="O258" s="8">
        <v>39.060273972602737</v>
      </c>
      <c r="P258" t="s">
        <v>35</v>
      </c>
      <c r="Q258">
        <v>4</v>
      </c>
      <c r="R258" s="2">
        <v>31491</v>
      </c>
    </row>
    <row r="259" spans="1:18" x14ac:dyDescent="0.3">
      <c r="A259" t="s">
        <v>7</v>
      </c>
      <c r="B259">
        <v>17612794</v>
      </c>
      <c r="C259" t="s">
        <v>10</v>
      </c>
      <c r="D259" s="4">
        <v>45688</v>
      </c>
      <c r="E259" s="11">
        <f t="shared" ref="E259:E322" si="16">+YEAR(D259)</f>
        <v>2025</v>
      </c>
      <c r="F259" s="11">
        <f t="shared" ref="F259:F322" si="17">+MONTH(D259)</f>
        <v>1</v>
      </c>
      <c r="G259" s="11" t="str">
        <f t="shared" ref="G259:G322" si="18">+TEXT(D259, "yyymm")</f>
        <v>202501</v>
      </c>
      <c r="H259" s="4">
        <v>46113</v>
      </c>
      <c r="I259" s="5">
        <v>425</v>
      </c>
      <c r="J259" s="5">
        <v>14.166666666666666</v>
      </c>
      <c r="K259" s="5">
        <f t="shared" ref="K259:K322" si="19">IF(J259&lt;=1,1,0)</f>
        <v>0</v>
      </c>
      <c r="L259" s="5">
        <v>0</v>
      </c>
      <c r="M259" s="5">
        <v>0</v>
      </c>
      <c r="N259" t="s">
        <v>12</v>
      </c>
      <c r="O259" s="8">
        <v>19.024657534246575</v>
      </c>
      <c r="P259" t="s">
        <v>32</v>
      </c>
      <c r="Q259">
        <v>1</v>
      </c>
      <c r="R259" s="2">
        <v>38744</v>
      </c>
    </row>
    <row r="260" spans="1:18" x14ac:dyDescent="0.3">
      <c r="A260" t="s">
        <v>11</v>
      </c>
      <c r="B260">
        <v>17613600</v>
      </c>
      <c r="C260" t="s">
        <v>10</v>
      </c>
      <c r="D260" s="4">
        <v>45809</v>
      </c>
      <c r="E260" s="11">
        <f t="shared" si="16"/>
        <v>2025</v>
      </c>
      <c r="F260" s="11">
        <f t="shared" si="17"/>
        <v>6</v>
      </c>
      <c r="G260" s="11" t="str">
        <f t="shared" si="18"/>
        <v>202506</v>
      </c>
      <c r="H260" s="4">
        <v>46005</v>
      </c>
      <c r="I260" s="5">
        <v>196</v>
      </c>
      <c r="J260" s="5">
        <v>6.5333333333333332</v>
      </c>
      <c r="K260" s="5">
        <f t="shared" si="19"/>
        <v>0</v>
      </c>
      <c r="L260" s="5">
        <v>0</v>
      </c>
      <c r="M260" s="5">
        <v>0</v>
      </c>
      <c r="N260" t="s">
        <v>9</v>
      </c>
      <c r="O260" s="8">
        <v>20.243835616438357</v>
      </c>
      <c r="P260" t="s">
        <v>32</v>
      </c>
      <c r="Q260">
        <v>1</v>
      </c>
      <c r="R260" s="2">
        <v>38420</v>
      </c>
    </row>
    <row r="261" spans="1:18" x14ac:dyDescent="0.3">
      <c r="A261" t="s">
        <v>7</v>
      </c>
      <c r="B261">
        <v>17620401</v>
      </c>
      <c r="C261" t="s">
        <v>8</v>
      </c>
      <c r="D261" s="4">
        <v>45705</v>
      </c>
      <c r="E261" s="11">
        <f t="shared" si="16"/>
        <v>2025</v>
      </c>
      <c r="F261" s="11">
        <f t="shared" si="17"/>
        <v>2</v>
      </c>
      <c r="G261" s="11" t="str">
        <f t="shared" si="18"/>
        <v>202502</v>
      </c>
      <c r="I261" s="5">
        <v>9999</v>
      </c>
      <c r="J261" s="5">
        <v>333.3</v>
      </c>
      <c r="K261" s="5">
        <f t="shared" si="19"/>
        <v>0</v>
      </c>
      <c r="L261" s="5">
        <v>0</v>
      </c>
      <c r="M261" s="5">
        <v>0</v>
      </c>
      <c r="N261" t="s">
        <v>9</v>
      </c>
      <c r="O261" s="8">
        <v>21.852054794520548</v>
      </c>
      <c r="P261" t="s">
        <v>33</v>
      </c>
      <c r="Q261">
        <v>2</v>
      </c>
      <c r="R261" s="2">
        <v>37729</v>
      </c>
    </row>
    <row r="262" spans="1:18" x14ac:dyDescent="0.3">
      <c r="A262" t="s">
        <v>7</v>
      </c>
      <c r="B262">
        <v>17623608</v>
      </c>
      <c r="C262" t="s">
        <v>10</v>
      </c>
      <c r="D262" s="4">
        <v>45705</v>
      </c>
      <c r="E262" s="11">
        <f t="shared" si="16"/>
        <v>2025</v>
      </c>
      <c r="F262" s="11">
        <f t="shared" si="17"/>
        <v>2</v>
      </c>
      <c r="G262" s="11" t="str">
        <f t="shared" si="18"/>
        <v>202502</v>
      </c>
      <c r="H262" s="4">
        <v>46012</v>
      </c>
      <c r="I262" s="5">
        <v>307</v>
      </c>
      <c r="J262" s="5">
        <v>10.233333333333333</v>
      </c>
      <c r="K262" s="5">
        <f t="shared" si="19"/>
        <v>0</v>
      </c>
      <c r="L262" s="5">
        <v>0</v>
      </c>
      <c r="M262" s="5">
        <v>0</v>
      </c>
      <c r="N262" t="s">
        <v>12</v>
      </c>
      <c r="O262" s="8">
        <v>29.397260273972602</v>
      </c>
      <c r="P262" t="s">
        <v>34</v>
      </c>
      <c r="Q262">
        <v>3</v>
      </c>
      <c r="R262" s="2">
        <v>34975</v>
      </c>
    </row>
    <row r="263" spans="1:18" x14ac:dyDescent="0.3">
      <c r="A263" t="s">
        <v>7</v>
      </c>
      <c r="B263">
        <v>17624221</v>
      </c>
      <c r="C263" t="s">
        <v>10</v>
      </c>
      <c r="D263" s="4">
        <v>45707</v>
      </c>
      <c r="E263" s="11">
        <f t="shared" si="16"/>
        <v>2025</v>
      </c>
      <c r="F263" s="11">
        <f t="shared" si="17"/>
        <v>2</v>
      </c>
      <c r="G263" s="11" t="str">
        <f t="shared" si="18"/>
        <v>202502</v>
      </c>
      <c r="I263" s="5">
        <v>9999</v>
      </c>
      <c r="J263" s="5">
        <v>333.3</v>
      </c>
      <c r="K263" s="5">
        <f t="shared" si="19"/>
        <v>0</v>
      </c>
      <c r="L263" s="5">
        <v>0</v>
      </c>
      <c r="M263" s="5">
        <v>0</v>
      </c>
      <c r="N263" t="s">
        <v>12</v>
      </c>
      <c r="O263" s="8">
        <v>22.876712328767123</v>
      </c>
      <c r="P263" t="s">
        <v>33</v>
      </c>
      <c r="Q263">
        <v>2</v>
      </c>
      <c r="R263" s="2">
        <v>37357</v>
      </c>
    </row>
    <row r="264" spans="1:18" x14ac:dyDescent="0.3">
      <c r="A264" t="s">
        <v>7</v>
      </c>
      <c r="B264">
        <v>17631828</v>
      </c>
      <c r="C264" t="s">
        <v>10</v>
      </c>
      <c r="D264" s="4">
        <v>45804</v>
      </c>
      <c r="E264" s="11">
        <f t="shared" si="16"/>
        <v>2025</v>
      </c>
      <c r="F264" s="11">
        <f t="shared" si="17"/>
        <v>5</v>
      </c>
      <c r="G264" s="11" t="str">
        <f t="shared" si="18"/>
        <v>202505</v>
      </c>
      <c r="I264" s="5">
        <v>9999</v>
      </c>
      <c r="J264" s="5">
        <v>333.3</v>
      </c>
      <c r="K264" s="5">
        <f t="shared" si="19"/>
        <v>0</v>
      </c>
      <c r="L264" s="5">
        <v>0</v>
      </c>
      <c r="M264" s="5">
        <v>0</v>
      </c>
      <c r="N264" t="s">
        <v>12</v>
      </c>
      <c r="O264" s="8">
        <v>20.715068493150685</v>
      </c>
      <c r="P264" t="s">
        <v>32</v>
      </c>
      <c r="Q264">
        <v>1</v>
      </c>
      <c r="R264" s="2">
        <v>38243</v>
      </c>
    </row>
    <row r="265" spans="1:18" x14ac:dyDescent="0.3">
      <c r="A265" t="s">
        <v>7</v>
      </c>
      <c r="B265">
        <v>17640272</v>
      </c>
      <c r="C265" t="s">
        <v>8</v>
      </c>
      <c r="D265" s="4">
        <v>45705</v>
      </c>
      <c r="E265" s="11">
        <f t="shared" si="16"/>
        <v>2025</v>
      </c>
      <c r="F265" s="11">
        <f t="shared" si="17"/>
        <v>2</v>
      </c>
      <c r="G265" s="11" t="str">
        <f t="shared" si="18"/>
        <v>202502</v>
      </c>
      <c r="I265" s="5">
        <v>9999</v>
      </c>
      <c r="J265" s="5">
        <v>333.3</v>
      </c>
      <c r="K265" s="5">
        <f t="shared" si="19"/>
        <v>0</v>
      </c>
      <c r="L265" s="5">
        <v>0</v>
      </c>
      <c r="M265" s="5">
        <v>0</v>
      </c>
      <c r="N265" t="s">
        <v>12</v>
      </c>
      <c r="O265" s="8">
        <v>23.216438356164385</v>
      </c>
      <c r="P265" t="s">
        <v>33</v>
      </c>
      <c r="Q265">
        <v>2</v>
      </c>
      <c r="R265" s="2">
        <v>37231</v>
      </c>
    </row>
    <row r="266" spans="1:18" x14ac:dyDescent="0.3">
      <c r="A266" t="s">
        <v>7</v>
      </c>
      <c r="B266">
        <v>17640287</v>
      </c>
      <c r="C266" t="s">
        <v>10</v>
      </c>
      <c r="D266" s="4">
        <v>45687</v>
      </c>
      <c r="E266" s="11">
        <f t="shared" si="16"/>
        <v>2025</v>
      </c>
      <c r="F266" s="11">
        <f t="shared" si="17"/>
        <v>1</v>
      </c>
      <c r="G266" s="11" t="str">
        <f t="shared" si="18"/>
        <v>202501</v>
      </c>
      <c r="I266" s="5">
        <v>9999</v>
      </c>
      <c r="J266" s="5">
        <v>333.3</v>
      </c>
      <c r="K266" s="5">
        <f t="shared" si="19"/>
        <v>0</v>
      </c>
      <c r="L266" s="5">
        <v>0</v>
      </c>
      <c r="M266" s="5">
        <v>0</v>
      </c>
      <c r="N266" t="s">
        <v>12</v>
      </c>
      <c r="O266" s="8">
        <v>18.32054794520548</v>
      </c>
      <c r="P266" t="s">
        <v>32</v>
      </c>
      <c r="Q266">
        <v>1</v>
      </c>
      <c r="R266" s="2">
        <v>39000</v>
      </c>
    </row>
    <row r="267" spans="1:18" x14ac:dyDescent="0.3">
      <c r="A267" t="s">
        <v>7</v>
      </c>
      <c r="B267">
        <v>17640309</v>
      </c>
      <c r="C267" t="s">
        <v>8</v>
      </c>
      <c r="D267" s="4">
        <v>45737</v>
      </c>
      <c r="E267" s="11">
        <f t="shared" si="16"/>
        <v>2025</v>
      </c>
      <c r="F267" s="11">
        <f t="shared" si="17"/>
        <v>3</v>
      </c>
      <c r="G267" s="11" t="str">
        <f t="shared" si="18"/>
        <v>202503</v>
      </c>
      <c r="I267" s="5">
        <v>9999</v>
      </c>
      <c r="J267" s="5">
        <v>333.3</v>
      </c>
      <c r="K267" s="5">
        <f t="shared" si="19"/>
        <v>0</v>
      </c>
      <c r="L267" s="5">
        <v>0</v>
      </c>
      <c r="M267" s="5">
        <v>0</v>
      </c>
      <c r="N267" t="s">
        <v>12</v>
      </c>
      <c r="O267" s="8">
        <v>21.912328767123288</v>
      </c>
      <c r="P267" t="s">
        <v>33</v>
      </c>
      <c r="Q267">
        <v>2</v>
      </c>
      <c r="R267" s="2">
        <v>37739</v>
      </c>
    </row>
    <row r="268" spans="1:18" x14ac:dyDescent="0.3">
      <c r="A268" t="s">
        <v>7</v>
      </c>
      <c r="B268">
        <v>17640313</v>
      </c>
      <c r="C268" t="s">
        <v>8</v>
      </c>
      <c r="D268" s="4">
        <v>45960</v>
      </c>
      <c r="E268" s="11">
        <f t="shared" si="16"/>
        <v>2025</v>
      </c>
      <c r="F268" s="11">
        <f t="shared" si="17"/>
        <v>10</v>
      </c>
      <c r="G268" s="11" t="str">
        <f t="shared" si="18"/>
        <v>202510</v>
      </c>
      <c r="H268" s="4">
        <v>46173</v>
      </c>
      <c r="I268" s="5">
        <v>213</v>
      </c>
      <c r="J268" s="5">
        <v>7.1</v>
      </c>
      <c r="K268" s="5">
        <f t="shared" si="19"/>
        <v>0</v>
      </c>
      <c r="L268" s="5">
        <v>0</v>
      </c>
      <c r="M268" s="5">
        <v>0</v>
      </c>
      <c r="N268" t="s">
        <v>9</v>
      </c>
      <c r="O268" s="8">
        <v>19.334246575342465</v>
      </c>
      <c r="P268" t="s">
        <v>32</v>
      </c>
      <c r="Q268">
        <v>1</v>
      </c>
      <c r="R268" s="2">
        <v>38903</v>
      </c>
    </row>
    <row r="269" spans="1:18" x14ac:dyDescent="0.3">
      <c r="A269" t="s">
        <v>7</v>
      </c>
      <c r="B269">
        <v>17640336</v>
      </c>
      <c r="C269" t="s">
        <v>8</v>
      </c>
      <c r="D269" s="4">
        <v>45943</v>
      </c>
      <c r="E269" s="11">
        <f t="shared" si="16"/>
        <v>2025</v>
      </c>
      <c r="F269" s="11">
        <f t="shared" si="17"/>
        <v>10</v>
      </c>
      <c r="G269" s="11" t="str">
        <f t="shared" si="18"/>
        <v>202510</v>
      </c>
      <c r="I269" s="5">
        <v>9999</v>
      </c>
      <c r="J269" s="5">
        <v>333.3</v>
      </c>
      <c r="K269" s="5">
        <f t="shared" si="19"/>
        <v>0</v>
      </c>
      <c r="L269" s="5">
        <v>0</v>
      </c>
      <c r="M269" s="5">
        <v>0</v>
      </c>
      <c r="N269" t="s">
        <v>9</v>
      </c>
      <c r="O269" s="8">
        <v>22.616438356164384</v>
      </c>
      <c r="P269" t="s">
        <v>33</v>
      </c>
      <c r="Q269">
        <v>2</v>
      </c>
      <c r="R269" s="2">
        <v>37688</v>
      </c>
    </row>
    <row r="270" spans="1:18" x14ac:dyDescent="0.3">
      <c r="A270" t="s">
        <v>7</v>
      </c>
      <c r="B270">
        <v>17640359</v>
      </c>
      <c r="C270" t="s">
        <v>8</v>
      </c>
      <c r="D270" s="4">
        <v>45981</v>
      </c>
      <c r="E270" s="11">
        <f t="shared" si="16"/>
        <v>2025</v>
      </c>
      <c r="F270" s="11">
        <f t="shared" si="17"/>
        <v>11</v>
      </c>
      <c r="G270" s="11" t="str">
        <f t="shared" si="18"/>
        <v>202511</v>
      </c>
      <c r="I270" s="5">
        <v>9999</v>
      </c>
      <c r="J270" s="5">
        <v>333.3</v>
      </c>
      <c r="K270" s="5">
        <f t="shared" si="19"/>
        <v>0</v>
      </c>
      <c r="L270" s="5">
        <v>0</v>
      </c>
      <c r="M270" s="5">
        <v>0</v>
      </c>
      <c r="N270" t="s">
        <v>12</v>
      </c>
      <c r="O270" s="8">
        <v>31.449315068493149</v>
      </c>
      <c r="P270" t="s">
        <v>35</v>
      </c>
      <c r="Q270">
        <v>4</v>
      </c>
      <c r="R270" s="2">
        <v>34502</v>
      </c>
    </row>
    <row r="271" spans="1:18" x14ac:dyDescent="0.3">
      <c r="A271" t="s">
        <v>7</v>
      </c>
      <c r="B271">
        <v>17640378</v>
      </c>
      <c r="C271" t="s">
        <v>8</v>
      </c>
      <c r="D271" s="4">
        <v>46112</v>
      </c>
      <c r="E271" s="11">
        <f t="shared" si="16"/>
        <v>2026</v>
      </c>
      <c r="F271" s="11">
        <f t="shared" si="17"/>
        <v>3</v>
      </c>
      <c r="G271" s="11" t="str">
        <f t="shared" si="18"/>
        <v>202603</v>
      </c>
      <c r="I271" s="5">
        <v>9999</v>
      </c>
      <c r="J271" s="5">
        <v>333.3</v>
      </c>
      <c r="K271" s="5">
        <f t="shared" si="19"/>
        <v>0</v>
      </c>
      <c r="L271" s="5">
        <v>0</v>
      </c>
      <c r="M271" s="5">
        <v>0</v>
      </c>
      <c r="N271" t="s">
        <v>9</v>
      </c>
      <c r="O271" s="8">
        <v>27.457534246575342</v>
      </c>
      <c r="P271" t="s">
        <v>34</v>
      </c>
      <c r="Q271">
        <v>3</v>
      </c>
      <c r="R271" s="2">
        <v>36090</v>
      </c>
    </row>
    <row r="272" spans="1:18" x14ac:dyDescent="0.3">
      <c r="A272" t="s">
        <v>7</v>
      </c>
      <c r="B272">
        <v>17640420</v>
      </c>
      <c r="C272" t="s">
        <v>8</v>
      </c>
      <c r="D272" s="4">
        <v>45800</v>
      </c>
      <c r="E272" s="11">
        <f t="shared" si="16"/>
        <v>2025</v>
      </c>
      <c r="F272" s="11">
        <f t="shared" si="17"/>
        <v>5</v>
      </c>
      <c r="G272" s="11" t="str">
        <f t="shared" si="18"/>
        <v>202505</v>
      </c>
      <c r="I272" s="5">
        <v>9999</v>
      </c>
      <c r="J272" s="5">
        <v>333.3</v>
      </c>
      <c r="K272" s="5">
        <f t="shared" si="19"/>
        <v>0</v>
      </c>
      <c r="L272" s="5">
        <v>0</v>
      </c>
      <c r="M272" s="5">
        <v>0</v>
      </c>
      <c r="N272" t="s">
        <v>9</v>
      </c>
      <c r="O272" s="8">
        <v>22.397260273972602</v>
      </c>
      <c r="P272" t="s">
        <v>33</v>
      </c>
      <c r="Q272">
        <v>2</v>
      </c>
      <c r="R272" s="2">
        <v>37625</v>
      </c>
    </row>
    <row r="273" spans="1:18" x14ac:dyDescent="0.3">
      <c r="A273" t="s">
        <v>7</v>
      </c>
      <c r="B273">
        <v>17640426</v>
      </c>
      <c r="C273" t="s">
        <v>10</v>
      </c>
      <c r="D273" s="4">
        <v>45705</v>
      </c>
      <c r="E273" s="11">
        <f t="shared" si="16"/>
        <v>2025</v>
      </c>
      <c r="F273" s="11">
        <f t="shared" si="17"/>
        <v>2</v>
      </c>
      <c r="G273" s="11" t="str">
        <f t="shared" si="18"/>
        <v>202502</v>
      </c>
      <c r="I273" s="5">
        <v>9999</v>
      </c>
      <c r="J273" s="5">
        <v>333.3</v>
      </c>
      <c r="K273" s="5">
        <f t="shared" si="19"/>
        <v>0</v>
      </c>
      <c r="L273" s="5">
        <v>0</v>
      </c>
      <c r="M273" s="5">
        <v>0</v>
      </c>
      <c r="N273" t="s">
        <v>12</v>
      </c>
      <c r="O273" s="8">
        <v>25.438356164383563</v>
      </c>
      <c r="P273" t="s">
        <v>33</v>
      </c>
      <c r="Q273">
        <v>2</v>
      </c>
      <c r="R273" s="2">
        <v>36420</v>
      </c>
    </row>
    <row r="274" spans="1:18" x14ac:dyDescent="0.3">
      <c r="A274" t="s">
        <v>7</v>
      </c>
      <c r="B274">
        <v>17640428</v>
      </c>
      <c r="C274" t="s">
        <v>8</v>
      </c>
      <c r="D274" s="4">
        <v>45685</v>
      </c>
      <c r="E274" s="11">
        <f t="shared" si="16"/>
        <v>2025</v>
      </c>
      <c r="F274" s="11">
        <f t="shared" si="17"/>
        <v>1</v>
      </c>
      <c r="G274" s="11" t="str">
        <f t="shared" si="18"/>
        <v>202501</v>
      </c>
      <c r="H274" s="4">
        <v>45758</v>
      </c>
      <c r="I274" s="5">
        <v>73</v>
      </c>
      <c r="J274" s="5">
        <v>2.4333333333333331</v>
      </c>
      <c r="K274" s="5">
        <f t="shared" si="19"/>
        <v>0</v>
      </c>
      <c r="L274" s="5">
        <v>1</v>
      </c>
      <c r="M274" s="5">
        <v>1</v>
      </c>
      <c r="N274" t="s">
        <v>12</v>
      </c>
      <c r="O274" s="8">
        <v>21.079452054794519</v>
      </c>
      <c r="P274" t="s">
        <v>33</v>
      </c>
      <c r="Q274">
        <v>2</v>
      </c>
      <c r="R274" s="2">
        <v>37991</v>
      </c>
    </row>
    <row r="275" spans="1:18" x14ac:dyDescent="0.3">
      <c r="A275" t="s">
        <v>7</v>
      </c>
      <c r="B275">
        <v>17640440</v>
      </c>
      <c r="C275" t="s">
        <v>10</v>
      </c>
      <c r="D275" s="4">
        <v>45691</v>
      </c>
      <c r="E275" s="11">
        <f t="shared" si="16"/>
        <v>2025</v>
      </c>
      <c r="F275" s="11">
        <f t="shared" si="17"/>
        <v>2</v>
      </c>
      <c r="G275" s="11" t="str">
        <f t="shared" si="18"/>
        <v>202502</v>
      </c>
      <c r="H275" s="4">
        <v>45903</v>
      </c>
      <c r="I275" s="5">
        <v>212</v>
      </c>
      <c r="J275" s="5">
        <v>7.0666666666666664</v>
      </c>
      <c r="K275" s="5">
        <f t="shared" si="19"/>
        <v>0</v>
      </c>
      <c r="L275" s="5">
        <v>0</v>
      </c>
      <c r="M275" s="5">
        <v>0</v>
      </c>
      <c r="N275" t="s">
        <v>12</v>
      </c>
      <c r="O275" s="8">
        <v>25.991780821917807</v>
      </c>
      <c r="P275" t="s">
        <v>33</v>
      </c>
      <c r="Q275">
        <v>2</v>
      </c>
      <c r="R275" s="2">
        <v>36204</v>
      </c>
    </row>
    <row r="276" spans="1:18" x14ac:dyDescent="0.3">
      <c r="A276" t="s">
        <v>7</v>
      </c>
      <c r="B276">
        <v>17640456</v>
      </c>
      <c r="C276" t="s">
        <v>8</v>
      </c>
      <c r="D276" s="4">
        <v>45702</v>
      </c>
      <c r="E276" s="11">
        <f t="shared" si="16"/>
        <v>2025</v>
      </c>
      <c r="F276" s="11">
        <f t="shared" si="17"/>
        <v>2</v>
      </c>
      <c r="G276" s="11" t="str">
        <f t="shared" si="18"/>
        <v>202502</v>
      </c>
      <c r="H276" s="4">
        <v>45839</v>
      </c>
      <c r="I276" s="5">
        <v>137</v>
      </c>
      <c r="J276" s="5">
        <v>4.5666666666666664</v>
      </c>
      <c r="K276" s="5">
        <f t="shared" si="19"/>
        <v>0</v>
      </c>
      <c r="L276" s="5">
        <v>0</v>
      </c>
      <c r="M276" s="5">
        <v>1</v>
      </c>
      <c r="N276" t="s">
        <v>9</v>
      </c>
      <c r="O276" s="8">
        <v>18.715068493150685</v>
      </c>
      <c r="P276" t="s">
        <v>32</v>
      </c>
      <c r="Q276">
        <v>1</v>
      </c>
      <c r="R276" s="2">
        <v>38871</v>
      </c>
    </row>
    <row r="277" spans="1:18" x14ac:dyDescent="0.3">
      <c r="A277" t="s">
        <v>7</v>
      </c>
      <c r="B277">
        <v>17640461</v>
      </c>
      <c r="C277" t="s">
        <v>8</v>
      </c>
      <c r="D277" s="4">
        <v>45684</v>
      </c>
      <c r="E277" s="11">
        <f t="shared" si="16"/>
        <v>2025</v>
      </c>
      <c r="F277" s="11">
        <f t="shared" si="17"/>
        <v>1</v>
      </c>
      <c r="G277" s="11" t="str">
        <f t="shared" si="18"/>
        <v>202501</v>
      </c>
      <c r="I277" s="5">
        <v>9999</v>
      </c>
      <c r="J277" s="5">
        <v>333.3</v>
      </c>
      <c r="K277" s="5">
        <f t="shared" si="19"/>
        <v>0</v>
      </c>
      <c r="L277" s="5">
        <v>0</v>
      </c>
      <c r="M277" s="5">
        <v>0</v>
      </c>
      <c r="N277" t="s">
        <v>12</v>
      </c>
      <c r="O277" s="8">
        <v>20.649315068493152</v>
      </c>
      <c r="P277" t="s">
        <v>32</v>
      </c>
      <c r="Q277">
        <v>1</v>
      </c>
      <c r="R277" s="2">
        <v>38147</v>
      </c>
    </row>
    <row r="278" spans="1:18" x14ac:dyDescent="0.3">
      <c r="A278" t="s">
        <v>7</v>
      </c>
      <c r="B278">
        <v>17640483</v>
      </c>
      <c r="C278" t="s">
        <v>8</v>
      </c>
      <c r="D278" s="4">
        <v>45705</v>
      </c>
      <c r="E278" s="11">
        <f t="shared" si="16"/>
        <v>2025</v>
      </c>
      <c r="F278" s="11">
        <f t="shared" si="17"/>
        <v>2</v>
      </c>
      <c r="G278" s="11" t="str">
        <f t="shared" si="18"/>
        <v>202502</v>
      </c>
      <c r="H278" s="4">
        <v>45809</v>
      </c>
      <c r="I278" s="5">
        <v>104</v>
      </c>
      <c r="J278" s="5">
        <v>3.4666666666666668</v>
      </c>
      <c r="K278" s="5">
        <f t="shared" si="19"/>
        <v>0</v>
      </c>
      <c r="L278" s="5">
        <v>0</v>
      </c>
      <c r="M278" s="5">
        <v>1</v>
      </c>
      <c r="N278" t="s">
        <v>12</v>
      </c>
      <c r="O278" s="8">
        <v>29.432876712328767</v>
      </c>
      <c r="P278" t="s">
        <v>34</v>
      </c>
      <c r="Q278">
        <v>3</v>
      </c>
      <c r="R278" s="2">
        <v>34962</v>
      </c>
    </row>
    <row r="279" spans="1:18" x14ac:dyDescent="0.3">
      <c r="A279" t="s">
        <v>7</v>
      </c>
      <c r="B279">
        <v>17640485</v>
      </c>
      <c r="C279" t="s">
        <v>8</v>
      </c>
      <c r="D279" s="4">
        <v>45958</v>
      </c>
      <c r="E279" s="11">
        <f t="shared" si="16"/>
        <v>2025</v>
      </c>
      <c r="F279" s="11">
        <f t="shared" si="17"/>
        <v>10</v>
      </c>
      <c r="G279" s="11" t="str">
        <f t="shared" si="18"/>
        <v>202510</v>
      </c>
      <c r="H279" s="4">
        <v>45978</v>
      </c>
      <c r="I279" s="5">
        <v>20</v>
      </c>
      <c r="J279" s="5">
        <v>0.66666666666666663</v>
      </c>
      <c r="K279" s="5">
        <f t="shared" si="19"/>
        <v>1</v>
      </c>
      <c r="L279" s="5">
        <v>1</v>
      </c>
      <c r="M279" s="5">
        <v>1</v>
      </c>
      <c r="N279" t="s">
        <v>9</v>
      </c>
      <c r="O279" s="8">
        <v>22.043835616438358</v>
      </c>
      <c r="P279" t="s">
        <v>33</v>
      </c>
      <c r="Q279">
        <v>2</v>
      </c>
      <c r="R279" s="2">
        <v>37912</v>
      </c>
    </row>
    <row r="280" spans="1:18" x14ac:dyDescent="0.3">
      <c r="A280" t="s">
        <v>7</v>
      </c>
      <c r="B280">
        <v>17640489</v>
      </c>
      <c r="C280" t="s">
        <v>8</v>
      </c>
      <c r="D280" s="4">
        <v>45705</v>
      </c>
      <c r="E280" s="11">
        <f t="shared" si="16"/>
        <v>2025</v>
      </c>
      <c r="F280" s="11">
        <f t="shared" si="17"/>
        <v>2</v>
      </c>
      <c r="G280" s="11" t="str">
        <f t="shared" si="18"/>
        <v>202502</v>
      </c>
      <c r="I280" s="5">
        <v>9999</v>
      </c>
      <c r="J280" s="5">
        <v>333.3</v>
      </c>
      <c r="K280" s="5">
        <f t="shared" si="19"/>
        <v>0</v>
      </c>
      <c r="L280" s="5">
        <v>0</v>
      </c>
      <c r="M280" s="5">
        <v>0</v>
      </c>
      <c r="N280" t="s">
        <v>12</v>
      </c>
      <c r="O280" s="8">
        <v>18.994520547945207</v>
      </c>
      <c r="P280" t="s">
        <v>32</v>
      </c>
      <c r="Q280">
        <v>1</v>
      </c>
      <c r="R280" s="2">
        <v>38772</v>
      </c>
    </row>
    <row r="281" spans="1:18" x14ac:dyDescent="0.3">
      <c r="A281" t="s">
        <v>7</v>
      </c>
      <c r="B281">
        <v>17640499</v>
      </c>
      <c r="C281" t="s">
        <v>8</v>
      </c>
      <c r="D281" s="4">
        <v>45975</v>
      </c>
      <c r="E281" s="11">
        <f t="shared" si="16"/>
        <v>2025</v>
      </c>
      <c r="F281" s="11">
        <f t="shared" si="17"/>
        <v>11</v>
      </c>
      <c r="G281" s="11" t="str">
        <f t="shared" si="18"/>
        <v>202511</v>
      </c>
      <c r="I281" s="5">
        <v>9999</v>
      </c>
      <c r="J281" s="5">
        <v>333.3</v>
      </c>
      <c r="K281" s="5">
        <f t="shared" si="19"/>
        <v>0</v>
      </c>
      <c r="L281" s="5">
        <v>0</v>
      </c>
      <c r="M281" s="5">
        <v>0</v>
      </c>
      <c r="N281" t="s">
        <v>12</v>
      </c>
      <c r="O281" s="8">
        <v>24.186301369863013</v>
      </c>
      <c r="P281" t="s">
        <v>33</v>
      </c>
      <c r="Q281">
        <v>2</v>
      </c>
      <c r="R281" s="2">
        <v>37147</v>
      </c>
    </row>
    <row r="282" spans="1:18" x14ac:dyDescent="0.3">
      <c r="A282" t="s">
        <v>7</v>
      </c>
      <c r="B282">
        <v>17640509</v>
      </c>
      <c r="C282" t="s">
        <v>8</v>
      </c>
      <c r="D282" s="4">
        <v>45687</v>
      </c>
      <c r="E282" s="11">
        <f t="shared" si="16"/>
        <v>2025</v>
      </c>
      <c r="F282" s="11">
        <f t="shared" si="17"/>
        <v>1</v>
      </c>
      <c r="G282" s="11" t="str">
        <f t="shared" si="18"/>
        <v>202501</v>
      </c>
      <c r="I282" s="5">
        <v>9999</v>
      </c>
      <c r="J282" s="5">
        <v>333.3</v>
      </c>
      <c r="K282" s="5">
        <f t="shared" si="19"/>
        <v>0</v>
      </c>
      <c r="L282" s="5">
        <v>0</v>
      </c>
      <c r="M282" s="5">
        <v>0</v>
      </c>
      <c r="N282" t="s">
        <v>12</v>
      </c>
      <c r="O282" s="8">
        <v>34.580821917808223</v>
      </c>
      <c r="P282" t="s">
        <v>35</v>
      </c>
      <c r="Q282">
        <v>4</v>
      </c>
      <c r="R282" s="2">
        <v>33065</v>
      </c>
    </row>
    <row r="283" spans="1:18" x14ac:dyDescent="0.3">
      <c r="A283" t="s">
        <v>7</v>
      </c>
      <c r="B283">
        <v>17640513</v>
      </c>
      <c r="C283" t="s">
        <v>10</v>
      </c>
      <c r="D283" s="4">
        <v>45689</v>
      </c>
      <c r="E283" s="11">
        <f t="shared" si="16"/>
        <v>2025</v>
      </c>
      <c r="F283" s="11">
        <f t="shared" si="17"/>
        <v>2</v>
      </c>
      <c r="G283" s="11" t="str">
        <f t="shared" si="18"/>
        <v>202502</v>
      </c>
      <c r="H283" s="4">
        <v>45886</v>
      </c>
      <c r="I283" s="5">
        <v>197</v>
      </c>
      <c r="J283" s="5">
        <v>6.5666666666666664</v>
      </c>
      <c r="K283" s="5">
        <f t="shared" si="19"/>
        <v>0</v>
      </c>
      <c r="L283" s="5">
        <v>0</v>
      </c>
      <c r="M283" s="5">
        <v>0</v>
      </c>
      <c r="N283" t="s">
        <v>12</v>
      </c>
      <c r="O283" s="8">
        <v>24.227397260273971</v>
      </c>
      <c r="P283" t="s">
        <v>33</v>
      </c>
      <c r="Q283">
        <v>2</v>
      </c>
      <c r="R283" s="2">
        <v>36846</v>
      </c>
    </row>
    <row r="284" spans="1:18" x14ac:dyDescent="0.3">
      <c r="A284" t="s">
        <v>7</v>
      </c>
      <c r="B284">
        <v>17640520</v>
      </c>
      <c r="C284" t="s">
        <v>8</v>
      </c>
      <c r="D284" s="4">
        <v>45687</v>
      </c>
      <c r="E284" s="11">
        <f t="shared" si="16"/>
        <v>2025</v>
      </c>
      <c r="F284" s="11">
        <f t="shared" si="17"/>
        <v>1</v>
      </c>
      <c r="G284" s="11" t="str">
        <f t="shared" si="18"/>
        <v>202501</v>
      </c>
      <c r="H284" s="4">
        <v>45777</v>
      </c>
      <c r="I284" s="5">
        <v>90</v>
      </c>
      <c r="J284" s="5">
        <v>3</v>
      </c>
      <c r="K284" s="5">
        <f t="shared" si="19"/>
        <v>0</v>
      </c>
      <c r="L284" s="5">
        <v>1</v>
      </c>
      <c r="M284" s="5">
        <v>1</v>
      </c>
      <c r="N284" t="s">
        <v>12</v>
      </c>
      <c r="O284" s="8">
        <v>21.030136986301368</v>
      </c>
      <c r="P284" t="s">
        <v>33</v>
      </c>
      <c r="Q284">
        <v>2</v>
      </c>
      <c r="R284" s="2">
        <v>38011</v>
      </c>
    </row>
    <row r="285" spans="1:18" x14ac:dyDescent="0.3">
      <c r="A285" t="s">
        <v>7</v>
      </c>
      <c r="B285">
        <v>17640538</v>
      </c>
      <c r="C285" t="s">
        <v>8</v>
      </c>
      <c r="D285" s="4">
        <v>45684</v>
      </c>
      <c r="E285" s="11">
        <f t="shared" si="16"/>
        <v>2025</v>
      </c>
      <c r="F285" s="11">
        <f t="shared" si="17"/>
        <v>1</v>
      </c>
      <c r="G285" s="11" t="str">
        <f t="shared" si="18"/>
        <v>202501</v>
      </c>
      <c r="H285" s="4">
        <v>45870</v>
      </c>
      <c r="I285" s="5">
        <v>186</v>
      </c>
      <c r="J285" s="5">
        <v>6.2</v>
      </c>
      <c r="K285" s="5">
        <f t="shared" si="19"/>
        <v>0</v>
      </c>
      <c r="L285" s="5">
        <v>0</v>
      </c>
      <c r="M285" s="5">
        <v>0</v>
      </c>
      <c r="N285" t="s">
        <v>12</v>
      </c>
      <c r="O285" s="8">
        <v>18.890410958904109</v>
      </c>
      <c r="P285" t="s">
        <v>32</v>
      </c>
      <c r="Q285">
        <v>1</v>
      </c>
      <c r="R285" s="2">
        <v>38789</v>
      </c>
    </row>
    <row r="286" spans="1:18" x14ac:dyDescent="0.3">
      <c r="A286" t="s">
        <v>7</v>
      </c>
      <c r="B286">
        <v>17640539</v>
      </c>
      <c r="C286" t="s">
        <v>10</v>
      </c>
      <c r="D286" s="4">
        <v>45797</v>
      </c>
      <c r="E286" s="11">
        <f t="shared" si="16"/>
        <v>2025</v>
      </c>
      <c r="F286" s="11">
        <f t="shared" si="17"/>
        <v>5</v>
      </c>
      <c r="G286" s="11" t="str">
        <f t="shared" si="18"/>
        <v>202505</v>
      </c>
      <c r="I286" s="5">
        <v>9999</v>
      </c>
      <c r="J286" s="5">
        <v>333.3</v>
      </c>
      <c r="K286" s="5">
        <f t="shared" si="19"/>
        <v>0</v>
      </c>
      <c r="L286" s="5">
        <v>0</v>
      </c>
      <c r="M286" s="5">
        <v>0</v>
      </c>
      <c r="N286" t="s">
        <v>12</v>
      </c>
      <c r="O286" s="8">
        <v>20.780821917808218</v>
      </c>
      <c r="P286" t="s">
        <v>32</v>
      </c>
      <c r="Q286">
        <v>1</v>
      </c>
      <c r="R286" s="2">
        <v>38212</v>
      </c>
    </row>
    <row r="287" spans="1:18" x14ac:dyDescent="0.3">
      <c r="A287" t="s">
        <v>7</v>
      </c>
      <c r="B287">
        <v>17640545</v>
      </c>
      <c r="C287" t="s">
        <v>8</v>
      </c>
      <c r="D287" s="4">
        <v>45751</v>
      </c>
      <c r="E287" s="11">
        <f t="shared" si="16"/>
        <v>2025</v>
      </c>
      <c r="F287" s="11">
        <f t="shared" si="17"/>
        <v>4</v>
      </c>
      <c r="G287" s="11" t="str">
        <f t="shared" si="18"/>
        <v>202504</v>
      </c>
      <c r="H287" s="4">
        <v>45808</v>
      </c>
      <c r="I287" s="5">
        <v>57</v>
      </c>
      <c r="J287" s="5">
        <v>1.9</v>
      </c>
      <c r="K287" s="5">
        <f t="shared" si="19"/>
        <v>0</v>
      </c>
      <c r="L287" s="5">
        <v>1</v>
      </c>
      <c r="M287" s="5">
        <v>1</v>
      </c>
      <c r="N287" t="s">
        <v>12</v>
      </c>
      <c r="O287" s="8">
        <v>23.005479452054793</v>
      </c>
      <c r="P287" t="s">
        <v>33</v>
      </c>
      <c r="Q287">
        <v>2</v>
      </c>
      <c r="R287" s="2">
        <v>37354</v>
      </c>
    </row>
    <row r="288" spans="1:18" x14ac:dyDescent="0.3">
      <c r="A288" t="s">
        <v>7</v>
      </c>
      <c r="B288">
        <v>17640547</v>
      </c>
      <c r="C288" t="s">
        <v>10</v>
      </c>
      <c r="D288" s="4">
        <v>45689</v>
      </c>
      <c r="E288" s="11">
        <f t="shared" si="16"/>
        <v>2025</v>
      </c>
      <c r="F288" s="11">
        <f t="shared" si="17"/>
        <v>2</v>
      </c>
      <c r="G288" s="11" t="str">
        <f t="shared" si="18"/>
        <v>202502</v>
      </c>
      <c r="H288" s="4">
        <v>45747</v>
      </c>
      <c r="I288" s="5">
        <v>58</v>
      </c>
      <c r="J288" s="5">
        <v>1.9333333333333333</v>
      </c>
      <c r="K288" s="5">
        <f t="shared" si="19"/>
        <v>0</v>
      </c>
      <c r="L288" s="5">
        <v>1</v>
      </c>
      <c r="M288" s="5">
        <v>1</v>
      </c>
      <c r="N288" t="s">
        <v>12</v>
      </c>
      <c r="O288" s="8">
        <v>20.904109589041095</v>
      </c>
      <c r="P288" t="s">
        <v>32</v>
      </c>
      <c r="Q288">
        <v>1</v>
      </c>
      <c r="R288" s="2">
        <v>38059</v>
      </c>
    </row>
    <row r="289" spans="1:18" x14ac:dyDescent="0.3">
      <c r="A289" t="s">
        <v>7</v>
      </c>
      <c r="B289">
        <v>17640551</v>
      </c>
      <c r="C289" t="s">
        <v>8</v>
      </c>
      <c r="D289" s="4">
        <v>45688</v>
      </c>
      <c r="E289" s="11">
        <f t="shared" si="16"/>
        <v>2025</v>
      </c>
      <c r="F289" s="11">
        <f t="shared" si="17"/>
        <v>1</v>
      </c>
      <c r="G289" s="11" t="str">
        <f t="shared" si="18"/>
        <v>202501</v>
      </c>
      <c r="H289" s="4">
        <v>45991</v>
      </c>
      <c r="I289" s="5">
        <v>303</v>
      </c>
      <c r="J289" s="5">
        <v>10.1</v>
      </c>
      <c r="K289" s="5">
        <f t="shared" si="19"/>
        <v>0</v>
      </c>
      <c r="L289" s="5">
        <v>0</v>
      </c>
      <c r="M289" s="5">
        <v>0</v>
      </c>
      <c r="N289" t="s">
        <v>12</v>
      </c>
      <c r="O289" s="8">
        <v>23.876712328767123</v>
      </c>
      <c r="P289" t="s">
        <v>33</v>
      </c>
      <c r="Q289">
        <v>2</v>
      </c>
      <c r="R289" s="2">
        <v>36973</v>
      </c>
    </row>
    <row r="290" spans="1:18" x14ac:dyDescent="0.3">
      <c r="A290" t="s">
        <v>7</v>
      </c>
      <c r="B290">
        <v>17640560</v>
      </c>
      <c r="C290" t="s">
        <v>10</v>
      </c>
      <c r="D290" s="4">
        <v>46135</v>
      </c>
      <c r="E290" s="11">
        <f t="shared" si="16"/>
        <v>2026</v>
      </c>
      <c r="F290" s="11">
        <f t="shared" si="17"/>
        <v>4</v>
      </c>
      <c r="G290" s="11" t="str">
        <f t="shared" si="18"/>
        <v>202604</v>
      </c>
      <c r="I290" s="5">
        <v>9999</v>
      </c>
      <c r="J290" s="5">
        <v>333.3</v>
      </c>
      <c r="K290" s="5">
        <f t="shared" si="19"/>
        <v>0</v>
      </c>
      <c r="L290" s="5">
        <v>0</v>
      </c>
      <c r="M290" s="5">
        <v>0</v>
      </c>
      <c r="N290" t="s">
        <v>12</v>
      </c>
      <c r="O290" s="8">
        <v>25.646575342465752</v>
      </c>
      <c r="P290" t="s">
        <v>33</v>
      </c>
      <c r="Q290">
        <v>2</v>
      </c>
      <c r="R290" s="2">
        <v>36774</v>
      </c>
    </row>
    <row r="291" spans="1:18" x14ac:dyDescent="0.3">
      <c r="A291" t="s">
        <v>7</v>
      </c>
      <c r="B291">
        <v>17640570</v>
      </c>
      <c r="C291" t="s">
        <v>8</v>
      </c>
      <c r="D291" s="4">
        <v>45705</v>
      </c>
      <c r="E291" s="11">
        <f t="shared" si="16"/>
        <v>2025</v>
      </c>
      <c r="F291" s="11">
        <f t="shared" si="17"/>
        <v>2</v>
      </c>
      <c r="G291" s="11" t="str">
        <f t="shared" si="18"/>
        <v>202502</v>
      </c>
      <c r="I291" s="5">
        <v>9999</v>
      </c>
      <c r="J291" s="5">
        <v>333.3</v>
      </c>
      <c r="K291" s="5">
        <f t="shared" si="19"/>
        <v>0</v>
      </c>
      <c r="L291" s="5">
        <v>0</v>
      </c>
      <c r="M291" s="5">
        <v>0</v>
      </c>
      <c r="N291" t="s">
        <v>12</v>
      </c>
      <c r="O291" s="8">
        <v>19.449315068493149</v>
      </c>
      <c r="P291" t="s">
        <v>32</v>
      </c>
      <c r="Q291">
        <v>1</v>
      </c>
      <c r="R291" s="2">
        <v>38606</v>
      </c>
    </row>
    <row r="292" spans="1:18" x14ac:dyDescent="0.3">
      <c r="A292" t="s">
        <v>7</v>
      </c>
      <c r="B292">
        <v>17640579</v>
      </c>
      <c r="C292" t="s">
        <v>8</v>
      </c>
      <c r="D292" s="4">
        <v>45698</v>
      </c>
      <c r="E292" s="11">
        <f t="shared" si="16"/>
        <v>2025</v>
      </c>
      <c r="F292" s="11">
        <f t="shared" si="17"/>
        <v>2</v>
      </c>
      <c r="G292" s="11" t="str">
        <f t="shared" si="18"/>
        <v>202502</v>
      </c>
      <c r="H292" s="4">
        <v>46143</v>
      </c>
      <c r="I292" s="5">
        <v>445</v>
      </c>
      <c r="J292" s="5">
        <v>14.833333333333334</v>
      </c>
      <c r="K292" s="5">
        <f t="shared" si="19"/>
        <v>0</v>
      </c>
      <c r="L292" s="5">
        <v>0</v>
      </c>
      <c r="M292" s="5">
        <v>0</v>
      </c>
      <c r="N292" t="s">
        <v>12</v>
      </c>
      <c r="O292" s="8">
        <v>27.706849315068492</v>
      </c>
      <c r="P292" t="s">
        <v>34</v>
      </c>
      <c r="Q292">
        <v>3</v>
      </c>
      <c r="R292" s="2">
        <v>35585</v>
      </c>
    </row>
    <row r="293" spans="1:18" x14ac:dyDescent="0.3">
      <c r="A293" t="s">
        <v>11</v>
      </c>
      <c r="B293">
        <v>17640586</v>
      </c>
      <c r="C293" t="s">
        <v>10</v>
      </c>
      <c r="D293" s="4">
        <v>45748</v>
      </c>
      <c r="E293" s="11">
        <f t="shared" si="16"/>
        <v>2025</v>
      </c>
      <c r="F293" s="11">
        <f t="shared" si="17"/>
        <v>4</v>
      </c>
      <c r="G293" s="11" t="str">
        <f t="shared" si="18"/>
        <v>202504</v>
      </c>
      <c r="I293" s="5">
        <v>9999</v>
      </c>
      <c r="J293" s="5">
        <v>333.3</v>
      </c>
      <c r="K293" s="5">
        <f t="shared" si="19"/>
        <v>0</v>
      </c>
      <c r="L293" s="5">
        <v>0</v>
      </c>
      <c r="M293" s="5">
        <v>0</v>
      </c>
      <c r="N293" t="s">
        <v>12</v>
      </c>
      <c r="O293" s="8">
        <v>33.367123287671234</v>
      </c>
      <c r="P293" t="s">
        <v>35</v>
      </c>
      <c r="Q293">
        <v>4</v>
      </c>
      <c r="R293" s="2">
        <v>33569</v>
      </c>
    </row>
    <row r="294" spans="1:18" x14ac:dyDescent="0.3">
      <c r="A294" t="s">
        <v>7</v>
      </c>
      <c r="B294">
        <v>17663201</v>
      </c>
      <c r="C294" t="s">
        <v>8</v>
      </c>
      <c r="D294" s="4">
        <v>45705</v>
      </c>
      <c r="E294" s="11">
        <f t="shared" si="16"/>
        <v>2025</v>
      </c>
      <c r="F294" s="11">
        <f t="shared" si="17"/>
        <v>2</v>
      </c>
      <c r="G294" s="11" t="str">
        <f t="shared" si="18"/>
        <v>202502</v>
      </c>
      <c r="I294" s="5">
        <v>9999</v>
      </c>
      <c r="J294" s="5">
        <v>333.3</v>
      </c>
      <c r="K294" s="5">
        <f t="shared" si="19"/>
        <v>0</v>
      </c>
      <c r="L294" s="5">
        <v>0</v>
      </c>
      <c r="M294" s="5">
        <v>0</v>
      </c>
      <c r="N294" t="s">
        <v>12</v>
      </c>
      <c r="O294" s="8">
        <v>18.553424657534247</v>
      </c>
      <c r="P294" t="s">
        <v>32</v>
      </c>
      <c r="Q294">
        <v>1</v>
      </c>
      <c r="R294" s="2">
        <v>38933</v>
      </c>
    </row>
    <row r="295" spans="1:18" x14ac:dyDescent="0.3">
      <c r="A295" t="s">
        <v>7</v>
      </c>
      <c r="B295">
        <v>17663203</v>
      </c>
      <c r="C295" t="s">
        <v>10</v>
      </c>
      <c r="D295" s="4">
        <v>45980</v>
      </c>
      <c r="E295" s="11">
        <f t="shared" si="16"/>
        <v>2025</v>
      </c>
      <c r="F295" s="11">
        <f t="shared" si="17"/>
        <v>11</v>
      </c>
      <c r="G295" s="11" t="str">
        <f t="shared" si="18"/>
        <v>202511</v>
      </c>
      <c r="I295" s="5">
        <v>9999</v>
      </c>
      <c r="J295" s="5">
        <v>333.3</v>
      </c>
      <c r="K295" s="5">
        <f t="shared" si="19"/>
        <v>0</v>
      </c>
      <c r="L295" s="5">
        <v>0</v>
      </c>
      <c r="M295" s="5">
        <v>0</v>
      </c>
      <c r="N295" t="s">
        <v>12</v>
      </c>
      <c r="O295" s="8">
        <v>26.758904109589039</v>
      </c>
      <c r="P295" t="s">
        <v>34</v>
      </c>
      <c r="Q295">
        <v>3</v>
      </c>
      <c r="R295" s="2">
        <v>36213</v>
      </c>
    </row>
    <row r="296" spans="1:18" x14ac:dyDescent="0.3">
      <c r="A296" t="s">
        <v>7</v>
      </c>
      <c r="B296">
        <v>17665028</v>
      </c>
      <c r="C296" t="s">
        <v>10</v>
      </c>
      <c r="D296" s="4">
        <v>45705</v>
      </c>
      <c r="E296" s="11">
        <f t="shared" si="16"/>
        <v>2025</v>
      </c>
      <c r="F296" s="11">
        <f t="shared" si="17"/>
        <v>2</v>
      </c>
      <c r="G296" s="11" t="str">
        <f t="shared" si="18"/>
        <v>202502</v>
      </c>
      <c r="I296" s="5">
        <v>9999</v>
      </c>
      <c r="J296" s="5">
        <v>333.3</v>
      </c>
      <c r="K296" s="5">
        <f t="shared" si="19"/>
        <v>0</v>
      </c>
      <c r="L296" s="5">
        <v>0</v>
      </c>
      <c r="M296" s="5">
        <v>0</v>
      </c>
      <c r="N296" t="s">
        <v>12</v>
      </c>
      <c r="O296" s="8">
        <v>18.8</v>
      </c>
      <c r="P296" t="s">
        <v>32</v>
      </c>
      <c r="Q296">
        <v>1</v>
      </c>
      <c r="R296" s="2">
        <v>38843</v>
      </c>
    </row>
    <row r="297" spans="1:18" x14ac:dyDescent="0.3">
      <c r="A297" t="s">
        <v>11</v>
      </c>
      <c r="B297">
        <v>17665746</v>
      </c>
      <c r="C297" t="s">
        <v>8</v>
      </c>
      <c r="D297" s="4">
        <v>45778</v>
      </c>
      <c r="E297" s="11">
        <f t="shared" si="16"/>
        <v>2025</v>
      </c>
      <c r="F297" s="11">
        <f t="shared" si="17"/>
        <v>5</v>
      </c>
      <c r="G297" s="11" t="str">
        <f t="shared" si="18"/>
        <v>202505</v>
      </c>
      <c r="I297" s="5">
        <v>9999</v>
      </c>
      <c r="J297" s="5">
        <v>333.3</v>
      </c>
      <c r="K297" s="5">
        <f t="shared" si="19"/>
        <v>0</v>
      </c>
      <c r="L297" s="5">
        <v>0</v>
      </c>
      <c r="M297" s="5">
        <v>0</v>
      </c>
      <c r="N297" t="s">
        <v>12</v>
      </c>
      <c r="O297" s="8">
        <v>25.005479452054793</v>
      </c>
      <c r="P297" t="s">
        <v>33</v>
      </c>
      <c r="Q297">
        <v>2</v>
      </c>
      <c r="R297" s="2">
        <v>36651</v>
      </c>
    </row>
    <row r="298" spans="1:18" x14ac:dyDescent="0.3">
      <c r="A298" t="s">
        <v>7</v>
      </c>
      <c r="B298">
        <v>17667108</v>
      </c>
      <c r="C298" t="s">
        <v>10</v>
      </c>
      <c r="D298" s="4">
        <v>45705</v>
      </c>
      <c r="E298" s="11">
        <f t="shared" si="16"/>
        <v>2025</v>
      </c>
      <c r="F298" s="11">
        <f t="shared" si="17"/>
        <v>2</v>
      </c>
      <c r="G298" s="11" t="str">
        <f t="shared" si="18"/>
        <v>202502</v>
      </c>
      <c r="I298" s="5">
        <v>9999</v>
      </c>
      <c r="J298" s="5">
        <v>333.3</v>
      </c>
      <c r="K298" s="5">
        <f t="shared" si="19"/>
        <v>0</v>
      </c>
      <c r="L298" s="5">
        <v>0</v>
      </c>
      <c r="M298" s="5">
        <v>0</v>
      </c>
      <c r="N298" t="s">
        <v>12</v>
      </c>
      <c r="O298" s="8">
        <v>18.93972602739726</v>
      </c>
      <c r="P298" t="s">
        <v>32</v>
      </c>
      <c r="Q298">
        <v>1</v>
      </c>
      <c r="R298" s="2">
        <v>38792</v>
      </c>
    </row>
    <row r="299" spans="1:18" x14ac:dyDescent="0.3">
      <c r="A299" t="s">
        <v>7</v>
      </c>
      <c r="B299">
        <v>17679751</v>
      </c>
      <c r="C299" t="s">
        <v>8</v>
      </c>
      <c r="D299" s="4">
        <v>45695</v>
      </c>
      <c r="E299" s="11">
        <f t="shared" si="16"/>
        <v>2025</v>
      </c>
      <c r="F299" s="11">
        <f t="shared" si="17"/>
        <v>2</v>
      </c>
      <c r="G299" s="11" t="str">
        <f t="shared" si="18"/>
        <v>202502</v>
      </c>
      <c r="I299" s="5">
        <v>9999</v>
      </c>
      <c r="J299" s="5">
        <v>333.3</v>
      </c>
      <c r="K299" s="5">
        <f t="shared" si="19"/>
        <v>0</v>
      </c>
      <c r="L299" s="5">
        <v>0</v>
      </c>
      <c r="M299" s="5">
        <v>0</v>
      </c>
      <c r="N299" t="s">
        <v>9</v>
      </c>
      <c r="O299" s="8">
        <v>30.032876712328768</v>
      </c>
      <c r="P299" t="s">
        <v>34</v>
      </c>
      <c r="Q299">
        <v>3</v>
      </c>
      <c r="R299" s="2">
        <v>34733</v>
      </c>
    </row>
    <row r="300" spans="1:18" x14ac:dyDescent="0.3">
      <c r="A300" t="s">
        <v>7</v>
      </c>
      <c r="B300">
        <v>17680280</v>
      </c>
      <c r="C300" t="s">
        <v>8</v>
      </c>
      <c r="D300" s="4">
        <v>45806</v>
      </c>
      <c r="E300" s="11">
        <f t="shared" si="16"/>
        <v>2025</v>
      </c>
      <c r="F300" s="11">
        <f t="shared" si="17"/>
        <v>5</v>
      </c>
      <c r="G300" s="11" t="str">
        <f t="shared" si="18"/>
        <v>202505</v>
      </c>
      <c r="I300" s="5">
        <v>9999</v>
      </c>
      <c r="J300" s="5">
        <v>333.3</v>
      </c>
      <c r="K300" s="5">
        <f t="shared" si="19"/>
        <v>0</v>
      </c>
      <c r="L300" s="5">
        <v>0</v>
      </c>
      <c r="M300" s="5">
        <v>0</v>
      </c>
      <c r="N300" t="s">
        <v>9</v>
      </c>
      <c r="O300" s="8">
        <v>19.18904109589041</v>
      </c>
      <c r="P300" t="s">
        <v>32</v>
      </c>
      <c r="Q300">
        <v>1</v>
      </c>
      <c r="R300" s="2">
        <v>38802</v>
      </c>
    </row>
    <row r="301" spans="1:18" x14ac:dyDescent="0.3">
      <c r="A301" t="s">
        <v>7</v>
      </c>
      <c r="B301">
        <v>17680464</v>
      </c>
      <c r="C301" t="s">
        <v>8</v>
      </c>
      <c r="D301" s="4">
        <v>45754</v>
      </c>
      <c r="E301" s="11">
        <f t="shared" si="16"/>
        <v>2025</v>
      </c>
      <c r="F301" s="11">
        <f t="shared" si="17"/>
        <v>4</v>
      </c>
      <c r="G301" s="11" t="str">
        <f t="shared" si="18"/>
        <v>202504</v>
      </c>
      <c r="H301" s="4">
        <v>46053</v>
      </c>
      <c r="I301" s="5">
        <v>299</v>
      </c>
      <c r="J301" s="5">
        <v>9.9666666666666668</v>
      </c>
      <c r="K301" s="5">
        <f t="shared" si="19"/>
        <v>0</v>
      </c>
      <c r="L301" s="5">
        <v>0</v>
      </c>
      <c r="M301" s="5">
        <v>0</v>
      </c>
      <c r="N301" t="s">
        <v>9</v>
      </c>
      <c r="O301" s="8">
        <v>23.701369863013699</v>
      </c>
      <c r="P301" t="s">
        <v>33</v>
      </c>
      <c r="Q301">
        <v>2</v>
      </c>
      <c r="R301" s="2">
        <v>37103</v>
      </c>
    </row>
    <row r="302" spans="1:18" x14ac:dyDescent="0.3">
      <c r="A302" t="s">
        <v>11</v>
      </c>
      <c r="B302">
        <v>17680464</v>
      </c>
      <c r="C302" t="s">
        <v>8</v>
      </c>
      <c r="D302" s="4">
        <v>46054</v>
      </c>
      <c r="E302" s="11">
        <f t="shared" si="16"/>
        <v>2026</v>
      </c>
      <c r="F302" s="11">
        <f t="shared" si="17"/>
        <v>2</v>
      </c>
      <c r="G302" s="11" t="str">
        <f t="shared" si="18"/>
        <v>202602</v>
      </c>
      <c r="H302" s="4">
        <v>46096</v>
      </c>
      <c r="I302" s="5">
        <v>42</v>
      </c>
      <c r="J302" s="5">
        <v>1.4</v>
      </c>
      <c r="K302" s="5">
        <f t="shared" si="19"/>
        <v>0</v>
      </c>
      <c r="L302" s="5">
        <v>1</v>
      </c>
      <c r="M302" s="5">
        <v>1</v>
      </c>
      <c r="N302" t="s">
        <v>9</v>
      </c>
      <c r="O302" s="8">
        <v>24.523287671232875</v>
      </c>
      <c r="P302" t="s">
        <v>33</v>
      </c>
      <c r="Q302">
        <v>2</v>
      </c>
      <c r="R302" s="2">
        <v>37103</v>
      </c>
    </row>
    <row r="303" spans="1:18" x14ac:dyDescent="0.3">
      <c r="A303" t="s">
        <v>7</v>
      </c>
      <c r="B303">
        <v>17680776</v>
      </c>
      <c r="C303" t="s">
        <v>10</v>
      </c>
      <c r="D303" s="4">
        <v>46101</v>
      </c>
      <c r="E303" s="11">
        <f t="shared" si="16"/>
        <v>2026</v>
      </c>
      <c r="F303" s="11">
        <f t="shared" si="17"/>
        <v>3</v>
      </c>
      <c r="G303" s="11" t="str">
        <f t="shared" si="18"/>
        <v>202603</v>
      </c>
      <c r="H303" s="4">
        <v>46174</v>
      </c>
      <c r="I303" s="5">
        <v>73</v>
      </c>
      <c r="J303" s="5">
        <v>2.4333333333333331</v>
      </c>
      <c r="K303" s="5">
        <f t="shared" si="19"/>
        <v>0</v>
      </c>
      <c r="L303" s="5">
        <v>1</v>
      </c>
      <c r="M303" s="5">
        <v>1</v>
      </c>
      <c r="N303" t="s">
        <v>9</v>
      </c>
      <c r="O303" s="8">
        <v>21.967123287671232</v>
      </c>
      <c r="P303" t="s">
        <v>33</v>
      </c>
      <c r="Q303">
        <v>2</v>
      </c>
      <c r="R303" s="2">
        <v>38083</v>
      </c>
    </row>
    <row r="304" spans="1:18" x14ac:dyDescent="0.3">
      <c r="A304" t="s">
        <v>7</v>
      </c>
      <c r="B304">
        <v>17680777</v>
      </c>
      <c r="C304" t="s">
        <v>10</v>
      </c>
      <c r="D304" s="4">
        <v>45699</v>
      </c>
      <c r="E304" s="11">
        <f t="shared" si="16"/>
        <v>2025</v>
      </c>
      <c r="F304" s="11">
        <f t="shared" si="17"/>
        <v>2</v>
      </c>
      <c r="G304" s="11" t="str">
        <f t="shared" si="18"/>
        <v>202502</v>
      </c>
      <c r="H304" s="4">
        <v>46119</v>
      </c>
      <c r="I304" s="5">
        <v>420</v>
      </c>
      <c r="J304" s="5">
        <v>14</v>
      </c>
      <c r="K304" s="5">
        <f t="shared" si="19"/>
        <v>0</v>
      </c>
      <c r="L304" s="5">
        <v>0</v>
      </c>
      <c r="M304" s="5">
        <v>0</v>
      </c>
      <c r="N304" t="s">
        <v>9</v>
      </c>
      <c r="O304" s="8">
        <v>30.005479452054793</v>
      </c>
      <c r="P304" t="s">
        <v>34</v>
      </c>
      <c r="Q304">
        <v>3</v>
      </c>
      <c r="R304" s="2">
        <v>34747</v>
      </c>
    </row>
    <row r="305" spans="1:18" x14ac:dyDescent="0.3">
      <c r="A305" t="s">
        <v>7</v>
      </c>
      <c r="B305">
        <v>17681578</v>
      </c>
      <c r="C305" t="s">
        <v>8</v>
      </c>
      <c r="D305" s="4">
        <v>45658</v>
      </c>
      <c r="E305" s="11">
        <f t="shared" si="16"/>
        <v>2025</v>
      </c>
      <c r="F305" s="11">
        <f t="shared" si="17"/>
        <v>1</v>
      </c>
      <c r="G305" s="11" t="str">
        <f t="shared" si="18"/>
        <v>202501</v>
      </c>
      <c r="H305" s="4">
        <v>46023</v>
      </c>
      <c r="I305" s="5">
        <v>365</v>
      </c>
      <c r="J305" s="5">
        <v>12.166666666666666</v>
      </c>
      <c r="K305" s="5">
        <f t="shared" si="19"/>
        <v>0</v>
      </c>
      <c r="L305" s="5">
        <v>0</v>
      </c>
      <c r="M305" s="5">
        <v>0</v>
      </c>
      <c r="N305" t="s">
        <v>9</v>
      </c>
      <c r="O305" s="8">
        <v>19.695890410958903</v>
      </c>
      <c r="P305" t="s">
        <v>32</v>
      </c>
      <c r="Q305">
        <v>1</v>
      </c>
      <c r="R305" s="2">
        <v>38469</v>
      </c>
    </row>
    <row r="306" spans="1:18" x14ac:dyDescent="0.3">
      <c r="A306" t="s">
        <v>7</v>
      </c>
      <c r="B306">
        <v>17682972</v>
      </c>
      <c r="C306" t="s">
        <v>10</v>
      </c>
      <c r="D306" s="4">
        <v>45705</v>
      </c>
      <c r="E306" s="11">
        <f t="shared" si="16"/>
        <v>2025</v>
      </c>
      <c r="F306" s="11">
        <f t="shared" si="17"/>
        <v>2</v>
      </c>
      <c r="G306" s="11" t="str">
        <f t="shared" si="18"/>
        <v>202502</v>
      </c>
      <c r="I306" s="5">
        <v>9999</v>
      </c>
      <c r="J306" s="5">
        <v>333.3</v>
      </c>
      <c r="K306" s="5">
        <f t="shared" si="19"/>
        <v>0</v>
      </c>
      <c r="L306" s="5">
        <v>0</v>
      </c>
      <c r="M306" s="5">
        <v>0</v>
      </c>
      <c r="N306" t="s">
        <v>12</v>
      </c>
      <c r="O306" s="8">
        <v>20.969863013698632</v>
      </c>
      <c r="P306" t="s">
        <v>32</v>
      </c>
      <c r="Q306">
        <v>1</v>
      </c>
      <c r="R306" s="2">
        <v>38051</v>
      </c>
    </row>
    <row r="307" spans="1:18" x14ac:dyDescent="0.3">
      <c r="A307" t="s">
        <v>11</v>
      </c>
      <c r="B307">
        <v>17682975</v>
      </c>
      <c r="C307" t="s">
        <v>10</v>
      </c>
      <c r="D307" s="4">
        <v>45992</v>
      </c>
      <c r="E307" s="11">
        <f t="shared" si="16"/>
        <v>2025</v>
      </c>
      <c r="F307" s="11">
        <f t="shared" si="17"/>
        <v>12</v>
      </c>
      <c r="G307" s="11" t="str">
        <f t="shared" si="18"/>
        <v>202512</v>
      </c>
      <c r="H307" s="4">
        <v>46113</v>
      </c>
      <c r="I307" s="5">
        <v>121</v>
      </c>
      <c r="J307" s="5">
        <v>4.0333333333333332</v>
      </c>
      <c r="K307" s="5">
        <f t="shared" si="19"/>
        <v>0</v>
      </c>
      <c r="L307" s="5">
        <v>0</v>
      </c>
      <c r="M307" s="5">
        <v>1</v>
      </c>
      <c r="N307" t="s">
        <v>9</v>
      </c>
      <c r="O307" s="8">
        <v>19.484931506849314</v>
      </c>
      <c r="P307" t="s">
        <v>32</v>
      </c>
      <c r="Q307">
        <v>1</v>
      </c>
      <c r="R307" s="2">
        <v>38880</v>
      </c>
    </row>
    <row r="308" spans="1:18" x14ac:dyDescent="0.3">
      <c r="A308" t="s">
        <v>11</v>
      </c>
      <c r="B308">
        <v>17683015</v>
      </c>
      <c r="C308" t="s">
        <v>8</v>
      </c>
      <c r="D308" s="4">
        <v>45901</v>
      </c>
      <c r="E308" s="11">
        <f t="shared" si="16"/>
        <v>2025</v>
      </c>
      <c r="F308" s="11">
        <f t="shared" si="17"/>
        <v>9</v>
      </c>
      <c r="G308" s="11" t="str">
        <f t="shared" si="18"/>
        <v>202509</v>
      </c>
      <c r="I308" s="5">
        <v>9999</v>
      </c>
      <c r="J308" s="5">
        <v>333.3</v>
      </c>
      <c r="K308" s="5">
        <f t="shared" si="19"/>
        <v>0</v>
      </c>
      <c r="L308" s="5">
        <v>0</v>
      </c>
      <c r="M308" s="5">
        <v>0</v>
      </c>
      <c r="N308" t="s">
        <v>9</v>
      </c>
      <c r="O308" s="8">
        <v>20.098630136986301</v>
      </c>
      <c r="P308" t="s">
        <v>32</v>
      </c>
      <c r="Q308">
        <v>1</v>
      </c>
      <c r="R308" s="2">
        <v>38565</v>
      </c>
    </row>
    <row r="309" spans="1:18" x14ac:dyDescent="0.3">
      <c r="A309" t="s">
        <v>7</v>
      </c>
      <c r="B309">
        <v>17683361</v>
      </c>
      <c r="C309" t="s">
        <v>8</v>
      </c>
      <c r="D309" s="4">
        <v>45786</v>
      </c>
      <c r="E309" s="11">
        <f t="shared" si="16"/>
        <v>2025</v>
      </c>
      <c r="F309" s="11">
        <f t="shared" si="17"/>
        <v>5</v>
      </c>
      <c r="G309" s="11" t="str">
        <f t="shared" si="18"/>
        <v>202505</v>
      </c>
      <c r="I309" s="5">
        <v>9999</v>
      </c>
      <c r="J309" s="5">
        <v>333.3</v>
      </c>
      <c r="K309" s="5">
        <f t="shared" si="19"/>
        <v>0</v>
      </c>
      <c r="L309" s="5">
        <v>0</v>
      </c>
      <c r="M309" s="5">
        <v>0</v>
      </c>
      <c r="N309" t="s">
        <v>9</v>
      </c>
      <c r="O309" s="8">
        <v>23.268493150684932</v>
      </c>
      <c r="P309" t="s">
        <v>33</v>
      </c>
      <c r="Q309">
        <v>2</v>
      </c>
      <c r="R309" s="2">
        <v>37293</v>
      </c>
    </row>
    <row r="310" spans="1:18" x14ac:dyDescent="0.3">
      <c r="A310" t="s">
        <v>7</v>
      </c>
      <c r="B310">
        <v>17685120</v>
      </c>
      <c r="C310" t="s">
        <v>8</v>
      </c>
      <c r="D310" s="4">
        <v>45695</v>
      </c>
      <c r="E310" s="11">
        <f t="shared" si="16"/>
        <v>2025</v>
      </c>
      <c r="F310" s="11">
        <f t="shared" si="17"/>
        <v>2</v>
      </c>
      <c r="G310" s="11" t="str">
        <f t="shared" si="18"/>
        <v>202502</v>
      </c>
      <c r="I310" s="5">
        <v>9999</v>
      </c>
      <c r="J310" s="5">
        <v>333.3</v>
      </c>
      <c r="K310" s="5">
        <f t="shared" si="19"/>
        <v>0</v>
      </c>
      <c r="L310" s="5">
        <v>0</v>
      </c>
      <c r="M310" s="5">
        <v>0</v>
      </c>
      <c r="N310" t="s">
        <v>9</v>
      </c>
      <c r="O310" s="8">
        <v>19.463013698630139</v>
      </c>
      <c r="P310" t="s">
        <v>32</v>
      </c>
      <c r="Q310">
        <v>1</v>
      </c>
      <c r="R310" s="2">
        <v>38591</v>
      </c>
    </row>
    <row r="311" spans="1:18" x14ac:dyDescent="0.3">
      <c r="A311" t="s">
        <v>7</v>
      </c>
      <c r="B311">
        <v>17685122</v>
      </c>
      <c r="C311" t="s">
        <v>8</v>
      </c>
      <c r="D311" s="4">
        <v>45687</v>
      </c>
      <c r="E311" s="11">
        <f t="shared" si="16"/>
        <v>2025</v>
      </c>
      <c r="F311" s="11">
        <f t="shared" si="17"/>
        <v>1</v>
      </c>
      <c r="G311" s="11" t="str">
        <f t="shared" si="18"/>
        <v>202501</v>
      </c>
      <c r="I311" s="5">
        <v>9999</v>
      </c>
      <c r="J311" s="5">
        <v>333.3</v>
      </c>
      <c r="K311" s="5">
        <f t="shared" si="19"/>
        <v>0</v>
      </c>
      <c r="L311" s="5">
        <v>0</v>
      </c>
      <c r="M311" s="5">
        <v>0</v>
      </c>
      <c r="N311" t="s">
        <v>12</v>
      </c>
      <c r="O311" s="8">
        <v>29.2</v>
      </c>
      <c r="P311" t="s">
        <v>34</v>
      </c>
      <c r="Q311">
        <v>3</v>
      </c>
      <c r="R311" s="2">
        <v>35029</v>
      </c>
    </row>
    <row r="312" spans="1:18" x14ac:dyDescent="0.3">
      <c r="A312" t="s">
        <v>11</v>
      </c>
      <c r="B312">
        <v>17685128</v>
      </c>
      <c r="C312" t="s">
        <v>8</v>
      </c>
      <c r="D312" s="4">
        <v>45876</v>
      </c>
      <c r="E312" s="11">
        <f t="shared" si="16"/>
        <v>2025</v>
      </c>
      <c r="F312" s="11">
        <f t="shared" si="17"/>
        <v>8</v>
      </c>
      <c r="G312" s="11" t="str">
        <f t="shared" si="18"/>
        <v>202508</v>
      </c>
      <c r="H312" s="4">
        <v>46022</v>
      </c>
      <c r="I312" s="5">
        <v>146</v>
      </c>
      <c r="J312" s="5">
        <v>4.8666666666666663</v>
      </c>
      <c r="K312" s="5">
        <f t="shared" si="19"/>
        <v>0</v>
      </c>
      <c r="L312" s="5">
        <v>0</v>
      </c>
      <c r="M312" s="5">
        <v>1</v>
      </c>
      <c r="N312" t="s">
        <v>9</v>
      </c>
      <c r="O312" s="8">
        <v>23.515068493150686</v>
      </c>
      <c r="P312" t="s">
        <v>33</v>
      </c>
      <c r="Q312">
        <v>2</v>
      </c>
      <c r="R312" s="2">
        <v>37293</v>
      </c>
    </row>
    <row r="313" spans="1:18" x14ac:dyDescent="0.3">
      <c r="A313" t="s">
        <v>7</v>
      </c>
      <c r="B313">
        <v>17685159</v>
      </c>
      <c r="C313" t="s">
        <v>8</v>
      </c>
      <c r="D313" s="4">
        <v>45705</v>
      </c>
      <c r="E313" s="11">
        <f t="shared" si="16"/>
        <v>2025</v>
      </c>
      <c r="F313" s="11">
        <f t="shared" si="17"/>
        <v>2</v>
      </c>
      <c r="G313" s="11" t="str">
        <f t="shared" si="18"/>
        <v>202502</v>
      </c>
      <c r="I313" s="5">
        <v>9999</v>
      </c>
      <c r="J313" s="5">
        <v>333.3</v>
      </c>
      <c r="K313" s="5">
        <f t="shared" si="19"/>
        <v>0</v>
      </c>
      <c r="L313" s="5">
        <v>0</v>
      </c>
      <c r="M313" s="5">
        <v>0</v>
      </c>
      <c r="N313" t="s">
        <v>12</v>
      </c>
      <c r="O313" s="8">
        <v>23.663013698630138</v>
      </c>
      <c r="P313" t="s">
        <v>33</v>
      </c>
      <c r="Q313">
        <v>2</v>
      </c>
      <c r="R313" s="2">
        <v>37068</v>
      </c>
    </row>
    <row r="314" spans="1:18" x14ac:dyDescent="0.3">
      <c r="A314" t="s">
        <v>7</v>
      </c>
      <c r="B314">
        <v>17685231</v>
      </c>
      <c r="C314" t="s">
        <v>8</v>
      </c>
      <c r="D314" s="4">
        <v>46111</v>
      </c>
      <c r="E314" s="11">
        <f t="shared" si="16"/>
        <v>2026</v>
      </c>
      <c r="F314" s="11">
        <f t="shared" si="17"/>
        <v>3</v>
      </c>
      <c r="G314" s="11" t="str">
        <f t="shared" si="18"/>
        <v>202603</v>
      </c>
      <c r="I314" s="5">
        <v>9999</v>
      </c>
      <c r="J314" s="5">
        <v>333.3</v>
      </c>
      <c r="K314" s="5">
        <f t="shared" si="19"/>
        <v>0</v>
      </c>
      <c r="L314" s="5">
        <v>0</v>
      </c>
      <c r="M314" s="5">
        <v>0</v>
      </c>
      <c r="N314" t="s">
        <v>9</v>
      </c>
      <c r="O314" s="8">
        <v>20.536986301369861</v>
      </c>
      <c r="P314" t="s">
        <v>32</v>
      </c>
      <c r="Q314">
        <v>1</v>
      </c>
      <c r="R314" s="2">
        <v>38615</v>
      </c>
    </row>
    <row r="315" spans="1:18" x14ac:dyDescent="0.3">
      <c r="A315" t="s">
        <v>11</v>
      </c>
      <c r="B315">
        <v>17729459</v>
      </c>
      <c r="C315" t="s">
        <v>8</v>
      </c>
      <c r="D315" s="4">
        <v>45992</v>
      </c>
      <c r="E315" s="11">
        <f t="shared" si="16"/>
        <v>2025</v>
      </c>
      <c r="F315" s="11">
        <f t="shared" si="17"/>
        <v>12</v>
      </c>
      <c r="G315" s="11" t="str">
        <f t="shared" si="18"/>
        <v>202512</v>
      </c>
      <c r="I315" s="5">
        <v>9999</v>
      </c>
      <c r="J315" s="5">
        <v>333.3</v>
      </c>
      <c r="K315" s="5">
        <f t="shared" si="19"/>
        <v>0</v>
      </c>
      <c r="L315" s="5">
        <v>0</v>
      </c>
      <c r="M315" s="5">
        <v>0</v>
      </c>
      <c r="N315" t="s">
        <v>9</v>
      </c>
      <c r="O315" s="8">
        <v>22.12054794520548</v>
      </c>
      <c r="P315" t="s">
        <v>33</v>
      </c>
      <c r="Q315">
        <v>2</v>
      </c>
      <c r="R315" s="2">
        <v>37918</v>
      </c>
    </row>
    <row r="316" spans="1:18" x14ac:dyDescent="0.3">
      <c r="A316" t="s">
        <v>7</v>
      </c>
      <c r="B316">
        <v>17729551</v>
      </c>
      <c r="C316" t="s">
        <v>10</v>
      </c>
      <c r="D316" s="4">
        <v>45748</v>
      </c>
      <c r="E316" s="11">
        <f t="shared" si="16"/>
        <v>2025</v>
      </c>
      <c r="F316" s="11">
        <f t="shared" si="17"/>
        <v>4</v>
      </c>
      <c r="G316" s="11" t="str">
        <f t="shared" si="18"/>
        <v>202504</v>
      </c>
      <c r="H316" s="4">
        <v>45961</v>
      </c>
      <c r="I316" s="5">
        <v>213</v>
      </c>
      <c r="J316" s="5">
        <v>7.1</v>
      </c>
      <c r="K316" s="5">
        <f t="shared" si="19"/>
        <v>0</v>
      </c>
      <c r="L316" s="5">
        <v>0</v>
      </c>
      <c r="M316" s="5">
        <v>0</v>
      </c>
      <c r="N316" t="s">
        <v>9</v>
      </c>
      <c r="O316" s="8">
        <v>18.890410958904109</v>
      </c>
      <c r="P316" t="s">
        <v>32</v>
      </c>
      <c r="Q316">
        <v>1</v>
      </c>
      <c r="R316" s="2">
        <v>38853</v>
      </c>
    </row>
    <row r="317" spans="1:18" x14ac:dyDescent="0.3">
      <c r="A317" t="s">
        <v>7</v>
      </c>
      <c r="B317">
        <v>17729640</v>
      </c>
      <c r="C317" t="s">
        <v>10</v>
      </c>
      <c r="D317" s="4">
        <v>45748</v>
      </c>
      <c r="E317" s="11">
        <f t="shared" si="16"/>
        <v>2025</v>
      </c>
      <c r="F317" s="11">
        <f t="shared" si="17"/>
        <v>4</v>
      </c>
      <c r="G317" s="11" t="str">
        <f t="shared" si="18"/>
        <v>202504</v>
      </c>
      <c r="H317" s="4">
        <v>46093</v>
      </c>
      <c r="I317" s="5">
        <v>345</v>
      </c>
      <c r="J317" s="5">
        <v>11.5</v>
      </c>
      <c r="K317" s="5">
        <f t="shared" si="19"/>
        <v>0</v>
      </c>
      <c r="L317" s="5">
        <v>0</v>
      </c>
      <c r="M317" s="5">
        <v>0</v>
      </c>
      <c r="N317" t="s">
        <v>9</v>
      </c>
      <c r="O317" s="8">
        <v>19.882191780821916</v>
      </c>
      <c r="P317" t="s">
        <v>32</v>
      </c>
      <c r="Q317">
        <v>1</v>
      </c>
      <c r="R317" s="2">
        <v>38491</v>
      </c>
    </row>
    <row r="318" spans="1:18" x14ac:dyDescent="0.3">
      <c r="A318" t="s">
        <v>11</v>
      </c>
      <c r="B318">
        <v>17730170</v>
      </c>
      <c r="C318" t="s">
        <v>8</v>
      </c>
      <c r="D318" s="4">
        <v>45992</v>
      </c>
      <c r="E318" s="11">
        <f t="shared" si="16"/>
        <v>2025</v>
      </c>
      <c r="F318" s="11">
        <f t="shared" si="17"/>
        <v>12</v>
      </c>
      <c r="G318" s="11" t="str">
        <f t="shared" si="18"/>
        <v>202512</v>
      </c>
      <c r="H318" s="4">
        <v>46121</v>
      </c>
      <c r="I318" s="5">
        <v>129</v>
      </c>
      <c r="J318" s="5">
        <v>4.3</v>
      </c>
      <c r="K318" s="5">
        <f t="shared" si="19"/>
        <v>0</v>
      </c>
      <c r="L318" s="5">
        <v>0</v>
      </c>
      <c r="M318" s="5">
        <v>1</v>
      </c>
      <c r="N318" t="s">
        <v>12</v>
      </c>
      <c r="O318" s="8">
        <v>34.68767123287671</v>
      </c>
      <c r="P318" t="s">
        <v>35</v>
      </c>
      <c r="Q318">
        <v>4</v>
      </c>
      <c r="R318" s="2">
        <v>33331</v>
      </c>
    </row>
    <row r="319" spans="1:18" x14ac:dyDescent="0.3">
      <c r="A319" t="s">
        <v>7</v>
      </c>
      <c r="B319">
        <v>17730170</v>
      </c>
      <c r="C319" t="s">
        <v>8</v>
      </c>
      <c r="D319" s="4">
        <v>45853</v>
      </c>
      <c r="E319" s="11">
        <f t="shared" si="16"/>
        <v>2025</v>
      </c>
      <c r="F319" s="11">
        <f t="shared" si="17"/>
        <v>7</v>
      </c>
      <c r="G319" s="11" t="str">
        <f t="shared" si="18"/>
        <v>202507</v>
      </c>
      <c r="H319" s="4">
        <v>45991</v>
      </c>
      <c r="I319" s="5">
        <v>138</v>
      </c>
      <c r="J319" s="5">
        <v>4.5999999999999996</v>
      </c>
      <c r="K319" s="5">
        <f t="shared" si="19"/>
        <v>0</v>
      </c>
      <c r="L319" s="5">
        <v>0</v>
      </c>
      <c r="M319" s="5">
        <v>1</v>
      </c>
      <c r="N319" t="s">
        <v>12</v>
      </c>
      <c r="O319" s="8">
        <v>34.30684931506849</v>
      </c>
      <c r="P319" t="s">
        <v>35</v>
      </c>
      <c r="Q319">
        <v>4</v>
      </c>
      <c r="R319" s="2">
        <v>33331</v>
      </c>
    </row>
    <row r="320" spans="1:18" x14ac:dyDescent="0.3">
      <c r="A320" t="s">
        <v>7</v>
      </c>
      <c r="B320">
        <v>17734147</v>
      </c>
      <c r="C320" t="s">
        <v>8</v>
      </c>
      <c r="D320" s="4">
        <v>45992</v>
      </c>
      <c r="E320" s="11">
        <f t="shared" si="16"/>
        <v>2025</v>
      </c>
      <c r="F320" s="11">
        <f t="shared" si="17"/>
        <v>12</v>
      </c>
      <c r="G320" s="11" t="str">
        <f t="shared" si="18"/>
        <v>202512</v>
      </c>
      <c r="H320" s="4">
        <v>46081</v>
      </c>
      <c r="I320" s="5">
        <v>89</v>
      </c>
      <c r="J320" s="5">
        <v>2.9666666666666668</v>
      </c>
      <c r="K320" s="5">
        <f t="shared" si="19"/>
        <v>0</v>
      </c>
      <c r="L320" s="5">
        <v>1</v>
      </c>
      <c r="M320" s="5">
        <v>1</v>
      </c>
      <c r="N320" t="s">
        <v>12</v>
      </c>
      <c r="O320" s="8">
        <v>20.849315068493151</v>
      </c>
      <c r="P320" t="s">
        <v>32</v>
      </c>
      <c r="Q320">
        <v>1</v>
      </c>
      <c r="R320" s="2">
        <v>38382</v>
      </c>
    </row>
    <row r="321" spans="1:18" x14ac:dyDescent="0.3">
      <c r="A321" t="s">
        <v>7</v>
      </c>
      <c r="B321">
        <v>17770571</v>
      </c>
      <c r="C321" t="s">
        <v>10</v>
      </c>
      <c r="D321" s="4">
        <v>45870</v>
      </c>
      <c r="E321" s="11">
        <f t="shared" si="16"/>
        <v>2025</v>
      </c>
      <c r="F321" s="11">
        <f t="shared" si="17"/>
        <v>8</v>
      </c>
      <c r="G321" s="11" t="str">
        <f t="shared" si="18"/>
        <v>202508</v>
      </c>
      <c r="I321" s="5">
        <v>9999</v>
      </c>
      <c r="J321" s="5">
        <v>333.3</v>
      </c>
      <c r="K321" s="5">
        <f t="shared" si="19"/>
        <v>0</v>
      </c>
      <c r="L321" s="5">
        <v>0</v>
      </c>
      <c r="M321" s="5">
        <v>0</v>
      </c>
      <c r="N321" t="s">
        <v>12</v>
      </c>
      <c r="O321" s="8">
        <v>19.197260273972603</v>
      </c>
      <c r="P321" t="s">
        <v>32</v>
      </c>
      <c r="Q321">
        <v>1</v>
      </c>
      <c r="R321" s="2">
        <v>38863</v>
      </c>
    </row>
    <row r="322" spans="1:18" x14ac:dyDescent="0.3">
      <c r="A322" t="s">
        <v>7</v>
      </c>
      <c r="B322">
        <v>17770874</v>
      </c>
      <c r="C322" t="s">
        <v>8</v>
      </c>
      <c r="D322" s="4">
        <v>45705</v>
      </c>
      <c r="E322" s="11">
        <f t="shared" si="16"/>
        <v>2025</v>
      </c>
      <c r="F322" s="11">
        <f t="shared" si="17"/>
        <v>2</v>
      </c>
      <c r="G322" s="11" t="str">
        <f t="shared" si="18"/>
        <v>202502</v>
      </c>
      <c r="H322" s="4">
        <v>46142</v>
      </c>
      <c r="I322" s="5">
        <v>437</v>
      </c>
      <c r="J322" s="5">
        <v>14.566666666666666</v>
      </c>
      <c r="K322" s="5">
        <f t="shared" si="19"/>
        <v>0</v>
      </c>
      <c r="L322" s="5">
        <v>0</v>
      </c>
      <c r="M322" s="5">
        <v>0</v>
      </c>
      <c r="N322" t="s">
        <v>12</v>
      </c>
      <c r="O322" s="8">
        <v>19.386301369863013</v>
      </c>
      <c r="P322" t="s">
        <v>32</v>
      </c>
      <c r="Q322">
        <v>1</v>
      </c>
      <c r="R322" s="2">
        <v>38629</v>
      </c>
    </row>
    <row r="323" spans="1:18" x14ac:dyDescent="0.3">
      <c r="A323" t="s">
        <v>11</v>
      </c>
      <c r="B323">
        <v>17783053</v>
      </c>
      <c r="C323" t="s">
        <v>10</v>
      </c>
      <c r="D323" s="4">
        <v>46082</v>
      </c>
      <c r="E323" s="11">
        <f t="shared" ref="E323:E386" si="20">+YEAR(D323)</f>
        <v>2026</v>
      </c>
      <c r="F323" s="11">
        <f t="shared" ref="F323:F386" si="21">+MONTH(D323)</f>
        <v>3</v>
      </c>
      <c r="G323" s="11" t="str">
        <f t="shared" ref="G323:G386" si="22">+TEXT(D323, "yyymm")</f>
        <v>202603</v>
      </c>
      <c r="I323" s="5">
        <v>9999</v>
      </c>
      <c r="J323" s="5">
        <v>333.3</v>
      </c>
      <c r="K323" s="5">
        <f t="shared" ref="K323:K386" si="23">IF(J323&lt;=1,1,0)</f>
        <v>0</v>
      </c>
      <c r="L323" s="5">
        <v>0</v>
      </c>
      <c r="M323" s="5">
        <v>0</v>
      </c>
      <c r="N323" t="s">
        <v>9</v>
      </c>
      <c r="O323" s="8">
        <v>22.136986301369863</v>
      </c>
      <c r="P323" t="s">
        <v>33</v>
      </c>
      <c r="Q323">
        <v>2</v>
      </c>
      <c r="R323" s="2">
        <v>38002</v>
      </c>
    </row>
    <row r="324" spans="1:18" x14ac:dyDescent="0.3">
      <c r="A324" t="s">
        <v>7</v>
      </c>
      <c r="B324">
        <v>17803776</v>
      </c>
      <c r="C324" t="s">
        <v>10</v>
      </c>
      <c r="D324" s="4">
        <v>46150</v>
      </c>
      <c r="E324" s="11">
        <f t="shared" si="20"/>
        <v>2026</v>
      </c>
      <c r="F324" s="11">
        <f t="shared" si="21"/>
        <v>5</v>
      </c>
      <c r="G324" s="11" t="str">
        <f t="shared" si="22"/>
        <v>202605</v>
      </c>
      <c r="I324" s="5">
        <v>9999</v>
      </c>
      <c r="J324" s="5">
        <v>333.3</v>
      </c>
      <c r="K324" s="5">
        <f t="shared" si="23"/>
        <v>0</v>
      </c>
      <c r="L324" s="5">
        <v>0</v>
      </c>
      <c r="M324" s="5">
        <v>0</v>
      </c>
      <c r="N324" t="s">
        <v>9</v>
      </c>
      <c r="O324" s="8">
        <v>19.923287671232877</v>
      </c>
      <c r="P324" t="s">
        <v>32</v>
      </c>
      <c r="Q324">
        <v>1</v>
      </c>
      <c r="R324" s="2">
        <v>38878</v>
      </c>
    </row>
    <row r="325" spans="1:18" x14ac:dyDescent="0.3">
      <c r="A325" t="s">
        <v>7</v>
      </c>
      <c r="B325">
        <v>17803908</v>
      </c>
      <c r="C325" t="s">
        <v>8</v>
      </c>
      <c r="D325" s="4">
        <v>45748</v>
      </c>
      <c r="E325" s="11">
        <f t="shared" si="20"/>
        <v>2025</v>
      </c>
      <c r="F325" s="11">
        <f t="shared" si="21"/>
        <v>4</v>
      </c>
      <c r="G325" s="11" t="str">
        <f t="shared" si="22"/>
        <v>202504</v>
      </c>
      <c r="I325" s="5">
        <v>9999</v>
      </c>
      <c r="J325" s="5">
        <v>333.3</v>
      </c>
      <c r="K325" s="5">
        <f t="shared" si="23"/>
        <v>0</v>
      </c>
      <c r="L325" s="5">
        <v>0</v>
      </c>
      <c r="M325" s="5">
        <v>0</v>
      </c>
      <c r="N325" t="s">
        <v>12</v>
      </c>
      <c r="O325" s="8">
        <v>26.334246575342465</v>
      </c>
      <c r="P325" t="s">
        <v>34</v>
      </c>
      <c r="Q325">
        <v>3</v>
      </c>
      <c r="R325" s="2">
        <v>36136</v>
      </c>
    </row>
    <row r="326" spans="1:18" x14ac:dyDescent="0.3">
      <c r="A326" t="s">
        <v>7</v>
      </c>
      <c r="B326">
        <v>17814984</v>
      </c>
      <c r="C326" t="s">
        <v>10</v>
      </c>
      <c r="D326" s="4">
        <v>45691</v>
      </c>
      <c r="E326" s="11">
        <f t="shared" si="20"/>
        <v>2025</v>
      </c>
      <c r="F326" s="11">
        <f t="shared" si="21"/>
        <v>2</v>
      </c>
      <c r="G326" s="11" t="str">
        <f t="shared" si="22"/>
        <v>202502</v>
      </c>
      <c r="I326" s="5">
        <v>9999</v>
      </c>
      <c r="J326" s="5">
        <v>333.3</v>
      </c>
      <c r="K326" s="5">
        <f t="shared" si="23"/>
        <v>0</v>
      </c>
      <c r="L326" s="5">
        <v>0</v>
      </c>
      <c r="M326" s="5">
        <v>0</v>
      </c>
      <c r="N326" t="s">
        <v>12</v>
      </c>
      <c r="O326" s="8">
        <v>18.830136986301369</v>
      </c>
      <c r="P326" t="s">
        <v>32</v>
      </c>
      <c r="Q326">
        <v>1</v>
      </c>
      <c r="R326" s="2">
        <v>38818</v>
      </c>
    </row>
    <row r="327" spans="1:18" x14ac:dyDescent="0.3">
      <c r="A327" t="s">
        <v>7</v>
      </c>
      <c r="B327">
        <v>17830638</v>
      </c>
      <c r="C327" t="s">
        <v>10</v>
      </c>
      <c r="D327" s="4">
        <v>45717</v>
      </c>
      <c r="E327" s="11">
        <f t="shared" si="20"/>
        <v>2025</v>
      </c>
      <c r="F327" s="11">
        <f t="shared" si="21"/>
        <v>3</v>
      </c>
      <c r="G327" s="11" t="str">
        <f t="shared" si="22"/>
        <v>202503</v>
      </c>
      <c r="H327" s="4">
        <v>45870</v>
      </c>
      <c r="I327" s="5">
        <v>153</v>
      </c>
      <c r="J327" s="5">
        <v>5.0999999999999996</v>
      </c>
      <c r="K327" s="5">
        <f t="shared" si="23"/>
        <v>0</v>
      </c>
      <c r="L327" s="5">
        <v>0</v>
      </c>
      <c r="M327" s="5">
        <v>1</v>
      </c>
      <c r="N327" t="s">
        <v>9</v>
      </c>
      <c r="O327" s="8">
        <v>19.246575342465754</v>
      </c>
      <c r="P327" t="s">
        <v>32</v>
      </c>
      <c r="Q327">
        <v>1</v>
      </c>
      <c r="R327" s="2">
        <v>38692</v>
      </c>
    </row>
    <row r="328" spans="1:18" x14ac:dyDescent="0.3">
      <c r="A328" t="s">
        <v>7</v>
      </c>
      <c r="B328">
        <v>17833529</v>
      </c>
      <c r="C328" t="s">
        <v>8</v>
      </c>
      <c r="D328" s="4">
        <v>45954</v>
      </c>
      <c r="E328" s="11">
        <f t="shared" si="20"/>
        <v>2025</v>
      </c>
      <c r="F328" s="11">
        <f t="shared" si="21"/>
        <v>10</v>
      </c>
      <c r="G328" s="11" t="str">
        <f t="shared" si="22"/>
        <v>202510</v>
      </c>
      <c r="I328" s="5">
        <v>9999</v>
      </c>
      <c r="J328" s="5">
        <v>333.3</v>
      </c>
      <c r="K328" s="5">
        <f t="shared" si="23"/>
        <v>0</v>
      </c>
      <c r="L328" s="5">
        <v>0</v>
      </c>
      <c r="M328" s="5">
        <v>0</v>
      </c>
      <c r="N328" t="s">
        <v>9</v>
      </c>
      <c r="O328" s="8">
        <v>20.56986301369863</v>
      </c>
      <c r="P328" t="s">
        <v>32</v>
      </c>
      <c r="Q328">
        <v>1</v>
      </c>
      <c r="R328" s="2">
        <v>38446</v>
      </c>
    </row>
    <row r="329" spans="1:18" x14ac:dyDescent="0.3">
      <c r="A329" t="s">
        <v>7</v>
      </c>
      <c r="B329">
        <v>17834617</v>
      </c>
      <c r="C329" t="s">
        <v>8</v>
      </c>
      <c r="D329" s="4">
        <v>46078</v>
      </c>
      <c r="E329" s="11">
        <f t="shared" si="20"/>
        <v>2026</v>
      </c>
      <c r="F329" s="11">
        <f t="shared" si="21"/>
        <v>2</v>
      </c>
      <c r="G329" s="11" t="str">
        <f t="shared" si="22"/>
        <v>202602</v>
      </c>
      <c r="I329" s="5">
        <v>9999</v>
      </c>
      <c r="J329" s="5">
        <v>333.3</v>
      </c>
      <c r="K329" s="5">
        <f t="shared" si="23"/>
        <v>0</v>
      </c>
      <c r="L329" s="5">
        <v>0</v>
      </c>
      <c r="M329" s="5">
        <v>0</v>
      </c>
      <c r="N329" t="s">
        <v>9</v>
      </c>
      <c r="O329" s="8">
        <v>21.273972602739725</v>
      </c>
      <c r="P329" t="s">
        <v>33</v>
      </c>
      <c r="Q329">
        <v>2</v>
      </c>
      <c r="R329" s="2">
        <v>38313</v>
      </c>
    </row>
    <row r="330" spans="1:18" x14ac:dyDescent="0.3">
      <c r="A330" t="s">
        <v>7</v>
      </c>
      <c r="B330">
        <v>17835624</v>
      </c>
      <c r="C330" t="s">
        <v>10</v>
      </c>
      <c r="D330" s="4">
        <v>45748</v>
      </c>
      <c r="E330" s="11">
        <f t="shared" si="20"/>
        <v>2025</v>
      </c>
      <c r="F330" s="11">
        <f t="shared" si="21"/>
        <v>4</v>
      </c>
      <c r="G330" s="11" t="str">
        <f t="shared" si="22"/>
        <v>202504</v>
      </c>
      <c r="H330" s="4">
        <v>45869</v>
      </c>
      <c r="I330" s="5">
        <v>121</v>
      </c>
      <c r="J330" s="5">
        <v>4.0333333333333332</v>
      </c>
      <c r="K330" s="5">
        <f t="shared" si="23"/>
        <v>0</v>
      </c>
      <c r="L330" s="5">
        <v>0</v>
      </c>
      <c r="M330" s="5">
        <v>1</v>
      </c>
      <c r="N330" t="s">
        <v>9</v>
      </c>
      <c r="O330" s="8">
        <v>22.312328767123287</v>
      </c>
      <c r="P330" t="s">
        <v>33</v>
      </c>
      <c r="Q330">
        <v>2</v>
      </c>
      <c r="R330" s="2">
        <v>37604</v>
      </c>
    </row>
    <row r="331" spans="1:18" x14ac:dyDescent="0.3">
      <c r="A331" t="s">
        <v>7</v>
      </c>
      <c r="B331">
        <v>17918548</v>
      </c>
      <c r="C331" t="s">
        <v>8</v>
      </c>
      <c r="D331" s="4">
        <v>45994</v>
      </c>
      <c r="E331" s="11">
        <f t="shared" si="20"/>
        <v>2025</v>
      </c>
      <c r="F331" s="11">
        <f t="shared" si="21"/>
        <v>12</v>
      </c>
      <c r="G331" s="11" t="str">
        <f t="shared" si="22"/>
        <v>202512</v>
      </c>
      <c r="I331" s="5">
        <v>9999</v>
      </c>
      <c r="J331" s="5">
        <v>333.3</v>
      </c>
      <c r="K331" s="5">
        <f t="shared" si="23"/>
        <v>0</v>
      </c>
      <c r="L331" s="5">
        <v>0</v>
      </c>
      <c r="M331" s="5">
        <v>0</v>
      </c>
      <c r="N331" t="s">
        <v>12</v>
      </c>
      <c r="O331" s="8">
        <v>19.010958904109589</v>
      </c>
      <c r="P331" t="s">
        <v>32</v>
      </c>
      <c r="Q331">
        <v>1</v>
      </c>
      <c r="R331" s="2">
        <v>39055</v>
      </c>
    </row>
    <row r="332" spans="1:18" x14ac:dyDescent="0.3">
      <c r="A332" t="s">
        <v>7</v>
      </c>
      <c r="B332">
        <v>17918747</v>
      </c>
      <c r="C332" t="s">
        <v>10</v>
      </c>
      <c r="D332" s="4">
        <v>45996</v>
      </c>
      <c r="E332" s="11">
        <f t="shared" si="20"/>
        <v>2025</v>
      </c>
      <c r="F332" s="11">
        <f t="shared" si="21"/>
        <v>12</v>
      </c>
      <c r="G332" s="11" t="str">
        <f t="shared" si="22"/>
        <v>202512</v>
      </c>
      <c r="H332" s="4">
        <v>46003</v>
      </c>
      <c r="I332" s="5">
        <v>7</v>
      </c>
      <c r="J332" s="5">
        <v>0.23333333333333334</v>
      </c>
      <c r="K332" s="5">
        <f t="shared" si="23"/>
        <v>1</v>
      </c>
      <c r="L332" s="5">
        <v>1</v>
      </c>
      <c r="M332" s="5">
        <v>1</v>
      </c>
      <c r="N332" t="s">
        <v>12</v>
      </c>
      <c r="O332" s="8">
        <v>19.252054794520546</v>
      </c>
      <c r="P332" t="s">
        <v>32</v>
      </c>
      <c r="Q332">
        <v>1</v>
      </c>
      <c r="R332" s="2">
        <v>38969</v>
      </c>
    </row>
    <row r="333" spans="1:18" x14ac:dyDescent="0.3">
      <c r="A333" t="s">
        <v>7</v>
      </c>
      <c r="B333">
        <v>17946705</v>
      </c>
      <c r="C333" t="s">
        <v>8</v>
      </c>
      <c r="D333" s="4">
        <v>46161</v>
      </c>
      <c r="E333" s="11">
        <f t="shared" si="20"/>
        <v>2026</v>
      </c>
      <c r="F333" s="11">
        <f t="shared" si="21"/>
        <v>5</v>
      </c>
      <c r="G333" s="11" t="str">
        <f t="shared" si="22"/>
        <v>202605</v>
      </c>
      <c r="I333" s="5">
        <v>9999</v>
      </c>
      <c r="J333" s="5">
        <v>333.3</v>
      </c>
      <c r="K333" s="5">
        <f t="shared" si="23"/>
        <v>0</v>
      </c>
      <c r="L333" s="5">
        <v>0</v>
      </c>
      <c r="M333" s="5">
        <v>0</v>
      </c>
      <c r="N333" t="s">
        <v>12</v>
      </c>
      <c r="O333" s="8">
        <v>23.772602739726029</v>
      </c>
      <c r="P333" t="s">
        <v>33</v>
      </c>
      <c r="Q333">
        <v>2</v>
      </c>
      <c r="R333" s="2">
        <v>37484</v>
      </c>
    </row>
    <row r="334" spans="1:18" x14ac:dyDescent="0.3">
      <c r="A334" t="s">
        <v>11</v>
      </c>
      <c r="B334">
        <v>17946728</v>
      </c>
      <c r="C334" t="s">
        <v>8</v>
      </c>
      <c r="D334" s="4">
        <v>45744</v>
      </c>
      <c r="E334" s="11">
        <f t="shared" si="20"/>
        <v>2025</v>
      </c>
      <c r="F334" s="11">
        <f t="shared" si="21"/>
        <v>3</v>
      </c>
      <c r="G334" s="11" t="str">
        <f t="shared" si="22"/>
        <v>202503</v>
      </c>
      <c r="I334" s="5">
        <v>9999</v>
      </c>
      <c r="J334" s="5">
        <v>333.3</v>
      </c>
      <c r="K334" s="5">
        <f t="shared" si="23"/>
        <v>0</v>
      </c>
      <c r="L334" s="5">
        <v>0</v>
      </c>
      <c r="M334" s="5">
        <v>0</v>
      </c>
      <c r="N334" t="s">
        <v>9</v>
      </c>
      <c r="O334" s="8">
        <v>24.265753424657536</v>
      </c>
      <c r="P334" t="s">
        <v>33</v>
      </c>
      <c r="Q334">
        <v>2</v>
      </c>
      <c r="R334" s="2">
        <v>36887</v>
      </c>
    </row>
    <row r="335" spans="1:18" x14ac:dyDescent="0.3">
      <c r="A335" t="s">
        <v>7</v>
      </c>
      <c r="B335">
        <v>17952019</v>
      </c>
      <c r="C335" t="s">
        <v>8</v>
      </c>
      <c r="D335" s="4">
        <v>45679</v>
      </c>
      <c r="E335" s="11">
        <f t="shared" si="20"/>
        <v>2025</v>
      </c>
      <c r="F335" s="11">
        <f t="shared" si="21"/>
        <v>1</v>
      </c>
      <c r="G335" s="11" t="str">
        <f t="shared" si="22"/>
        <v>202501</v>
      </c>
      <c r="H335" s="4">
        <v>45716</v>
      </c>
      <c r="I335" s="5">
        <v>37</v>
      </c>
      <c r="J335" s="5">
        <v>1.2333333333333334</v>
      </c>
      <c r="K335" s="5">
        <f t="shared" si="23"/>
        <v>0</v>
      </c>
      <c r="L335" s="5">
        <v>1</v>
      </c>
      <c r="M335" s="5">
        <v>1</v>
      </c>
      <c r="N335" t="s">
        <v>9</v>
      </c>
      <c r="O335" s="8">
        <v>19.843835616438355</v>
      </c>
      <c r="P335" t="s">
        <v>32</v>
      </c>
      <c r="Q335">
        <v>1</v>
      </c>
      <c r="R335" s="2">
        <v>38436</v>
      </c>
    </row>
    <row r="336" spans="1:18" x14ac:dyDescent="0.3">
      <c r="A336" t="s">
        <v>11</v>
      </c>
      <c r="B336">
        <v>17952037</v>
      </c>
      <c r="C336" t="s">
        <v>8</v>
      </c>
      <c r="D336" s="4">
        <v>45679</v>
      </c>
      <c r="E336" s="11">
        <f t="shared" si="20"/>
        <v>2025</v>
      </c>
      <c r="F336" s="11">
        <f t="shared" si="21"/>
        <v>1</v>
      </c>
      <c r="G336" s="11" t="str">
        <f t="shared" si="22"/>
        <v>202501</v>
      </c>
      <c r="H336" s="4">
        <v>45747</v>
      </c>
      <c r="I336" s="5">
        <v>68</v>
      </c>
      <c r="J336" s="5">
        <v>2.2666666666666666</v>
      </c>
      <c r="K336" s="5">
        <f t="shared" si="23"/>
        <v>0</v>
      </c>
      <c r="L336" s="5">
        <v>1</v>
      </c>
      <c r="M336" s="5">
        <v>1</v>
      </c>
      <c r="N336" t="s">
        <v>9</v>
      </c>
      <c r="O336" s="8">
        <v>19.890410958904109</v>
      </c>
      <c r="P336" t="s">
        <v>32</v>
      </c>
      <c r="Q336">
        <v>1</v>
      </c>
      <c r="R336" s="2">
        <v>38419</v>
      </c>
    </row>
    <row r="337" spans="1:18" x14ac:dyDescent="0.3">
      <c r="A337" t="s">
        <v>7</v>
      </c>
      <c r="B337">
        <v>17952037</v>
      </c>
      <c r="C337" t="s">
        <v>8</v>
      </c>
      <c r="D337" s="4">
        <v>45748</v>
      </c>
      <c r="E337" s="11">
        <f t="shared" si="20"/>
        <v>2025</v>
      </c>
      <c r="F337" s="11">
        <f t="shared" si="21"/>
        <v>4</v>
      </c>
      <c r="G337" s="11" t="str">
        <f t="shared" si="22"/>
        <v>202504</v>
      </c>
      <c r="H337" s="4">
        <v>45792</v>
      </c>
      <c r="I337" s="5">
        <v>44</v>
      </c>
      <c r="J337" s="5">
        <v>1.4666666666666666</v>
      </c>
      <c r="K337" s="5">
        <f t="shared" si="23"/>
        <v>0</v>
      </c>
      <c r="L337" s="5">
        <v>1</v>
      </c>
      <c r="M337" s="5">
        <v>1</v>
      </c>
      <c r="N337" t="s">
        <v>9</v>
      </c>
      <c r="O337" s="8">
        <v>20.079452054794519</v>
      </c>
      <c r="P337" t="s">
        <v>32</v>
      </c>
      <c r="Q337">
        <v>1</v>
      </c>
      <c r="R337" s="2">
        <v>38419</v>
      </c>
    </row>
    <row r="338" spans="1:18" x14ac:dyDescent="0.3">
      <c r="A338" t="s">
        <v>7</v>
      </c>
      <c r="B338">
        <v>17955837</v>
      </c>
      <c r="C338" t="s">
        <v>10</v>
      </c>
      <c r="D338" s="4">
        <v>45680</v>
      </c>
      <c r="E338" s="11">
        <f t="shared" si="20"/>
        <v>2025</v>
      </c>
      <c r="F338" s="11">
        <f t="shared" si="21"/>
        <v>1</v>
      </c>
      <c r="G338" s="11" t="str">
        <f t="shared" si="22"/>
        <v>202501</v>
      </c>
      <c r="H338" s="4">
        <v>45732</v>
      </c>
      <c r="I338" s="5">
        <v>52</v>
      </c>
      <c r="J338" s="5">
        <v>1.7333333333333334</v>
      </c>
      <c r="K338" s="5">
        <f t="shared" si="23"/>
        <v>0</v>
      </c>
      <c r="L338" s="5">
        <v>1</v>
      </c>
      <c r="M338" s="5">
        <v>1</v>
      </c>
      <c r="N338" t="s">
        <v>9</v>
      </c>
      <c r="O338" s="8">
        <v>20.797260273972604</v>
      </c>
      <c r="P338" t="s">
        <v>32</v>
      </c>
      <c r="Q338">
        <v>1</v>
      </c>
      <c r="R338" s="2">
        <v>38089</v>
      </c>
    </row>
    <row r="339" spans="1:18" x14ac:dyDescent="0.3">
      <c r="A339" t="s">
        <v>7</v>
      </c>
      <c r="B339">
        <v>17956086</v>
      </c>
      <c r="C339" t="s">
        <v>8</v>
      </c>
      <c r="D339" s="4">
        <v>45680</v>
      </c>
      <c r="E339" s="11">
        <f t="shared" si="20"/>
        <v>2025</v>
      </c>
      <c r="F339" s="11">
        <f t="shared" si="21"/>
        <v>1</v>
      </c>
      <c r="G339" s="11" t="str">
        <f t="shared" si="22"/>
        <v>202501</v>
      </c>
      <c r="H339" s="4">
        <v>45738</v>
      </c>
      <c r="I339" s="5">
        <v>58</v>
      </c>
      <c r="J339" s="5">
        <v>1.9333333333333333</v>
      </c>
      <c r="K339" s="5">
        <f t="shared" si="23"/>
        <v>0</v>
      </c>
      <c r="L339" s="5">
        <v>1</v>
      </c>
      <c r="M339" s="5">
        <v>1</v>
      </c>
      <c r="N339" t="s">
        <v>9</v>
      </c>
      <c r="O339" s="8">
        <v>20.460273972602739</v>
      </c>
      <c r="P339" t="s">
        <v>32</v>
      </c>
      <c r="Q339">
        <v>1</v>
      </c>
      <c r="R339" s="2">
        <v>38212</v>
      </c>
    </row>
    <row r="340" spans="1:18" x14ac:dyDescent="0.3">
      <c r="A340" t="s">
        <v>7</v>
      </c>
      <c r="B340">
        <v>17956130</v>
      </c>
      <c r="C340" t="s">
        <v>8</v>
      </c>
      <c r="D340" s="4">
        <v>45680</v>
      </c>
      <c r="E340" s="11">
        <f t="shared" si="20"/>
        <v>2025</v>
      </c>
      <c r="F340" s="11">
        <f t="shared" si="21"/>
        <v>1</v>
      </c>
      <c r="G340" s="11" t="str">
        <f t="shared" si="22"/>
        <v>202501</v>
      </c>
      <c r="I340" s="5">
        <v>9999</v>
      </c>
      <c r="J340" s="5">
        <v>333.3</v>
      </c>
      <c r="K340" s="5">
        <f t="shared" si="23"/>
        <v>0</v>
      </c>
      <c r="L340" s="5">
        <v>0</v>
      </c>
      <c r="M340" s="5">
        <v>0</v>
      </c>
      <c r="N340" t="s">
        <v>9</v>
      </c>
      <c r="O340" s="8">
        <v>18.81917808219178</v>
      </c>
      <c r="P340" t="s">
        <v>32</v>
      </c>
      <c r="Q340">
        <v>1</v>
      </c>
      <c r="R340" s="2">
        <v>38811</v>
      </c>
    </row>
    <row r="341" spans="1:18" x14ac:dyDescent="0.3">
      <c r="A341" t="s">
        <v>7</v>
      </c>
      <c r="B341">
        <v>17956166</v>
      </c>
      <c r="C341" t="s">
        <v>8</v>
      </c>
      <c r="D341" s="4">
        <v>45680</v>
      </c>
      <c r="E341" s="11">
        <f t="shared" si="20"/>
        <v>2025</v>
      </c>
      <c r="F341" s="11">
        <f t="shared" si="21"/>
        <v>1</v>
      </c>
      <c r="G341" s="11" t="str">
        <f t="shared" si="22"/>
        <v>202501</v>
      </c>
      <c r="I341" s="5">
        <v>9999</v>
      </c>
      <c r="J341" s="5">
        <v>333.3</v>
      </c>
      <c r="K341" s="5">
        <f t="shared" si="23"/>
        <v>0</v>
      </c>
      <c r="L341" s="5">
        <v>0</v>
      </c>
      <c r="M341" s="5">
        <v>0</v>
      </c>
      <c r="N341" t="s">
        <v>9</v>
      </c>
      <c r="O341" s="8">
        <v>19.865753424657534</v>
      </c>
      <c r="P341" t="s">
        <v>32</v>
      </c>
      <c r="Q341">
        <v>1</v>
      </c>
      <c r="R341" s="2">
        <v>38429</v>
      </c>
    </row>
    <row r="342" spans="1:18" x14ac:dyDescent="0.3">
      <c r="A342" t="s">
        <v>7</v>
      </c>
      <c r="B342">
        <v>17957019</v>
      </c>
      <c r="C342" t="s">
        <v>10</v>
      </c>
      <c r="D342" s="4">
        <v>45680</v>
      </c>
      <c r="E342" s="11">
        <f t="shared" si="20"/>
        <v>2025</v>
      </c>
      <c r="F342" s="11">
        <f t="shared" si="21"/>
        <v>1</v>
      </c>
      <c r="G342" s="11" t="str">
        <f t="shared" si="22"/>
        <v>202501</v>
      </c>
      <c r="H342" s="4">
        <v>46145</v>
      </c>
      <c r="I342" s="5">
        <v>465</v>
      </c>
      <c r="J342" s="5">
        <v>15.5</v>
      </c>
      <c r="K342" s="5">
        <f t="shared" si="23"/>
        <v>0</v>
      </c>
      <c r="L342" s="5">
        <v>0</v>
      </c>
      <c r="M342" s="5">
        <v>0</v>
      </c>
      <c r="N342" t="s">
        <v>9</v>
      </c>
      <c r="O342" s="8">
        <v>19.904109589041095</v>
      </c>
      <c r="P342" t="s">
        <v>32</v>
      </c>
      <c r="Q342">
        <v>1</v>
      </c>
      <c r="R342" s="2">
        <v>38415</v>
      </c>
    </row>
    <row r="343" spans="1:18" x14ac:dyDescent="0.3">
      <c r="A343" t="s">
        <v>7</v>
      </c>
      <c r="B343">
        <v>17957356</v>
      </c>
      <c r="C343" t="s">
        <v>8</v>
      </c>
      <c r="D343" s="4">
        <v>45680</v>
      </c>
      <c r="E343" s="11">
        <f t="shared" si="20"/>
        <v>2025</v>
      </c>
      <c r="F343" s="11">
        <f t="shared" si="21"/>
        <v>1</v>
      </c>
      <c r="G343" s="11" t="str">
        <f t="shared" si="22"/>
        <v>202501</v>
      </c>
      <c r="H343" s="4">
        <v>45838</v>
      </c>
      <c r="I343" s="5">
        <v>158</v>
      </c>
      <c r="J343" s="5">
        <v>5.2666666666666666</v>
      </c>
      <c r="K343" s="5">
        <f t="shared" si="23"/>
        <v>0</v>
      </c>
      <c r="L343" s="5">
        <v>0</v>
      </c>
      <c r="M343" s="5">
        <v>1</v>
      </c>
      <c r="N343" t="s">
        <v>9</v>
      </c>
      <c r="O343" s="8">
        <v>19.032876712328768</v>
      </c>
      <c r="P343" t="s">
        <v>32</v>
      </c>
      <c r="Q343">
        <v>1</v>
      </c>
      <c r="R343" s="2">
        <v>38733</v>
      </c>
    </row>
    <row r="344" spans="1:18" x14ac:dyDescent="0.3">
      <c r="A344" t="s">
        <v>7</v>
      </c>
      <c r="B344">
        <v>17957357</v>
      </c>
      <c r="C344" t="s">
        <v>8</v>
      </c>
      <c r="D344" s="4">
        <v>45680</v>
      </c>
      <c r="E344" s="11">
        <f t="shared" si="20"/>
        <v>2025</v>
      </c>
      <c r="F344" s="11">
        <f t="shared" si="21"/>
        <v>1</v>
      </c>
      <c r="G344" s="11" t="str">
        <f t="shared" si="22"/>
        <v>202501</v>
      </c>
      <c r="H344" s="4">
        <v>46028</v>
      </c>
      <c r="I344" s="5">
        <v>348</v>
      </c>
      <c r="J344" s="5">
        <v>11.6</v>
      </c>
      <c r="K344" s="5">
        <f t="shared" si="23"/>
        <v>0</v>
      </c>
      <c r="L344" s="5">
        <v>0</v>
      </c>
      <c r="M344" s="5">
        <v>0</v>
      </c>
      <c r="N344" t="s">
        <v>9</v>
      </c>
      <c r="O344" s="8">
        <v>36.906849315068492</v>
      </c>
      <c r="P344" t="s">
        <v>35</v>
      </c>
      <c r="Q344">
        <v>4</v>
      </c>
      <c r="R344" s="2">
        <v>32209</v>
      </c>
    </row>
    <row r="345" spans="1:18" x14ac:dyDescent="0.3">
      <c r="A345" t="s">
        <v>7</v>
      </c>
      <c r="B345">
        <v>17957412</v>
      </c>
      <c r="C345" t="s">
        <v>8</v>
      </c>
      <c r="D345" s="4">
        <v>45680</v>
      </c>
      <c r="E345" s="11">
        <f t="shared" si="20"/>
        <v>2025</v>
      </c>
      <c r="F345" s="11">
        <f t="shared" si="21"/>
        <v>1</v>
      </c>
      <c r="G345" s="11" t="str">
        <f t="shared" si="22"/>
        <v>202501</v>
      </c>
      <c r="I345" s="5">
        <v>9999</v>
      </c>
      <c r="J345" s="5">
        <v>333.3</v>
      </c>
      <c r="K345" s="5">
        <f t="shared" si="23"/>
        <v>0</v>
      </c>
      <c r="L345" s="5">
        <v>0</v>
      </c>
      <c r="M345" s="5">
        <v>0</v>
      </c>
      <c r="N345" t="s">
        <v>9</v>
      </c>
      <c r="O345" s="8">
        <v>21.893150684931506</v>
      </c>
      <c r="P345" t="s">
        <v>33</v>
      </c>
      <c r="Q345">
        <v>2</v>
      </c>
      <c r="R345" s="2">
        <v>37689</v>
      </c>
    </row>
    <row r="346" spans="1:18" x14ac:dyDescent="0.3">
      <c r="A346" t="s">
        <v>7</v>
      </c>
      <c r="B346">
        <v>17957802</v>
      </c>
      <c r="C346" t="s">
        <v>8</v>
      </c>
      <c r="D346" s="4">
        <v>45680</v>
      </c>
      <c r="E346" s="11">
        <f t="shared" si="20"/>
        <v>2025</v>
      </c>
      <c r="F346" s="11">
        <f t="shared" si="21"/>
        <v>1</v>
      </c>
      <c r="G346" s="11" t="str">
        <f t="shared" si="22"/>
        <v>202501</v>
      </c>
      <c r="I346" s="5">
        <v>9999</v>
      </c>
      <c r="J346" s="5">
        <v>333.3</v>
      </c>
      <c r="K346" s="5">
        <f t="shared" si="23"/>
        <v>0</v>
      </c>
      <c r="L346" s="5">
        <v>0</v>
      </c>
      <c r="M346" s="5">
        <v>0</v>
      </c>
      <c r="N346" t="s">
        <v>9</v>
      </c>
      <c r="O346" s="8">
        <v>20.824657534246576</v>
      </c>
      <c r="P346" t="s">
        <v>32</v>
      </c>
      <c r="Q346">
        <v>1</v>
      </c>
      <c r="R346" s="2">
        <v>38079</v>
      </c>
    </row>
    <row r="347" spans="1:18" x14ac:dyDescent="0.3">
      <c r="A347" t="s">
        <v>7</v>
      </c>
      <c r="B347">
        <v>17958128</v>
      </c>
      <c r="C347" t="s">
        <v>8</v>
      </c>
      <c r="D347" s="4">
        <v>45681</v>
      </c>
      <c r="E347" s="11">
        <f t="shared" si="20"/>
        <v>2025</v>
      </c>
      <c r="F347" s="11">
        <f t="shared" si="21"/>
        <v>1</v>
      </c>
      <c r="G347" s="11" t="str">
        <f t="shared" si="22"/>
        <v>202501</v>
      </c>
      <c r="H347" s="4">
        <v>45778</v>
      </c>
      <c r="I347" s="5">
        <v>97</v>
      </c>
      <c r="J347" s="5">
        <v>3.2333333333333334</v>
      </c>
      <c r="K347" s="5">
        <f t="shared" si="23"/>
        <v>0</v>
      </c>
      <c r="L347" s="5">
        <v>0</v>
      </c>
      <c r="M347" s="5">
        <v>1</v>
      </c>
      <c r="N347" t="s">
        <v>9</v>
      </c>
      <c r="O347" s="8">
        <v>20.186301369863013</v>
      </c>
      <c r="P347" t="s">
        <v>32</v>
      </c>
      <c r="Q347">
        <v>1</v>
      </c>
      <c r="R347" s="2">
        <v>38313</v>
      </c>
    </row>
    <row r="348" spans="1:18" x14ac:dyDescent="0.3">
      <c r="A348" t="s">
        <v>7</v>
      </c>
      <c r="B348">
        <v>17958130</v>
      </c>
      <c r="C348" t="s">
        <v>10</v>
      </c>
      <c r="D348" s="4">
        <v>45681</v>
      </c>
      <c r="E348" s="11">
        <f t="shared" si="20"/>
        <v>2025</v>
      </c>
      <c r="F348" s="11">
        <f t="shared" si="21"/>
        <v>1</v>
      </c>
      <c r="G348" s="11" t="str">
        <f t="shared" si="22"/>
        <v>202501</v>
      </c>
      <c r="H348" s="4">
        <v>45778</v>
      </c>
      <c r="I348" s="5">
        <v>97</v>
      </c>
      <c r="J348" s="5">
        <v>3.2333333333333334</v>
      </c>
      <c r="K348" s="5">
        <f t="shared" si="23"/>
        <v>0</v>
      </c>
      <c r="L348" s="5">
        <v>0</v>
      </c>
      <c r="M348" s="5">
        <v>1</v>
      </c>
      <c r="N348" t="s">
        <v>9</v>
      </c>
      <c r="O348" s="8">
        <v>18.761643835616439</v>
      </c>
      <c r="P348" t="s">
        <v>32</v>
      </c>
      <c r="Q348">
        <v>1</v>
      </c>
      <c r="R348" s="2">
        <v>38833</v>
      </c>
    </row>
    <row r="349" spans="1:18" x14ac:dyDescent="0.3">
      <c r="A349" t="s">
        <v>7</v>
      </c>
      <c r="B349">
        <v>17958135</v>
      </c>
      <c r="C349" t="s">
        <v>8</v>
      </c>
      <c r="D349" s="4">
        <v>45681</v>
      </c>
      <c r="E349" s="11">
        <f t="shared" si="20"/>
        <v>2025</v>
      </c>
      <c r="F349" s="11">
        <f t="shared" si="21"/>
        <v>1</v>
      </c>
      <c r="G349" s="11" t="str">
        <f t="shared" si="22"/>
        <v>202501</v>
      </c>
      <c r="I349" s="5">
        <v>9999</v>
      </c>
      <c r="J349" s="5">
        <v>333.3</v>
      </c>
      <c r="K349" s="5">
        <f t="shared" si="23"/>
        <v>0</v>
      </c>
      <c r="L349" s="5">
        <v>0</v>
      </c>
      <c r="M349" s="5">
        <v>0</v>
      </c>
      <c r="N349" t="s">
        <v>9</v>
      </c>
      <c r="O349" s="8">
        <v>20.005479452054793</v>
      </c>
      <c r="P349" t="s">
        <v>32</v>
      </c>
      <c r="Q349">
        <v>1</v>
      </c>
      <c r="R349" s="2">
        <v>38379</v>
      </c>
    </row>
    <row r="350" spans="1:18" x14ac:dyDescent="0.3">
      <c r="A350" t="s">
        <v>7</v>
      </c>
      <c r="B350">
        <v>17958137</v>
      </c>
      <c r="C350" t="s">
        <v>8</v>
      </c>
      <c r="D350" s="4">
        <v>45681</v>
      </c>
      <c r="E350" s="11">
        <f t="shared" si="20"/>
        <v>2025</v>
      </c>
      <c r="F350" s="11">
        <f t="shared" si="21"/>
        <v>1</v>
      </c>
      <c r="G350" s="11" t="str">
        <f t="shared" si="22"/>
        <v>202501</v>
      </c>
      <c r="H350" s="4">
        <v>45747</v>
      </c>
      <c r="I350" s="5">
        <v>66</v>
      </c>
      <c r="J350" s="5">
        <v>2.2000000000000002</v>
      </c>
      <c r="K350" s="5">
        <f t="shared" si="23"/>
        <v>0</v>
      </c>
      <c r="L350" s="5">
        <v>1</v>
      </c>
      <c r="M350" s="5">
        <v>1</v>
      </c>
      <c r="N350" t="s">
        <v>9</v>
      </c>
      <c r="O350" s="8">
        <v>20.32054794520548</v>
      </c>
      <c r="P350" t="s">
        <v>32</v>
      </c>
      <c r="Q350">
        <v>1</v>
      </c>
      <c r="R350" s="2">
        <v>38264</v>
      </c>
    </row>
    <row r="351" spans="1:18" x14ac:dyDescent="0.3">
      <c r="A351" t="s">
        <v>7</v>
      </c>
      <c r="B351">
        <v>17958390</v>
      </c>
      <c r="C351" t="s">
        <v>8</v>
      </c>
      <c r="D351" s="4">
        <v>45681</v>
      </c>
      <c r="E351" s="11">
        <f t="shared" si="20"/>
        <v>2025</v>
      </c>
      <c r="F351" s="11">
        <f t="shared" si="21"/>
        <v>1</v>
      </c>
      <c r="G351" s="11" t="str">
        <f t="shared" si="22"/>
        <v>202501</v>
      </c>
      <c r="H351" s="4">
        <v>45747</v>
      </c>
      <c r="I351" s="5">
        <v>66</v>
      </c>
      <c r="J351" s="5">
        <v>2.2000000000000002</v>
      </c>
      <c r="K351" s="5">
        <f t="shared" si="23"/>
        <v>0</v>
      </c>
      <c r="L351" s="5">
        <v>1</v>
      </c>
      <c r="M351" s="5">
        <v>1</v>
      </c>
      <c r="N351" t="s">
        <v>9</v>
      </c>
      <c r="O351" s="8">
        <v>22.986301369863014</v>
      </c>
      <c r="P351" t="s">
        <v>33</v>
      </c>
      <c r="Q351">
        <v>2</v>
      </c>
      <c r="R351" s="2">
        <v>37291</v>
      </c>
    </row>
    <row r="352" spans="1:18" x14ac:dyDescent="0.3">
      <c r="A352" t="s">
        <v>7</v>
      </c>
      <c r="B352">
        <v>17965565</v>
      </c>
      <c r="C352" t="s">
        <v>10</v>
      </c>
      <c r="D352" s="4">
        <v>45684</v>
      </c>
      <c r="E352" s="11">
        <f t="shared" si="20"/>
        <v>2025</v>
      </c>
      <c r="F352" s="11">
        <f t="shared" si="21"/>
        <v>1</v>
      </c>
      <c r="G352" s="11" t="str">
        <f t="shared" si="22"/>
        <v>202501</v>
      </c>
      <c r="H352" s="4">
        <v>45761</v>
      </c>
      <c r="I352" s="5">
        <v>77</v>
      </c>
      <c r="J352" s="5">
        <v>2.5666666666666669</v>
      </c>
      <c r="K352" s="5">
        <f t="shared" si="23"/>
        <v>0</v>
      </c>
      <c r="L352" s="5">
        <v>1</v>
      </c>
      <c r="M352" s="5">
        <v>1</v>
      </c>
      <c r="N352" t="s">
        <v>12</v>
      </c>
      <c r="O352" s="8">
        <v>23.682191780821917</v>
      </c>
      <c r="P352" t="s">
        <v>33</v>
      </c>
      <c r="Q352">
        <v>2</v>
      </c>
      <c r="R352" s="2">
        <v>37040</v>
      </c>
    </row>
    <row r="353" spans="1:18" x14ac:dyDescent="0.3">
      <c r="A353" t="s">
        <v>11</v>
      </c>
      <c r="B353">
        <v>17965607</v>
      </c>
      <c r="C353" t="s">
        <v>8</v>
      </c>
      <c r="D353" s="4">
        <v>45684</v>
      </c>
      <c r="E353" s="11">
        <f t="shared" si="20"/>
        <v>2025</v>
      </c>
      <c r="F353" s="11">
        <f t="shared" si="21"/>
        <v>1</v>
      </c>
      <c r="G353" s="11" t="str">
        <f t="shared" si="22"/>
        <v>202501</v>
      </c>
      <c r="H353" s="4">
        <v>46096</v>
      </c>
      <c r="I353" s="5">
        <v>412</v>
      </c>
      <c r="J353" s="5">
        <v>13.733333333333333</v>
      </c>
      <c r="K353" s="5">
        <f t="shared" si="23"/>
        <v>0</v>
      </c>
      <c r="L353" s="5">
        <v>0</v>
      </c>
      <c r="M353" s="5">
        <v>0</v>
      </c>
      <c r="N353" t="s">
        <v>9</v>
      </c>
      <c r="O353" s="8">
        <v>20.246575342465754</v>
      </c>
      <c r="P353" t="s">
        <v>32</v>
      </c>
      <c r="Q353">
        <v>1</v>
      </c>
      <c r="R353" s="2">
        <v>38294</v>
      </c>
    </row>
    <row r="354" spans="1:18" x14ac:dyDescent="0.3">
      <c r="A354" t="s">
        <v>7</v>
      </c>
      <c r="B354">
        <v>17965623</v>
      </c>
      <c r="C354" t="s">
        <v>8</v>
      </c>
      <c r="D354" s="4">
        <v>45684</v>
      </c>
      <c r="E354" s="11">
        <f t="shared" si="20"/>
        <v>2025</v>
      </c>
      <c r="F354" s="11">
        <f t="shared" si="21"/>
        <v>1</v>
      </c>
      <c r="G354" s="11" t="str">
        <f t="shared" si="22"/>
        <v>202501</v>
      </c>
      <c r="H354" s="4">
        <v>45691</v>
      </c>
      <c r="I354" s="5">
        <v>7</v>
      </c>
      <c r="J354" s="5">
        <v>0.23333333333333334</v>
      </c>
      <c r="K354" s="5">
        <f t="shared" si="23"/>
        <v>1</v>
      </c>
      <c r="L354" s="5">
        <v>1</v>
      </c>
      <c r="M354" s="5">
        <v>1</v>
      </c>
      <c r="N354" t="s">
        <v>12</v>
      </c>
      <c r="O354" s="8">
        <v>19.098630136986301</v>
      </c>
      <c r="P354" t="s">
        <v>32</v>
      </c>
      <c r="Q354">
        <v>1</v>
      </c>
      <c r="R354" s="2">
        <v>38713</v>
      </c>
    </row>
    <row r="355" spans="1:18" x14ac:dyDescent="0.3">
      <c r="A355" t="s">
        <v>7</v>
      </c>
      <c r="B355">
        <v>17965624</v>
      </c>
      <c r="C355" t="s">
        <v>8</v>
      </c>
      <c r="D355" s="4">
        <v>45684</v>
      </c>
      <c r="E355" s="11">
        <f t="shared" si="20"/>
        <v>2025</v>
      </c>
      <c r="F355" s="11">
        <f t="shared" si="21"/>
        <v>1</v>
      </c>
      <c r="G355" s="11" t="str">
        <f t="shared" si="22"/>
        <v>202501</v>
      </c>
      <c r="H355" s="4">
        <v>46081</v>
      </c>
      <c r="I355" s="5">
        <v>397</v>
      </c>
      <c r="J355" s="5">
        <v>13.233333333333333</v>
      </c>
      <c r="K355" s="5">
        <f t="shared" si="23"/>
        <v>0</v>
      </c>
      <c r="L355" s="5">
        <v>0</v>
      </c>
      <c r="M355" s="5">
        <v>0</v>
      </c>
      <c r="N355" t="s">
        <v>12</v>
      </c>
      <c r="O355" s="8">
        <v>27.915068493150685</v>
      </c>
      <c r="P355" t="s">
        <v>34</v>
      </c>
      <c r="Q355">
        <v>3</v>
      </c>
      <c r="R355" s="2">
        <v>35495</v>
      </c>
    </row>
    <row r="356" spans="1:18" x14ac:dyDescent="0.3">
      <c r="A356" t="s">
        <v>7</v>
      </c>
      <c r="B356">
        <v>17965629</v>
      </c>
      <c r="C356" t="s">
        <v>10</v>
      </c>
      <c r="D356" s="4">
        <v>45684</v>
      </c>
      <c r="E356" s="11">
        <f t="shared" si="20"/>
        <v>2025</v>
      </c>
      <c r="F356" s="11">
        <f t="shared" si="21"/>
        <v>1</v>
      </c>
      <c r="G356" s="11" t="str">
        <f t="shared" si="22"/>
        <v>202501</v>
      </c>
      <c r="H356" s="4">
        <v>45747</v>
      </c>
      <c r="I356" s="5">
        <v>63</v>
      </c>
      <c r="J356" s="5">
        <v>2.1</v>
      </c>
      <c r="K356" s="5">
        <f t="shared" si="23"/>
        <v>0</v>
      </c>
      <c r="L356" s="5">
        <v>1</v>
      </c>
      <c r="M356" s="5">
        <v>1</v>
      </c>
      <c r="N356" t="s">
        <v>9</v>
      </c>
      <c r="O356" s="8">
        <v>18.460273972602739</v>
      </c>
      <c r="P356" t="s">
        <v>32</v>
      </c>
      <c r="Q356">
        <v>1</v>
      </c>
      <c r="R356" s="2">
        <v>38946</v>
      </c>
    </row>
    <row r="357" spans="1:18" x14ac:dyDescent="0.3">
      <c r="A357" t="s">
        <v>7</v>
      </c>
      <c r="B357">
        <v>17965679</v>
      </c>
      <c r="C357" t="s">
        <v>8</v>
      </c>
      <c r="D357" s="4">
        <v>45684</v>
      </c>
      <c r="E357" s="11">
        <f t="shared" si="20"/>
        <v>2025</v>
      </c>
      <c r="F357" s="11">
        <f t="shared" si="21"/>
        <v>1</v>
      </c>
      <c r="G357" s="11" t="str">
        <f t="shared" si="22"/>
        <v>202501</v>
      </c>
      <c r="H357" s="4">
        <v>45753</v>
      </c>
      <c r="I357" s="5">
        <v>69</v>
      </c>
      <c r="J357" s="5">
        <v>2.2999999999999998</v>
      </c>
      <c r="K357" s="5">
        <f t="shared" si="23"/>
        <v>0</v>
      </c>
      <c r="L357" s="5">
        <v>1</v>
      </c>
      <c r="M357" s="5">
        <v>1</v>
      </c>
      <c r="N357" t="s">
        <v>9</v>
      </c>
      <c r="O357" s="8">
        <v>21.367123287671234</v>
      </c>
      <c r="P357" t="s">
        <v>33</v>
      </c>
      <c r="Q357">
        <v>2</v>
      </c>
      <c r="R357" s="2">
        <v>37885</v>
      </c>
    </row>
    <row r="358" spans="1:18" x14ac:dyDescent="0.3">
      <c r="A358" t="s">
        <v>7</v>
      </c>
      <c r="B358">
        <v>17965680</v>
      </c>
      <c r="C358" t="s">
        <v>8</v>
      </c>
      <c r="D358" s="4">
        <v>45684</v>
      </c>
      <c r="E358" s="11">
        <f t="shared" si="20"/>
        <v>2025</v>
      </c>
      <c r="F358" s="11">
        <f t="shared" si="21"/>
        <v>1</v>
      </c>
      <c r="G358" s="11" t="str">
        <f t="shared" si="22"/>
        <v>202501</v>
      </c>
      <c r="H358" s="4">
        <v>45729</v>
      </c>
      <c r="I358" s="5">
        <v>45</v>
      </c>
      <c r="J358" s="5">
        <v>1.5</v>
      </c>
      <c r="K358" s="5">
        <f t="shared" si="23"/>
        <v>0</v>
      </c>
      <c r="L358" s="5">
        <v>1</v>
      </c>
      <c r="M358" s="5">
        <v>1</v>
      </c>
      <c r="N358" t="s">
        <v>9</v>
      </c>
      <c r="O358" s="8">
        <v>24.802739726027397</v>
      </c>
      <c r="P358" t="s">
        <v>33</v>
      </c>
      <c r="Q358">
        <v>2</v>
      </c>
      <c r="R358" s="2">
        <v>36631</v>
      </c>
    </row>
    <row r="359" spans="1:18" x14ac:dyDescent="0.3">
      <c r="A359" t="s">
        <v>7</v>
      </c>
      <c r="B359">
        <v>17965687</v>
      </c>
      <c r="C359" t="s">
        <v>10</v>
      </c>
      <c r="D359" s="4">
        <v>45684</v>
      </c>
      <c r="E359" s="11">
        <f t="shared" si="20"/>
        <v>2025</v>
      </c>
      <c r="F359" s="11">
        <f t="shared" si="21"/>
        <v>1</v>
      </c>
      <c r="G359" s="11" t="str">
        <f t="shared" si="22"/>
        <v>202501</v>
      </c>
      <c r="H359" s="4">
        <v>45758</v>
      </c>
      <c r="I359" s="5">
        <v>74</v>
      </c>
      <c r="J359" s="5">
        <v>2.4666666666666668</v>
      </c>
      <c r="K359" s="5">
        <f t="shared" si="23"/>
        <v>0</v>
      </c>
      <c r="L359" s="5">
        <v>1</v>
      </c>
      <c r="M359" s="5">
        <v>1</v>
      </c>
      <c r="N359" t="s">
        <v>9</v>
      </c>
      <c r="O359" s="8">
        <v>21.035616438356165</v>
      </c>
      <c r="P359" t="s">
        <v>33</v>
      </c>
      <c r="Q359">
        <v>2</v>
      </c>
      <c r="R359" s="2">
        <v>38006</v>
      </c>
    </row>
    <row r="360" spans="1:18" x14ac:dyDescent="0.3">
      <c r="A360" t="s">
        <v>7</v>
      </c>
      <c r="B360">
        <v>17965725</v>
      </c>
      <c r="C360" t="s">
        <v>8</v>
      </c>
      <c r="D360" s="4">
        <v>45684</v>
      </c>
      <c r="E360" s="11">
        <f t="shared" si="20"/>
        <v>2025</v>
      </c>
      <c r="F360" s="11">
        <f t="shared" si="21"/>
        <v>1</v>
      </c>
      <c r="G360" s="11" t="str">
        <f t="shared" si="22"/>
        <v>202501</v>
      </c>
      <c r="H360" s="4">
        <v>45901</v>
      </c>
      <c r="I360" s="5">
        <v>217</v>
      </c>
      <c r="J360" s="5">
        <v>7.2333333333333334</v>
      </c>
      <c r="K360" s="5">
        <f t="shared" si="23"/>
        <v>0</v>
      </c>
      <c r="L360" s="5">
        <v>0</v>
      </c>
      <c r="M360" s="5">
        <v>0</v>
      </c>
      <c r="N360" t="s">
        <v>9</v>
      </c>
      <c r="O360" s="8">
        <v>19.578082191780823</v>
      </c>
      <c r="P360" t="s">
        <v>32</v>
      </c>
      <c r="Q360">
        <v>1</v>
      </c>
      <c r="R360" s="2">
        <v>38538</v>
      </c>
    </row>
    <row r="361" spans="1:18" x14ac:dyDescent="0.3">
      <c r="A361" t="s">
        <v>7</v>
      </c>
      <c r="B361">
        <v>17965729</v>
      </c>
      <c r="C361" t="s">
        <v>8</v>
      </c>
      <c r="D361" s="4">
        <v>45684</v>
      </c>
      <c r="E361" s="11">
        <f t="shared" si="20"/>
        <v>2025</v>
      </c>
      <c r="F361" s="11">
        <f t="shared" si="21"/>
        <v>1</v>
      </c>
      <c r="G361" s="11" t="str">
        <f t="shared" si="22"/>
        <v>202501</v>
      </c>
      <c r="H361" s="4">
        <v>45792</v>
      </c>
      <c r="I361" s="5">
        <v>108</v>
      </c>
      <c r="J361" s="5">
        <v>3.6</v>
      </c>
      <c r="K361" s="5">
        <f t="shared" si="23"/>
        <v>0</v>
      </c>
      <c r="L361" s="5">
        <v>0</v>
      </c>
      <c r="M361" s="5">
        <v>1</v>
      </c>
      <c r="N361" t="s">
        <v>9</v>
      </c>
      <c r="O361" s="8">
        <v>20.44109589041096</v>
      </c>
      <c r="P361" t="s">
        <v>32</v>
      </c>
      <c r="Q361">
        <v>1</v>
      </c>
      <c r="R361" s="2">
        <v>38223</v>
      </c>
    </row>
    <row r="362" spans="1:18" x14ac:dyDescent="0.3">
      <c r="A362" t="s">
        <v>7</v>
      </c>
      <c r="B362">
        <v>17965734</v>
      </c>
      <c r="C362" t="s">
        <v>8</v>
      </c>
      <c r="D362" s="4">
        <v>45684</v>
      </c>
      <c r="E362" s="11">
        <f t="shared" si="20"/>
        <v>2025</v>
      </c>
      <c r="F362" s="11">
        <f t="shared" si="21"/>
        <v>1</v>
      </c>
      <c r="G362" s="11" t="str">
        <f t="shared" si="22"/>
        <v>202501</v>
      </c>
      <c r="I362" s="5">
        <v>9999</v>
      </c>
      <c r="J362" s="5">
        <v>333.3</v>
      </c>
      <c r="K362" s="5">
        <f t="shared" si="23"/>
        <v>0</v>
      </c>
      <c r="L362" s="5">
        <v>0</v>
      </c>
      <c r="M362" s="5">
        <v>0</v>
      </c>
      <c r="N362" t="s">
        <v>9</v>
      </c>
      <c r="O362" s="8">
        <v>19.641095890410959</v>
      </c>
      <c r="P362" t="s">
        <v>32</v>
      </c>
      <c r="Q362">
        <v>1</v>
      </c>
      <c r="R362" s="2">
        <v>38515</v>
      </c>
    </row>
    <row r="363" spans="1:18" x14ac:dyDescent="0.3">
      <c r="A363" t="s">
        <v>7</v>
      </c>
      <c r="B363">
        <v>17965763</v>
      </c>
      <c r="C363" t="s">
        <v>8</v>
      </c>
      <c r="D363" s="4">
        <v>45684</v>
      </c>
      <c r="E363" s="11">
        <f t="shared" si="20"/>
        <v>2025</v>
      </c>
      <c r="F363" s="11">
        <f t="shared" si="21"/>
        <v>1</v>
      </c>
      <c r="G363" s="11" t="str">
        <f t="shared" si="22"/>
        <v>202501</v>
      </c>
      <c r="H363" s="4">
        <v>46068</v>
      </c>
      <c r="I363" s="5">
        <v>384</v>
      </c>
      <c r="J363" s="5">
        <v>12.8</v>
      </c>
      <c r="K363" s="5">
        <f t="shared" si="23"/>
        <v>0</v>
      </c>
      <c r="L363" s="5">
        <v>0</v>
      </c>
      <c r="M363" s="5">
        <v>0</v>
      </c>
      <c r="N363" t="s">
        <v>9</v>
      </c>
      <c r="O363" s="8">
        <v>23.317808219178083</v>
      </c>
      <c r="P363" t="s">
        <v>33</v>
      </c>
      <c r="Q363">
        <v>2</v>
      </c>
      <c r="R363" s="2">
        <v>37173</v>
      </c>
    </row>
    <row r="364" spans="1:18" x14ac:dyDescent="0.3">
      <c r="A364" t="s">
        <v>7</v>
      </c>
      <c r="B364">
        <v>17965798</v>
      </c>
      <c r="C364" t="s">
        <v>8</v>
      </c>
      <c r="D364" s="4">
        <v>45684</v>
      </c>
      <c r="E364" s="11">
        <f t="shared" si="20"/>
        <v>2025</v>
      </c>
      <c r="F364" s="11">
        <f t="shared" si="21"/>
        <v>1</v>
      </c>
      <c r="G364" s="11" t="str">
        <f t="shared" si="22"/>
        <v>202501</v>
      </c>
      <c r="H364" s="4">
        <v>46119</v>
      </c>
      <c r="I364" s="5">
        <v>435</v>
      </c>
      <c r="J364" s="5">
        <v>14.5</v>
      </c>
      <c r="K364" s="5">
        <f t="shared" si="23"/>
        <v>0</v>
      </c>
      <c r="L364" s="5">
        <v>0</v>
      </c>
      <c r="M364" s="5">
        <v>0</v>
      </c>
      <c r="N364" t="s">
        <v>9</v>
      </c>
      <c r="O364" s="8">
        <v>30.306849315068494</v>
      </c>
      <c r="P364" t="s">
        <v>34</v>
      </c>
      <c r="Q364">
        <v>3</v>
      </c>
      <c r="R364" s="2">
        <v>34622</v>
      </c>
    </row>
    <row r="365" spans="1:18" x14ac:dyDescent="0.3">
      <c r="A365" t="s">
        <v>7</v>
      </c>
      <c r="B365">
        <v>17967354</v>
      </c>
      <c r="C365" t="s">
        <v>8</v>
      </c>
      <c r="D365" s="4">
        <v>45684</v>
      </c>
      <c r="E365" s="11">
        <f t="shared" si="20"/>
        <v>2025</v>
      </c>
      <c r="F365" s="11">
        <f t="shared" si="21"/>
        <v>1</v>
      </c>
      <c r="G365" s="11" t="str">
        <f t="shared" si="22"/>
        <v>202501</v>
      </c>
      <c r="I365" s="5">
        <v>9999</v>
      </c>
      <c r="J365" s="5">
        <v>333.3</v>
      </c>
      <c r="K365" s="5">
        <f t="shared" si="23"/>
        <v>0</v>
      </c>
      <c r="L365" s="5">
        <v>0</v>
      </c>
      <c r="M365" s="5">
        <v>0</v>
      </c>
      <c r="N365" t="s">
        <v>12</v>
      </c>
      <c r="O365" s="8">
        <v>27.394520547945206</v>
      </c>
      <c r="P365" t="s">
        <v>34</v>
      </c>
      <c r="Q365">
        <v>3</v>
      </c>
      <c r="R365" s="2">
        <v>35685</v>
      </c>
    </row>
    <row r="366" spans="1:18" x14ac:dyDescent="0.3">
      <c r="A366" t="s">
        <v>7</v>
      </c>
      <c r="B366">
        <v>17968857</v>
      </c>
      <c r="C366" t="s">
        <v>8</v>
      </c>
      <c r="D366" s="4">
        <v>45684</v>
      </c>
      <c r="E366" s="11">
        <f t="shared" si="20"/>
        <v>2025</v>
      </c>
      <c r="F366" s="11">
        <f t="shared" si="21"/>
        <v>1</v>
      </c>
      <c r="G366" s="11" t="str">
        <f t="shared" si="22"/>
        <v>202501</v>
      </c>
      <c r="H366" s="4">
        <v>45811</v>
      </c>
      <c r="I366" s="5">
        <v>127</v>
      </c>
      <c r="J366" s="5">
        <v>4.2333333333333334</v>
      </c>
      <c r="K366" s="5">
        <f t="shared" si="23"/>
        <v>0</v>
      </c>
      <c r="L366" s="5">
        <v>0</v>
      </c>
      <c r="M366" s="5">
        <v>1</v>
      </c>
      <c r="N366" t="s">
        <v>9</v>
      </c>
      <c r="O366" s="8">
        <v>20.399999999999999</v>
      </c>
      <c r="P366" t="s">
        <v>32</v>
      </c>
      <c r="Q366">
        <v>1</v>
      </c>
      <c r="R366" s="2">
        <v>38238</v>
      </c>
    </row>
    <row r="367" spans="1:18" x14ac:dyDescent="0.3">
      <c r="A367" t="s">
        <v>7</v>
      </c>
      <c r="B367">
        <v>17993485</v>
      </c>
      <c r="C367" t="s">
        <v>8</v>
      </c>
      <c r="D367" s="4">
        <v>45685</v>
      </c>
      <c r="E367" s="11">
        <f t="shared" si="20"/>
        <v>2025</v>
      </c>
      <c r="F367" s="11">
        <f t="shared" si="21"/>
        <v>1</v>
      </c>
      <c r="G367" s="11" t="str">
        <f t="shared" si="22"/>
        <v>202501</v>
      </c>
      <c r="I367" s="5">
        <v>9999</v>
      </c>
      <c r="J367" s="5">
        <v>333.3</v>
      </c>
      <c r="K367" s="5">
        <f t="shared" si="23"/>
        <v>0</v>
      </c>
      <c r="L367" s="5">
        <v>0</v>
      </c>
      <c r="M367" s="5">
        <v>0</v>
      </c>
      <c r="N367" t="s">
        <v>12</v>
      </c>
      <c r="O367" s="8">
        <v>19.780821917808218</v>
      </c>
      <c r="P367" t="s">
        <v>32</v>
      </c>
      <c r="Q367">
        <v>1</v>
      </c>
      <c r="R367" s="2">
        <v>38465</v>
      </c>
    </row>
    <row r="368" spans="1:18" x14ac:dyDescent="0.3">
      <c r="A368" t="s">
        <v>7</v>
      </c>
      <c r="B368">
        <v>17993607</v>
      </c>
      <c r="C368" t="s">
        <v>8</v>
      </c>
      <c r="D368" s="4">
        <v>45685</v>
      </c>
      <c r="E368" s="11">
        <f t="shared" si="20"/>
        <v>2025</v>
      </c>
      <c r="F368" s="11">
        <f t="shared" si="21"/>
        <v>1</v>
      </c>
      <c r="G368" s="11" t="str">
        <f t="shared" si="22"/>
        <v>202501</v>
      </c>
      <c r="I368" s="5">
        <v>9999</v>
      </c>
      <c r="J368" s="5">
        <v>333.3</v>
      </c>
      <c r="K368" s="5">
        <f t="shared" si="23"/>
        <v>0</v>
      </c>
      <c r="L368" s="5">
        <v>0</v>
      </c>
      <c r="M368" s="5">
        <v>0</v>
      </c>
      <c r="N368" t="s">
        <v>12</v>
      </c>
      <c r="O368" s="8">
        <v>27.789041095890411</v>
      </c>
      <c r="P368" t="s">
        <v>34</v>
      </c>
      <c r="Q368">
        <v>3</v>
      </c>
      <c r="R368" s="2">
        <v>35542</v>
      </c>
    </row>
    <row r="369" spans="1:18" x14ac:dyDescent="0.3">
      <c r="A369" t="s">
        <v>7</v>
      </c>
      <c r="B369">
        <v>17993632</v>
      </c>
      <c r="C369" t="s">
        <v>8</v>
      </c>
      <c r="D369" s="4">
        <v>45685</v>
      </c>
      <c r="E369" s="11">
        <f t="shared" si="20"/>
        <v>2025</v>
      </c>
      <c r="F369" s="11">
        <f t="shared" si="21"/>
        <v>1</v>
      </c>
      <c r="G369" s="11" t="str">
        <f t="shared" si="22"/>
        <v>202501</v>
      </c>
      <c r="H369" s="4">
        <v>45940</v>
      </c>
      <c r="I369" s="5">
        <v>255</v>
      </c>
      <c r="J369" s="5">
        <v>8.5</v>
      </c>
      <c r="K369" s="5">
        <f t="shared" si="23"/>
        <v>0</v>
      </c>
      <c r="L369" s="5">
        <v>0</v>
      </c>
      <c r="M369" s="5">
        <v>0</v>
      </c>
      <c r="N369" t="s">
        <v>12</v>
      </c>
      <c r="O369" s="8">
        <v>21.93972602739726</v>
      </c>
      <c r="P369" t="s">
        <v>33</v>
      </c>
      <c r="Q369">
        <v>2</v>
      </c>
      <c r="R369" s="2">
        <v>37677</v>
      </c>
    </row>
    <row r="370" spans="1:18" x14ac:dyDescent="0.3">
      <c r="A370" t="s">
        <v>7</v>
      </c>
      <c r="B370">
        <v>17994231</v>
      </c>
      <c r="C370" t="s">
        <v>8</v>
      </c>
      <c r="D370" s="4">
        <v>45685</v>
      </c>
      <c r="E370" s="11">
        <f t="shared" si="20"/>
        <v>2025</v>
      </c>
      <c r="F370" s="11">
        <f t="shared" si="21"/>
        <v>1</v>
      </c>
      <c r="G370" s="11" t="str">
        <f t="shared" si="22"/>
        <v>202501</v>
      </c>
      <c r="H370" s="4">
        <v>45716</v>
      </c>
      <c r="I370" s="5">
        <v>31</v>
      </c>
      <c r="J370" s="5">
        <v>1.0333333333333334</v>
      </c>
      <c r="K370" s="5">
        <f t="shared" si="23"/>
        <v>0</v>
      </c>
      <c r="L370" s="5">
        <v>1</v>
      </c>
      <c r="M370" s="5">
        <v>1</v>
      </c>
      <c r="N370" t="s">
        <v>12</v>
      </c>
      <c r="O370" s="8">
        <v>25.115068493150684</v>
      </c>
      <c r="P370" t="s">
        <v>33</v>
      </c>
      <c r="Q370">
        <v>2</v>
      </c>
      <c r="R370" s="2">
        <v>36518</v>
      </c>
    </row>
    <row r="371" spans="1:18" x14ac:dyDescent="0.3">
      <c r="A371" t="s">
        <v>7</v>
      </c>
      <c r="B371">
        <v>17994290</v>
      </c>
      <c r="C371" t="s">
        <v>8</v>
      </c>
      <c r="D371" s="4">
        <v>45686</v>
      </c>
      <c r="E371" s="11">
        <f t="shared" si="20"/>
        <v>2025</v>
      </c>
      <c r="F371" s="11">
        <f t="shared" si="21"/>
        <v>1</v>
      </c>
      <c r="G371" s="11" t="str">
        <f t="shared" si="22"/>
        <v>202501</v>
      </c>
      <c r="H371" s="4">
        <v>45750</v>
      </c>
      <c r="I371" s="5">
        <v>64</v>
      </c>
      <c r="J371" s="5">
        <v>2.1333333333333333</v>
      </c>
      <c r="K371" s="5">
        <f t="shared" si="23"/>
        <v>0</v>
      </c>
      <c r="L371" s="5">
        <v>1</v>
      </c>
      <c r="M371" s="5">
        <v>1</v>
      </c>
      <c r="N371" t="s">
        <v>12</v>
      </c>
      <c r="O371" s="8">
        <v>19.972602739726028</v>
      </c>
      <c r="P371" t="s">
        <v>32</v>
      </c>
      <c r="Q371">
        <v>1</v>
      </c>
      <c r="R371" s="2">
        <v>38396</v>
      </c>
    </row>
    <row r="372" spans="1:18" x14ac:dyDescent="0.3">
      <c r="A372" t="s">
        <v>7</v>
      </c>
      <c r="B372">
        <v>17994381</v>
      </c>
      <c r="C372" t="s">
        <v>10</v>
      </c>
      <c r="D372" s="4">
        <v>45687</v>
      </c>
      <c r="E372" s="11">
        <f t="shared" si="20"/>
        <v>2025</v>
      </c>
      <c r="F372" s="11">
        <f t="shared" si="21"/>
        <v>1</v>
      </c>
      <c r="G372" s="11" t="str">
        <f t="shared" si="22"/>
        <v>202501</v>
      </c>
      <c r="H372" s="4">
        <v>45869</v>
      </c>
      <c r="I372" s="5">
        <v>182</v>
      </c>
      <c r="J372" s="5">
        <v>6.0666666666666664</v>
      </c>
      <c r="K372" s="5">
        <f t="shared" si="23"/>
        <v>0</v>
      </c>
      <c r="L372" s="5">
        <v>0</v>
      </c>
      <c r="M372" s="5">
        <v>0</v>
      </c>
      <c r="N372" t="s">
        <v>9</v>
      </c>
      <c r="O372" s="8">
        <v>21.12054794520548</v>
      </c>
      <c r="P372" t="s">
        <v>33</v>
      </c>
      <c r="Q372">
        <v>2</v>
      </c>
      <c r="R372" s="2">
        <v>37978</v>
      </c>
    </row>
    <row r="373" spans="1:18" x14ac:dyDescent="0.3">
      <c r="A373" t="s">
        <v>7</v>
      </c>
      <c r="B373">
        <v>17994382</v>
      </c>
      <c r="C373" t="s">
        <v>8</v>
      </c>
      <c r="D373" s="4">
        <v>45687</v>
      </c>
      <c r="E373" s="11">
        <f t="shared" si="20"/>
        <v>2025</v>
      </c>
      <c r="F373" s="11">
        <f t="shared" si="21"/>
        <v>1</v>
      </c>
      <c r="G373" s="11" t="str">
        <f t="shared" si="22"/>
        <v>202501</v>
      </c>
      <c r="H373" s="4">
        <v>45719</v>
      </c>
      <c r="I373" s="5">
        <v>32</v>
      </c>
      <c r="J373" s="5">
        <v>1.0666666666666667</v>
      </c>
      <c r="K373" s="5">
        <f t="shared" si="23"/>
        <v>0</v>
      </c>
      <c r="L373" s="5">
        <v>1</v>
      </c>
      <c r="M373" s="5">
        <v>1</v>
      </c>
      <c r="N373" t="s">
        <v>9</v>
      </c>
      <c r="O373" s="8">
        <v>18.123287671232877</v>
      </c>
      <c r="P373" t="s">
        <v>32</v>
      </c>
      <c r="Q373">
        <v>1</v>
      </c>
      <c r="R373" s="2">
        <v>39072</v>
      </c>
    </row>
    <row r="374" spans="1:18" x14ac:dyDescent="0.3">
      <c r="A374" t="s">
        <v>7</v>
      </c>
      <c r="B374">
        <v>17994383</v>
      </c>
      <c r="C374" t="s">
        <v>10</v>
      </c>
      <c r="D374" s="4">
        <v>45687</v>
      </c>
      <c r="E374" s="11">
        <f t="shared" si="20"/>
        <v>2025</v>
      </c>
      <c r="F374" s="11">
        <f t="shared" si="21"/>
        <v>1</v>
      </c>
      <c r="G374" s="11" t="str">
        <f t="shared" si="22"/>
        <v>202501</v>
      </c>
      <c r="H374" s="4">
        <v>46082</v>
      </c>
      <c r="I374" s="5">
        <v>395</v>
      </c>
      <c r="J374" s="5">
        <v>13.166666666666666</v>
      </c>
      <c r="K374" s="5">
        <f t="shared" si="23"/>
        <v>0</v>
      </c>
      <c r="L374" s="5">
        <v>0</v>
      </c>
      <c r="M374" s="5">
        <v>0</v>
      </c>
      <c r="N374" t="s">
        <v>9</v>
      </c>
      <c r="O374" s="8">
        <v>25.523287671232875</v>
      </c>
      <c r="P374" t="s">
        <v>33</v>
      </c>
      <c r="Q374">
        <v>2</v>
      </c>
      <c r="R374" s="2">
        <v>36371</v>
      </c>
    </row>
    <row r="375" spans="1:18" x14ac:dyDescent="0.3">
      <c r="A375" t="s">
        <v>7</v>
      </c>
      <c r="B375">
        <v>17994385</v>
      </c>
      <c r="C375" t="s">
        <v>8</v>
      </c>
      <c r="D375" s="4">
        <v>45687</v>
      </c>
      <c r="E375" s="11">
        <f t="shared" si="20"/>
        <v>2025</v>
      </c>
      <c r="F375" s="11">
        <f t="shared" si="21"/>
        <v>1</v>
      </c>
      <c r="G375" s="11" t="str">
        <f t="shared" si="22"/>
        <v>202501</v>
      </c>
      <c r="I375" s="5">
        <v>9999</v>
      </c>
      <c r="J375" s="5">
        <v>333.3</v>
      </c>
      <c r="K375" s="5">
        <f t="shared" si="23"/>
        <v>0</v>
      </c>
      <c r="L375" s="5">
        <v>0</v>
      </c>
      <c r="M375" s="5">
        <v>0</v>
      </c>
      <c r="N375" t="s">
        <v>9</v>
      </c>
      <c r="O375" s="8">
        <v>21.30958904109589</v>
      </c>
      <c r="P375" t="s">
        <v>33</v>
      </c>
      <c r="Q375">
        <v>2</v>
      </c>
      <c r="R375" s="2">
        <v>37909</v>
      </c>
    </row>
    <row r="376" spans="1:18" x14ac:dyDescent="0.3">
      <c r="A376" t="s">
        <v>7</v>
      </c>
      <c r="B376">
        <v>17994387</v>
      </c>
      <c r="C376" t="s">
        <v>10</v>
      </c>
      <c r="D376" s="4">
        <v>45687</v>
      </c>
      <c r="E376" s="11">
        <f t="shared" si="20"/>
        <v>2025</v>
      </c>
      <c r="F376" s="11">
        <f t="shared" si="21"/>
        <v>1</v>
      </c>
      <c r="G376" s="11" t="str">
        <f t="shared" si="22"/>
        <v>202501</v>
      </c>
      <c r="I376" s="5">
        <v>9999</v>
      </c>
      <c r="J376" s="5">
        <v>333.3</v>
      </c>
      <c r="K376" s="5">
        <f t="shared" si="23"/>
        <v>0</v>
      </c>
      <c r="L376" s="5">
        <v>0</v>
      </c>
      <c r="M376" s="5">
        <v>0</v>
      </c>
      <c r="N376" t="s">
        <v>9</v>
      </c>
      <c r="O376" s="8">
        <v>20.052054794520547</v>
      </c>
      <c r="P376" t="s">
        <v>32</v>
      </c>
      <c r="Q376">
        <v>1</v>
      </c>
      <c r="R376" s="2">
        <v>38368</v>
      </c>
    </row>
    <row r="377" spans="1:18" x14ac:dyDescent="0.3">
      <c r="A377" t="s">
        <v>7</v>
      </c>
      <c r="B377">
        <v>17994389</v>
      </c>
      <c r="C377" t="s">
        <v>8</v>
      </c>
      <c r="D377" s="4">
        <v>45687</v>
      </c>
      <c r="E377" s="11">
        <f t="shared" si="20"/>
        <v>2025</v>
      </c>
      <c r="F377" s="11">
        <f t="shared" si="21"/>
        <v>1</v>
      </c>
      <c r="G377" s="11" t="str">
        <f t="shared" si="22"/>
        <v>202501</v>
      </c>
      <c r="H377" s="4">
        <v>45901</v>
      </c>
      <c r="I377" s="5">
        <v>214</v>
      </c>
      <c r="J377" s="5">
        <v>7.1333333333333337</v>
      </c>
      <c r="K377" s="5">
        <f t="shared" si="23"/>
        <v>0</v>
      </c>
      <c r="L377" s="5">
        <v>0</v>
      </c>
      <c r="M377" s="5">
        <v>0</v>
      </c>
      <c r="N377" t="s">
        <v>9</v>
      </c>
      <c r="O377" s="8">
        <v>20.693150684931506</v>
      </c>
      <c r="P377" t="s">
        <v>32</v>
      </c>
      <c r="Q377">
        <v>1</v>
      </c>
      <c r="R377" s="2">
        <v>38134</v>
      </c>
    </row>
    <row r="378" spans="1:18" x14ac:dyDescent="0.3">
      <c r="A378" t="s">
        <v>7</v>
      </c>
      <c r="B378">
        <v>17994391</v>
      </c>
      <c r="C378" t="s">
        <v>8</v>
      </c>
      <c r="D378" s="4">
        <v>45687</v>
      </c>
      <c r="E378" s="11">
        <f t="shared" si="20"/>
        <v>2025</v>
      </c>
      <c r="F378" s="11">
        <f t="shared" si="21"/>
        <v>1</v>
      </c>
      <c r="G378" s="11" t="str">
        <f t="shared" si="22"/>
        <v>202501</v>
      </c>
      <c r="H378" s="4">
        <v>45716</v>
      </c>
      <c r="I378" s="5">
        <v>29</v>
      </c>
      <c r="J378" s="5">
        <v>0.96666666666666667</v>
      </c>
      <c r="K378" s="5">
        <f t="shared" si="23"/>
        <v>1</v>
      </c>
      <c r="L378" s="5">
        <v>1</v>
      </c>
      <c r="M378" s="5">
        <v>1</v>
      </c>
      <c r="N378" t="s">
        <v>9</v>
      </c>
      <c r="O378" s="8">
        <v>23.802739726027397</v>
      </c>
      <c r="P378" t="s">
        <v>33</v>
      </c>
      <c r="Q378">
        <v>2</v>
      </c>
      <c r="R378" s="2">
        <v>36999</v>
      </c>
    </row>
    <row r="379" spans="1:18" x14ac:dyDescent="0.3">
      <c r="A379" t="s">
        <v>7</v>
      </c>
      <c r="B379">
        <v>17994393</v>
      </c>
      <c r="C379" t="s">
        <v>10</v>
      </c>
      <c r="D379" s="4">
        <v>45687</v>
      </c>
      <c r="E379" s="11">
        <f t="shared" si="20"/>
        <v>2025</v>
      </c>
      <c r="F379" s="11">
        <f t="shared" si="21"/>
        <v>1</v>
      </c>
      <c r="G379" s="11" t="str">
        <f t="shared" si="22"/>
        <v>202501</v>
      </c>
      <c r="H379" s="4">
        <v>45858</v>
      </c>
      <c r="I379" s="5">
        <v>171</v>
      </c>
      <c r="J379" s="5">
        <v>5.7</v>
      </c>
      <c r="K379" s="5">
        <f t="shared" si="23"/>
        <v>0</v>
      </c>
      <c r="L379" s="5">
        <v>0</v>
      </c>
      <c r="M379" s="5">
        <v>1</v>
      </c>
      <c r="N379" t="s">
        <v>9</v>
      </c>
      <c r="O379" s="8">
        <v>19.4986301369863</v>
      </c>
      <c r="P379" t="s">
        <v>32</v>
      </c>
      <c r="Q379">
        <v>1</v>
      </c>
      <c r="R379" s="2">
        <v>38570</v>
      </c>
    </row>
    <row r="380" spans="1:18" x14ac:dyDescent="0.3">
      <c r="A380" t="s">
        <v>7</v>
      </c>
      <c r="B380">
        <v>17994418</v>
      </c>
      <c r="C380" t="s">
        <v>8</v>
      </c>
      <c r="D380" s="4">
        <v>45687</v>
      </c>
      <c r="E380" s="11">
        <f t="shared" si="20"/>
        <v>2025</v>
      </c>
      <c r="F380" s="11">
        <f t="shared" si="21"/>
        <v>1</v>
      </c>
      <c r="G380" s="11" t="str">
        <f t="shared" si="22"/>
        <v>202501</v>
      </c>
      <c r="I380" s="5">
        <v>9999</v>
      </c>
      <c r="J380" s="5">
        <v>333.3</v>
      </c>
      <c r="K380" s="5">
        <f t="shared" si="23"/>
        <v>0</v>
      </c>
      <c r="L380" s="5">
        <v>0</v>
      </c>
      <c r="M380" s="5">
        <v>0</v>
      </c>
      <c r="N380" t="s">
        <v>9</v>
      </c>
      <c r="O380" s="8">
        <v>18.484931506849314</v>
      </c>
      <c r="P380" t="s">
        <v>32</v>
      </c>
      <c r="Q380">
        <v>1</v>
      </c>
      <c r="R380" s="2">
        <v>38940</v>
      </c>
    </row>
    <row r="381" spans="1:18" x14ac:dyDescent="0.3">
      <c r="A381" t="s">
        <v>11</v>
      </c>
      <c r="B381">
        <v>17994419</v>
      </c>
      <c r="C381" t="s">
        <v>10</v>
      </c>
      <c r="D381" s="4">
        <v>45687</v>
      </c>
      <c r="E381" s="11">
        <f t="shared" si="20"/>
        <v>2025</v>
      </c>
      <c r="F381" s="11">
        <f t="shared" si="21"/>
        <v>1</v>
      </c>
      <c r="G381" s="11" t="str">
        <f t="shared" si="22"/>
        <v>202501</v>
      </c>
      <c r="H381" s="4">
        <v>45784</v>
      </c>
      <c r="I381" s="5">
        <v>97</v>
      </c>
      <c r="J381" s="5">
        <v>3.2333333333333334</v>
      </c>
      <c r="K381" s="5">
        <f t="shared" si="23"/>
        <v>0</v>
      </c>
      <c r="L381" s="5">
        <v>0</v>
      </c>
      <c r="M381" s="5">
        <v>1</v>
      </c>
      <c r="N381" t="s">
        <v>9</v>
      </c>
      <c r="O381" s="8">
        <v>18.964383561643835</v>
      </c>
      <c r="P381" t="s">
        <v>32</v>
      </c>
      <c r="Q381">
        <v>1</v>
      </c>
      <c r="R381" s="2">
        <v>38765</v>
      </c>
    </row>
    <row r="382" spans="1:18" x14ac:dyDescent="0.3">
      <c r="A382" t="s">
        <v>11</v>
      </c>
      <c r="B382">
        <v>17994422</v>
      </c>
      <c r="C382" t="s">
        <v>10</v>
      </c>
      <c r="D382" s="4">
        <v>45687</v>
      </c>
      <c r="E382" s="11">
        <f t="shared" si="20"/>
        <v>2025</v>
      </c>
      <c r="F382" s="11">
        <f t="shared" si="21"/>
        <v>1</v>
      </c>
      <c r="G382" s="11" t="str">
        <f t="shared" si="22"/>
        <v>202501</v>
      </c>
      <c r="H382" s="4">
        <v>46006</v>
      </c>
      <c r="I382" s="5">
        <v>319</v>
      </c>
      <c r="J382" s="5">
        <v>10.633333333333333</v>
      </c>
      <c r="K382" s="5">
        <f t="shared" si="23"/>
        <v>0</v>
      </c>
      <c r="L382" s="5">
        <v>0</v>
      </c>
      <c r="M382" s="5">
        <v>0</v>
      </c>
      <c r="N382" t="s">
        <v>9</v>
      </c>
      <c r="O382" s="8">
        <v>19.841095890410958</v>
      </c>
      <c r="P382" t="s">
        <v>32</v>
      </c>
      <c r="Q382">
        <v>1</v>
      </c>
      <c r="R382" s="2">
        <v>38445</v>
      </c>
    </row>
    <row r="383" spans="1:18" x14ac:dyDescent="0.3">
      <c r="A383" t="s">
        <v>7</v>
      </c>
      <c r="B383">
        <v>17994425</v>
      </c>
      <c r="C383" t="s">
        <v>8</v>
      </c>
      <c r="D383" s="4">
        <v>45687</v>
      </c>
      <c r="E383" s="11">
        <f t="shared" si="20"/>
        <v>2025</v>
      </c>
      <c r="F383" s="11">
        <f t="shared" si="21"/>
        <v>1</v>
      </c>
      <c r="G383" s="11" t="str">
        <f t="shared" si="22"/>
        <v>202501</v>
      </c>
      <c r="H383" s="4">
        <v>45753</v>
      </c>
      <c r="I383" s="5">
        <v>66</v>
      </c>
      <c r="J383" s="5">
        <v>2.2000000000000002</v>
      </c>
      <c r="K383" s="5">
        <f t="shared" si="23"/>
        <v>0</v>
      </c>
      <c r="L383" s="5">
        <v>1</v>
      </c>
      <c r="M383" s="5">
        <v>1</v>
      </c>
      <c r="N383" t="s">
        <v>12</v>
      </c>
      <c r="O383" s="8">
        <v>20.608219178082191</v>
      </c>
      <c r="P383" t="s">
        <v>32</v>
      </c>
      <c r="Q383">
        <v>1</v>
      </c>
      <c r="R383" s="2">
        <v>38165</v>
      </c>
    </row>
    <row r="384" spans="1:18" x14ac:dyDescent="0.3">
      <c r="A384" t="s">
        <v>7</v>
      </c>
      <c r="B384">
        <v>17994434</v>
      </c>
      <c r="C384" t="s">
        <v>8</v>
      </c>
      <c r="D384" s="4">
        <v>45687</v>
      </c>
      <c r="E384" s="11">
        <f t="shared" si="20"/>
        <v>2025</v>
      </c>
      <c r="F384" s="11">
        <f t="shared" si="21"/>
        <v>1</v>
      </c>
      <c r="G384" s="11" t="str">
        <f t="shared" si="22"/>
        <v>202501</v>
      </c>
      <c r="I384" s="5">
        <v>9999</v>
      </c>
      <c r="J384" s="5">
        <v>333.3</v>
      </c>
      <c r="K384" s="5">
        <f t="shared" si="23"/>
        <v>0</v>
      </c>
      <c r="L384" s="5">
        <v>0</v>
      </c>
      <c r="M384" s="5">
        <v>0</v>
      </c>
      <c r="N384" t="s">
        <v>9</v>
      </c>
      <c r="O384" s="8">
        <v>21.169863013698631</v>
      </c>
      <c r="P384" t="s">
        <v>33</v>
      </c>
      <c r="Q384">
        <v>2</v>
      </c>
      <c r="R384" s="2">
        <v>37960</v>
      </c>
    </row>
    <row r="385" spans="1:18" x14ac:dyDescent="0.3">
      <c r="A385" t="s">
        <v>7</v>
      </c>
      <c r="B385">
        <v>17994442</v>
      </c>
      <c r="C385" t="s">
        <v>10</v>
      </c>
      <c r="D385" s="4">
        <v>45687</v>
      </c>
      <c r="E385" s="11">
        <f t="shared" si="20"/>
        <v>2025</v>
      </c>
      <c r="F385" s="11">
        <f t="shared" si="21"/>
        <v>1</v>
      </c>
      <c r="G385" s="11" t="str">
        <f t="shared" si="22"/>
        <v>202501</v>
      </c>
      <c r="H385" s="4">
        <v>45778</v>
      </c>
      <c r="I385" s="5">
        <v>91</v>
      </c>
      <c r="J385" s="5">
        <v>3.0333333333333332</v>
      </c>
      <c r="K385" s="5">
        <f t="shared" si="23"/>
        <v>0</v>
      </c>
      <c r="L385" s="5">
        <v>0</v>
      </c>
      <c r="M385" s="5">
        <v>1</v>
      </c>
      <c r="N385" t="s">
        <v>9</v>
      </c>
      <c r="O385" s="8">
        <v>21.328767123287673</v>
      </c>
      <c r="P385" t="s">
        <v>33</v>
      </c>
      <c r="Q385">
        <v>2</v>
      </c>
      <c r="R385" s="2">
        <v>37902</v>
      </c>
    </row>
    <row r="386" spans="1:18" x14ac:dyDescent="0.3">
      <c r="A386" t="s">
        <v>7</v>
      </c>
      <c r="B386">
        <v>17994443</v>
      </c>
      <c r="C386" t="s">
        <v>10</v>
      </c>
      <c r="D386" s="4">
        <v>45687</v>
      </c>
      <c r="E386" s="11">
        <f t="shared" si="20"/>
        <v>2025</v>
      </c>
      <c r="F386" s="11">
        <f t="shared" si="21"/>
        <v>1</v>
      </c>
      <c r="G386" s="11" t="str">
        <f t="shared" si="22"/>
        <v>202501</v>
      </c>
      <c r="I386" s="5">
        <v>9999</v>
      </c>
      <c r="J386" s="5">
        <v>333.3</v>
      </c>
      <c r="K386" s="5">
        <f t="shared" si="23"/>
        <v>0</v>
      </c>
      <c r="L386" s="5">
        <v>0</v>
      </c>
      <c r="M386" s="5">
        <v>0</v>
      </c>
      <c r="N386" t="s">
        <v>12</v>
      </c>
      <c r="O386" s="8">
        <v>21.43013698630137</v>
      </c>
      <c r="P386" t="s">
        <v>33</v>
      </c>
      <c r="Q386">
        <v>2</v>
      </c>
      <c r="R386" s="2">
        <v>37865</v>
      </c>
    </row>
    <row r="387" spans="1:18" x14ac:dyDescent="0.3">
      <c r="A387" t="s">
        <v>7</v>
      </c>
      <c r="B387">
        <v>17994460</v>
      </c>
      <c r="C387" t="s">
        <v>8</v>
      </c>
      <c r="D387" s="4">
        <v>45688</v>
      </c>
      <c r="E387" s="11">
        <f t="shared" ref="E387:E450" si="24">+YEAR(D387)</f>
        <v>2025</v>
      </c>
      <c r="F387" s="11">
        <f t="shared" ref="F387:F450" si="25">+MONTH(D387)</f>
        <v>1</v>
      </c>
      <c r="G387" s="11" t="str">
        <f t="shared" ref="G387:G450" si="26">+TEXT(D387, "yyymm")</f>
        <v>202501</v>
      </c>
      <c r="H387" s="4">
        <v>46128</v>
      </c>
      <c r="I387" s="5">
        <v>440</v>
      </c>
      <c r="J387" s="5">
        <v>14.666666666666666</v>
      </c>
      <c r="K387" s="5">
        <f t="shared" ref="K387:K450" si="27">IF(J387&lt;=1,1,0)</f>
        <v>0</v>
      </c>
      <c r="L387" s="5">
        <v>0</v>
      </c>
      <c r="M387" s="5">
        <v>0</v>
      </c>
      <c r="N387" t="s">
        <v>9</v>
      </c>
      <c r="O387" s="8">
        <v>19.101369863013698</v>
      </c>
      <c r="P387" t="s">
        <v>32</v>
      </c>
      <c r="Q387">
        <v>1</v>
      </c>
      <c r="R387" s="2">
        <v>38716</v>
      </c>
    </row>
    <row r="388" spans="1:18" x14ac:dyDescent="0.3">
      <c r="A388" t="s">
        <v>7</v>
      </c>
      <c r="B388">
        <v>17994471</v>
      </c>
      <c r="C388" t="s">
        <v>8</v>
      </c>
      <c r="D388" s="4">
        <v>45688</v>
      </c>
      <c r="E388" s="11">
        <f t="shared" si="24"/>
        <v>2025</v>
      </c>
      <c r="F388" s="11">
        <f t="shared" si="25"/>
        <v>1</v>
      </c>
      <c r="G388" s="11" t="str">
        <f t="shared" si="26"/>
        <v>202501</v>
      </c>
      <c r="H388" s="4">
        <v>45856</v>
      </c>
      <c r="I388" s="5">
        <v>168</v>
      </c>
      <c r="J388" s="5">
        <v>5.6</v>
      </c>
      <c r="K388" s="5">
        <f t="shared" si="27"/>
        <v>0</v>
      </c>
      <c r="L388" s="5">
        <v>0</v>
      </c>
      <c r="M388" s="5">
        <v>1</v>
      </c>
      <c r="N388" t="s">
        <v>12</v>
      </c>
      <c r="O388" s="8">
        <v>19.035616438356165</v>
      </c>
      <c r="P388" t="s">
        <v>32</v>
      </c>
      <c r="Q388">
        <v>1</v>
      </c>
      <c r="R388" s="2">
        <v>38740</v>
      </c>
    </row>
    <row r="389" spans="1:18" x14ac:dyDescent="0.3">
      <c r="A389" t="s">
        <v>7</v>
      </c>
      <c r="B389">
        <v>17994473</v>
      </c>
      <c r="C389" t="s">
        <v>8</v>
      </c>
      <c r="D389" s="4">
        <v>45688</v>
      </c>
      <c r="E389" s="11">
        <f t="shared" si="24"/>
        <v>2025</v>
      </c>
      <c r="F389" s="11">
        <f t="shared" si="25"/>
        <v>1</v>
      </c>
      <c r="G389" s="11" t="str">
        <f t="shared" si="26"/>
        <v>202501</v>
      </c>
      <c r="H389" s="4">
        <v>45927</v>
      </c>
      <c r="I389" s="5">
        <v>239</v>
      </c>
      <c r="J389" s="5">
        <v>7.9666666666666668</v>
      </c>
      <c r="K389" s="5">
        <f t="shared" si="27"/>
        <v>0</v>
      </c>
      <c r="L389" s="5">
        <v>0</v>
      </c>
      <c r="M389" s="5">
        <v>0</v>
      </c>
      <c r="N389" t="s">
        <v>12</v>
      </c>
      <c r="O389" s="8">
        <v>19.405479452054795</v>
      </c>
      <c r="P389" t="s">
        <v>32</v>
      </c>
      <c r="Q389">
        <v>1</v>
      </c>
      <c r="R389" s="2">
        <v>38605</v>
      </c>
    </row>
    <row r="390" spans="1:18" x14ac:dyDescent="0.3">
      <c r="A390" t="s">
        <v>7</v>
      </c>
      <c r="B390">
        <v>17994507</v>
      </c>
      <c r="C390" t="s">
        <v>10</v>
      </c>
      <c r="D390" s="4">
        <v>45687</v>
      </c>
      <c r="E390" s="11">
        <f t="shared" si="24"/>
        <v>2025</v>
      </c>
      <c r="F390" s="11">
        <f t="shared" si="25"/>
        <v>1</v>
      </c>
      <c r="G390" s="11" t="str">
        <f t="shared" si="26"/>
        <v>202501</v>
      </c>
      <c r="I390" s="5">
        <v>9999</v>
      </c>
      <c r="J390" s="5">
        <v>333.3</v>
      </c>
      <c r="K390" s="5">
        <f t="shared" si="27"/>
        <v>0</v>
      </c>
      <c r="L390" s="5">
        <v>0</v>
      </c>
      <c r="M390" s="5">
        <v>0</v>
      </c>
      <c r="N390" t="s">
        <v>12</v>
      </c>
      <c r="O390" s="8">
        <v>20.356164383561644</v>
      </c>
      <c r="P390" t="s">
        <v>32</v>
      </c>
      <c r="Q390">
        <v>1</v>
      </c>
      <c r="R390" s="2">
        <v>38257</v>
      </c>
    </row>
    <row r="391" spans="1:18" x14ac:dyDescent="0.3">
      <c r="A391" t="s">
        <v>7</v>
      </c>
      <c r="B391">
        <v>17994518</v>
      </c>
      <c r="C391" t="s">
        <v>8</v>
      </c>
      <c r="D391" s="4">
        <v>45687</v>
      </c>
      <c r="E391" s="11">
        <f t="shared" si="24"/>
        <v>2025</v>
      </c>
      <c r="F391" s="11">
        <f t="shared" si="25"/>
        <v>1</v>
      </c>
      <c r="G391" s="11" t="str">
        <f t="shared" si="26"/>
        <v>202501</v>
      </c>
      <c r="H391" s="4">
        <v>45733</v>
      </c>
      <c r="I391" s="5">
        <v>46</v>
      </c>
      <c r="J391" s="5">
        <v>1.5333333333333334</v>
      </c>
      <c r="K391" s="5">
        <f t="shared" si="27"/>
        <v>0</v>
      </c>
      <c r="L391" s="5">
        <v>1</v>
      </c>
      <c r="M391" s="5">
        <v>1</v>
      </c>
      <c r="N391" t="s">
        <v>12</v>
      </c>
      <c r="O391" s="8">
        <v>26.92876712328767</v>
      </c>
      <c r="P391" t="s">
        <v>34</v>
      </c>
      <c r="Q391">
        <v>3</v>
      </c>
      <c r="R391" s="2">
        <v>35858</v>
      </c>
    </row>
    <row r="392" spans="1:18" x14ac:dyDescent="0.3">
      <c r="A392" t="s">
        <v>7</v>
      </c>
      <c r="B392">
        <v>17994774</v>
      </c>
      <c r="C392" t="s">
        <v>8</v>
      </c>
      <c r="D392" s="4">
        <v>45688</v>
      </c>
      <c r="E392" s="11">
        <f t="shared" si="24"/>
        <v>2025</v>
      </c>
      <c r="F392" s="11">
        <f t="shared" si="25"/>
        <v>1</v>
      </c>
      <c r="G392" s="11" t="str">
        <f t="shared" si="26"/>
        <v>202501</v>
      </c>
      <c r="I392" s="5">
        <v>9999</v>
      </c>
      <c r="J392" s="5">
        <v>333.3</v>
      </c>
      <c r="K392" s="5">
        <f t="shared" si="27"/>
        <v>0</v>
      </c>
      <c r="L392" s="5">
        <v>0</v>
      </c>
      <c r="M392" s="5">
        <v>0</v>
      </c>
      <c r="N392" t="s">
        <v>12</v>
      </c>
      <c r="O392" s="8">
        <v>18.221917808219178</v>
      </c>
      <c r="P392" t="s">
        <v>32</v>
      </c>
      <c r="Q392">
        <v>1</v>
      </c>
      <c r="R392" s="2">
        <v>39037</v>
      </c>
    </row>
    <row r="393" spans="1:18" x14ac:dyDescent="0.3">
      <c r="A393" t="s">
        <v>7</v>
      </c>
      <c r="B393">
        <v>18002316</v>
      </c>
      <c r="C393" t="s">
        <v>10</v>
      </c>
      <c r="D393" s="4">
        <v>45691</v>
      </c>
      <c r="E393" s="11">
        <f t="shared" si="24"/>
        <v>2025</v>
      </c>
      <c r="F393" s="11">
        <f t="shared" si="25"/>
        <v>2</v>
      </c>
      <c r="G393" s="11" t="str">
        <f t="shared" si="26"/>
        <v>202502</v>
      </c>
      <c r="I393" s="5">
        <v>9999</v>
      </c>
      <c r="J393" s="5">
        <v>333.3</v>
      </c>
      <c r="K393" s="5">
        <f t="shared" si="27"/>
        <v>0</v>
      </c>
      <c r="L393" s="5">
        <v>0</v>
      </c>
      <c r="M393" s="5">
        <v>0</v>
      </c>
      <c r="N393" t="s">
        <v>9</v>
      </c>
      <c r="O393" s="8">
        <v>19.758904109589039</v>
      </c>
      <c r="P393" t="s">
        <v>32</v>
      </c>
      <c r="Q393">
        <v>1</v>
      </c>
      <c r="R393" s="2">
        <v>38479</v>
      </c>
    </row>
    <row r="394" spans="1:18" x14ac:dyDescent="0.3">
      <c r="A394" t="s">
        <v>7</v>
      </c>
      <c r="B394">
        <v>18002317</v>
      </c>
      <c r="C394" t="s">
        <v>8</v>
      </c>
      <c r="D394" s="4">
        <v>45691</v>
      </c>
      <c r="E394" s="11">
        <f t="shared" si="24"/>
        <v>2025</v>
      </c>
      <c r="F394" s="11">
        <f t="shared" si="25"/>
        <v>2</v>
      </c>
      <c r="G394" s="11" t="str">
        <f t="shared" si="26"/>
        <v>202502</v>
      </c>
      <c r="H394" s="4">
        <v>45991</v>
      </c>
      <c r="I394" s="5">
        <v>300</v>
      </c>
      <c r="J394" s="5">
        <v>10</v>
      </c>
      <c r="K394" s="5">
        <f t="shared" si="27"/>
        <v>0</v>
      </c>
      <c r="L394" s="5">
        <v>0</v>
      </c>
      <c r="M394" s="5">
        <v>0</v>
      </c>
      <c r="N394" t="s">
        <v>9</v>
      </c>
      <c r="O394" s="8">
        <v>22.057534246575344</v>
      </c>
      <c r="P394" t="s">
        <v>33</v>
      </c>
      <c r="Q394">
        <v>2</v>
      </c>
      <c r="R394" s="2">
        <v>37640</v>
      </c>
    </row>
    <row r="395" spans="1:18" x14ac:dyDescent="0.3">
      <c r="A395" t="s">
        <v>7</v>
      </c>
      <c r="B395">
        <v>18002334</v>
      </c>
      <c r="C395" t="s">
        <v>8</v>
      </c>
      <c r="D395" s="4">
        <v>45691</v>
      </c>
      <c r="E395" s="11">
        <f t="shared" si="24"/>
        <v>2025</v>
      </c>
      <c r="F395" s="11">
        <f t="shared" si="25"/>
        <v>2</v>
      </c>
      <c r="G395" s="11" t="str">
        <f t="shared" si="26"/>
        <v>202502</v>
      </c>
      <c r="H395" s="4">
        <v>46113</v>
      </c>
      <c r="I395" s="5">
        <v>422</v>
      </c>
      <c r="J395" s="5">
        <v>14.066666666666666</v>
      </c>
      <c r="K395" s="5">
        <f t="shared" si="27"/>
        <v>0</v>
      </c>
      <c r="L395" s="5">
        <v>0</v>
      </c>
      <c r="M395" s="5">
        <v>0</v>
      </c>
      <c r="N395" t="s">
        <v>9</v>
      </c>
      <c r="O395" s="8">
        <v>29.260273972602739</v>
      </c>
      <c r="P395" t="s">
        <v>34</v>
      </c>
      <c r="Q395">
        <v>3</v>
      </c>
      <c r="R395" s="2">
        <v>35011</v>
      </c>
    </row>
    <row r="396" spans="1:18" x14ac:dyDescent="0.3">
      <c r="A396" t="s">
        <v>7</v>
      </c>
      <c r="B396">
        <v>18002335</v>
      </c>
      <c r="C396" t="s">
        <v>8</v>
      </c>
      <c r="D396" s="4">
        <v>45691</v>
      </c>
      <c r="E396" s="11">
        <f t="shared" si="24"/>
        <v>2025</v>
      </c>
      <c r="F396" s="11">
        <f t="shared" si="25"/>
        <v>2</v>
      </c>
      <c r="G396" s="11" t="str">
        <f t="shared" si="26"/>
        <v>202502</v>
      </c>
      <c r="H396" s="4">
        <v>45938</v>
      </c>
      <c r="I396" s="5">
        <v>247</v>
      </c>
      <c r="J396" s="5">
        <v>8.2333333333333325</v>
      </c>
      <c r="K396" s="5">
        <f t="shared" si="27"/>
        <v>0</v>
      </c>
      <c r="L396" s="5">
        <v>0</v>
      </c>
      <c r="M396" s="5">
        <v>0</v>
      </c>
      <c r="N396" t="s">
        <v>9</v>
      </c>
      <c r="O396" s="8">
        <v>30.328767123287673</v>
      </c>
      <c r="P396" t="s">
        <v>34</v>
      </c>
      <c r="Q396">
        <v>3</v>
      </c>
      <c r="R396" s="2">
        <v>34621</v>
      </c>
    </row>
    <row r="397" spans="1:18" x14ac:dyDescent="0.3">
      <c r="A397" t="s">
        <v>7</v>
      </c>
      <c r="B397">
        <v>18002345</v>
      </c>
      <c r="C397" t="s">
        <v>10</v>
      </c>
      <c r="D397" s="4">
        <v>45691</v>
      </c>
      <c r="E397" s="11">
        <f t="shared" si="24"/>
        <v>2025</v>
      </c>
      <c r="F397" s="11">
        <f t="shared" si="25"/>
        <v>2</v>
      </c>
      <c r="G397" s="11" t="str">
        <f t="shared" si="26"/>
        <v>202502</v>
      </c>
      <c r="H397" s="4">
        <v>46068</v>
      </c>
      <c r="I397" s="5">
        <v>377</v>
      </c>
      <c r="J397" s="5">
        <v>12.566666666666666</v>
      </c>
      <c r="K397" s="5">
        <f t="shared" si="27"/>
        <v>0</v>
      </c>
      <c r="L397" s="5">
        <v>0</v>
      </c>
      <c r="M397" s="5">
        <v>0</v>
      </c>
      <c r="N397" t="s">
        <v>9</v>
      </c>
      <c r="O397" s="8">
        <v>24.454794520547946</v>
      </c>
      <c r="P397" t="s">
        <v>33</v>
      </c>
      <c r="Q397">
        <v>2</v>
      </c>
      <c r="R397" s="2">
        <v>36765</v>
      </c>
    </row>
    <row r="398" spans="1:18" x14ac:dyDescent="0.3">
      <c r="A398" t="s">
        <v>7</v>
      </c>
      <c r="B398">
        <v>18002360</v>
      </c>
      <c r="C398" t="s">
        <v>8</v>
      </c>
      <c r="D398" s="4">
        <v>45691</v>
      </c>
      <c r="E398" s="11">
        <f t="shared" si="24"/>
        <v>2025</v>
      </c>
      <c r="F398" s="11">
        <f t="shared" si="25"/>
        <v>2</v>
      </c>
      <c r="G398" s="11" t="str">
        <f t="shared" si="26"/>
        <v>202502</v>
      </c>
      <c r="I398" s="5">
        <v>9999</v>
      </c>
      <c r="J398" s="5">
        <v>333.3</v>
      </c>
      <c r="K398" s="5">
        <f t="shared" si="27"/>
        <v>0</v>
      </c>
      <c r="L398" s="5">
        <v>0</v>
      </c>
      <c r="M398" s="5">
        <v>0</v>
      </c>
      <c r="N398" t="s">
        <v>12</v>
      </c>
      <c r="O398" s="8">
        <v>20.210958904109589</v>
      </c>
      <c r="P398" t="s">
        <v>32</v>
      </c>
      <c r="Q398">
        <v>1</v>
      </c>
      <c r="R398" s="2">
        <v>38314</v>
      </c>
    </row>
    <row r="399" spans="1:18" x14ac:dyDescent="0.3">
      <c r="A399" t="s">
        <v>7</v>
      </c>
      <c r="B399">
        <v>18002375</v>
      </c>
      <c r="C399" t="s">
        <v>8</v>
      </c>
      <c r="D399" s="4">
        <v>45691</v>
      </c>
      <c r="E399" s="11">
        <f t="shared" si="24"/>
        <v>2025</v>
      </c>
      <c r="F399" s="11">
        <f t="shared" si="25"/>
        <v>2</v>
      </c>
      <c r="G399" s="11" t="str">
        <f t="shared" si="26"/>
        <v>202502</v>
      </c>
      <c r="H399" s="4">
        <v>45823</v>
      </c>
      <c r="I399" s="5">
        <v>132</v>
      </c>
      <c r="J399" s="5">
        <v>4.4000000000000004</v>
      </c>
      <c r="K399" s="5">
        <f t="shared" si="27"/>
        <v>0</v>
      </c>
      <c r="L399" s="5">
        <v>0</v>
      </c>
      <c r="M399" s="5">
        <v>1</v>
      </c>
      <c r="N399" t="s">
        <v>9</v>
      </c>
      <c r="O399" s="8">
        <v>30.219178082191782</v>
      </c>
      <c r="P399" t="s">
        <v>34</v>
      </c>
      <c r="Q399">
        <v>3</v>
      </c>
      <c r="R399" s="2">
        <v>34661</v>
      </c>
    </row>
    <row r="400" spans="1:18" x14ac:dyDescent="0.3">
      <c r="A400" t="s">
        <v>7</v>
      </c>
      <c r="B400">
        <v>18002405</v>
      </c>
      <c r="C400" t="s">
        <v>8</v>
      </c>
      <c r="D400" s="4">
        <v>45691</v>
      </c>
      <c r="E400" s="11">
        <f t="shared" si="24"/>
        <v>2025</v>
      </c>
      <c r="F400" s="11">
        <f t="shared" si="25"/>
        <v>2</v>
      </c>
      <c r="G400" s="11" t="str">
        <f t="shared" si="26"/>
        <v>202502</v>
      </c>
      <c r="H400" s="4">
        <v>46173</v>
      </c>
      <c r="I400" s="5">
        <v>482</v>
      </c>
      <c r="J400" s="5">
        <v>16.066666666666666</v>
      </c>
      <c r="K400" s="5">
        <f t="shared" si="27"/>
        <v>0</v>
      </c>
      <c r="L400" s="5">
        <v>0</v>
      </c>
      <c r="M400" s="5">
        <v>0</v>
      </c>
      <c r="N400" t="s">
        <v>9</v>
      </c>
      <c r="O400" s="8">
        <v>22.915068493150685</v>
      </c>
      <c r="P400" t="s">
        <v>33</v>
      </c>
      <c r="Q400">
        <v>2</v>
      </c>
      <c r="R400" s="2">
        <v>37327</v>
      </c>
    </row>
    <row r="401" spans="1:18" x14ac:dyDescent="0.3">
      <c r="A401" t="s">
        <v>7</v>
      </c>
      <c r="B401">
        <v>18002406</v>
      </c>
      <c r="C401" t="s">
        <v>8</v>
      </c>
      <c r="D401" s="4">
        <v>45691</v>
      </c>
      <c r="E401" s="11">
        <f t="shared" si="24"/>
        <v>2025</v>
      </c>
      <c r="F401" s="11">
        <f t="shared" si="25"/>
        <v>2</v>
      </c>
      <c r="G401" s="11" t="str">
        <f t="shared" si="26"/>
        <v>202502</v>
      </c>
      <c r="I401" s="5">
        <v>9999</v>
      </c>
      <c r="J401" s="5">
        <v>333.3</v>
      </c>
      <c r="K401" s="5">
        <f t="shared" si="27"/>
        <v>0</v>
      </c>
      <c r="L401" s="5">
        <v>0</v>
      </c>
      <c r="M401" s="5">
        <v>0</v>
      </c>
      <c r="N401" t="s">
        <v>9</v>
      </c>
      <c r="O401" s="8">
        <v>18.276712328767122</v>
      </c>
      <c r="P401" t="s">
        <v>32</v>
      </c>
      <c r="Q401">
        <v>1</v>
      </c>
      <c r="R401" s="2">
        <v>39020</v>
      </c>
    </row>
    <row r="402" spans="1:18" x14ac:dyDescent="0.3">
      <c r="A402" t="s">
        <v>7</v>
      </c>
      <c r="B402">
        <v>18009665</v>
      </c>
      <c r="C402" t="s">
        <v>8</v>
      </c>
      <c r="D402" s="4">
        <v>45692</v>
      </c>
      <c r="E402" s="11">
        <f t="shared" si="24"/>
        <v>2025</v>
      </c>
      <c r="F402" s="11">
        <f t="shared" si="25"/>
        <v>2</v>
      </c>
      <c r="G402" s="11" t="str">
        <f t="shared" si="26"/>
        <v>202502</v>
      </c>
      <c r="H402" s="4">
        <v>45815</v>
      </c>
      <c r="I402" s="5">
        <v>123</v>
      </c>
      <c r="J402" s="5">
        <v>4.0999999999999996</v>
      </c>
      <c r="K402" s="5">
        <f t="shared" si="27"/>
        <v>0</v>
      </c>
      <c r="L402" s="5">
        <v>0</v>
      </c>
      <c r="M402" s="5">
        <v>1</v>
      </c>
      <c r="N402" t="s">
        <v>9</v>
      </c>
      <c r="O402" s="8">
        <v>20.287671232876711</v>
      </c>
      <c r="P402" t="s">
        <v>32</v>
      </c>
      <c r="Q402">
        <v>1</v>
      </c>
      <c r="R402" s="2">
        <v>38287</v>
      </c>
    </row>
    <row r="403" spans="1:18" x14ac:dyDescent="0.3">
      <c r="A403" t="s">
        <v>7</v>
      </c>
      <c r="B403">
        <v>18010171</v>
      </c>
      <c r="C403" t="s">
        <v>8</v>
      </c>
      <c r="D403" s="4">
        <v>45692</v>
      </c>
      <c r="E403" s="11">
        <f t="shared" si="24"/>
        <v>2025</v>
      </c>
      <c r="F403" s="11">
        <f t="shared" si="25"/>
        <v>2</v>
      </c>
      <c r="G403" s="11" t="str">
        <f t="shared" si="26"/>
        <v>202502</v>
      </c>
      <c r="I403" s="5">
        <v>9999</v>
      </c>
      <c r="J403" s="5">
        <v>333.3</v>
      </c>
      <c r="K403" s="5">
        <f t="shared" si="27"/>
        <v>0</v>
      </c>
      <c r="L403" s="5">
        <v>0</v>
      </c>
      <c r="M403" s="5">
        <v>0</v>
      </c>
      <c r="N403" t="s">
        <v>12</v>
      </c>
      <c r="O403" s="8">
        <v>19.342465753424658</v>
      </c>
      <c r="P403" t="s">
        <v>32</v>
      </c>
      <c r="Q403">
        <v>1</v>
      </c>
      <c r="R403" s="2">
        <v>38632</v>
      </c>
    </row>
    <row r="404" spans="1:18" x14ac:dyDescent="0.3">
      <c r="A404" t="s">
        <v>7</v>
      </c>
      <c r="B404">
        <v>18010340</v>
      </c>
      <c r="C404" t="s">
        <v>10</v>
      </c>
      <c r="D404" s="4">
        <v>45692</v>
      </c>
      <c r="E404" s="11">
        <f t="shared" si="24"/>
        <v>2025</v>
      </c>
      <c r="F404" s="11">
        <f t="shared" si="25"/>
        <v>2</v>
      </c>
      <c r="G404" s="11" t="str">
        <f t="shared" si="26"/>
        <v>202502</v>
      </c>
      <c r="I404" s="5">
        <v>9999</v>
      </c>
      <c r="J404" s="5">
        <v>333.3</v>
      </c>
      <c r="K404" s="5">
        <f t="shared" si="27"/>
        <v>0</v>
      </c>
      <c r="L404" s="5">
        <v>0</v>
      </c>
      <c r="M404" s="5">
        <v>0</v>
      </c>
      <c r="N404" t="s">
        <v>9</v>
      </c>
      <c r="O404" s="8">
        <v>18.906849315068492</v>
      </c>
      <c r="P404" t="s">
        <v>32</v>
      </c>
      <c r="Q404">
        <v>1</v>
      </c>
      <c r="R404" s="2">
        <v>38791</v>
      </c>
    </row>
    <row r="405" spans="1:18" x14ac:dyDescent="0.3">
      <c r="A405" t="s">
        <v>7</v>
      </c>
      <c r="B405">
        <v>18026206</v>
      </c>
      <c r="C405" t="s">
        <v>8</v>
      </c>
      <c r="D405" s="4">
        <v>45693</v>
      </c>
      <c r="E405" s="11">
        <f t="shared" si="24"/>
        <v>2025</v>
      </c>
      <c r="F405" s="11">
        <f t="shared" si="25"/>
        <v>2</v>
      </c>
      <c r="G405" s="11" t="str">
        <f t="shared" si="26"/>
        <v>202502</v>
      </c>
      <c r="H405" s="4">
        <v>46053</v>
      </c>
      <c r="I405" s="5">
        <v>360</v>
      </c>
      <c r="J405" s="5">
        <v>12</v>
      </c>
      <c r="K405" s="5">
        <f t="shared" si="27"/>
        <v>0</v>
      </c>
      <c r="L405" s="5">
        <v>0</v>
      </c>
      <c r="M405" s="5">
        <v>0</v>
      </c>
      <c r="N405" t="s">
        <v>9</v>
      </c>
      <c r="O405" s="8">
        <v>19.495890410958904</v>
      </c>
      <c r="P405" t="s">
        <v>32</v>
      </c>
      <c r="Q405">
        <v>1</v>
      </c>
      <c r="R405" s="2">
        <v>38577</v>
      </c>
    </row>
    <row r="406" spans="1:18" x14ac:dyDescent="0.3">
      <c r="A406" t="s">
        <v>7</v>
      </c>
      <c r="B406">
        <v>18026605</v>
      </c>
      <c r="C406" t="s">
        <v>8</v>
      </c>
      <c r="D406" s="4">
        <v>45931</v>
      </c>
      <c r="E406" s="11">
        <f t="shared" si="24"/>
        <v>2025</v>
      </c>
      <c r="F406" s="11">
        <f t="shared" si="25"/>
        <v>10</v>
      </c>
      <c r="G406" s="11" t="str">
        <f t="shared" si="26"/>
        <v>202510</v>
      </c>
      <c r="H406" s="4">
        <v>46096</v>
      </c>
      <c r="I406" s="5">
        <v>165</v>
      </c>
      <c r="J406" s="5">
        <v>5.5</v>
      </c>
      <c r="K406" s="5">
        <f t="shared" si="27"/>
        <v>0</v>
      </c>
      <c r="L406" s="5">
        <v>0</v>
      </c>
      <c r="M406" s="5">
        <v>1</v>
      </c>
      <c r="N406" t="s">
        <v>9</v>
      </c>
      <c r="O406" s="8">
        <v>18.728767123287671</v>
      </c>
      <c r="P406" t="s">
        <v>32</v>
      </c>
      <c r="Q406">
        <v>1</v>
      </c>
      <c r="R406" s="2">
        <v>39095</v>
      </c>
    </row>
    <row r="407" spans="1:18" x14ac:dyDescent="0.3">
      <c r="A407" t="s">
        <v>7</v>
      </c>
      <c r="B407">
        <v>18028618</v>
      </c>
      <c r="C407" t="s">
        <v>8</v>
      </c>
      <c r="D407" s="4">
        <v>45694</v>
      </c>
      <c r="E407" s="11">
        <f t="shared" si="24"/>
        <v>2025</v>
      </c>
      <c r="F407" s="11">
        <f t="shared" si="25"/>
        <v>2</v>
      </c>
      <c r="G407" s="11" t="str">
        <f t="shared" si="26"/>
        <v>202502</v>
      </c>
      <c r="I407" s="5">
        <v>9999</v>
      </c>
      <c r="J407" s="5">
        <v>333.3</v>
      </c>
      <c r="K407" s="5">
        <f t="shared" si="27"/>
        <v>0</v>
      </c>
      <c r="L407" s="5">
        <v>0</v>
      </c>
      <c r="M407" s="5">
        <v>0</v>
      </c>
      <c r="N407" t="s">
        <v>9</v>
      </c>
      <c r="O407" s="8">
        <v>31.602739726027398</v>
      </c>
      <c r="P407" t="s">
        <v>35</v>
      </c>
      <c r="Q407">
        <v>4</v>
      </c>
      <c r="R407" s="2">
        <v>34159</v>
      </c>
    </row>
    <row r="408" spans="1:18" x14ac:dyDescent="0.3">
      <c r="A408" t="s">
        <v>7</v>
      </c>
      <c r="B408">
        <v>18028619</v>
      </c>
      <c r="C408" t="s">
        <v>8</v>
      </c>
      <c r="D408" s="4">
        <v>45694</v>
      </c>
      <c r="E408" s="11">
        <f t="shared" si="24"/>
        <v>2025</v>
      </c>
      <c r="F408" s="11">
        <f t="shared" si="25"/>
        <v>2</v>
      </c>
      <c r="G408" s="11" t="str">
        <f t="shared" si="26"/>
        <v>202502</v>
      </c>
      <c r="H408" s="4">
        <v>45886</v>
      </c>
      <c r="I408" s="5">
        <v>192</v>
      </c>
      <c r="J408" s="5">
        <v>6.4</v>
      </c>
      <c r="K408" s="5">
        <f t="shared" si="27"/>
        <v>0</v>
      </c>
      <c r="L408" s="5">
        <v>0</v>
      </c>
      <c r="M408" s="5">
        <v>0</v>
      </c>
      <c r="N408" t="s">
        <v>9</v>
      </c>
      <c r="O408" s="8">
        <v>18.232876712328768</v>
      </c>
      <c r="P408" t="s">
        <v>32</v>
      </c>
      <c r="Q408">
        <v>1</v>
      </c>
      <c r="R408" s="2">
        <v>39039</v>
      </c>
    </row>
    <row r="409" spans="1:18" x14ac:dyDescent="0.3">
      <c r="A409" t="s">
        <v>7</v>
      </c>
      <c r="B409">
        <v>18028625</v>
      </c>
      <c r="C409" t="s">
        <v>10</v>
      </c>
      <c r="D409" s="4">
        <v>45694</v>
      </c>
      <c r="E409" s="11">
        <f t="shared" si="24"/>
        <v>2025</v>
      </c>
      <c r="F409" s="11">
        <f t="shared" si="25"/>
        <v>2</v>
      </c>
      <c r="G409" s="11" t="str">
        <f t="shared" si="26"/>
        <v>202502</v>
      </c>
      <c r="H409" s="4">
        <v>45722</v>
      </c>
      <c r="I409" s="5">
        <v>28</v>
      </c>
      <c r="J409" s="5">
        <v>0.93333333333333335</v>
      </c>
      <c r="K409" s="5">
        <f t="shared" si="27"/>
        <v>1</v>
      </c>
      <c r="L409" s="5">
        <v>1</v>
      </c>
      <c r="M409" s="5">
        <v>1</v>
      </c>
      <c r="N409" t="s">
        <v>9</v>
      </c>
      <c r="O409" s="8">
        <v>23.010958904109589</v>
      </c>
      <c r="P409" t="s">
        <v>33</v>
      </c>
      <c r="Q409">
        <v>2</v>
      </c>
      <c r="R409" s="2">
        <v>37295</v>
      </c>
    </row>
    <row r="410" spans="1:18" x14ac:dyDescent="0.3">
      <c r="A410" t="s">
        <v>7</v>
      </c>
      <c r="B410">
        <v>18028626</v>
      </c>
      <c r="C410" t="s">
        <v>10</v>
      </c>
      <c r="D410" s="4">
        <v>45694</v>
      </c>
      <c r="E410" s="11">
        <f t="shared" si="24"/>
        <v>2025</v>
      </c>
      <c r="F410" s="11">
        <f t="shared" si="25"/>
        <v>2</v>
      </c>
      <c r="G410" s="11" t="str">
        <f t="shared" si="26"/>
        <v>202502</v>
      </c>
      <c r="I410" s="5">
        <v>9999</v>
      </c>
      <c r="J410" s="5">
        <v>333.3</v>
      </c>
      <c r="K410" s="5">
        <f t="shared" si="27"/>
        <v>0</v>
      </c>
      <c r="L410" s="5">
        <v>0</v>
      </c>
      <c r="M410" s="5">
        <v>0</v>
      </c>
      <c r="N410" t="s">
        <v>9</v>
      </c>
      <c r="O410" s="8">
        <v>21.002739726027396</v>
      </c>
      <c r="P410" t="s">
        <v>33</v>
      </c>
      <c r="Q410">
        <v>2</v>
      </c>
      <c r="R410" s="2">
        <v>38028</v>
      </c>
    </row>
    <row r="411" spans="1:18" x14ac:dyDescent="0.3">
      <c r="A411" t="s">
        <v>7</v>
      </c>
      <c r="B411">
        <v>18028627</v>
      </c>
      <c r="C411" t="s">
        <v>8</v>
      </c>
      <c r="D411" s="4">
        <v>45694</v>
      </c>
      <c r="E411" s="11">
        <f t="shared" si="24"/>
        <v>2025</v>
      </c>
      <c r="F411" s="11">
        <f t="shared" si="25"/>
        <v>2</v>
      </c>
      <c r="G411" s="11" t="str">
        <f t="shared" si="26"/>
        <v>202502</v>
      </c>
      <c r="H411" s="4">
        <v>45991</v>
      </c>
      <c r="I411" s="5">
        <v>297</v>
      </c>
      <c r="J411" s="5">
        <v>9.9</v>
      </c>
      <c r="K411" s="5">
        <f t="shared" si="27"/>
        <v>0</v>
      </c>
      <c r="L411" s="5">
        <v>0</v>
      </c>
      <c r="M411" s="5">
        <v>0</v>
      </c>
      <c r="N411" t="s">
        <v>9</v>
      </c>
      <c r="O411" s="8">
        <v>19.394520547945206</v>
      </c>
      <c r="P411" t="s">
        <v>32</v>
      </c>
      <c r="Q411">
        <v>1</v>
      </c>
      <c r="R411" s="2">
        <v>38615</v>
      </c>
    </row>
    <row r="412" spans="1:18" x14ac:dyDescent="0.3">
      <c r="A412" t="s">
        <v>7</v>
      </c>
      <c r="B412">
        <v>18028629</v>
      </c>
      <c r="C412" t="s">
        <v>8</v>
      </c>
      <c r="D412" s="4">
        <v>45694</v>
      </c>
      <c r="E412" s="11">
        <f t="shared" si="24"/>
        <v>2025</v>
      </c>
      <c r="F412" s="11">
        <f t="shared" si="25"/>
        <v>2</v>
      </c>
      <c r="G412" s="11" t="str">
        <f t="shared" si="26"/>
        <v>202502</v>
      </c>
      <c r="I412" s="5">
        <v>9999</v>
      </c>
      <c r="J412" s="5">
        <v>333.3</v>
      </c>
      <c r="K412" s="5">
        <f t="shared" si="27"/>
        <v>0</v>
      </c>
      <c r="L412" s="5">
        <v>0</v>
      </c>
      <c r="M412" s="5">
        <v>0</v>
      </c>
      <c r="N412" t="s">
        <v>9</v>
      </c>
      <c r="O412" s="8">
        <v>38.890410958904113</v>
      </c>
      <c r="P412" t="s">
        <v>35</v>
      </c>
      <c r="Q412">
        <v>4</v>
      </c>
      <c r="R412" s="2">
        <v>31499</v>
      </c>
    </row>
    <row r="413" spans="1:18" x14ac:dyDescent="0.3">
      <c r="A413" t="s">
        <v>7</v>
      </c>
      <c r="B413">
        <v>18028635</v>
      </c>
      <c r="C413" t="s">
        <v>8</v>
      </c>
      <c r="D413" s="4">
        <v>45694</v>
      </c>
      <c r="E413" s="11">
        <f t="shared" si="24"/>
        <v>2025</v>
      </c>
      <c r="F413" s="11">
        <f t="shared" si="25"/>
        <v>2</v>
      </c>
      <c r="G413" s="11" t="str">
        <f t="shared" si="26"/>
        <v>202502</v>
      </c>
      <c r="H413" s="4">
        <v>45915</v>
      </c>
      <c r="I413" s="5">
        <v>221</v>
      </c>
      <c r="J413" s="5">
        <v>7.3666666666666663</v>
      </c>
      <c r="K413" s="5">
        <f t="shared" si="27"/>
        <v>0</v>
      </c>
      <c r="L413" s="5">
        <v>0</v>
      </c>
      <c r="M413" s="5">
        <v>0</v>
      </c>
      <c r="N413" t="s">
        <v>9</v>
      </c>
      <c r="O413" s="8">
        <v>18.186301369863013</v>
      </c>
      <c r="P413" t="s">
        <v>32</v>
      </c>
      <c r="Q413">
        <v>1</v>
      </c>
      <c r="R413" s="2">
        <v>39056</v>
      </c>
    </row>
    <row r="414" spans="1:18" x14ac:dyDescent="0.3">
      <c r="A414" t="s">
        <v>7</v>
      </c>
      <c r="B414">
        <v>18028636</v>
      </c>
      <c r="C414" t="s">
        <v>8</v>
      </c>
      <c r="D414" s="4">
        <v>45694</v>
      </c>
      <c r="E414" s="11">
        <f t="shared" si="24"/>
        <v>2025</v>
      </c>
      <c r="F414" s="11">
        <f t="shared" si="25"/>
        <v>2</v>
      </c>
      <c r="G414" s="11" t="str">
        <f t="shared" si="26"/>
        <v>202502</v>
      </c>
      <c r="H414" s="4">
        <v>45720</v>
      </c>
      <c r="I414" s="5">
        <v>26</v>
      </c>
      <c r="J414" s="5">
        <v>0.8666666666666667</v>
      </c>
      <c r="K414" s="5">
        <f t="shared" si="27"/>
        <v>1</v>
      </c>
      <c r="L414" s="5">
        <v>1</v>
      </c>
      <c r="M414" s="5">
        <v>1</v>
      </c>
      <c r="N414" t="s">
        <v>9</v>
      </c>
      <c r="O414" s="8">
        <v>19.438356164383563</v>
      </c>
      <c r="P414" t="s">
        <v>32</v>
      </c>
      <c r="Q414">
        <v>1</v>
      </c>
      <c r="R414" s="2">
        <v>38599</v>
      </c>
    </row>
    <row r="415" spans="1:18" x14ac:dyDescent="0.3">
      <c r="A415" t="s">
        <v>7</v>
      </c>
      <c r="B415">
        <v>18028637</v>
      </c>
      <c r="C415" t="s">
        <v>8</v>
      </c>
      <c r="D415" s="4">
        <v>45694</v>
      </c>
      <c r="E415" s="11">
        <f t="shared" si="24"/>
        <v>2025</v>
      </c>
      <c r="F415" s="11">
        <f t="shared" si="25"/>
        <v>2</v>
      </c>
      <c r="G415" s="11" t="str">
        <f t="shared" si="26"/>
        <v>202502</v>
      </c>
      <c r="H415" s="4">
        <v>45884</v>
      </c>
      <c r="I415" s="5">
        <v>190</v>
      </c>
      <c r="J415" s="5">
        <v>6.333333333333333</v>
      </c>
      <c r="K415" s="5">
        <f t="shared" si="27"/>
        <v>0</v>
      </c>
      <c r="L415" s="5">
        <v>0</v>
      </c>
      <c r="M415" s="5">
        <v>0</v>
      </c>
      <c r="N415" t="s">
        <v>12</v>
      </c>
      <c r="O415" s="8">
        <v>19.816438356164383</v>
      </c>
      <c r="P415" t="s">
        <v>32</v>
      </c>
      <c r="Q415">
        <v>1</v>
      </c>
      <c r="R415" s="2">
        <v>38461</v>
      </c>
    </row>
    <row r="416" spans="1:18" x14ac:dyDescent="0.3">
      <c r="A416" t="s">
        <v>7</v>
      </c>
      <c r="B416">
        <v>18028680</v>
      </c>
      <c r="C416" t="s">
        <v>8</v>
      </c>
      <c r="D416" s="4">
        <v>45694</v>
      </c>
      <c r="E416" s="11">
        <f t="shared" si="24"/>
        <v>2025</v>
      </c>
      <c r="F416" s="11">
        <f t="shared" si="25"/>
        <v>2</v>
      </c>
      <c r="G416" s="11" t="str">
        <f t="shared" si="26"/>
        <v>202502</v>
      </c>
      <c r="H416" s="4">
        <v>45756</v>
      </c>
      <c r="I416" s="5">
        <v>62</v>
      </c>
      <c r="J416" s="5">
        <v>2.0666666666666669</v>
      </c>
      <c r="K416" s="5">
        <f t="shared" si="27"/>
        <v>0</v>
      </c>
      <c r="L416" s="5">
        <v>1</v>
      </c>
      <c r="M416" s="5">
        <v>1</v>
      </c>
      <c r="N416" t="s">
        <v>9</v>
      </c>
      <c r="O416" s="8">
        <v>20.073972602739726</v>
      </c>
      <c r="P416" t="s">
        <v>32</v>
      </c>
      <c r="Q416">
        <v>1</v>
      </c>
      <c r="R416" s="2">
        <v>38367</v>
      </c>
    </row>
    <row r="417" spans="1:18" x14ac:dyDescent="0.3">
      <c r="A417" t="s">
        <v>7</v>
      </c>
      <c r="B417">
        <v>18028681</v>
      </c>
      <c r="C417" t="s">
        <v>8</v>
      </c>
      <c r="D417" s="4">
        <v>45694</v>
      </c>
      <c r="E417" s="11">
        <f t="shared" si="24"/>
        <v>2025</v>
      </c>
      <c r="F417" s="11">
        <f t="shared" si="25"/>
        <v>2</v>
      </c>
      <c r="G417" s="11" t="str">
        <f t="shared" si="26"/>
        <v>202502</v>
      </c>
      <c r="H417" s="4">
        <v>45881</v>
      </c>
      <c r="I417" s="5">
        <v>187</v>
      </c>
      <c r="J417" s="5">
        <v>6.2333333333333334</v>
      </c>
      <c r="K417" s="5">
        <f t="shared" si="27"/>
        <v>0</v>
      </c>
      <c r="L417" s="5">
        <v>0</v>
      </c>
      <c r="M417" s="5">
        <v>0</v>
      </c>
      <c r="N417" t="s">
        <v>9</v>
      </c>
      <c r="O417" s="8">
        <v>31.241095890410961</v>
      </c>
      <c r="P417" t="s">
        <v>35</v>
      </c>
      <c r="Q417">
        <v>4</v>
      </c>
      <c r="R417" s="2">
        <v>34291</v>
      </c>
    </row>
    <row r="418" spans="1:18" x14ac:dyDescent="0.3">
      <c r="A418" t="s">
        <v>7</v>
      </c>
      <c r="B418">
        <v>18028683</v>
      </c>
      <c r="C418" t="s">
        <v>8</v>
      </c>
      <c r="D418" s="4">
        <v>45694</v>
      </c>
      <c r="E418" s="11">
        <f t="shared" si="24"/>
        <v>2025</v>
      </c>
      <c r="F418" s="11">
        <f t="shared" si="25"/>
        <v>2</v>
      </c>
      <c r="G418" s="11" t="str">
        <f t="shared" si="26"/>
        <v>202502</v>
      </c>
      <c r="H418" s="4">
        <v>45705</v>
      </c>
      <c r="I418" s="5">
        <v>11</v>
      </c>
      <c r="J418" s="5">
        <v>0.36666666666666664</v>
      </c>
      <c r="K418" s="5">
        <f t="shared" si="27"/>
        <v>1</v>
      </c>
      <c r="L418" s="5">
        <v>1</v>
      </c>
      <c r="M418" s="5">
        <v>1</v>
      </c>
      <c r="N418" t="s">
        <v>9</v>
      </c>
      <c r="O418" s="8">
        <v>22.334246575342465</v>
      </c>
      <c r="P418" t="s">
        <v>33</v>
      </c>
      <c r="Q418">
        <v>2</v>
      </c>
      <c r="R418" s="2">
        <v>37542</v>
      </c>
    </row>
    <row r="419" spans="1:18" x14ac:dyDescent="0.3">
      <c r="A419" t="s">
        <v>11</v>
      </c>
      <c r="B419">
        <v>18028688</v>
      </c>
      <c r="C419" t="s">
        <v>8</v>
      </c>
      <c r="D419" s="4">
        <v>45694</v>
      </c>
      <c r="E419" s="11">
        <f t="shared" si="24"/>
        <v>2025</v>
      </c>
      <c r="F419" s="11">
        <f t="shared" si="25"/>
        <v>2</v>
      </c>
      <c r="G419" s="11" t="str">
        <f t="shared" si="26"/>
        <v>202502</v>
      </c>
      <c r="H419" s="4">
        <v>45731</v>
      </c>
      <c r="I419" s="5">
        <v>37</v>
      </c>
      <c r="J419" s="5">
        <v>1.2333333333333334</v>
      </c>
      <c r="K419" s="5">
        <f t="shared" si="27"/>
        <v>0</v>
      </c>
      <c r="L419" s="5">
        <v>1</v>
      </c>
      <c r="M419" s="5">
        <v>1</v>
      </c>
      <c r="N419" t="s">
        <v>9</v>
      </c>
      <c r="O419" s="8">
        <v>29.079452054794519</v>
      </c>
      <c r="P419" t="s">
        <v>34</v>
      </c>
      <c r="Q419">
        <v>3</v>
      </c>
      <c r="R419" s="2">
        <v>35080</v>
      </c>
    </row>
    <row r="420" spans="1:18" x14ac:dyDescent="0.3">
      <c r="A420" t="s">
        <v>7</v>
      </c>
      <c r="B420">
        <v>18030358</v>
      </c>
      <c r="C420" t="s">
        <v>8</v>
      </c>
      <c r="D420" s="4">
        <v>45695</v>
      </c>
      <c r="E420" s="11">
        <f t="shared" si="24"/>
        <v>2025</v>
      </c>
      <c r="F420" s="11">
        <f t="shared" si="25"/>
        <v>2</v>
      </c>
      <c r="G420" s="11" t="str">
        <f t="shared" si="26"/>
        <v>202502</v>
      </c>
      <c r="H420" s="4">
        <v>45947</v>
      </c>
      <c r="I420" s="5">
        <v>252</v>
      </c>
      <c r="J420" s="5">
        <v>8.4</v>
      </c>
      <c r="K420" s="5">
        <f t="shared" si="27"/>
        <v>0</v>
      </c>
      <c r="L420" s="5">
        <v>0</v>
      </c>
      <c r="M420" s="5">
        <v>0</v>
      </c>
      <c r="N420" t="s">
        <v>9</v>
      </c>
      <c r="O420" s="8">
        <v>25.945205479452056</v>
      </c>
      <c r="P420" t="s">
        <v>33</v>
      </c>
      <c r="Q420">
        <v>2</v>
      </c>
      <c r="R420" s="2">
        <v>36225</v>
      </c>
    </row>
    <row r="421" spans="1:18" x14ac:dyDescent="0.3">
      <c r="A421" t="s">
        <v>7</v>
      </c>
      <c r="B421">
        <v>18030377</v>
      </c>
      <c r="C421" t="s">
        <v>8</v>
      </c>
      <c r="D421" s="4">
        <v>45695</v>
      </c>
      <c r="E421" s="11">
        <f t="shared" si="24"/>
        <v>2025</v>
      </c>
      <c r="F421" s="11">
        <f t="shared" si="25"/>
        <v>2</v>
      </c>
      <c r="G421" s="11" t="str">
        <f t="shared" si="26"/>
        <v>202502</v>
      </c>
      <c r="H421" s="4">
        <v>45748</v>
      </c>
      <c r="I421" s="5">
        <v>53</v>
      </c>
      <c r="J421" s="5">
        <v>1.7666666666666666</v>
      </c>
      <c r="K421" s="5">
        <f t="shared" si="27"/>
        <v>0</v>
      </c>
      <c r="L421" s="5">
        <v>1</v>
      </c>
      <c r="M421" s="5">
        <v>1</v>
      </c>
      <c r="N421" t="s">
        <v>9</v>
      </c>
      <c r="O421" s="8">
        <v>21.169863013698631</v>
      </c>
      <c r="P421" t="s">
        <v>33</v>
      </c>
      <c r="Q421">
        <v>2</v>
      </c>
      <c r="R421" s="2">
        <v>37968</v>
      </c>
    </row>
    <row r="422" spans="1:18" x14ac:dyDescent="0.3">
      <c r="A422" t="s">
        <v>7</v>
      </c>
      <c r="B422">
        <v>18030390</v>
      </c>
      <c r="C422" t="s">
        <v>8</v>
      </c>
      <c r="D422" s="4">
        <v>45695</v>
      </c>
      <c r="E422" s="11">
        <f t="shared" si="24"/>
        <v>2025</v>
      </c>
      <c r="F422" s="11">
        <f t="shared" si="25"/>
        <v>2</v>
      </c>
      <c r="G422" s="11" t="str">
        <f t="shared" si="26"/>
        <v>202502</v>
      </c>
      <c r="H422" s="4">
        <v>45791</v>
      </c>
      <c r="I422" s="5">
        <v>96</v>
      </c>
      <c r="J422" s="5">
        <v>3.2</v>
      </c>
      <c r="K422" s="5">
        <f t="shared" si="27"/>
        <v>0</v>
      </c>
      <c r="L422" s="5">
        <v>0</v>
      </c>
      <c r="M422" s="5">
        <v>1</v>
      </c>
      <c r="N422" t="s">
        <v>9</v>
      </c>
      <c r="O422" s="8">
        <v>21.663013698630138</v>
      </c>
      <c r="P422" t="s">
        <v>33</v>
      </c>
      <c r="Q422">
        <v>2</v>
      </c>
      <c r="R422" s="2">
        <v>37788</v>
      </c>
    </row>
    <row r="423" spans="1:18" x14ac:dyDescent="0.3">
      <c r="A423" t="s">
        <v>7</v>
      </c>
      <c r="B423">
        <v>18030415</v>
      </c>
      <c r="C423" t="s">
        <v>8</v>
      </c>
      <c r="D423" s="4">
        <v>45695</v>
      </c>
      <c r="E423" s="11">
        <f t="shared" si="24"/>
        <v>2025</v>
      </c>
      <c r="F423" s="11">
        <f t="shared" si="25"/>
        <v>2</v>
      </c>
      <c r="G423" s="11" t="str">
        <f t="shared" si="26"/>
        <v>202502</v>
      </c>
      <c r="I423" s="5">
        <v>9999</v>
      </c>
      <c r="J423" s="5">
        <v>333.3</v>
      </c>
      <c r="K423" s="5">
        <f t="shared" si="27"/>
        <v>0</v>
      </c>
      <c r="L423" s="5">
        <v>0</v>
      </c>
      <c r="M423" s="5">
        <v>0</v>
      </c>
      <c r="N423" t="s">
        <v>9</v>
      </c>
      <c r="O423" s="8">
        <v>23.186301369863013</v>
      </c>
      <c r="P423" t="s">
        <v>33</v>
      </c>
      <c r="Q423">
        <v>2</v>
      </c>
      <c r="R423" s="2">
        <v>37232</v>
      </c>
    </row>
    <row r="424" spans="1:18" x14ac:dyDescent="0.3">
      <c r="A424" t="s">
        <v>7</v>
      </c>
      <c r="B424">
        <v>18030416</v>
      </c>
      <c r="C424" t="s">
        <v>8</v>
      </c>
      <c r="D424" s="4">
        <v>45695</v>
      </c>
      <c r="E424" s="11">
        <f t="shared" si="24"/>
        <v>2025</v>
      </c>
      <c r="F424" s="11">
        <f t="shared" si="25"/>
        <v>2</v>
      </c>
      <c r="G424" s="11" t="str">
        <f t="shared" si="26"/>
        <v>202502</v>
      </c>
      <c r="I424" s="5">
        <v>9999</v>
      </c>
      <c r="J424" s="5">
        <v>333.3</v>
      </c>
      <c r="K424" s="5">
        <f t="shared" si="27"/>
        <v>0</v>
      </c>
      <c r="L424" s="5">
        <v>0</v>
      </c>
      <c r="M424" s="5">
        <v>0</v>
      </c>
      <c r="N424" t="s">
        <v>9</v>
      </c>
      <c r="O424" s="8">
        <v>20.323287671232876</v>
      </c>
      <c r="P424" t="s">
        <v>32</v>
      </c>
      <c r="Q424">
        <v>1</v>
      </c>
      <c r="R424" s="2">
        <v>38277</v>
      </c>
    </row>
    <row r="425" spans="1:18" x14ac:dyDescent="0.3">
      <c r="A425" t="s">
        <v>7</v>
      </c>
      <c r="B425">
        <v>18030433</v>
      </c>
      <c r="C425" t="s">
        <v>8</v>
      </c>
      <c r="D425" s="4">
        <v>45695</v>
      </c>
      <c r="E425" s="11">
        <f t="shared" si="24"/>
        <v>2025</v>
      </c>
      <c r="F425" s="11">
        <f t="shared" si="25"/>
        <v>2</v>
      </c>
      <c r="G425" s="11" t="str">
        <f t="shared" si="26"/>
        <v>202502</v>
      </c>
      <c r="H425" s="4">
        <v>46138</v>
      </c>
      <c r="I425" s="5">
        <v>443</v>
      </c>
      <c r="J425" s="5">
        <v>14.766666666666667</v>
      </c>
      <c r="K425" s="5">
        <f t="shared" si="27"/>
        <v>0</v>
      </c>
      <c r="L425" s="5">
        <v>0</v>
      </c>
      <c r="M425" s="5">
        <v>0</v>
      </c>
      <c r="N425" t="s">
        <v>9</v>
      </c>
      <c r="O425" s="8">
        <v>28.945205479452056</v>
      </c>
      <c r="P425" t="s">
        <v>34</v>
      </c>
      <c r="Q425">
        <v>3</v>
      </c>
      <c r="R425" s="2">
        <v>35130</v>
      </c>
    </row>
    <row r="426" spans="1:18" x14ac:dyDescent="0.3">
      <c r="A426" t="s">
        <v>7</v>
      </c>
      <c r="B426">
        <v>18030434</v>
      </c>
      <c r="C426" t="s">
        <v>10</v>
      </c>
      <c r="D426" s="4">
        <v>45695</v>
      </c>
      <c r="E426" s="11">
        <f t="shared" si="24"/>
        <v>2025</v>
      </c>
      <c r="F426" s="11">
        <f t="shared" si="25"/>
        <v>2</v>
      </c>
      <c r="G426" s="11" t="str">
        <f t="shared" si="26"/>
        <v>202502</v>
      </c>
      <c r="H426" s="4">
        <v>45991</v>
      </c>
      <c r="I426" s="5">
        <v>296</v>
      </c>
      <c r="J426" s="5">
        <v>9.8666666666666671</v>
      </c>
      <c r="K426" s="5">
        <f t="shared" si="27"/>
        <v>0</v>
      </c>
      <c r="L426" s="5">
        <v>0</v>
      </c>
      <c r="M426" s="5">
        <v>0</v>
      </c>
      <c r="N426" t="s">
        <v>9</v>
      </c>
      <c r="O426" s="8">
        <v>19.399999999999999</v>
      </c>
      <c r="P426" t="s">
        <v>32</v>
      </c>
      <c r="Q426">
        <v>1</v>
      </c>
      <c r="R426" s="2">
        <v>38614</v>
      </c>
    </row>
    <row r="427" spans="1:18" x14ac:dyDescent="0.3">
      <c r="A427" t="s">
        <v>7</v>
      </c>
      <c r="B427">
        <v>18030435</v>
      </c>
      <c r="C427" t="s">
        <v>10</v>
      </c>
      <c r="D427" s="4">
        <v>45695</v>
      </c>
      <c r="E427" s="11">
        <f t="shared" si="24"/>
        <v>2025</v>
      </c>
      <c r="F427" s="11">
        <f t="shared" si="25"/>
        <v>2</v>
      </c>
      <c r="G427" s="11" t="str">
        <f t="shared" si="26"/>
        <v>202502</v>
      </c>
      <c r="I427" s="5">
        <v>9999</v>
      </c>
      <c r="J427" s="5">
        <v>333.3</v>
      </c>
      <c r="K427" s="5">
        <f t="shared" si="27"/>
        <v>0</v>
      </c>
      <c r="L427" s="5">
        <v>0</v>
      </c>
      <c r="M427" s="5">
        <v>0</v>
      </c>
      <c r="N427" t="s">
        <v>9</v>
      </c>
      <c r="O427" s="8">
        <v>21.035616438356165</v>
      </c>
      <c r="P427" t="s">
        <v>33</v>
      </c>
      <c r="Q427">
        <v>2</v>
      </c>
      <c r="R427" s="2">
        <v>38017</v>
      </c>
    </row>
    <row r="428" spans="1:18" x14ac:dyDescent="0.3">
      <c r="A428" t="s">
        <v>7</v>
      </c>
      <c r="B428">
        <v>18030436</v>
      </c>
      <c r="C428" t="s">
        <v>8</v>
      </c>
      <c r="D428" s="4">
        <v>45695</v>
      </c>
      <c r="E428" s="11">
        <f t="shared" si="24"/>
        <v>2025</v>
      </c>
      <c r="F428" s="11">
        <f t="shared" si="25"/>
        <v>2</v>
      </c>
      <c r="G428" s="11" t="str">
        <f t="shared" si="26"/>
        <v>202502</v>
      </c>
      <c r="H428" s="4">
        <v>45790</v>
      </c>
      <c r="I428" s="5">
        <v>95</v>
      </c>
      <c r="J428" s="5">
        <v>3.1666666666666665</v>
      </c>
      <c r="K428" s="5">
        <f t="shared" si="27"/>
        <v>0</v>
      </c>
      <c r="L428" s="5">
        <v>0</v>
      </c>
      <c r="M428" s="5">
        <v>1</v>
      </c>
      <c r="N428" t="s">
        <v>9</v>
      </c>
      <c r="O428" s="8">
        <v>18.772602739726029</v>
      </c>
      <c r="P428" t="s">
        <v>32</v>
      </c>
      <c r="Q428">
        <v>1</v>
      </c>
      <c r="R428" s="2">
        <v>38843</v>
      </c>
    </row>
    <row r="429" spans="1:18" x14ac:dyDescent="0.3">
      <c r="A429" t="s">
        <v>7</v>
      </c>
      <c r="B429">
        <v>18030438</v>
      </c>
      <c r="C429" t="s">
        <v>8</v>
      </c>
      <c r="D429" s="4">
        <v>45695</v>
      </c>
      <c r="E429" s="11">
        <f t="shared" si="24"/>
        <v>2025</v>
      </c>
      <c r="F429" s="11">
        <f t="shared" si="25"/>
        <v>2</v>
      </c>
      <c r="G429" s="11" t="str">
        <f t="shared" si="26"/>
        <v>202502</v>
      </c>
      <c r="H429" s="4">
        <v>45839</v>
      </c>
      <c r="I429" s="5">
        <v>144</v>
      </c>
      <c r="J429" s="5">
        <v>4.8</v>
      </c>
      <c r="K429" s="5">
        <f t="shared" si="27"/>
        <v>0</v>
      </c>
      <c r="L429" s="5">
        <v>0</v>
      </c>
      <c r="M429" s="5">
        <v>1</v>
      </c>
      <c r="N429" t="s">
        <v>9</v>
      </c>
      <c r="O429" s="8">
        <v>20.720547945205478</v>
      </c>
      <c r="P429" t="s">
        <v>32</v>
      </c>
      <c r="Q429">
        <v>1</v>
      </c>
      <c r="R429" s="2">
        <v>38132</v>
      </c>
    </row>
    <row r="430" spans="1:18" x14ac:dyDescent="0.3">
      <c r="A430" t="s">
        <v>7</v>
      </c>
      <c r="B430">
        <v>18030445</v>
      </c>
      <c r="C430" t="s">
        <v>10</v>
      </c>
      <c r="D430" s="4">
        <v>45695</v>
      </c>
      <c r="E430" s="11">
        <f t="shared" si="24"/>
        <v>2025</v>
      </c>
      <c r="F430" s="11">
        <f t="shared" si="25"/>
        <v>2</v>
      </c>
      <c r="G430" s="11" t="str">
        <f t="shared" si="26"/>
        <v>202502</v>
      </c>
      <c r="H430" s="4">
        <v>45753</v>
      </c>
      <c r="I430" s="5">
        <v>58</v>
      </c>
      <c r="J430" s="5">
        <v>1.9333333333333333</v>
      </c>
      <c r="K430" s="5">
        <f t="shared" si="27"/>
        <v>0</v>
      </c>
      <c r="L430" s="5">
        <v>1</v>
      </c>
      <c r="M430" s="5">
        <v>1</v>
      </c>
      <c r="N430" t="s">
        <v>9</v>
      </c>
      <c r="O430" s="8">
        <v>24.704109589041096</v>
      </c>
      <c r="P430" t="s">
        <v>33</v>
      </c>
      <c r="Q430">
        <v>2</v>
      </c>
      <c r="R430" s="2">
        <v>36678</v>
      </c>
    </row>
    <row r="431" spans="1:18" x14ac:dyDescent="0.3">
      <c r="A431" t="s">
        <v>7</v>
      </c>
      <c r="B431">
        <v>18040197</v>
      </c>
      <c r="C431" t="s">
        <v>8</v>
      </c>
      <c r="D431" s="4">
        <v>45699</v>
      </c>
      <c r="E431" s="11">
        <f t="shared" si="24"/>
        <v>2025</v>
      </c>
      <c r="F431" s="11">
        <f t="shared" si="25"/>
        <v>2</v>
      </c>
      <c r="G431" s="11" t="str">
        <f t="shared" si="26"/>
        <v>202502</v>
      </c>
      <c r="H431" s="4">
        <v>45726</v>
      </c>
      <c r="I431" s="5">
        <v>27</v>
      </c>
      <c r="J431" s="5">
        <v>0.9</v>
      </c>
      <c r="K431" s="5">
        <f t="shared" si="27"/>
        <v>1</v>
      </c>
      <c r="L431" s="5">
        <v>1</v>
      </c>
      <c r="M431" s="5">
        <v>1</v>
      </c>
      <c r="N431" t="s">
        <v>9</v>
      </c>
      <c r="O431" s="8">
        <v>22.24931506849315</v>
      </c>
      <c r="P431" t="s">
        <v>33</v>
      </c>
      <c r="Q431">
        <v>2</v>
      </c>
      <c r="R431" s="2">
        <v>37578</v>
      </c>
    </row>
    <row r="432" spans="1:18" x14ac:dyDescent="0.3">
      <c r="A432" t="s">
        <v>7</v>
      </c>
      <c r="B432">
        <v>18040200</v>
      </c>
      <c r="C432" t="s">
        <v>8</v>
      </c>
      <c r="D432" s="4">
        <v>45699</v>
      </c>
      <c r="E432" s="11">
        <f t="shared" si="24"/>
        <v>2025</v>
      </c>
      <c r="F432" s="11">
        <f t="shared" si="25"/>
        <v>2</v>
      </c>
      <c r="G432" s="11" t="str">
        <f t="shared" si="26"/>
        <v>202502</v>
      </c>
      <c r="H432" s="4">
        <v>45788</v>
      </c>
      <c r="I432" s="5">
        <v>89</v>
      </c>
      <c r="J432" s="5">
        <v>2.9666666666666668</v>
      </c>
      <c r="K432" s="5">
        <f t="shared" si="27"/>
        <v>0</v>
      </c>
      <c r="L432" s="5">
        <v>1</v>
      </c>
      <c r="M432" s="5">
        <v>1</v>
      </c>
      <c r="N432" t="s">
        <v>9</v>
      </c>
      <c r="O432" s="8">
        <v>32.372602739726027</v>
      </c>
      <c r="P432" t="s">
        <v>35</v>
      </c>
      <c r="Q432">
        <v>4</v>
      </c>
      <c r="R432" s="2">
        <v>33883</v>
      </c>
    </row>
    <row r="433" spans="1:18" x14ac:dyDescent="0.3">
      <c r="A433" t="s">
        <v>7</v>
      </c>
      <c r="B433">
        <v>18040628</v>
      </c>
      <c r="C433" t="s">
        <v>8</v>
      </c>
      <c r="D433" s="4">
        <v>45699</v>
      </c>
      <c r="E433" s="11">
        <f t="shared" si="24"/>
        <v>2025</v>
      </c>
      <c r="F433" s="11">
        <f t="shared" si="25"/>
        <v>2</v>
      </c>
      <c r="G433" s="11" t="str">
        <f t="shared" si="26"/>
        <v>202502</v>
      </c>
      <c r="H433" s="4">
        <v>46142</v>
      </c>
      <c r="I433" s="5">
        <v>443</v>
      </c>
      <c r="J433" s="5">
        <v>14.766666666666667</v>
      </c>
      <c r="K433" s="5">
        <f t="shared" si="27"/>
        <v>0</v>
      </c>
      <c r="L433" s="5">
        <v>0</v>
      </c>
      <c r="M433" s="5">
        <v>0</v>
      </c>
      <c r="N433" t="s">
        <v>9</v>
      </c>
      <c r="O433" s="8">
        <v>21.271232876712329</v>
      </c>
      <c r="P433" t="s">
        <v>33</v>
      </c>
      <c r="Q433">
        <v>2</v>
      </c>
      <c r="R433" s="2">
        <v>37935</v>
      </c>
    </row>
    <row r="434" spans="1:18" x14ac:dyDescent="0.3">
      <c r="A434" t="s">
        <v>7</v>
      </c>
      <c r="B434">
        <v>18040749</v>
      </c>
      <c r="C434" t="s">
        <v>8</v>
      </c>
      <c r="D434" s="4">
        <v>45699</v>
      </c>
      <c r="E434" s="11">
        <f t="shared" si="24"/>
        <v>2025</v>
      </c>
      <c r="F434" s="11">
        <f t="shared" si="25"/>
        <v>2</v>
      </c>
      <c r="G434" s="11" t="str">
        <f t="shared" si="26"/>
        <v>202502</v>
      </c>
      <c r="H434" s="4">
        <v>45781</v>
      </c>
      <c r="I434" s="5">
        <v>82</v>
      </c>
      <c r="J434" s="5">
        <v>2.7333333333333334</v>
      </c>
      <c r="K434" s="5">
        <f t="shared" si="27"/>
        <v>0</v>
      </c>
      <c r="L434" s="5">
        <v>1</v>
      </c>
      <c r="M434" s="5">
        <v>1</v>
      </c>
      <c r="N434" t="s">
        <v>9</v>
      </c>
      <c r="O434" s="8">
        <v>18.471232876712328</v>
      </c>
      <c r="P434" t="s">
        <v>32</v>
      </c>
      <c r="Q434">
        <v>1</v>
      </c>
      <c r="R434" s="2">
        <v>38957</v>
      </c>
    </row>
    <row r="435" spans="1:18" x14ac:dyDescent="0.3">
      <c r="A435" t="s">
        <v>7</v>
      </c>
      <c r="B435">
        <v>18048944</v>
      </c>
      <c r="C435" t="s">
        <v>10</v>
      </c>
      <c r="D435" s="4">
        <v>45700</v>
      </c>
      <c r="E435" s="11">
        <f t="shared" si="24"/>
        <v>2025</v>
      </c>
      <c r="F435" s="11">
        <f t="shared" si="25"/>
        <v>2</v>
      </c>
      <c r="G435" s="11" t="str">
        <f t="shared" si="26"/>
        <v>202502</v>
      </c>
      <c r="H435" s="4">
        <v>45747</v>
      </c>
      <c r="I435" s="5">
        <v>47</v>
      </c>
      <c r="J435" s="5">
        <v>1.5666666666666667</v>
      </c>
      <c r="K435" s="5">
        <f t="shared" si="27"/>
        <v>0</v>
      </c>
      <c r="L435" s="5">
        <v>1</v>
      </c>
      <c r="M435" s="5">
        <v>1</v>
      </c>
      <c r="N435" t="s">
        <v>12</v>
      </c>
      <c r="O435" s="8">
        <v>21.775342465753425</v>
      </c>
      <c r="P435" t="s">
        <v>33</v>
      </c>
      <c r="Q435">
        <v>2</v>
      </c>
      <c r="R435" s="2">
        <v>37752</v>
      </c>
    </row>
    <row r="436" spans="1:18" x14ac:dyDescent="0.3">
      <c r="A436" t="s">
        <v>7</v>
      </c>
      <c r="B436">
        <v>18055471</v>
      </c>
      <c r="C436" t="s">
        <v>8</v>
      </c>
      <c r="D436" s="4">
        <v>45695</v>
      </c>
      <c r="E436" s="11">
        <f t="shared" si="24"/>
        <v>2025</v>
      </c>
      <c r="F436" s="11">
        <f t="shared" si="25"/>
        <v>2</v>
      </c>
      <c r="G436" s="11" t="str">
        <f t="shared" si="26"/>
        <v>202502</v>
      </c>
      <c r="H436" s="4">
        <v>45747</v>
      </c>
      <c r="I436" s="5">
        <v>52</v>
      </c>
      <c r="J436" s="5">
        <v>1.7333333333333334</v>
      </c>
      <c r="K436" s="5">
        <f t="shared" si="27"/>
        <v>0</v>
      </c>
      <c r="L436" s="5">
        <v>1</v>
      </c>
      <c r="M436" s="5">
        <v>1</v>
      </c>
      <c r="N436" t="s">
        <v>9</v>
      </c>
      <c r="O436" s="8">
        <v>19.383561643835616</v>
      </c>
      <c r="P436" t="s">
        <v>32</v>
      </c>
      <c r="Q436">
        <v>1</v>
      </c>
      <c r="R436" s="2">
        <v>38620</v>
      </c>
    </row>
    <row r="437" spans="1:18" x14ac:dyDescent="0.3">
      <c r="A437" t="s">
        <v>7</v>
      </c>
      <c r="B437">
        <v>18085435</v>
      </c>
      <c r="C437" t="s">
        <v>8</v>
      </c>
      <c r="D437" s="4">
        <v>45702</v>
      </c>
      <c r="E437" s="11">
        <f t="shared" si="24"/>
        <v>2025</v>
      </c>
      <c r="F437" s="11">
        <f t="shared" si="25"/>
        <v>2</v>
      </c>
      <c r="G437" s="11" t="str">
        <f t="shared" si="26"/>
        <v>202502</v>
      </c>
      <c r="I437" s="5">
        <v>9999</v>
      </c>
      <c r="J437" s="5">
        <v>333.3</v>
      </c>
      <c r="K437" s="5">
        <f t="shared" si="27"/>
        <v>0</v>
      </c>
      <c r="L437" s="5">
        <v>0</v>
      </c>
      <c r="M437" s="5">
        <v>0</v>
      </c>
      <c r="N437" t="s">
        <v>9</v>
      </c>
      <c r="O437" s="8">
        <v>20.978082191780821</v>
      </c>
      <c r="P437" t="s">
        <v>32</v>
      </c>
      <c r="Q437">
        <v>1</v>
      </c>
      <c r="R437" s="2">
        <v>38045</v>
      </c>
    </row>
    <row r="438" spans="1:18" x14ac:dyDescent="0.3">
      <c r="A438" t="s">
        <v>7</v>
      </c>
      <c r="B438">
        <v>18085769</v>
      </c>
      <c r="C438" t="s">
        <v>8</v>
      </c>
      <c r="D438" s="4">
        <v>45702</v>
      </c>
      <c r="E438" s="11">
        <f t="shared" si="24"/>
        <v>2025</v>
      </c>
      <c r="F438" s="11">
        <f t="shared" si="25"/>
        <v>2</v>
      </c>
      <c r="G438" s="11" t="str">
        <f t="shared" si="26"/>
        <v>202502</v>
      </c>
      <c r="H438" s="4">
        <v>45762</v>
      </c>
      <c r="I438" s="5">
        <v>60</v>
      </c>
      <c r="J438" s="5">
        <v>2</v>
      </c>
      <c r="K438" s="5">
        <f t="shared" si="27"/>
        <v>0</v>
      </c>
      <c r="L438" s="5">
        <v>1</v>
      </c>
      <c r="M438" s="5">
        <v>1</v>
      </c>
      <c r="N438" t="s">
        <v>9</v>
      </c>
      <c r="O438" s="8">
        <v>22.452054794520549</v>
      </c>
      <c r="P438" t="s">
        <v>33</v>
      </c>
      <c r="Q438">
        <v>2</v>
      </c>
      <c r="R438" s="2">
        <v>37507</v>
      </c>
    </row>
    <row r="439" spans="1:18" x14ac:dyDescent="0.3">
      <c r="A439" t="s">
        <v>7</v>
      </c>
      <c r="B439">
        <v>18085832</v>
      </c>
      <c r="C439" t="s">
        <v>8</v>
      </c>
      <c r="D439" s="4">
        <v>45702</v>
      </c>
      <c r="E439" s="11">
        <f t="shared" si="24"/>
        <v>2025</v>
      </c>
      <c r="F439" s="11">
        <f t="shared" si="25"/>
        <v>2</v>
      </c>
      <c r="G439" s="11" t="str">
        <f t="shared" si="26"/>
        <v>202502</v>
      </c>
      <c r="I439" s="5">
        <v>9999</v>
      </c>
      <c r="J439" s="5">
        <v>333.3</v>
      </c>
      <c r="K439" s="5">
        <f t="shared" si="27"/>
        <v>0</v>
      </c>
      <c r="L439" s="5">
        <v>0</v>
      </c>
      <c r="M439" s="5">
        <v>0</v>
      </c>
      <c r="N439" t="s">
        <v>9</v>
      </c>
      <c r="O439" s="8">
        <v>19.761643835616439</v>
      </c>
      <c r="P439" t="s">
        <v>32</v>
      </c>
      <c r="Q439">
        <v>1</v>
      </c>
      <c r="R439" s="2">
        <v>38489</v>
      </c>
    </row>
    <row r="440" spans="1:18" x14ac:dyDescent="0.3">
      <c r="A440" t="s">
        <v>7</v>
      </c>
      <c r="B440">
        <v>18085863</v>
      </c>
      <c r="C440" t="s">
        <v>8</v>
      </c>
      <c r="D440" s="4">
        <v>45702</v>
      </c>
      <c r="E440" s="11">
        <f t="shared" si="24"/>
        <v>2025</v>
      </c>
      <c r="F440" s="11">
        <f t="shared" si="25"/>
        <v>2</v>
      </c>
      <c r="G440" s="11" t="str">
        <f t="shared" si="26"/>
        <v>202502</v>
      </c>
      <c r="H440" s="4">
        <v>46082</v>
      </c>
      <c r="I440" s="5">
        <v>380</v>
      </c>
      <c r="J440" s="5">
        <v>12.666666666666666</v>
      </c>
      <c r="K440" s="5">
        <f t="shared" si="27"/>
        <v>0</v>
      </c>
      <c r="L440" s="5">
        <v>0</v>
      </c>
      <c r="M440" s="5">
        <v>0</v>
      </c>
      <c r="N440" t="s">
        <v>9</v>
      </c>
      <c r="O440" s="8">
        <v>21.621917808219177</v>
      </c>
      <c r="P440" t="s">
        <v>33</v>
      </c>
      <c r="Q440">
        <v>2</v>
      </c>
      <c r="R440" s="2">
        <v>37810</v>
      </c>
    </row>
    <row r="441" spans="1:18" x14ac:dyDescent="0.3">
      <c r="A441" t="s">
        <v>7</v>
      </c>
      <c r="B441">
        <v>18085905</v>
      </c>
      <c r="C441" t="s">
        <v>8</v>
      </c>
      <c r="D441" s="4">
        <v>45702</v>
      </c>
      <c r="E441" s="11">
        <f t="shared" si="24"/>
        <v>2025</v>
      </c>
      <c r="F441" s="11">
        <f t="shared" si="25"/>
        <v>2</v>
      </c>
      <c r="G441" s="11" t="str">
        <f t="shared" si="26"/>
        <v>202502</v>
      </c>
      <c r="I441" s="5">
        <v>9999</v>
      </c>
      <c r="J441" s="5">
        <v>333.3</v>
      </c>
      <c r="K441" s="5">
        <f t="shared" si="27"/>
        <v>0</v>
      </c>
      <c r="L441" s="5">
        <v>0</v>
      </c>
      <c r="M441" s="5">
        <v>0</v>
      </c>
      <c r="N441" t="s">
        <v>9</v>
      </c>
      <c r="O441" s="8">
        <v>21.745205479452054</v>
      </c>
      <c r="P441" t="s">
        <v>33</v>
      </c>
      <c r="Q441">
        <v>2</v>
      </c>
      <c r="R441" s="2">
        <v>37765</v>
      </c>
    </row>
    <row r="442" spans="1:18" x14ac:dyDescent="0.3">
      <c r="A442" t="s">
        <v>7</v>
      </c>
      <c r="B442">
        <v>18085915</v>
      </c>
      <c r="C442" t="s">
        <v>8</v>
      </c>
      <c r="D442" s="4">
        <v>45702</v>
      </c>
      <c r="E442" s="11">
        <f t="shared" si="24"/>
        <v>2025</v>
      </c>
      <c r="F442" s="11">
        <f t="shared" si="25"/>
        <v>2</v>
      </c>
      <c r="G442" s="11" t="str">
        <f t="shared" si="26"/>
        <v>202502</v>
      </c>
      <c r="I442" s="5">
        <v>9999</v>
      </c>
      <c r="J442" s="5">
        <v>333.3</v>
      </c>
      <c r="K442" s="5">
        <f t="shared" si="27"/>
        <v>0</v>
      </c>
      <c r="L442" s="5">
        <v>0</v>
      </c>
      <c r="M442" s="5">
        <v>0</v>
      </c>
      <c r="N442" t="s">
        <v>9</v>
      </c>
      <c r="O442" s="8">
        <v>18.739726027397261</v>
      </c>
      <c r="P442" t="s">
        <v>32</v>
      </c>
      <c r="Q442">
        <v>1</v>
      </c>
      <c r="R442" s="2">
        <v>38862</v>
      </c>
    </row>
    <row r="443" spans="1:18" x14ac:dyDescent="0.3">
      <c r="A443" t="s">
        <v>7</v>
      </c>
      <c r="B443">
        <v>18085945</v>
      </c>
      <c r="C443" t="s">
        <v>8</v>
      </c>
      <c r="D443" s="4">
        <v>45702</v>
      </c>
      <c r="E443" s="11">
        <f t="shared" si="24"/>
        <v>2025</v>
      </c>
      <c r="F443" s="11">
        <f t="shared" si="25"/>
        <v>2</v>
      </c>
      <c r="G443" s="11" t="str">
        <f t="shared" si="26"/>
        <v>202502</v>
      </c>
      <c r="H443" s="4">
        <v>45778</v>
      </c>
      <c r="I443" s="5">
        <v>76</v>
      </c>
      <c r="J443" s="5">
        <v>2.5333333333333332</v>
      </c>
      <c r="K443" s="5">
        <f t="shared" si="27"/>
        <v>0</v>
      </c>
      <c r="L443" s="5">
        <v>1</v>
      </c>
      <c r="M443" s="5">
        <v>1</v>
      </c>
      <c r="N443" t="s">
        <v>9</v>
      </c>
      <c r="O443" s="8">
        <v>19.736986301369864</v>
      </c>
      <c r="P443" t="s">
        <v>32</v>
      </c>
      <c r="Q443">
        <v>1</v>
      </c>
      <c r="R443" s="2">
        <v>38498</v>
      </c>
    </row>
    <row r="444" spans="1:18" x14ac:dyDescent="0.3">
      <c r="A444" t="s">
        <v>7</v>
      </c>
      <c r="B444">
        <v>18100802</v>
      </c>
      <c r="C444" t="s">
        <v>8</v>
      </c>
      <c r="D444" s="4">
        <v>45996</v>
      </c>
      <c r="E444" s="11">
        <f t="shared" si="24"/>
        <v>2025</v>
      </c>
      <c r="F444" s="11">
        <f t="shared" si="25"/>
        <v>12</v>
      </c>
      <c r="G444" s="11" t="str">
        <f t="shared" si="26"/>
        <v>202512</v>
      </c>
      <c r="H444" s="4">
        <v>46043</v>
      </c>
      <c r="I444" s="5">
        <v>47</v>
      </c>
      <c r="J444" s="5">
        <v>1.5666666666666667</v>
      </c>
      <c r="K444" s="5">
        <f t="shared" si="27"/>
        <v>0</v>
      </c>
      <c r="L444" s="5">
        <v>1</v>
      </c>
      <c r="M444" s="5">
        <v>1</v>
      </c>
      <c r="N444" t="s">
        <v>12</v>
      </c>
      <c r="O444" s="8">
        <v>22.706849315068492</v>
      </c>
      <c r="P444" t="s">
        <v>33</v>
      </c>
      <c r="Q444">
        <v>2</v>
      </c>
      <c r="R444" s="2">
        <v>37708</v>
      </c>
    </row>
    <row r="445" spans="1:18" x14ac:dyDescent="0.3">
      <c r="A445" t="s">
        <v>7</v>
      </c>
      <c r="B445">
        <v>18100803</v>
      </c>
      <c r="C445" t="s">
        <v>8</v>
      </c>
      <c r="D445" s="4">
        <v>45894</v>
      </c>
      <c r="E445" s="11">
        <f t="shared" si="24"/>
        <v>2025</v>
      </c>
      <c r="F445" s="11">
        <f t="shared" si="25"/>
        <v>8</v>
      </c>
      <c r="G445" s="11" t="str">
        <f t="shared" si="26"/>
        <v>202508</v>
      </c>
      <c r="I445" s="5">
        <v>9999</v>
      </c>
      <c r="J445" s="5">
        <v>333.3</v>
      </c>
      <c r="K445" s="5">
        <f t="shared" si="27"/>
        <v>0</v>
      </c>
      <c r="L445" s="5">
        <v>0</v>
      </c>
      <c r="M445" s="5">
        <v>0</v>
      </c>
      <c r="N445" t="s">
        <v>12</v>
      </c>
      <c r="O445" s="8">
        <v>23.958904109589042</v>
      </c>
      <c r="P445" t="s">
        <v>33</v>
      </c>
      <c r="Q445">
        <v>2</v>
      </c>
      <c r="R445" s="2">
        <v>37149</v>
      </c>
    </row>
    <row r="446" spans="1:18" x14ac:dyDescent="0.3">
      <c r="A446" t="s">
        <v>7</v>
      </c>
      <c r="B446">
        <v>18101113</v>
      </c>
      <c r="C446" t="s">
        <v>8</v>
      </c>
      <c r="D446" s="4">
        <v>45975</v>
      </c>
      <c r="E446" s="11">
        <f t="shared" si="24"/>
        <v>2025</v>
      </c>
      <c r="F446" s="11">
        <f t="shared" si="25"/>
        <v>11</v>
      </c>
      <c r="G446" s="11" t="str">
        <f t="shared" si="26"/>
        <v>202511</v>
      </c>
      <c r="I446" s="5">
        <v>9999</v>
      </c>
      <c r="J446" s="5">
        <v>333.3</v>
      </c>
      <c r="K446" s="5">
        <f t="shared" si="27"/>
        <v>0</v>
      </c>
      <c r="L446" s="5">
        <v>0</v>
      </c>
      <c r="M446" s="5">
        <v>0</v>
      </c>
      <c r="N446" t="s">
        <v>12</v>
      </c>
      <c r="O446" s="8">
        <v>20.778082191780822</v>
      </c>
      <c r="P446" t="s">
        <v>32</v>
      </c>
      <c r="Q446">
        <v>1</v>
      </c>
      <c r="R446" s="2">
        <v>38391</v>
      </c>
    </row>
    <row r="447" spans="1:18" x14ac:dyDescent="0.3">
      <c r="A447" t="s">
        <v>7</v>
      </c>
      <c r="B447">
        <v>18101128</v>
      </c>
      <c r="C447" t="s">
        <v>8</v>
      </c>
      <c r="D447" s="4">
        <v>45705</v>
      </c>
      <c r="E447" s="11">
        <f t="shared" si="24"/>
        <v>2025</v>
      </c>
      <c r="F447" s="11">
        <f t="shared" si="25"/>
        <v>2</v>
      </c>
      <c r="G447" s="11" t="str">
        <f t="shared" si="26"/>
        <v>202502</v>
      </c>
      <c r="I447" s="5">
        <v>9999</v>
      </c>
      <c r="J447" s="5">
        <v>333.3</v>
      </c>
      <c r="K447" s="5">
        <f t="shared" si="27"/>
        <v>0</v>
      </c>
      <c r="L447" s="5">
        <v>0</v>
      </c>
      <c r="M447" s="5">
        <v>0</v>
      </c>
      <c r="N447" t="s">
        <v>12</v>
      </c>
      <c r="O447" s="8">
        <v>23.046575342465754</v>
      </c>
      <c r="P447" t="s">
        <v>33</v>
      </c>
      <c r="Q447">
        <v>2</v>
      </c>
      <c r="R447" s="2">
        <v>37293</v>
      </c>
    </row>
    <row r="448" spans="1:18" x14ac:dyDescent="0.3">
      <c r="A448" t="s">
        <v>7</v>
      </c>
      <c r="B448">
        <v>18101131</v>
      </c>
      <c r="C448" t="s">
        <v>10</v>
      </c>
      <c r="D448" s="4">
        <v>45705</v>
      </c>
      <c r="E448" s="11">
        <f t="shared" si="24"/>
        <v>2025</v>
      </c>
      <c r="F448" s="11">
        <f t="shared" si="25"/>
        <v>2</v>
      </c>
      <c r="G448" s="11" t="str">
        <f t="shared" si="26"/>
        <v>202502</v>
      </c>
      <c r="I448" s="5">
        <v>9999</v>
      </c>
      <c r="J448" s="5">
        <v>333.3</v>
      </c>
      <c r="K448" s="5">
        <f t="shared" si="27"/>
        <v>0</v>
      </c>
      <c r="L448" s="5">
        <v>0</v>
      </c>
      <c r="M448" s="5">
        <v>0</v>
      </c>
      <c r="N448" t="s">
        <v>12</v>
      </c>
      <c r="O448" s="8">
        <v>19.901369863013699</v>
      </c>
      <c r="P448" t="s">
        <v>32</v>
      </c>
      <c r="Q448">
        <v>1</v>
      </c>
      <c r="R448" s="2">
        <v>38441</v>
      </c>
    </row>
    <row r="449" spans="1:18" x14ac:dyDescent="0.3">
      <c r="A449" t="s">
        <v>7</v>
      </c>
      <c r="B449">
        <v>18101160</v>
      </c>
      <c r="C449" t="s">
        <v>10</v>
      </c>
      <c r="D449" s="4">
        <v>45793</v>
      </c>
      <c r="E449" s="11">
        <f t="shared" si="24"/>
        <v>2025</v>
      </c>
      <c r="F449" s="11">
        <f t="shared" si="25"/>
        <v>5</v>
      </c>
      <c r="G449" s="11" t="str">
        <f t="shared" si="26"/>
        <v>202505</v>
      </c>
      <c r="I449" s="5">
        <v>9999</v>
      </c>
      <c r="J449" s="5">
        <v>333.3</v>
      </c>
      <c r="K449" s="5">
        <f t="shared" si="27"/>
        <v>0</v>
      </c>
      <c r="L449" s="5">
        <v>0</v>
      </c>
      <c r="M449" s="5">
        <v>0</v>
      </c>
      <c r="N449" t="s">
        <v>12</v>
      </c>
      <c r="O449" s="8">
        <v>24.994520547945207</v>
      </c>
      <c r="P449" t="s">
        <v>33</v>
      </c>
      <c r="Q449">
        <v>2</v>
      </c>
      <c r="R449" s="2">
        <v>36670</v>
      </c>
    </row>
    <row r="450" spans="1:18" x14ac:dyDescent="0.3">
      <c r="A450" t="s">
        <v>7</v>
      </c>
      <c r="B450">
        <v>18101296</v>
      </c>
      <c r="C450" t="s">
        <v>10</v>
      </c>
      <c r="D450" s="4">
        <v>45705</v>
      </c>
      <c r="E450" s="11">
        <f t="shared" si="24"/>
        <v>2025</v>
      </c>
      <c r="F450" s="11">
        <f t="shared" si="25"/>
        <v>2</v>
      </c>
      <c r="G450" s="11" t="str">
        <f t="shared" si="26"/>
        <v>202502</v>
      </c>
      <c r="H450" s="4">
        <v>45779</v>
      </c>
      <c r="I450" s="5">
        <v>74</v>
      </c>
      <c r="J450" s="5">
        <v>2.4666666666666668</v>
      </c>
      <c r="K450" s="5">
        <f t="shared" si="27"/>
        <v>0</v>
      </c>
      <c r="L450" s="5">
        <v>1</v>
      </c>
      <c r="M450" s="5">
        <v>1</v>
      </c>
      <c r="N450" t="s">
        <v>12</v>
      </c>
      <c r="O450" s="8">
        <v>20.745205479452054</v>
      </c>
      <c r="P450" t="s">
        <v>32</v>
      </c>
      <c r="Q450">
        <v>1</v>
      </c>
      <c r="R450" s="2">
        <v>38133</v>
      </c>
    </row>
    <row r="451" spans="1:18" x14ac:dyDescent="0.3">
      <c r="A451" t="s">
        <v>7</v>
      </c>
      <c r="B451">
        <v>18101736</v>
      </c>
      <c r="C451" t="s">
        <v>8</v>
      </c>
      <c r="D451" s="4">
        <v>45705</v>
      </c>
      <c r="E451" s="11">
        <f t="shared" ref="E451:E514" si="28">+YEAR(D451)</f>
        <v>2025</v>
      </c>
      <c r="F451" s="11">
        <f t="shared" ref="F451:F514" si="29">+MONTH(D451)</f>
        <v>2</v>
      </c>
      <c r="G451" s="11" t="str">
        <f t="shared" ref="G451:G514" si="30">+TEXT(D451, "yyymm")</f>
        <v>202502</v>
      </c>
      <c r="H451" s="4">
        <v>46112</v>
      </c>
      <c r="I451" s="5">
        <v>407</v>
      </c>
      <c r="J451" s="5">
        <v>13.566666666666666</v>
      </c>
      <c r="K451" s="5">
        <f t="shared" ref="K451:K514" si="31">IF(J451&lt;=1,1,0)</f>
        <v>0</v>
      </c>
      <c r="L451" s="5">
        <v>0</v>
      </c>
      <c r="M451" s="5">
        <v>0</v>
      </c>
      <c r="N451" t="s">
        <v>12</v>
      </c>
      <c r="O451" s="8">
        <v>21.375342465753423</v>
      </c>
      <c r="P451" t="s">
        <v>33</v>
      </c>
      <c r="Q451">
        <v>2</v>
      </c>
      <c r="R451" s="2">
        <v>37903</v>
      </c>
    </row>
    <row r="452" spans="1:18" x14ac:dyDescent="0.3">
      <c r="A452" t="s">
        <v>7</v>
      </c>
      <c r="B452">
        <v>18105796</v>
      </c>
      <c r="C452" t="s">
        <v>10</v>
      </c>
      <c r="D452" s="4">
        <v>45706</v>
      </c>
      <c r="E452" s="11">
        <f t="shared" si="28"/>
        <v>2025</v>
      </c>
      <c r="F452" s="11">
        <f t="shared" si="29"/>
        <v>2</v>
      </c>
      <c r="G452" s="11" t="str">
        <f t="shared" si="30"/>
        <v>202502</v>
      </c>
      <c r="H452" s="4">
        <v>45877</v>
      </c>
      <c r="I452" s="5">
        <v>171</v>
      </c>
      <c r="J452" s="5">
        <v>5.7</v>
      </c>
      <c r="K452" s="5">
        <f t="shared" si="31"/>
        <v>0</v>
      </c>
      <c r="L452" s="5">
        <v>0</v>
      </c>
      <c r="M452" s="5">
        <v>1</v>
      </c>
      <c r="N452" t="s">
        <v>9</v>
      </c>
      <c r="O452" s="8">
        <v>23.736986301369864</v>
      </c>
      <c r="P452" t="s">
        <v>33</v>
      </c>
      <c r="Q452">
        <v>2</v>
      </c>
      <c r="R452" s="2">
        <v>37042</v>
      </c>
    </row>
    <row r="453" spans="1:18" x14ac:dyDescent="0.3">
      <c r="A453" t="s">
        <v>7</v>
      </c>
      <c r="B453">
        <v>18106512</v>
      </c>
      <c r="C453" t="s">
        <v>8</v>
      </c>
      <c r="D453" s="4">
        <v>45706</v>
      </c>
      <c r="E453" s="11">
        <f t="shared" si="28"/>
        <v>2025</v>
      </c>
      <c r="F453" s="11">
        <f t="shared" si="29"/>
        <v>2</v>
      </c>
      <c r="G453" s="11" t="str">
        <f t="shared" si="30"/>
        <v>202502</v>
      </c>
      <c r="H453" s="4">
        <v>46082</v>
      </c>
      <c r="I453" s="5">
        <v>376</v>
      </c>
      <c r="J453" s="5">
        <v>12.533333333333333</v>
      </c>
      <c r="K453" s="5">
        <f t="shared" si="31"/>
        <v>0</v>
      </c>
      <c r="L453" s="5">
        <v>0</v>
      </c>
      <c r="M453" s="5">
        <v>0</v>
      </c>
      <c r="N453" t="s">
        <v>9</v>
      </c>
      <c r="O453" s="8">
        <v>25.545205479452054</v>
      </c>
      <c r="P453" t="s">
        <v>33</v>
      </c>
      <c r="Q453">
        <v>2</v>
      </c>
      <c r="R453" s="2">
        <v>36382</v>
      </c>
    </row>
    <row r="454" spans="1:18" x14ac:dyDescent="0.3">
      <c r="A454" t="s">
        <v>7</v>
      </c>
      <c r="B454">
        <v>18107124</v>
      </c>
      <c r="C454" t="s">
        <v>8</v>
      </c>
      <c r="D454" s="4">
        <v>45702</v>
      </c>
      <c r="E454" s="11">
        <f t="shared" si="28"/>
        <v>2025</v>
      </c>
      <c r="F454" s="11">
        <f t="shared" si="29"/>
        <v>2</v>
      </c>
      <c r="G454" s="11" t="str">
        <f t="shared" si="30"/>
        <v>202502</v>
      </c>
      <c r="H454" s="4">
        <v>45808</v>
      </c>
      <c r="I454" s="5">
        <v>106</v>
      </c>
      <c r="J454" s="5">
        <v>3.5333333333333332</v>
      </c>
      <c r="K454" s="5">
        <f t="shared" si="31"/>
        <v>0</v>
      </c>
      <c r="L454" s="5">
        <v>0</v>
      </c>
      <c r="M454" s="5">
        <v>1</v>
      </c>
      <c r="N454" t="s">
        <v>9</v>
      </c>
      <c r="O454" s="8">
        <v>18.334246575342465</v>
      </c>
      <c r="P454" t="s">
        <v>32</v>
      </c>
      <c r="Q454">
        <v>1</v>
      </c>
      <c r="R454" s="2">
        <v>39010</v>
      </c>
    </row>
    <row r="455" spans="1:18" x14ac:dyDescent="0.3">
      <c r="A455" t="s">
        <v>7</v>
      </c>
      <c r="B455">
        <v>18108866</v>
      </c>
      <c r="C455" t="s">
        <v>8</v>
      </c>
      <c r="D455" s="4">
        <v>45705</v>
      </c>
      <c r="E455" s="11">
        <f t="shared" si="28"/>
        <v>2025</v>
      </c>
      <c r="F455" s="11">
        <f t="shared" si="29"/>
        <v>2</v>
      </c>
      <c r="G455" s="11" t="str">
        <f t="shared" si="30"/>
        <v>202502</v>
      </c>
      <c r="H455" s="4">
        <v>45795</v>
      </c>
      <c r="I455" s="5">
        <v>90</v>
      </c>
      <c r="J455" s="5">
        <v>3</v>
      </c>
      <c r="K455" s="5">
        <f t="shared" si="31"/>
        <v>0</v>
      </c>
      <c r="L455" s="5">
        <v>1</v>
      </c>
      <c r="M455" s="5">
        <v>1</v>
      </c>
      <c r="N455" t="s">
        <v>9</v>
      </c>
      <c r="O455" s="8">
        <v>21.238356164383561</v>
      </c>
      <c r="P455" t="s">
        <v>33</v>
      </c>
      <c r="Q455">
        <v>2</v>
      </c>
      <c r="R455" s="2">
        <v>37953</v>
      </c>
    </row>
    <row r="456" spans="1:18" x14ac:dyDescent="0.3">
      <c r="A456" t="s">
        <v>7</v>
      </c>
      <c r="B456">
        <v>18108876</v>
      </c>
      <c r="C456" t="s">
        <v>8</v>
      </c>
      <c r="D456" s="4">
        <v>45780</v>
      </c>
      <c r="E456" s="11">
        <f t="shared" si="28"/>
        <v>2025</v>
      </c>
      <c r="F456" s="11">
        <f t="shared" si="29"/>
        <v>5</v>
      </c>
      <c r="G456" s="11" t="str">
        <f t="shared" si="30"/>
        <v>202505</v>
      </c>
      <c r="H456" s="4">
        <v>45900</v>
      </c>
      <c r="I456" s="5">
        <v>120</v>
      </c>
      <c r="J456" s="5">
        <v>4</v>
      </c>
      <c r="K456" s="5">
        <f t="shared" si="31"/>
        <v>0</v>
      </c>
      <c r="L456" s="5">
        <v>0</v>
      </c>
      <c r="M456" s="5">
        <v>1</v>
      </c>
      <c r="N456" t="s">
        <v>9</v>
      </c>
      <c r="O456" s="8">
        <v>20.709589041095889</v>
      </c>
      <c r="P456" t="s">
        <v>32</v>
      </c>
      <c r="Q456">
        <v>1</v>
      </c>
      <c r="R456" s="2">
        <v>38221</v>
      </c>
    </row>
    <row r="457" spans="1:18" x14ac:dyDescent="0.3">
      <c r="A457" t="s">
        <v>7</v>
      </c>
      <c r="B457">
        <v>18109038</v>
      </c>
      <c r="C457" t="s">
        <v>10</v>
      </c>
      <c r="D457" s="4">
        <v>45772</v>
      </c>
      <c r="E457" s="11">
        <f t="shared" si="28"/>
        <v>2025</v>
      </c>
      <c r="F457" s="11">
        <f t="shared" si="29"/>
        <v>4</v>
      </c>
      <c r="G457" s="11" t="str">
        <f t="shared" si="30"/>
        <v>202504</v>
      </c>
      <c r="H457" s="4">
        <v>46142</v>
      </c>
      <c r="I457" s="5">
        <v>370</v>
      </c>
      <c r="J457" s="5">
        <v>12.333333333333334</v>
      </c>
      <c r="K457" s="5">
        <f t="shared" si="31"/>
        <v>0</v>
      </c>
      <c r="L457" s="5">
        <v>0</v>
      </c>
      <c r="M457" s="5">
        <v>0</v>
      </c>
      <c r="N457" t="s">
        <v>9</v>
      </c>
      <c r="O457" s="8">
        <v>20.304109589041097</v>
      </c>
      <c r="P457" t="s">
        <v>32</v>
      </c>
      <c r="Q457">
        <v>1</v>
      </c>
      <c r="R457" s="2">
        <v>38361</v>
      </c>
    </row>
    <row r="458" spans="1:18" x14ac:dyDescent="0.3">
      <c r="A458" t="s">
        <v>7</v>
      </c>
      <c r="B458">
        <v>18109048</v>
      </c>
      <c r="C458" t="s">
        <v>10</v>
      </c>
      <c r="D458" s="4">
        <v>45705</v>
      </c>
      <c r="E458" s="11">
        <f t="shared" si="28"/>
        <v>2025</v>
      </c>
      <c r="F458" s="11">
        <f t="shared" si="29"/>
        <v>2</v>
      </c>
      <c r="G458" s="11" t="str">
        <f t="shared" si="30"/>
        <v>202502</v>
      </c>
      <c r="H458" s="4">
        <v>46058</v>
      </c>
      <c r="I458" s="5">
        <v>353</v>
      </c>
      <c r="J458" s="5">
        <v>11.766666666666667</v>
      </c>
      <c r="K458" s="5">
        <f t="shared" si="31"/>
        <v>0</v>
      </c>
      <c r="L458" s="5">
        <v>0</v>
      </c>
      <c r="M458" s="5">
        <v>0</v>
      </c>
      <c r="N458" t="s">
        <v>9</v>
      </c>
      <c r="O458" s="8">
        <v>19.471232876712328</v>
      </c>
      <c r="P458" t="s">
        <v>32</v>
      </c>
      <c r="Q458">
        <v>1</v>
      </c>
      <c r="R458" s="2">
        <v>38598</v>
      </c>
    </row>
    <row r="459" spans="1:18" x14ac:dyDescent="0.3">
      <c r="A459" t="s">
        <v>7</v>
      </c>
      <c r="B459">
        <v>18109051</v>
      </c>
      <c r="C459" t="s">
        <v>10</v>
      </c>
      <c r="D459" s="4">
        <v>45960</v>
      </c>
      <c r="E459" s="11">
        <f t="shared" si="28"/>
        <v>2025</v>
      </c>
      <c r="F459" s="11">
        <f t="shared" si="29"/>
        <v>10</v>
      </c>
      <c r="G459" s="11" t="str">
        <f t="shared" si="30"/>
        <v>202510</v>
      </c>
      <c r="I459" s="5">
        <v>9999</v>
      </c>
      <c r="J459" s="5">
        <v>333.3</v>
      </c>
      <c r="K459" s="5">
        <f t="shared" si="31"/>
        <v>0</v>
      </c>
      <c r="L459" s="5">
        <v>0</v>
      </c>
      <c r="M459" s="5">
        <v>0</v>
      </c>
      <c r="N459" t="s">
        <v>9</v>
      </c>
      <c r="O459" s="8">
        <v>21.010958904109589</v>
      </c>
      <c r="P459" t="s">
        <v>33</v>
      </c>
      <c r="Q459">
        <v>2</v>
      </c>
      <c r="R459" s="2">
        <v>38291</v>
      </c>
    </row>
    <row r="460" spans="1:18" x14ac:dyDescent="0.3">
      <c r="A460" t="s">
        <v>7</v>
      </c>
      <c r="B460">
        <v>18109098</v>
      </c>
      <c r="C460" t="s">
        <v>10</v>
      </c>
      <c r="D460" s="4">
        <v>46093</v>
      </c>
      <c r="E460" s="11">
        <f t="shared" si="28"/>
        <v>2026</v>
      </c>
      <c r="F460" s="11">
        <f t="shared" si="29"/>
        <v>3</v>
      </c>
      <c r="G460" s="11" t="str">
        <f t="shared" si="30"/>
        <v>202603</v>
      </c>
      <c r="I460" s="5">
        <v>9999</v>
      </c>
      <c r="J460" s="5">
        <v>333.3</v>
      </c>
      <c r="K460" s="5">
        <f t="shared" si="31"/>
        <v>0</v>
      </c>
      <c r="L460" s="5">
        <v>0</v>
      </c>
      <c r="M460" s="5">
        <v>0</v>
      </c>
      <c r="N460" t="s">
        <v>9</v>
      </c>
      <c r="O460" s="8">
        <v>20.586301369863012</v>
      </c>
      <c r="P460" t="s">
        <v>32</v>
      </c>
      <c r="Q460">
        <v>1</v>
      </c>
      <c r="R460" s="2">
        <v>38579</v>
      </c>
    </row>
    <row r="461" spans="1:18" x14ac:dyDescent="0.3">
      <c r="A461" t="s">
        <v>7</v>
      </c>
      <c r="B461">
        <v>18109101</v>
      </c>
      <c r="C461" t="s">
        <v>8</v>
      </c>
      <c r="D461" s="4">
        <v>45811</v>
      </c>
      <c r="E461" s="11">
        <f t="shared" si="28"/>
        <v>2025</v>
      </c>
      <c r="F461" s="11">
        <f t="shared" si="29"/>
        <v>6</v>
      </c>
      <c r="G461" s="11" t="str">
        <f t="shared" si="30"/>
        <v>202506</v>
      </c>
      <c r="I461" s="5">
        <v>9999</v>
      </c>
      <c r="J461" s="5">
        <v>333.3</v>
      </c>
      <c r="K461" s="5">
        <f t="shared" si="31"/>
        <v>0</v>
      </c>
      <c r="L461" s="5">
        <v>0</v>
      </c>
      <c r="M461" s="5">
        <v>0</v>
      </c>
      <c r="N461" t="s">
        <v>9</v>
      </c>
      <c r="O461" s="8">
        <v>19.865753424657534</v>
      </c>
      <c r="P461" t="s">
        <v>32</v>
      </c>
      <c r="Q461">
        <v>1</v>
      </c>
      <c r="R461" s="2">
        <v>38560</v>
      </c>
    </row>
    <row r="462" spans="1:18" x14ac:dyDescent="0.3">
      <c r="A462" t="s">
        <v>7</v>
      </c>
      <c r="B462">
        <v>18190292</v>
      </c>
      <c r="C462" t="s">
        <v>8</v>
      </c>
      <c r="D462" s="4">
        <v>45707</v>
      </c>
      <c r="E462" s="11">
        <f t="shared" si="28"/>
        <v>2025</v>
      </c>
      <c r="F462" s="11">
        <f t="shared" si="29"/>
        <v>2</v>
      </c>
      <c r="G462" s="11" t="str">
        <f t="shared" si="30"/>
        <v>202502</v>
      </c>
      <c r="H462" s="4">
        <v>45870</v>
      </c>
      <c r="I462" s="5">
        <v>163</v>
      </c>
      <c r="J462" s="5">
        <v>5.4333333333333336</v>
      </c>
      <c r="K462" s="5">
        <f t="shared" si="31"/>
        <v>0</v>
      </c>
      <c r="L462" s="5">
        <v>0</v>
      </c>
      <c r="M462" s="5">
        <v>1</v>
      </c>
      <c r="N462" t="s">
        <v>12</v>
      </c>
      <c r="O462" s="8">
        <v>19.471232876712328</v>
      </c>
      <c r="P462" t="s">
        <v>32</v>
      </c>
      <c r="Q462">
        <v>1</v>
      </c>
      <c r="R462" s="2">
        <v>38600</v>
      </c>
    </row>
    <row r="463" spans="1:18" x14ac:dyDescent="0.3">
      <c r="A463" t="s">
        <v>7</v>
      </c>
      <c r="B463">
        <v>18209961</v>
      </c>
      <c r="C463" t="s">
        <v>8</v>
      </c>
      <c r="D463" s="4">
        <v>45705</v>
      </c>
      <c r="E463" s="11">
        <f t="shared" si="28"/>
        <v>2025</v>
      </c>
      <c r="F463" s="11">
        <f t="shared" si="29"/>
        <v>2</v>
      </c>
      <c r="G463" s="11" t="str">
        <f t="shared" si="30"/>
        <v>202502</v>
      </c>
      <c r="H463" s="4">
        <v>46112</v>
      </c>
      <c r="I463" s="5">
        <v>407</v>
      </c>
      <c r="J463" s="5">
        <v>13.566666666666666</v>
      </c>
      <c r="K463" s="5">
        <f t="shared" si="31"/>
        <v>0</v>
      </c>
      <c r="L463" s="5">
        <v>0</v>
      </c>
      <c r="M463" s="5">
        <v>0</v>
      </c>
      <c r="N463" t="s">
        <v>9</v>
      </c>
      <c r="O463" s="8">
        <v>23.717808219178082</v>
      </c>
      <c r="P463" t="s">
        <v>33</v>
      </c>
      <c r="Q463">
        <v>2</v>
      </c>
      <c r="R463" s="2">
        <v>37048</v>
      </c>
    </row>
    <row r="464" spans="1:18" x14ac:dyDescent="0.3">
      <c r="A464" t="s">
        <v>7</v>
      </c>
      <c r="B464">
        <v>18210076</v>
      </c>
      <c r="C464" t="s">
        <v>8</v>
      </c>
      <c r="D464" s="4">
        <v>45706</v>
      </c>
      <c r="E464" s="11">
        <f t="shared" si="28"/>
        <v>2025</v>
      </c>
      <c r="F464" s="11">
        <f t="shared" si="29"/>
        <v>2</v>
      </c>
      <c r="G464" s="11" t="str">
        <f t="shared" si="30"/>
        <v>202502</v>
      </c>
      <c r="H464" s="4">
        <v>45961</v>
      </c>
      <c r="I464" s="5">
        <v>255</v>
      </c>
      <c r="J464" s="5">
        <v>8.5</v>
      </c>
      <c r="K464" s="5">
        <f t="shared" si="31"/>
        <v>0</v>
      </c>
      <c r="L464" s="5">
        <v>0</v>
      </c>
      <c r="M464" s="5">
        <v>0</v>
      </c>
      <c r="N464" t="s">
        <v>9</v>
      </c>
      <c r="O464" s="8">
        <v>20.342465753424658</v>
      </c>
      <c r="P464" t="s">
        <v>32</v>
      </c>
      <c r="Q464">
        <v>1</v>
      </c>
      <c r="R464" s="2">
        <v>38281</v>
      </c>
    </row>
    <row r="465" spans="1:18" x14ac:dyDescent="0.3">
      <c r="A465" t="s">
        <v>7</v>
      </c>
      <c r="B465">
        <v>18210091</v>
      </c>
      <c r="C465" t="s">
        <v>8</v>
      </c>
      <c r="D465" s="4">
        <v>45706</v>
      </c>
      <c r="E465" s="11">
        <f t="shared" si="28"/>
        <v>2025</v>
      </c>
      <c r="F465" s="11">
        <f t="shared" si="29"/>
        <v>2</v>
      </c>
      <c r="G465" s="11" t="str">
        <f t="shared" si="30"/>
        <v>202502</v>
      </c>
      <c r="H465" s="4">
        <v>45930</v>
      </c>
      <c r="I465" s="5">
        <v>224</v>
      </c>
      <c r="J465" s="5">
        <v>7.4666666666666668</v>
      </c>
      <c r="K465" s="5">
        <f t="shared" si="31"/>
        <v>0</v>
      </c>
      <c r="L465" s="5">
        <v>0</v>
      </c>
      <c r="M465" s="5">
        <v>0</v>
      </c>
      <c r="N465" t="s">
        <v>9</v>
      </c>
      <c r="O465" s="8">
        <v>18.926027397260274</v>
      </c>
      <c r="P465" t="s">
        <v>32</v>
      </c>
      <c r="Q465">
        <v>1</v>
      </c>
      <c r="R465" s="2">
        <v>38798</v>
      </c>
    </row>
    <row r="466" spans="1:18" x14ac:dyDescent="0.3">
      <c r="A466" t="s">
        <v>7</v>
      </c>
      <c r="B466">
        <v>18210107</v>
      </c>
      <c r="C466" t="s">
        <v>8</v>
      </c>
      <c r="D466" s="4">
        <v>45706</v>
      </c>
      <c r="E466" s="11">
        <f t="shared" si="28"/>
        <v>2025</v>
      </c>
      <c r="F466" s="11">
        <f t="shared" si="29"/>
        <v>2</v>
      </c>
      <c r="G466" s="11" t="str">
        <f t="shared" si="30"/>
        <v>202502</v>
      </c>
      <c r="H466" s="4">
        <v>45991</v>
      </c>
      <c r="I466" s="5">
        <v>285</v>
      </c>
      <c r="J466" s="5">
        <v>9.5</v>
      </c>
      <c r="K466" s="5">
        <f t="shared" si="31"/>
        <v>0</v>
      </c>
      <c r="L466" s="5">
        <v>0</v>
      </c>
      <c r="M466" s="5">
        <v>0</v>
      </c>
      <c r="N466" t="s">
        <v>9</v>
      </c>
      <c r="O466" s="8">
        <v>20.046575342465754</v>
      </c>
      <c r="P466" t="s">
        <v>32</v>
      </c>
      <c r="Q466">
        <v>1</v>
      </c>
      <c r="R466" s="2">
        <v>38389</v>
      </c>
    </row>
    <row r="467" spans="1:18" x14ac:dyDescent="0.3">
      <c r="A467" t="s">
        <v>7</v>
      </c>
      <c r="B467">
        <v>18211734</v>
      </c>
      <c r="C467" t="s">
        <v>8</v>
      </c>
      <c r="D467" s="4">
        <v>45706</v>
      </c>
      <c r="E467" s="11">
        <f t="shared" si="28"/>
        <v>2025</v>
      </c>
      <c r="F467" s="11">
        <f t="shared" si="29"/>
        <v>2</v>
      </c>
      <c r="G467" s="11" t="str">
        <f t="shared" si="30"/>
        <v>202502</v>
      </c>
      <c r="I467" s="5">
        <v>9999</v>
      </c>
      <c r="J467" s="5">
        <v>333.3</v>
      </c>
      <c r="K467" s="5">
        <f t="shared" si="31"/>
        <v>0</v>
      </c>
      <c r="L467" s="5">
        <v>0</v>
      </c>
      <c r="M467" s="5">
        <v>0</v>
      </c>
      <c r="N467" t="s">
        <v>9</v>
      </c>
      <c r="O467" s="8">
        <v>18.734246575342464</v>
      </c>
      <c r="P467" t="s">
        <v>32</v>
      </c>
      <c r="Q467">
        <v>1</v>
      </c>
      <c r="R467" s="2">
        <v>38868</v>
      </c>
    </row>
    <row r="468" spans="1:18" x14ac:dyDescent="0.3">
      <c r="A468" t="s">
        <v>7</v>
      </c>
      <c r="B468">
        <v>18211819</v>
      </c>
      <c r="C468" t="s">
        <v>8</v>
      </c>
      <c r="D468" s="4">
        <v>45708</v>
      </c>
      <c r="E468" s="11">
        <f t="shared" si="28"/>
        <v>2025</v>
      </c>
      <c r="F468" s="11">
        <f t="shared" si="29"/>
        <v>2</v>
      </c>
      <c r="G468" s="11" t="str">
        <f t="shared" si="30"/>
        <v>202502</v>
      </c>
      <c r="H468" s="4">
        <v>45721</v>
      </c>
      <c r="I468" s="5">
        <v>13</v>
      </c>
      <c r="J468" s="5">
        <v>0.43333333333333335</v>
      </c>
      <c r="K468" s="5">
        <f t="shared" si="31"/>
        <v>1</v>
      </c>
      <c r="L468" s="5">
        <v>1</v>
      </c>
      <c r="M468" s="5">
        <v>1</v>
      </c>
      <c r="N468" t="s">
        <v>9</v>
      </c>
      <c r="O468" s="8">
        <v>19.975342465753425</v>
      </c>
      <c r="P468" t="s">
        <v>32</v>
      </c>
      <c r="Q468">
        <v>1</v>
      </c>
      <c r="R468" s="2">
        <v>38417</v>
      </c>
    </row>
    <row r="469" spans="1:18" x14ac:dyDescent="0.3">
      <c r="A469" t="s">
        <v>7</v>
      </c>
      <c r="B469">
        <v>18211831</v>
      </c>
      <c r="C469" t="s">
        <v>8</v>
      </c>
      <c r="D469" s="4">
        <v>45708</v>
      </c>
      <c r="E469" s="11">
        <f t="shared" si="28"/>
        <v>2025</v>
      </c>
      <c r="F469" s="11">
        <f t="shared" si="29"/>
        <v>2</v>
      </c>
      <c r="G469" s="11" t="str">
        <f t="shared" si="30"/>
        <v>202502</v>
      </c>
      <c r="H469" s="4">
        <v>45811</v>
      </c>
      <c r="I469" s="5">
        <v>103</v>
      </c>
      <c r="J469" s="5">
        <v>3.4333333333333331</v>
      </c>
      <c r="K469" s="5">
        <f t="shared" si="31"/>
        <v>0</v>
      </c>
      <c r="L469" s="5">
        <v>0</v>
      </c>
      <c r="M469" s="5">
        <v>1</v>
      </c>
      <c r="N469" t="s">
        <v>9</v>
      </c>
      <c r="O469" s="8">
        <v>19.342465753424658</v>
      </c>
      <c r="P469" t="s">
        <v>32</v>
      </c>
      <c r="Q469">
        <v>1</v>
      </c>
      <c r="R469" s="2">
        <v>38648</v>
      </c>
    </row>
    <row r="470" spans="1:18" x14ac:dyDescent="0.3">
      <c r="A470" t="s">
        <v>7</v>
      </c>
      <c r="B470">
        <v>18211834</v>
      </c>
      <c r="C470" t="s">
        <v>8</v>
      </c>
      <c r="D470" s="4">
        <v>45708</v>
      </c>
      <c r="E470" s="11">
        <f t="shared" si="28"/>
        <v>2025</v>
      </c>
      <c r="F470" s="11">
        <f t="shared" si="29"/>
        <v>2</v>
      </c>
      <c r="G470" s="11" t="str">
        <f t="shared" si="30"/>
        <v>202502</v>
      </c>
      <c r="H470" s="4">
        <v>46023</v>
      </c>
      <c r="I470" s="5">
        <v>315</v>
      </c>
      <c r="J470" s="5">
        <v>10.5</v>
      </c>
      <c r="K470" s="5">
        <f t="shared" si="31"/>
        <v>0</v>
      </c>
      <c r="L470" s="5">
        <v>0</v>
      </c>
      <c r="M470" s="5">
        <v>0</v>
      </c>
      <c r="N470" t="s">
        <v>9</v>
      </c>
      <c r="O470" s="8">
        <v>21.473972602739725</v>
      </c>
      <c r="P470" t="s">
        <v>33</v>
      </c>
      <c r="Q470">
        <v>2</v>
      </c>
      <c r="R470" s="2">
        <v>37870</v>
      </c>
    </row>
    <row r="471" spans="1:18" x14ac:dyDescent="0.3">
      <c r="A471" t="s">
        <v>7</v>
      </c>
      <c r="B471">
        <v>18211845</v>
      </c>
      <c r="C471" t="s">
        <v>10</v>
      </c>
      <c r="D471" s="4">
        <v>45708</v>
      </c>
      <c r="E471" s="11">
        <f t="shared" si="28"/>
        <v>2025</v>
      </c>
      <c r="F471" s="11">
        <f t="shared" si="29"/>
        <v>2</v>
      </c>
      <c r="G471" s="11" t="str">
        <f t="shared" si="30"/>
        <v>202502</v>
      </c>
      <c r="H471" s="4">
        <v>45869</v>
      </c>
      <c r="I471" s="5">
        <v>161</v>
      </c>
      <c r="J471" s="5">
        <v>5.3666666666666663</v>
      </c>
      <c r="K471" s="5">
        <f t="shared" si="31"/>
        <v>0</v>
      </c>
      <c r="L471" s="5">
        <v>0</v>
      </c>
      <c r="M471" s="5">
        <v>1</v>
      </c>
      <c r="N471" t="s">
        <v>9</v>
      </c>
      <c r="O471" s="8">
        <v>22.542465753424658</v>
      </c>
      <c r="P471" t="s">
        <v>33</v>
      </c>
      <c r="Q471">
        <v>2</v>
      </c>
      <c r="R471" s="2">
        <v>37480</v>
      </c>
    </row>
    <row r="472" spans="1:18" x14ac:dyDescent="0.3">
      <c r="A472" t="s">
        <v>7</v>
      </c>
      <c r="B472">
        <v>18211859</v>
      </c>
      <c r="C472" t="s">
        <v>8</v>
      </c>
      <c r="D472" s="4">
        <v>45708</v>
      </c>
      <c r="E472" s="11">
        <f t="shared" si="28"/>
        <v>2025</v>
      </c>
      <c r="F472" s="11">
        <f t="shared" si="29"/>
        <v>2</v>
      </c>
      <c r="G472" s="11" t="str">
        <f t="shared" si="30"/>
        <v>202502</v>
      </c>
      <c r="H472" s="4">
        <v>45747</v>
      </c>
      <c r="I472" s="5">
        <v>39</v>
      </c>
      <c r="J472" s="5">
        <v>1.3</v>
      </c>
      <c r="K472" s="5">
        <f t="shared" si="31"/>
        <v>0</v>
      </c>
      <c r="L472" s="5">
        <v>1</v>
      </c>
      <c r="M472" s="5">
        <v>1</v>
      </c>
      <c r="N472" t="s">
        <v>9</v>
      </c>
      <c r="O472" s="8">
        <v>22.093150684931508</v>
      </c>
      <c r="P472" t="s">
        <v>33</v>
      </c>
      <c r="Q472">
        <v>2</v>
      </c>
      <c r="R472" s="2">
        <v>37644</v>
      </c>
    </row>
    <row r="473" spans="1:18" x14ac:dyDescent="0.3">
      <c r="A473" t="s">
        <v>7</v>
      </c>
      <c r="B473">
        <v>18211868</v>
      </c>
      <c r="C473" t="s">
        <v>8</v>
      </c>
      <c r="D473" s="4">
        <v>45708</v>
      </c>
      <c r="E473" s="11">
        <f t="shared" si="28"/>
        <v>2025</v>
      </c>
      <c r="F473" s="11">
        <f t="shared" si="29"/>
        <v>2</v>
      </c>
      <c r="G473" s="11" t="str">
        <f t="shared" si="30"/>
        <v>202502</v>
      </c>
      <c r="H473" s="4">
        <v>45858</v>
      </c>
      <c r="I473" s="5">
        <v>150</v>
      </c>
      <c r="J473" s="5">
        <v>5</v>
      </c>
      <c r="K473" s="5">
        <f t="shared" si="31"/>
        <v>0</v>
      </c>
      <c r="L473" s="5">
        <v>0</v>
      </c>
      <c r="M473" s="5">
        <v>1</v>
      </c>
      <c r="N473" t="s">
        <v>9</v>
      </c>
      <c r="O473" s="8">
        <v>18.56986301369863</v>
      </c>
      <c r="P473" t="s">
        <v>32</v>
      </c>
      <c r="Q473">
        <v>1</v>
      </c>
      <c r="R473" s="2">
        <v>38930</v>
      </c>
    </row>
    <row r="474" spans="1:18" x14ac:dyDescent="0.3">
      <c r="A474" t="s">
        <v>7</v>
      </c>
      <c r="B474">
        <v>18211869</v>
      </c>
      <c r="C474" t="s">
        <v>8</v>
      </c>
      <c r="D474" s="4">
        <v>45708</v>
      </c>
      <c r="E474" s="11">
        <f t="shared" si="28"/>
        <v>2025</v>
      </c>
      <c r="F474" s="11">
        <f t="shared" si="29"/>
        <v>2</v>
      </c>
      <c r="G474" s="11" t="str">
        <f t="shared" si="30"/>
        <v>202502</v>
      </c>
      <c r="H474" s="4">
        <v>45732</v>
      </c>
      <c r="I474" s="5">
        <v>24</v>
      </c>
      <c r="J474" s="5">
        <v>0.8</v>
      </c>
      <c r="K474" s="5">
        <f t="shared" si="31"/>
        <v>1</v>
      </c>
      <c r="L474" s="5">
        <v>1</v>
      </c>
      <c r="M474" s="5">
        <v>1</v>
      </c>
      <c r="N474" t="s">
        <v>9</v>
      </c>
      <c r="O474" s="8">
        <v>19.87123287671233</v>
      </c>
      <c r="P474" t="s">
        <v>32</v>
      </c>
      <c r="Q474">
        <v>1</v>
      </c>
      <c r="R474" s="2">
        <v>38455</v>
      </c>
    </row>
    <row r="475" spans="1:18" x14ac:dyDescent="0.3">
      <c r="A475" t="s">
        <v>7</v>
      </c>
      <c r="B475">
        <v>18211874</v>
      </c>
      <c r="C475" t="s">
        <v>8</v>
      </c>
      <c r="D475" s="4">
        <v>45708</v>
      </c>
      <c r="E475" s="11">
        <f t="shared" si="28"/>
        <v>2025</v>
      </c>
      <c r="F475" s="11">
        <f t="shared" si="29"/>
        <v>2</v>
      </c>
      <c r="G475" s="11" t="str">
        <f t="shared" si="30"/>
        <v>202502</v>
      </c>
      <c r="H475" s="4">
        <v>45890</v>
      </c>
      <c r="I475" s="5">
        <v>182</v>
      </c>
      <c r="J475" s="5">
        <v>6.0666666666666664</v>
      </c>
      <c r="K475" s="5">
        <f t="shared" si="31"/>
        <v>0</v>
      </c>
      <c r="L475" s="5">
        <v>0</v>
      </c>
      <c r="M475" s="5">
        <v>0</v>
      </c>
      <c r="N475" t="s">
        <v>9</v>
      </c>
      <c r="O475" s="8">
        <v>25.873972602739727</v>
      </c>
      <c r="P475" t="s">
        <v>33</v>
      </c>
      <c r="Q475">
        <v>2</v>
      </c>
      <c r="R475" s="2">
        <v>36264</v>
      </c>
    </row>
    <row r="476" spans="1:18" x14ac:dyDescent="0.3">
      <c r="A476" t="s">
        <v>7</v>
      </c>
      <c r="B476">
        <v>18211883</v>
      </c>
      <c r="C476" t="s">
        <v>8</v>
      </c>
      <c r="D476" s="4">
        <v>45708</v>
      </c>
      <c r="E476" s="11">
        <f t="shared" si="28"/>
        <v>2025</v>
      </c>
      <c r="F476" s="11">
        <f t="shared" si="29"/>
        <v>2</v>
      </c>
      <c r="G476" s="11" t="str">
        <f t="shared" si="30"/>
        <v>202502</v>
      </c>
      <c r="H476" s="4">
        <v>45789</v>
      </c>
      <c r="I476" s="5">
        <v>81</v>
      </c>
      <c r="J476" s="5">
        <v>2.7</v>
      </c>
      <c r="K476" s="5">
        <f t="shared" si="31"/>
        <v>0</v>
      </c>
      <c r="L476" s="5">
        <v>1</v>
      </c>
      <c r="M476" s="5">
        <v>1</v>
      </c>
      <c r="N476" t="s">
        <v>12</v>
      </c>
      <c r="O476" s="8">
        <v>25.18904109589041</v>
      </c>
      <c r="P476" t="s">
        <v>33</v>
      </c>
      <c r="Q476">
        <v>2</v>
      </c>
      <c r="R476" s="2">
        <v>36514</v>
      </c>
    </row>
    <row r="477" spans="1:18" x14ac:dyDescent="0.3">
      <c r="A477" t="s">
        <v>7</v>
      </c>
      <c r="B477">
        <v>18211884</v>
      </c>
      <c r="C477" t="s">
        <v>8</v>
      </c>
      <c r="D477" s="4">
        <v>45708</v>
      </c>
      <c r="E477" s="11">
        <f t="shared" si="28"/>
        <v>2025</v>
      </c>
      <c r="F477" s="11">
        <f t="shared" si="29"/>
        <v>2</v>
      </c>
      <c r="G477" s="11" t="str">
        <f t="shared" si="30"/>
        <v>202502</v>
      </c>
      <c r="H477" s="4">
        <v>45777</v>
      </c>
      <c r="I477" s="5">
        <v>69</v>
      </c>
      <c r="J477" s="5">
        <v>2.2999999999999998</v>
      </c>
      <c r="K477" s="5">
        <f t="shared" si="31"/>
        <v>0</v>
      </c>
      <c r="L477" s="5">
        <v>1</v>
      </c>
      <c r="M477" s="5">
        <v>1</v>
      </c>
      <c r="N477" t="s">
        <v>9</v>
      </c>
      <c r="O477" s="8">
        <v>19.490410958904111</v>
      </c>
      <c r="P477" t="s">
        <v>32</v>
      </c>
      <c r="Q477">
        <v>1</v>
      </c>
      <c r="R477" s="2">
        <v>38594</v>
      </c>
    </row>
    <row r="478" spans="1:18" x14ac:dyDescent="0.3">
      <c r="A478" t="s">
        <v>7</v>
      </c>
      <c r="B478">
        <v>18211886</v>
      </c>
      <c r="C478" t="s">
        <v>10</v>
      </c>
      <c r="D478" s="4">
        <v>45708</v>
      </c>
      <c r="E478" s="11">
        <f t="shared" si="28"/>
        <v>2025</v>
      </c>
      <c r="F478" s="11">
        <f t="shared" si="29"/>
        <v>2</v>
      </c>
      <c r="G478" s="11" t="str">
        <f t="shared" si="30"/>
        <v>202502</v>
      </c>
      <c r="H478" s="4">
        <v>45838</v>
      </c>
      <c r="I478" s="5">
        <v>130</v>
      </c>
      <c r="J478" s="5">
        <v>4.333333333333333</v>
      </c>
      <c r="K478" s="5">
        <f t="shared" si="31"/>
        <v>0</v>
      </c>
      <c r="L478" s="5">
        <v>0</v>
      </c>
      <c r="M478" s="5">
        <v>1</v>
      </c>
      <c r="N478" t="s">
        <v>9</v>
      </c>
      <c r="O478" s="8">
        <v>19.257534246575343</v>
      </c>
      <c r="P478" t="s">
        <v>32</v>
      </c>
      <c r="Q478">
        <v>1</v>
      </c>
      <c r="R478" s="2">
        <v>38679</v>
      </c>
    </row>
    <row r="479" spans="1:18" x14ac:dyDescent="0.3">
      <c r="A479" t="s">
        <v>7</v>
      </c>
      <c r="B479">
        <v>18211953</v>
      </c>
      <c r="C479" t="s">
        <v>8</v>
      </c>
      <c r="D479" s="4">
        <v>45708</v>
      </c>
      <c r="E479" s="11">
        <f t="shared" si="28"/>
        <v>2025</v>
      </c>
      <c r="F479" s="11">
        <f t="shared" si="29"/>
        <v>2</v>
      </c>
      <c r="G479" s="11" t="str">
        <f t="shared" si="30"/>
        <v>202502</v>
      </c>
      <c r="H479" s="4">
        <v>45789</v>
      </c>
      <c r="I479" s="5">
        <v>81</v>
      </c>
      <c r="J479" s="5">
        <v>2.7</v>
      </c>
      <c r="K479" s="5">
        <f t="shared" si="31"/>
        <v>0</v>
      </c>
      <c r="L479" s="5">
        <v>1</v>
      </c>
      <c r="M479" s="5">
        <v>1</v>
      </c>
      <c r="N479" t="s">
        <v>9</v>
      </c>
      <c r="O479" s="8">
        <v>20.413698630136988</v>
      </c>
      <c r="P479" t="s">
        <v>32</v>
      </c>
      <c r="Q479">
        <v>1</v>
      </c>
      <c r="R479" s="2">
        <v>38257</v>
      </c>
    </row>
    <row r="480" spans="1:18" x14ac:dyDescent="0.3">
      <c r="A480" t="s">
        <v>7</v>
      </c>
      <c r="B480">
        <v>18212671</v>
      </c>
      <c r="C480" t="s">
        <v>8</v>
      </c>
      <c r="D480" s="4">
        <v>45708</v>
      </c>
      <c r="E480" s="11">
        <f t="shared" si="28"/>
        <v>2025</v>
      </c>
      <c r="F480" s="11">
        <f t="shared" si="29"/>
        <v>2</v>
      </c>
      <c r="G480" s="11" t="str">
        <f t="shared" si="30"/>
        <v>202502</v>
      </c>
      <c r="H480" s="4">
        <v>45838</v>
      </c>
      <c r="I480" s="5">
        <v>130</v>
      </c>
      <c r="J480" s="5">
        <v>4.333333333333333</v>
      </c>
      <c r="K480" s="5">
        <f t="shared" si="31"/>
        <v>0</v>
      </c>
      <c r="L480" s="5">
        <v>0</v>
      </c>
      <c r="M480" s="5">
        <v>1</v>
      </c>
      <c r="N480" t="s">
        <v>9</v>
      </c>
      <c r="O480" s="8">
        <v>31.912328767123288</v>
      </c>
      <c r="P480" t="s">
        <v>35</v>
      </c>
      <c r="Q480">
        <v>4</v>
      </c>
      <c r="R480" s="2">
        <v>34060</v>
      </c>
    </row>
    <row r="481" spans="1:18" x14ac:dyDescent="0.3">
      <c r="A481" t="s">
        <v>7</v>
      </c>
      <c r="B481">
        <v>18212672</v>
      </c>
      <c r="C481" t="s">
        <v>8</v>
      </c>
      <c r="D481" s="4">
        <v>45708</v>
      </c>
      <c r="E481" s="11">
        <f t="shared" si="28"/>
        <v>2025</v>
      </c>
      <c r="F481" s="11">
        <f t="shared" si="29"/>
        <v>2</v>
      </c>
      <c r="G481" s="11" t="str">
        <f t="shared" si="30"/>
        <v>202502</v>
      </c>
      <c r="H481" s="4">
        <v>45726</v>
      </c>
      <c r="I481" s="5">
        <v>18</v>
      </c>
      <c r="J481" s="5">
        <v>0.6</v>
      </c>
      <c r="K481" s="5">
        <f t="shared" si="31"/>
        <v>1</v>
      </c>
      <c r="L481" s="5">
        <v>1</v>
      </c>
      <c r="M481" s="5">
        <v>1</v>
      </c>
      <c r="N481" t="s">
        <v>9</v>
      </c>
      <c r="O481" s="8">
        <v>20.641095890410959</v>
      </c>
      <c r="P481" t="s">
        <v>32</v>
      </c>
      <c r="Q481">
        <v>1</v>
      </c>
      <c r="R481" s="2">
        <v>38174</v>
      </c>
    </row>
    <row r="482" spans="1:18" x14ac:dyDescent="0.3">
      <c r="A482" t="s">
        <v>7</v>
      </c>
      <c r="B482">
        <v>18212675</v>
      </c>
      <c r="C482" t="s">
        <v>8</v>
      </c>
      <c r="D482" s="4">
        <v>45709</v>
      </c>
      <c r="E482" s="11">
        <f t="shared" si="28"/>
        <v>2025</v>
      </c>
      <c r="F482" s="11">
        <f t="shared" si="29"/>
        <v>2</v>
      </c>
      <c r="G482" s="11" t="str">
        <f t="shared" si="30"/>
        <v>202502</v>
      </c>
      <c r="I482" s="5">
        <v>9999</v>
      </c>
      <c r="J482" s="5">
        <v>333.3</v>
      </c>
      <c r="K482" s="5">
        <f t="shared" si="31"/>
        <v>0</v>
      </c>
      <c r="L482" s="5">
        <v>0</v>
      </c>
      <c r="M482" s="5">
        <v>0</v>
      </c>
      <c r="N482" t="s">
        <v>9</v>
      </c>
      <c r="O482" s="8">
        <v>21.238356164383561</v>
      </c>
      <c r="P482" t="s">
        <v>33</v>
      </c>
      <c r="Q482">
        <v>2</v>
      </c>
      <c r="R482" s="2">
        <v>37957</v>
      </c>
    </row>
    <row r="483" spans="1:18" x14ac:dyDescent="0.3">
      <c r="A483" t="s">
        <v>7</v>
      </c>
      <c r="B483">
        <v>18212677</v>
      </c>
      <c r="C483" t="s">
        <v>10</v>
      </c>
      <c r="D483" s="4">
        <v>45709</v>
      </c>
      <c r="E483" s="11">
        <f t="shared" si="28"/>
        <v>2025</v>
      </c>
      <c r="F483" s="11">
        <f t="shared" si="29"/>
        <v>2</v>
      </c>
      <c r="G483" s="11" t="str">
        <f t="shared" si="30"/>
        <v>202502</v>
      </c>
      <c r="H483" s="4">
        <v>45717</v>
      </c>
      <c r="I483" s="5">
        <v>8</v>
      </c>
      <c r="J483" s="5">
        <v>0.26666666666666666</v>
      </c>
      <c r="K483" s="5">
        <f t="shared" si="31"/>
        <v>1</v>
      </c>
      <c r="L483" s="5">
        <v>1</v>
      </c>
      <c r="M483" s="5">
        <v>1</v>
      </c>
      <c r="N483" t="s">
        <v>9</v>
      </c>
      <c r="O483" s="8">
        <v>22.202739726027396</v>
      </c>
      <c r="P483" t="s">
        <v>33</v>
      </c>
      <c r="Q483">
        <v>2</v>
      </c>
      <c r="R483" s="2">
        <v>37605</v>
      </c>
    </row>
    <row r="484" spans="1:18" x14ac:dyDescent="0.3">
      <c r="A484" t="s">
        <v>7</v>
      </c>
      <c r="B484">
        <v>18212678</v>
      </c>
      <c r="C484" t="s">
        <v>10</v>
      </c>
      <c r="D484" s="4">
        <v>45709</v>
      </c>
      <c r="E484" s="11">
        <f t="shared" si="28"/>
        <v>2025</v>
      </c>
      <c r="F484" s="11">
        <f t="shared" si="29"/>
        <v>2</v>
      </c>
      <c r="G484" s="11" t="str">
        <f t="shared" si="30"/>
        <v>202502</v>
      </c>
      <c r="H484" s="4">
        <v>45900</v>
      </c>
      <c r="I484" s="5">
        <v>191</v>
      </c>
      <c r="J484" s="5">
        <v>6.3666666666666663</v>
      </c>
      <c r="K484" s="5">
        <f t="shared" si="31"/>
        <v>0</v>
      </c>
      <c r="L484" s="5">
        <v>0</v>
      </c>
      <c r="M484" s="5">
        <v>0</v>
      </c>
      <c r="N484" t="s">
        <v>9</v>
      </c>
      <c r="O484" s="8">
        <v>25.583561643835615</v>
      </c>
      <c r="P484" t="s">
        <v>33</v>
      </c>
      <c r="Q484">
        <v>2</v>
      </c>
      <c r="R484" s="2">
        <v>36371</v>
      </c>
    </row>
    <row r="485" spans="1:18" x14ac:dyDescent="0.3">
      <c r="A485" t="s">
        <v>7</v>
      </c>
      <c r="B485">
        <v>18212681</v>
      </c>
      <c r="C485" t="s">
        <v>8</v>
      </c>
      <c r="D485" s="4">
        <v>45709</v>
      </c>
      <c r="E485" s="11">
        <f t="shared" si="28"/>
        <v>2025</v>
      </c>
      <c r="F485" s="11">
        <f t="shared" si="29"/>
        <v>2</v>
      </c>
      <c r="G485" s="11" t="str">
        <f t="shared" si="30"/>
        <v>202502</v>
      </c>
      <c r="H485" s="4">
        <v>46031</v>
      </c>
      <c r="I485" s="5">
        <v>322</v>
      </c>
      <c r="J485" s="5">
        <v>10.733333333333333</v>
      </c>
      <c r="K485" s="5">
        <f t="shared" si="31"/>
        <v>0</v>
      </c>
      <c r="L485" s="5">
        <v>0</v>
      </c>
      <c r="M485" s="5">
        <v>0</v>
      </c>
      <c r="N485" t="s">
        <v>12</v>
      </c>
      <c r="O485" s="8">
        <v>26.857534246575341</v>
      </c>
      <c r="P485" t="s">
        <v>34</v>
      </c>
      <c r="Q485">
        <v>3</v>
      </c>
      <c r="R485" s="2">
        <v>35906</v>
      </c>
    </row>
    <row r="486" spans="1:18" x14ac:dyDescent="0.3">
      <c r="A486" t="s">
        <v>7</v>
      </c>
      <c r="B486">
        <v>18213931</v>
      </c>
      <c r="C486" t="s">
        <v>10</v>
      </c>
      <c r="D486" s="4">
        <v>45712</v>
      </c>
      <c r="E486" s="11">
        <f t="shared" si="28"/>
        <v>2025</v>
      </c>
      <c r="F486" s="11">
        <f t="shared" si="29"/>
        <v>2</v>
      </c>
      <c r="G486" s="11" t="str">
        <f t="shared" si="30"/>
        <v>202502</v>
      </c>
      <c r="H486" s="4">
        <v>45810</v>
      </c>
      <c r="I486" s="5">
        <v>98</v>
      </c>
      <c r="J486" s="5">
        <v>3.2666666666666666</v>
      </c>
      <c r="K486" s="5">
        <f t="shared" si="31"/>
        <v>0</v>
      </c>
      <c r="L486" s="5">
        <v>0</v>
      </c>
      <c r="M486" s="5">
        <v>1</v>
      </c>
      <c r="N486" t="s">
        <v>9</v>
      </c>
      <c r="O486" s="8">
        <v>21.008219178082193</v>
      </c>
      <c r="P486" t="s">
        <v>33</v>
      </c>
      <c r="Q486">
        <v>2</v>
      </c>
      <c r="R486" s="2">
        <v>38044</v>
      </c>
    </row>
    <row r="487" spans="1:18" x14ac:dyDescent="0.3">
      <c r="A487" t="s">
        <v>7</v>
      </c>
      <c r="B487">
        <v>18213936</v>
      </c>
      <c r="C487" t="s">
        <v>8</v>
      </c>
      <c r="D487" s="4">
        <v>45712</v>
      </c>
      <c r="E487" s="11">
        <f t="shared" si="28"/>
        <v>2025</v>
      </c>
      <c r="F487" s="11">
        <f t="shared" si="29"/>
        <v>2</v>
      </c>
      <c r="G487" s="11" t="str">
        <f t="shared" si="30"/>
        <v>202502</v>
      </c>
      <c r="I487" s="5">
        <v>9999</v>
      </c>
      <c r="J487" s="5">
        <v>333.3</v>
      </c>
      <c r="K487" s="5">
        <f t="shared" si="31"/>
        <v>0</v>
      </c>
      <c r="L487" s="5">
        <v>0</v>
      </c>
      <c r="M487" s="5">
        <v>0</v>
      </c>
      <c r="N487" t="s">
        <v>9</v>
      </c>
      <c r="O487" s="8">
        <v>25.457534246575342</v>
      </c>
      <c r="P487" t="s">
        <v>33</v>
      </c>
      <c r="Q487">
        <v>2</v>
      </c>
      <c r="R487" s="2">
        <v>36420</v>
      </c>
    </row>
    <row r="488" spans="1:18" x14ac:dyDescent="0.3">
      <c r="A488" t="s">
        <v>7</v>
      </c>
      <c r="B488">
        <v>18213951</v>
      </c>
      <c r="C488" t="s">
        <v>8</v>
      </c>
      <c r="D488" s="4">
        <v>45712</v>
      </c>
      <c r="E488" s="11">
        <f t="shared" si="28"/>
        <v>2025</v>
      </c>
      <c r="F488" s="11">
        <f t="shared" si="29"/>
        <v>2</v>
      </c>
      <c r="G488" s="11" t="str">
        <f t="shared" si="30"/>
        <v>202502</v>
      </c>
      <c r="I488" s="5">
        <v>9999</v>
      </c>
      <c r="J488" s="5">
        <v>333.3</v>
      </c>
      <c r="K488" s="5">
        <f t="shared" si="31"/>
        <v>0</v>
      </c>
      <c r="L488" s="5">
        <v>0</v>
      </c>
      <c r="M488" s="5">
        <v>0</v>
      </c>
      <c r="N488" t="s">
        <v>9</v>
      </c>
      <c r="O488" s="8">
        <v>21.641095890410959</v>
      </c>
      <c r="P488" t="s">
        <v>33</v>
      </c>
      <c r="Q488">
        <v>2</v>
      </c>
      <c r="R488" s="2">
        <v>37813</v>
      </c>
    </row>
    <row r="489" spans="1:18" x14ac:dyDescent="0.3">
      <c r="A489" t="s">
        <v>7</v>
      </c>
      <c r="B489">
        <v>18213955</v>
      </c>
      <c r="C489" t="s">
        <v>10</v>
      </c>
      <c r="D489" s="4">
        <v>45712</v>
      </c>
      <c r="E489" s="11">
        <f t="shared" si="28"/>
        <v>2025</v>
      </c>
      <c r="F489" s="11">
        <f t="shared" si="29"/>
        <v>2</v>
      </c>
      <c r="G489" s="11" t="str">
        <f t="shared" si="30"/>
        <v>202502</v>
      </c>
      <c r="H489" s="4">
        <v>46096</v>
      </c>
      <c r="I489" s="5">
        <v>384</v>
      </c>
      <c r="J489" s="5">
        <v>12.8</v>
      </c>
      <c r="K489" s="5">
        <f t="shared" si="31"/>
        <v>0</v>
      </c>
      <c r="L489" s="5">
        <v>0</v>
      </c>
      <c r="M489" s="5">
        <v>0</v>
      </c>
      <c r="N489" t="s">
        <v>9</v>
      </c>
      <c r="O489" s="8">
        <v>22.334246575342465</v>
      </c>
      <c r="P489" t="s">
        <v>33</v>
      </c>
      <c r="Q489">
        <v>2</v>
      </c>
      <c r="R489" s="2">
        <v>37560</v>
      </c>
    </row>
    <row r="490" spans="1:18" x14ac:dyDescent="0.3">
      <c r="A490" t="s">
        <v>7</v>
      </c>
      <c r="B490">
        <v>18213960</v>
      </c>
      <c r="C490" t="s">
        <v>8</v>
      </c>
      <c r="D490" s="4">
        <v>45712</v>
      </c>
      <c r="E490" s="11">
        <f t="shared" si="28"/>
        <v>2025</v>
      </c>
      <c r="F490" s="11">
        <f t="shared" si="29"/>
        <v>2</v>
      </c>
      <c r="G490" s="11" t="str">
        <f t="shared" si="30"/>
        <v>202502</v>
      </c>
      <c r="H490" s="4">
        <v>45733</v>
      </c>
      <c r="I490" s="5">
        <v>21</v>
      </c>
      <c r="J490" s="5">
        <v>0.7</v>
      </c>
      <c r="K490" s="5">
        <f t="shared" si="31"/>
        <v>1</v>
      </c>
      <c r="L490" s="5">
        <v>1</v>
      </c>
      <c r="M490" s="5">
        <v>1</v>
      </c>
      <c r="N490" t="s">
        <v>9</v>
      </c>
      <c r="O490" s="8">
        <v>19.101369863013698</v>
      </c>
      <c r="P490" t="s">
        <v>32</v>
      </c>
      <c r="Q490">
        <v>1</v>
      </c>
      <c r="R490" s="2">
        <v>38740</v>
      </c>
    </row>
    <row r="491" spans="1:18" x14ac:dyDescent="0.3">
      <c r="A491" t="s">
        <v>7</v>
      </c>
      <c r="B491">
        <v>18213982</v>
      </c>
      <c r="C491" t="s">
        <v>10</v>
      </c>
      <c r="D491" s="4">
        <v>45712</v>
      </c>
      <c r="E491" s="11">
        <f t="shared" si="28"/>
        <v>2025</v>
      </c>
      <c r="F491" s="11">
        <f t="shared" si="29"/>
        <v>2</v>
      </c>
      <c r="G491" s="11" t="str">
        <f t="shared" si="30"/>
        <v>202502</v>
      </c>
      <c r="I491" s="5">
        <v>9999</v>
      </c>
      <c r="J491" s="5">
        <v>333.3</v>
      </c>
      <c r="K491" s="5">
        <f t="shared" si="31"/>
        <v>0</v>
      </c>
      <c r="L491" s="5">
        <v>0</v>
      </c>
      <c r="M491" s="5">
        <v>0</v>
      </c>
      <c r="N491" t="s">
        <v>12</v>
      </c>
      <c r="O491" s="8">
        <v>26.783561643835615</v>
      </c>
      <c r="P491" t="s">
        <v>34</v>
      </c>
      <c r="Q491">
        <v>3</v>
      </c>
      <c r="R491" s="2">
        <v>35936</v>
      </c>
    </row>
    <row r="492" spans="1:18" x14ac:dyDescent="0.3">
      <c r="A492" t="s">
        <v>7</v>
      </c>
      <c r="B492">
        <v>18214050</v>
      </c>
      <c r="C492" t="s">
        <v>8</v>
      </c>
      <c r="D492" s="4">
        <v>45712</v>
      </c>
      <c r="E492" s="11">
        <f t="shared" si="28"/>
        <v>2025</v>
      </c>
      <c r="F492" s="11">
        <f t="shared" si="29"/>
        <v>2</v>
      </c>
      <c r="G492" s="11" t="str">
        <f t="shared" si="30"/>
        <v>202502</v>
      </c>
      <c r="H492" s="4">
        <v>45884</v>
      </c>
      <c r="I492" s="5">
        <v>172</v>
      </c>
      <c r="J492" s="5">
        <v>5.7333333333333334</v>
      </c>
      <c r="K492" s="5">
        <f t="shared" si="31"/>
        <v>0</v>
      </c>
      <c r="L492" s="5">
        <v>0</v>
      </c>
      <c r="M492" s="5">
        <v>1</v>
      </c>
      <c r="N492" t="s">
        <v>9</v>
      </c>
      <c r="O492" s="8">
        <v>20.147945205479452</v>
      </c>
      <c r="P492" t="s">
        <v>32</v>
      </c>
      <c r="Q492">
        <v>1</v>
      </c>
      <c r="R492" s="2">
        <v>38358</v>
      </c>
    </row>
    <row r="493" spans="1:18" x14ac:dyDescent="0.3">
      <c r="A493" t="s">
        <v>7</v>
      </c>
      <c r="B493">
        <v>18214341</v>
      </c>
      <c r="C493" t="s">
        <v>8</v>
      </c>
      <c r="D493" s="4">
        <v>45712</v>
      </c>
      <c r="E493" s="11">
        <f t="shared" si="28"/>
        <v>2025</v>
      </c>
      <c r="F493" s="11">
        <f t="shared" si="29"/>
        <v>2</v>
      </c>
      <c r="G493" s="11" t="str">
        <f t="shared" si="30"/>
        <v>202502</v>
      </c>
      <c r="H493" s="4">
        <v>45945</v>
      </c>
      <c r="I493" s="5">
        <v>233</v>
      </c>
      <c r="J493" s="5">
        <v>7.7666666666666666</v>
      </c>
      <c r="K493" s="5">
        <f t="shared" si="31"/>
        <v>0</v>
      </c>
      <c r="L493" s="5">
        <v>0</v>
      </c>
      <c r="M493" s="5">
        <v>0</v>
      </c>
      <c r="N493" t="s">
        <v>12</v>
      </c>
      <c r="O493" s="8">
        <v>20.44109589041096</v>
      </c>
      <c r="P493" t="s">
        <v>32</v>
      </c>
      <c r="Q493">
        <v>1</v>
      </c>
      <c r="R493" s="2">
        <v>38251</v>
      </c>
    </row>
    <row r="494" spans="1:18" x14ac:dyDescent="0.3">
      <c r="A494" t="s">
        <v>7</v>
      </c>
      <c r="B494">
        <v>18214343</v>
      </c>
      <c r="C494" t="s">
        <v>8</v>
      </c>
      <c r="D494" s="4">
        <v>45712</v>
      </c>
      <c r="E494" s="11">
        <f t="shared" si="28"/>
        <v>2025</v>
      </c>
      <c r="F494" s="11">
        <f t="shared" si="29"/>
        <v>2</v>
      </c>
      <c r="G494" s="11" t="str">
        <f t="shared" si="30"/>
        <v>202502</v>
      </c>
      <c r="I494" s="5">
        <v>9999</v>
      </c>
      <c r="J494" s="5">
        <v>333.3</v>
      </c>
      <c r="K494" s="5">
        <f t="shared" si="31"/>
        <v>0</v>
      </c>
      <c r="L494" s="5">
        <v>0</v>
      </c>
      <c r="M494" s="5">
        <v>0</v>
      </c>
      <c r="N494" t="s">
        <v>12</v>
      </c>
      <c r="O494" s="8">
        <v>28.830136986301369</v>
      </c>
      <c r="P494" t="s">
        <v>34</v>
      </c>
      <c r="Q494">
        <v>3</v>
      </c>
      <c r="R494" s="2">
        <v>35189</v>
      </c>
    </row>
    <row r="495" spans="1:18" x14ac:dyDescent="0.3">
      <c r="A495" t="s">
        <v>7</v>
      </c>
      <c r="B495">
        <v>18216092</v>
      </c>
      <c r="C495" t="s">
        <v>10</v>
      </c>
      <c r="D495" s="4">
        <v>45713</v>
      </c>
      <c r="E495" s="11">
        <f t="shared" si="28"/>
        <v>2025</v>
      </c>
      <c r="F495" s="11">
        <f t="shared" si="29"/>
        <v>2</v>
      </c>
      <c r="G495" s="11" t="str">
        <f t="shared" si="30"/>
        <v>202502</v>
      </c>
      <c r="H495" s="4">
        <v>46146</v>
      </c>
      <c r="I495" s="5">
        <v>433</v>
      </c>
      <c r="J495" s="5">
        <v>14.433333333333334</v>
      </c>
      <c r="K495" s="5">
        <f t="shared" si="31"/>
        <v>0</v>
      </c>
      <c r="L495" s="5">
        <v>0</v>
      </c>
      <c r="M495" s="5">
        <v>0</v>
      </c>
      <c r="N495" t="s">
        <v>9</v>
      </c>
      <c r="O495" s="8">
        <v>22.876712328767123</v>
      </c>
      <c r="P495" t="s">
        <v>33</v>
      </c>
      <c r="Q495">
        <v>2</v>
      </c>
      <c r="R495" s="2">
        <v>37363</v>
      </c>
    </row>
    <row r="496" spans="1:18" x14ac:dyDescent="0.3">
      <c r="A496" t="s">
        <v>7</v>
      </c>
      <c r="B496">
        <v>18216163</v>
      </c>
      <c r="C496" t="s">
        <v>8</v>
      </c>
      <c r="D496" s="4">
        <v>45713</v>
      </c>
      <c r="E496" s="11">
        <f t="shared" si="28"/>
        <v>2025</v>
      </c>
      <c r="F496" s="11">
        <f t="shared" si="29"/>
        <v>2</v>
      </c>
      <c r="G496" s="11" t="str">
        <f t="shared" si="30"/>
        <v>202502</v>
      </c>
      <c r="H496" s="4">
        <v>45737</v>
      </c>
      <c r="I496" s="5">
        <v>24</v>
      </c>
      <c r="J496" s="5">
        <v>0.8</v>
      </c>
      <c r="K496" s="5">
        <f t="shared" si="31"/>
        <v>1</v>
      </c>
      <c r="L496" s="5">
        <v>1</v>
      </c>
      <c r="M496" s="5">
        <v>1</v>
      </c>
      <c r="N496" t="s">
        <v>12</v>
      </c>
      <c r="O496" s="8">
        <v>23.487671232876714</v>
      </c>
      <c r="P496" t="s">
        <v>33</v>
      </c>
      <c r="Q496">
        <v>2</v>
      </c>
      <c r="R496" s="2">
        <v>37140</v>
      </c>
    </row>
    <row r="497" spans="1:18" x14ac:dyDescent="0.3">
      <c r="A497" t="s">
        <v>7</v>
      </c>
      <c r="B497">
        <v>18220536</v>
      </c>
      <c r="C497" t="s">
        <v>10</v>
      </c>
      <c r="D497" s="4">
        <v>45714</v>
      </c>
      <c r="E497" s="11">
        <f t="shared" si="28"/>
        <v>2025</v>
      </c>
      <c r="F497" s="11">
        <f t="shared" si="29"/>
        <v>2</v>
      </c>
      <c r="G497" s="11" t="str">
        <f t="shared" si="30"/>
        <v>202502</v>
      </c>
      <c r="H497" s="4">
        <v>46145</v>
      </c>
      <c r="I497" s="5">
        <v>431</v>
      </c>
      <c r="J497" s="5">
        <v>14.366666666666667</v>
      </c>
      <c r="K497" s="5">
        <f t="shared" si="31"/>
        <v>0</v>
      </c>
      <c r="L497" s="5">
        <v>0</v>
      </c>
      <c r="M497" s="5">
        <v>0</v>
      </c>
      <c r="N497" t="s">
        <v>12</v>
      </c>
      <c r="O497" s="8">
        <v>19.61917808219178</v>
      </c>
      <c r="P497" t="s">
        <v>32</v>
      </c>
      <c r="Q497">
        <v>1</v>
      </c>
      <c r="R497" s="2">
        <v>38553</v>
      </c>
    </row>
    <row r="498" spans="1:18" x14ac:dyDescent="0.3">
      <c r="A498" t="s">
        <v>7</v>
      </c>
      <c r="B498">
        <v>18220568</v>
      </c>
      <c r="C498" t="s">
        <v>8</v>
      </c>
      <c r="D498" s="4">
        <v>45714</v>
      </c>
      <c r="E498" s="11">
        <f t="shared" si="28"/>
        <v>2025</v>
      </c>
      <c r="F498" s="11">
        <f t="shared" si="29"/>
        <v>2</v>
      </c>
      <c r="G498" s="11" t="str">
        <f t="shared" si="30"/>
        <v>202502</v>
      </c>
      <c r="I498" s="5">
        <v>9999</v>
      </c>
      <c r="J498" s="5">
        <v>333.3</v>
      </c>
      <c r="K498" s="5">
        <f t="shared" si="31"/>
        <v>0</v>
      </c>
      <c r="L498" s="5">
        <v>0</v>
      </c>
      <c r="M498" s="5">
        <v>0</v>
      </c>
      <c r="N498" t="s">
        <v>12</v>
      </c>
      <c r="O498" s="8">
        <v>19.583561643835615</v>
      </c>
      <c r="P498" t="s">
        <v>32</v>
      </c>
      <c r="Q498">
        <v>1</v>
      </c>
      <c r="R498" s="2">
        <v>38566</v>
      </c>
    </row>
    <row r="499" spans="1:18" x14ac:dyDescent="0.3">
      <c r="A499" t="s">
        <v>7</v>
      </c>
      <c r="B499">
        <v>18220766</v>
      </c>
      <c r="C499" t="s">
        <v>10</v>
      </c>
      <c r="D499" s="4">
        <v>45714</v>
      </c>
      <c r="E499" s="11">
        <f t="shared" si="28"/>
        <v>2025</v>
      </c>
      <c r="F499" s="11">
        <f t="shared" si="29"/>
        <v>2</v>
      </c>
      <c r="G499" s="11" t="str">
        <f t="shared" si="30"/>
        <v>202502</v>
      </c>
      <c r="H499" s="4">
        <v>45841</v>
      </c>
      <c r="I499" s="5">
        <v>127</v>
      </c>
      <c r="J499" s="5">
        <v>4.2333333333333334</v>
      </c>
      <c r="K499" s="5">
        <f t="shared" si="31"/>
        <v>0</v>
      </c>
      <c r="L499" s="5">
        <v>0</v>
      </c>
      <c r="M499" s="5">
        <v>1</v>
      </c>
      <c r="N499" t="s">
        <v>9</v>
      </c>
      <c r="O499" s="8">
        <v>18.271232876712329</v>
      </c>
      <c r="P499" t="s">
        <v>32</v>
      </c>
      <c r="Q499">
        <v>1</v>
      </c>
      <c r="R499" s="2">
        <v>39045</v>
      </c>
    </row>
    <row r="500" spans="1:18" x14ac:dyDescent="0.3">
      <c r="A500" t="s">
        <v>7</v>
      </c>
      <c r="B500">
        <v>18223584</v>
      </c>
      <c r="C500" t="s">
        <v>8</v>
      </c>
      <c r="D500" s="4">
        <v>45715</v>
      </c>
      <c r="E500" s="11">
        <f t="shared" si="28"/>
        <v>2025</v>
      </c>
      <c r="F500" s="11">
        <f t="shared" si="29"/>
        <v>2</v>
      </c>
      <c r="G500" s="11" t="str">
        <f t="shared" si="30"/>
        <v>202502</v>
      </c>
      <c r="H500" s="4">
        <v>45808</v>
      </c>
      <c r="I500" s="5">
        <v>93</v>
      </c>
      <c r="J500" s="5">
        <v>3.1</v>
      </c>
      <c r="K500" s="5">
        <f t="shared" si="31"/>
        <v>0</v>
      </c>
      <c r="L500" s="5">
        <v>0</v>
      </c>
      <c r="M500" s="5">
        <v>1</v>
      </c>
      <c r="N500" t="s">
        <v>9</v>
      </c>
      <c r="O500" s="8">
        <v>18.515068493150686</v>
      </c>
      <c r="P500" t="s">
        <v>32</v>
      </c>
      <c r="Q500">
        <v>1</v>
      </c>
      <c r="R500" s="2">
        <v>38957</v>
      </c>
    </row>
    <row r="501" spans="1:18" x14ac:dyDescent="0.3">
      <c r="A501" t="s">
        <v>7</v>
      </c>
      <c r="B501">
        <v>18225946</v>
      </c>
      <c r="C501" t="s">
        <v>10</v>
      </c>
      <c r="D501" s="4">
        <v>45716</v>
      </c>
      <c r="E501" s="11">
        <f t="shared" si="28"/>
        <v>2025</v>
      </c>
      <c r="F501" s="11">
        <f t="shared" si="29"/>
        <v>2</v>
      </c>
      <c r="G501" s="11" t="str">
        <f t="shared" si="30"/>
        <v>202502</v>
      </c>
      <c r="H501" s="4">
        <v>45792</v>
      </c>
      <c r="I501" s="5">
        <v>76</v>
      </c>
      <c r="J501" s="5">
        <v>2.5333333333333332</v>
      </c>
      <c r="K501" s="5">
        <f t="shared" si="31"/>
        <v>0</v>
      </c>
      <c r="L501" s="5">
        <v>1</v>
      </c>
      <c r="M501" s="5">
        <v>1</v>
      </c>
      <c r="N501" t="s">
        <v>12</v>
      </c>
      <c r="O501" s="8">
        <v>18.852054794520548</v>
      </c>
      <c r="P501" t="s">
        <v>32</v>
      </c>
      <c r="Q501">
        <v>1</v>
      </c>
      <c r="R501" s="2">
        <v>38835</v>
      </c>
    </row>
    <row r="502" spans="1:18" x14ac:dyDescent="0.3">
      <c r="A502" t="s">
        <v>7</v>
      </c>
      <c r="B502">
        <v>18225962</v>
      </c>
      <c r="C502" t="s">
        <v>8</v>
      </c>
      <c r="D502" s="4">
        <v>45716</v>
      </c>
      <c r="E502" s="11">
        <f t="shared" si="28"/>
        <v>2025</v>
      </c>
      <c r="F502" s="11">
        <f t="shared" si="29"/>
        <v>2</v>
      </c>
      <c r="G502" s="11" t="str">
        <f t="shared" si="30"/>
        <v>202502</v>
      </c>
      <c r="H502" s="4">
        <v>45747</v>
      </c>
      <c r="I502" s="5">
        <v>31</v>
      </c>
      <c r="J502" s="5">
        <v>1.0333333333333334</v>
      </c>
      <c r="K502" s="5">
        <f t="shared" si="31"/>
        <v>0</v>
      </c>
      <c r="L502" s="5">
        <v>1</v>
      </c>
      <c r="M502" s="5">
        <v>1</v>
      </c>
      <c r="N502" t="s">
        <v>12</v>
      </c>
      <c r="O502" s="8">
        <v>20.63013698630137</v>
      </c>
      <c r="P502" t="s">
        <v>32</v>
      </c>
      <c r="Q502">
        <v>1</v>
      </c>
      <c r="R502" s="2">
        <v>38186</v>
      </c>
    </row>
    <row r="503" spans="1:18" x14ac:dyDescent="0.3">
      <c r="A503" t="s">
        <v>7</v>
      </c>
      <c r="B503">
        <v>18246955</v>
      </c>
      <c r="C503" t="s">
        <v>10</v>
      </c>
      <c r="D503" s="4">
        <v>45719</v>
      </c>
      <c r="E503" s="11">
        <f t="shared" si="28"/>
        <v>2025</v>
      </c>
      <c r="F503" s="11">
        <f t="shared" si="29"/>
        <v>3</v>
      </c>
      <c r="G503" s="11" t="str">
        <f t="shared" si="30"/>
        <v>202503</v>
      </c>
      <c r="H503" s="4">
        <v>45965</v>
      </c>
      <c r="I503" s="5">
        <v>246</v>
      </c>
      <c r="J503" s="5">
        <v>8.1999999999999993</v>
      </c>
      <c r="K503" s="5">
        <f t="shared" si="31"/>
        <v>0</v>
      </c>
      <c r="L503" s="5">
        <v>0</v>
      </c>
      <c r="M503" s="5">
        <v>0</v>
      </c>
      <c r="N503" t="s">
        <v>12</v>
      </c>
      <c r="O503" s="8">
        <v>26.252054794520546</v>
      </c>
      <c r="P503" t="s">
        <v>34</v>
      </c>
      <c r="Q503">
        <v>3</v>
      </c>
      <c r="R503" s="2">
        <v>36137</v>
      </c>
    </row>
    <row r="504" spans="1:18" x14ac:dyDescent="0.3">
      <c r="A504" t="s">
        <v>7</v>
      </c>
      <c r="B504">
        <v>18246980</v>
      </c>
      <c r="C504" t="s">
        <v>8</v>
      </c>
      <c r="D504" s="4">
        <v>45719</v>
      </c>
      <c r="E504" s="11">
        <f t="shared" si="28"/>
        <v>2025</v>
      </c>
      <c r="F504" s="11">
        <f t="shared" si="29"/>
        <v>3</v>
      </c>
      <c r="G504" s="11" t="str">
        <f t="shared" si="30"/>
        <v>202503</v>
      </c>
      <c r="H504" s="4">
        <v>45788</v>
      </c>
      <c r="I504" s="5">
        <v>69</v>
      </c>
      <c r="J504" s="5">
        <v>2.2999999999999998</v>
      </c>
      <c r="K504" s="5">
        <f t="shared" si="31"/>
        <v>0</v>
      </c>
      <c r="L504" s="5">
        <v>1</v>
      </c>
      <c r="M504" s="5">
        <v>1</v>
      </c>
      <c r="N504" t="s">
        <v>12</v>
      </c>
      <c r="O504" s="8">
        <v>18.849315068493151</v>
      </c>
      <c r="P504" t="s">
        <v>32</v>
      </c>
      <c r="Q504">
        <v>1</v>
      </c>
      <c r="R504" s="2">
        <v>38839</v>
      </c>
    </row>
    <row r="505" spans="1:18" x14ac:dyDescent="0.3">
      <c r="A505" t="s">
        <v>7</v>
      </c>
      <c r="B505">
        <v>18247415</v>
      </c>
      <c r="C505" t="s">
        <v>8</v>
      </c>
      <c r="D505" s="4">
        <v>45719</v>
      </c>
      <c r="E505" s="11">
        <f t="shared" si="28"/>
        <v>2025</v>
      </c>
      <c r="F505" s="11">
        <f t="shared" si="29"/>
        <v>3</v>
      </c>
      <c r="G505" s="11" t="str">
        <f t="shared" si="30"/>
        <v>202503</v>
      </c>
      <c r="H505" s="4">
        <v>45761</v>
      </c>
      <c r="I505" s="5">
        <v>42</v>
      </c>
      <c r="J505" s="5">
        <v>1.4</v>
      </c>
      <c r="K505" s="5">
        <f t="shared" si="31"/>
        <v>0</v>
      </c>
      <c r="L505" s="5">
        <v>1</v>
      </c>
      <c r="M505" s="5">
        <v>1</v>
      </c>
      <c r="N505" t="s">
        <v>12</v>
      </c>
      <c r="O505" s="8">
        <v>22.219178082191782</v>
      </c>
      <c r="P505" t="s">
        <v>33</v>
      </c>
      <c r="Q505">
        <v>2</v>
      </c>
      <c r="R505" s="2">
        <v>37609</v>
      </c>
    </row>
    <row r="506" spans="1:18" x14ac:dyDescent="0.3">
      <c r="A506" t="s">
        <v>7</v>
      </c>
      <c r="B506">
        <v>18247460</v>
      </c>
      <c r="C506" t="s">
        <v>8</v>
      </c>
      <c r="D506" s="4">
        <v>45719</v>
      </c>
      <c r="E506" s="11">
        <f t="shared" si="28"/>
        <v>2025</v>
      </c>
      <c r="F506" s="11">
        <f t="shared" si="29"/>
        <v>3</v>
      </c>
      <c r="G506" s="11" t="str">
        <f t="shared" si="30"/>
        <v>202503</v>
      </c>
      <c r="H506" s="4">
        <v>46145</v>
      </c>
      <c r="I506" s="5">
        <v>426</v>
      </c>
      <c r="J506" s="5">
        <v>14.2</v>
      </c>
      <c r="K506" s="5">
        <f t="shared" si="31"/>
        <v>0</v>
      </c>
      <c r="L506" s="5">
        <v>0</v>
      </c>
      <c r="M506" s="5">
        <v>0</v>
      </c>
      <c r="N506" t="s">
        <v>9</v>
      </c>
      <c r="O506" s="8">
        <v>43.038356164383565</v>
      </c>
      <c r="P506" t="s">
        <v>35</v>
      </c>
      <c r="Q506">
        <v>4</v>
      </c>
      <c r="R506" s="2">
        <v>30010</v>
      </c>
    </row>
    <row r="507" spans="1:18" x14ac:dyDescent="0.3">
      <c r="A507" t="s">
        <v>7</v>
      </c>
      <c r="B507">
        <v>18249382</v>
      </c>
      <c r="C507" t="s">
        <v>8</v>
      </c>
      <c r="D507" s="4">
        <v>45719</v>
      </c>
      <c r="E507" s="11">
        <f t="shared" si="28"/>
        <v>2025</v>
      </c>
      <c r="F507" s="11">
        <f t="shared" si="29"/>
        <v>3</v>
      </c>
      <c r="G507" s="11" t="str">
        <f t="shared" si="30"/>
        <v>202503</v>
      </c>
      <c r="H507" s="4">
        <v>45930</v>
      </c>
      <c r="I507" s="5">
        <v>211</v>
      </c>
      <c r="J507" s="5">
        <v>7.0333333333333332</v>
      </c>
      <c r="K507" s="5">
        <f t="shared" si="31"/>
        <v>0</v>
      </c>
      <c r="L507" s="5">
        <v>0</v>
      </c>
      <c r="M507" s="5">
        <v>0</v>
      </c>
      <c r="N507" t="s">
        <v>12</v>
      </c>
      <c r="O507" s="8">
        <v>18.526027397260275</v>
      </c>
      <c r="P507" t="s">
        <v>32</v>
      </c>
      <c r="Q507">
        <v>1</v>
      </c>
      <c r="R507" s="2">
        <v>38957</v>
      </c>
    </row>
    <row r="508" spans="1:18" x14ac:dyDescent="0.3">
      <c r="A508" t="s">
        <v>7</v>
      </c>
      <c r="B508">
        <v>18249386</v>
      </c>
      <c r="C508" t="s">
        <v>8</v>
      </c>
      <c r="D508" s="4">
        <v>45719</v>
      </c>
      <c r="E508" s="11">
        <f t="shared" si="28"/>
        <v>2025</v>
      </c>
      <c r="F508" s="11">
        <f t="shared" si="29"/>
        <v>3</v>
      </c>
      <c r="G508" s="11" t="str">
        <f t="shared" si="30"/>
        <v>202503</v>
      </c>
      <c r="H508" s="4">
        <v>45782</v>
      </c>
      <c r="I508" s="5">
        <v>63</v>
      </c>
      <c r="J508" s="5">
        <v>2.1</v>
      </c>
      <c r="K508" s="5">
        <f t="shared" si="31"/>
        <v>0</v>
      </c>
      <c r="L508" s="5">
        <v>1</v>
      </c>
      <c r="M508" s="5">
        <v>1</v>
      </c>
      <c r="N508" t="s">
        <v>12</v>
      </c>
      <c r="O508" s="8">
        <v>19.624657534246577</v>
      </c>
      <c r="P508" t="s">
        <v>32</v>
      </c>
      <c r="Q508">
        <v>1</v>
      </c>
      <c r="R508" s="2">
        <v>38556</v>
      </c>
    </row>
    <row r="509" spans="1:18" x14ac:dyDescent="0.3">
      <c r="A509" t="s">
        <v>7</v>
      </c>
      <c r="B509">
        <v>18256157</v>
      </c>
      <c r="C509" t="s">
        <v>8</v>
      </c>
      <c r="D509" s="4">
        <v>45720</v>
      </c>
      <c r="E509" s="11">
        <f t="shared" si="28"/>
        <v>2025</v>
      </c>
      <c r="F509" s="11">
        <f t="shared" si="29"/>
        <v>3</v>
      </c>
      <c r="G509" s="11" t="str">
        <f t="shared" si="30"/>
        <v>202503</v>
      </c>
      <c r="H509" s="4">
        <v>45748</v>
      </c>
      <c r="I509" s="5">
        <v>28</v>
      </c>
      <c r="J509" s="5">
        <v>0.93333333333333335</v>
      </c>
      <c r="K509" s="5">
        <f t="shared" si="31"/>
        <v>1</v>
      </c>
      <c r="L509" s="5">
        <v>1</v>
      </c>
      <c r="M509" s="5">
        <v>1</v>
      </c>
      <c r="N509" t="s">
        <v>9</v>
      </c>
      <c r="O509" s="8">
        <v>21.279452054794522</v>
      </c>
      <c r="P509" t="s">
        <v>33</v>
      </c>
      <c r="Q509">
        <v>2</v>
      </c>
      <c r="R509" s="2">
        <v>37953</v>
      </c>
    </row>
    <row r="510" spans="1:18" x14ac:dyDescent="0.3">
      <c r="A510" t="s">
        <v>7</v>
      </c>
      <c r="B510">
        <v>18256492</v>
      </c>
      <c r="C510" t="s">
        <v>10</v>
      </c>
      <c r="D510" s="4">
        <v>45720</v>
      </c>
      <c r="E510" s="11">
        <f t="shared" si="28"/>
        <v>2025</v>
      </c>
      <c r="F510" s="11">
        <f t="shared" si="29"/>
        <v>3</v>
      </c>
      <c r="G510" s="11" t="str">
        <f t="shared" si="30"/>
        <v>202503</v>
      </c>
      <c r="H510" s="4">
        <v>45748</v>
      </c>
      <c r="I510" s="5">
        <v>28</v>
      </c>
      <c r="J510" s="5">
        <v>0.93333333333333335</v>
      </c>
      <c r="K510" s="5">
        <f t="shared" si="31"/>
        <v>1</v>
      </c>
      <c r="L510" s="5">
        <v>1</v>
      </c>
      <c r="M510" s="5">
        <v>1</v>
      </c>
      <c r="N510" t="s">
        <v>9</v>
      </c>
      <c r="O510" s="8">
        <v>22.082191780821919</v>
      </c>
      <c r="P510" t="s">
        <v>33</v>
      </c>
      <c r="Q510">
        <v>2</v>
      </c>
      <c r="R510" s="2">
        <v>37660</v>
      </c>
    </row>
    <row r="511" spans="1:18" x14ac:dyDescent="0.3">
      <c r="A511" t="s">
        <v>7</v>
      </c>
      <c r="B511">
        <v>18256493</v>
      </c>
      <c r="C511" t="s">
        <v>8</v>
      </c>
      <c r="D511" s="4">
        <v>45720</v>
      </c>
      <c r="E511" s="11">
        <f t="shared" si="28"/>
        <v>2025</v>
      </c>
      <c r="F511" s="11">
        <f t="shared" si="29"/>
        <v>3</v>
      </c>
      <c r="G511" s="11" t="str">
        <f t="shared" si="30"/>
        <v>202503</v>
      </c>
      <c r="H511" s="4">
        <v>46027</v>
      </c>
      <c r="I511" s="5">
        <v>307</v>
      </c>
      <c r="J511" s="5">
        <v>10.233333333333333</v>
      </c>
      <c r="K511" s="5">
        <f t="shared" si="31"/>
        <v>0</v>
      </c>
      <c r="L511" s="5">
        <v>0</v>
      </c>
      <c r="M511" s="5">
        <v>0</v>
      </c>
      <c r="N511" t="s">
        <v>9</v>
      </c>
      <c r="O511" s="8">
        <v>23.208219178082192</v>
      </c>
      <c r="P511" t="s">
        <v>33</v>
      </c>
      <c r="Q511">
        <v>2</v>
      </c>
      <c r="R511" s="2">
        <v>37249</v>
      </c>
    </row>
    <row r="512" spans="1:18" x14ac:dyDescent="0.3">
      <c r="A512" t="s">
        <v>7</v>
      </c>
      <c r="B512">
        <v>18266744</v>
      </c>
      <c r="C512" t="s">
        <v>10</v>
      </c>
      <c r="D512" s="4">
        <v>45721</v>
      </c>
      <c r="E512" s="11">
        <f t="shared" si="28"/>
        <v>2025</v>
      </c>
      <c r="F512" s="11">
        <f t="shared" si="29"/>
        <v>3</v>
      </c>
      <c r="G512" s="11" t="str">
        <f t="shared" si="30"/>
        <v>202503</v>
      </c>
      <c r="H512" s="4">
        <v>45748</v>
      </c>
      <c r="I512" s="5">
        <v>27</v>
      </c>
      <c r="J512" s="5">
        <v>0.9</v>
      </c>
      <c r="K512" s="5">
        <f t="shared" si="31"/>
        <v>1</v>
      </c>
      <c r="L512" s="5">
        <v>1</v>
      </c>
      <c r="M512" s="5">
        <v>1</v>
      </c>
      <c r="N512" t="s">
        <v>12</v>
      </c>
      <c r="O512" s="8">
        <v>25.016438356164382</v>
      </c>
      <c r="P512" t="s">
        <v>33</v>
      </c>
      <c r="Q512">
        <v>2</v>
      </c>
      <c r="R512" s="2">
        <v>36590</v>
      </c>
    </row>
    <row r="513" spans="1:18" x14ac:dyDescent="0.3">
      <c r="A513" t="s">
        <v>7</v>
      </c>
      <c r="B513">
        <v>18266850</v>
      </c>
      <c r="C513" t="s">
        <v>8</v>
      </c>
      <c r="D513" s="4">
        <v>45721</v>
      </c>
      <c r="E513" s="11">
        <f t="shared" si="28"/>
        <v>2025</v>
      </c>
      <c r="F513" s="11">
        <f t="shared" si="29"/>
        <v>3</v>
      </c>
      <c r="G513" s="11" t="str">
        <f t="shared" si="30"/>
        <v>202503</v>
      </c>
      <c r="H513" s="4">
        <v>46081</v>
      </c>
      <c r="I513" s="5">
        <v>360</v>
      </c>
      <c r="J513" s="5">
        <v>12</v>
      </c>
      <c r="K513" s="5">
        <f t="shared" si="31"/>
        <v>0</v>
      </c>
      <c r="L513" s="5">
        <v>0</v>
      </c>
      <c r="M513" s="5">
        <v>0</v>
      </c>
      <c r="N513" t="s">
        <v>9</v>
      </c>
      <c r="O513" s="8">
        <v>42.019178082191779</v>
      </c>
      <c r="P513" t="s">
        <v>35</v>
      </c>
      <c r="Q513">
        <v>4</v>
      </c>
      <c r="R513" s="2">
        <v>30384</v>
      </c>
    </row>
    <row r="514" spans="1:18" x14ac:dyDescent="0.3">
      <c r="A514" t="s">
        <v>7</v>
      </c>
      <c r="B514">
        <v>18267153</v>
      </c>
      <c r="C514" t="s">
        <v>10</v>
      </c>
      <c r="D514" s="4">
        <v>45721</v>
      </c>
      <c r="E514" s="11">
        <f t="shared" si="28"/>
        <v>2025</v>
      </c>
      <c r="F514" s="11">
        <f t="shared" si="29"/>
        <v>3</v>
      </c>
      <c r="G514" s="11" t="str">
        <f t="shared" si="30"/>
        <v>202503</v>
      </c>
      <c r="H514" s="4">
        <v>46006</v>
      </c>
      <c r="I514" s="5">
        <v>285</v>
      </c>
      <c r="J514" s="5">
        <v>9.5</v>
      </c>
      <c r="K514" s="5">
        <f t="shared" si="31"/>
        <v>0</v>
      </c>
      <c r="L514" s="5">
        <v>0</v>
      </c>
      <c r="M514" s="5">
        <v>0</v>
      </c>
      <c r="N514" t="s">
        <v>9</v>
      </c>
      <c r="O514" s="8">
        <v>18.487671232876714</v>
      </c>
      <c r="P514" t="s">
        <v>32</v>
      </c>
      <c r="Q514">
        <v>1</v>
      </c>
      <c r="R514" s="2">
        <v>38973</v>
      </c>
    </row>
    <row r="515" spans="1:18" x14ac:dyDescent="0.3">
      <c r="A515" t="s">
        <v>7</v>
      </c>
      <c r="B515">
        <v>18267302</v>
      </c>
      <c r="C515" t="s">
        <v>10</v>
      </c>
      <c r="D515" s="4">
        <v>45719</v>
      </c>
      <c r="E515" s="11">
        <f t="shared" ref="E515:E578" si="32">+YEAR(D515)</f>
        <v>2025</v>
      </c>
      <c r="F515" s="11">
        <f t="shared" ref="F515:F578" si="33">+MONTH(D515)</f>
        <v>3</v>
      </c>
      <c r="G515" s="11" t="str">
        <f t="shared" ref="G515:G578" si="34">+TEXT(D515, "yyymm")</f>
        <v>202503</v>
      </c>
      <c r="H515" s="4">
        <v>45900</v>
      </c>
      <c r="I515" s="5">
        <v>181</v>
      </c>
      <c r="J515" s="5">
        <v>6.0333333333333332</v>
      </c>
      <c r="K515" s="5">
        <f t="shared" ref="K515:K578" si="35">IF(J515&lt;=1,1,0)</f>
        <v>0</v>
      </c>
      <c r="L515" s="5">
        <v>0</v>
      </c>
      <c r="M515" s="5">
        <v>0</v>
      </c>
      <c r="N515" t="s">
        <v>9</v>
      </c>
      <c r="O515" s="8">
        <v>24.747945205479454</v>
      </c>
      <c r="P515" t="s">
        <v>33</v>
      </c>
      <c r="Q515">
        <v>2</v>
      </c>
      <c r="R515" s="2">
        <v>36686</v>
      </c>
    </row>
    <row r="516" spans="1:18" x14ac:dyDescent="0.3">
      <c r="A516" t="s">
        <v>7</v>
      </c>
      <c r="B516">
        <v>18268052</v>
      </c>
      <c r="C516" t="s">
        <v>8</v>
      </c>
      <c r="D516" s="4">
        <v>45721</v>
      </c>
      <c r="E516" s="11">
        <f t="shared" si="32"/>
        <v>2025</v>
      </c>
      <c r="F516" s="11">
        <f t="shared" si="33"/>
        <v>3</v>
      </c>
      <c r="G516" s="11" t="str">
        <f t="shared" si="34"/>
        <v>202503</v>
      </c>
      <c r="I516" s="5">
        <v>9999</v>
      </c>
      <c r="J516" s="5">
        <v>333.3</v>
      </c>
      <c r="K516" s="5">
        <f t="shared" si="35"/>
        <v>0</v>
      </c>
      <c r="L516" s="5">
        <v>0</v>
      </c>
      <c r="M516" s="5">
        <v>0</v>
      </c>
      <c r="N516" t="s">
        <v>9</v>
      </c>
      <c r="O516" s="8">
        <v>23.153424657534245</v>
      </c>
      <c r="P516" t="s">
        <v>33</v>
      </c>
      <c r="Q516">
        <v>2</v>
      </c>
      <c r="R516" s="2">
        <v>37270</v>
      </c>
    </row>
    <row r="517" spans="1:18" x14ac:dyDescent="0.3">
      <c r="A517" t="s">
        <v>7</v>
      </c>
      <c r="B517">
        <v>18268054</v>
      </c>
      <c r="C517" t="s">
        <v>8</v>
      </c>
      <c r="D517" s="4">
        <v>45721</v>
      </c>
      <c r="E517" s="11">
        <f t="shared" si="32"/>
        <v>2025</v>
      </c>
      <c r="F517" s="11">
        <f t="shared" si="33"/>
        <v>3</v>
      </c>
      <c r="G517" s="11" t="str">
        <f t="shared" si="34"/>
        <v>202503</v>
      </c>
      <c r="H517" s="4">
        <v>46022</v>
      </c>
      <c r="I517" s="5">
        <v>301</v>
      </c>
      <c r="J517" s="5">
        <v>10.033333333333333</v>
      </c>
      <c r="K517" s="5">
        <f t="shared" si="35"/>
        <v>0</v>
      </c>
      <c r="L517" s="5">
        <v>0</v>
      </c>
      <c r="M517" s="5">
        <v>0</v>
      </c>
      <c r="N517" t="s">
        <v>9</v>
      </c>
      <c r="O517" s="8">
        <v>33.712328767123289</v>
      </c>
      <c r="P517" t="s">
        <v>35</v>
      </c>
      <c r="Q517">
        <v>4</v>
      </c>
      <c r="R517" s="2">
        <v>33416</v>
      </c>
    </row>
    <row r="518" spans="1:18" x14ac:dyDescent="0.3">
      <c r="A518" t="s">
        <v>7</v>
      </c>
      <c r="B518">
        <v>18275934</v>
      </c>
      <c r="C518" t="s">
        <v>8</v>
      </c>
      <c r="D518" s="4">
        <v>45722</v>
      </c>
      <c r="E518" s="11">
        <f t="shared" si="32"/>
        <v>2025</v>
      </c>
      <c r="F518" s="11">
        <f t="shared" si="33"/>
        <v>3</v>
      </c>
      <c r="G518" s="11" t="str">
        <f t="shared" si="34"/>
        <v>202503</v>
      </c>
      <c r="H518" s="4">
        <v>46094</v>
      </c>
      <c r="I518" s="5">
        <v>372</v>
      </c>
      <c r="J518" s="5">
        <v>12.4</v>
      </c>
      <c r="K518" s="5">
        <f t="shared" si="35"/>
        <v>0</v>
      </c>
      <c r="L518" s="5">
        <v>0</v>
      </c>
      <c r="M518" s="5">
        <v>0</v>
      </c>
      <c r="N518" t="s">
        <v>12</v>
      </c>
      <c r="O518" s="8">
        <v>24.495890410958904</v>
      </c>
      <c r="P518" t="s">
        <v>33</v>
      </c>
      <c r="Q518">
        <v>2</v>
      </c>
      <c r="R518" s="2">
        <v>36781</v>
      </c>
    </row>
    <row r="519" spans="1:18" x14ac:dyDescent="0.3">
      <c r="A519" t="s">
        <v>7</v>
      </c>
      <c r="B519">
        <v>18276073</v>
      </c>
      <c r="C519" t="s">
        <v>8</v>
      </c>
      <c r="D519" s="4">
        <v>45722</v>
      </c>
      <c r="E519" s="11">
        <f t="shared" si="32"/>
        <v>2025</v>
      </c>
      <c r="F519" s="11">
        <f t="shared" si="33"/>
        <v>3</v>
      </c>
      <c r="G519" s="11" t="str">
        <f t="shared" si="34"/>
        <v>202503</v>
      </c>
      <c r="H519" s="4">
        <v>46081</v>
      </c>
      <c r="I519" s="5">
        <v>359</v>
      </c>
      <c r="J519" s="5">
        <v>11.966666666666667</v>
      </c>
      <c r="K519" s="5">
        <f t="shared" si="35"/>
        <v>0</v>
      </c>
      <c r="L519" s="5">
        <v>0</v>
      </c>
      <c r="M519" s="5">
        <v>0</v>
      </c>
      <c r="N519" t="s">
        <v>9</v>
      </c>
      <c r="O519" s="8">
        <v>27.356164383561644</v>
      </c>
      <c r="P519" t="s">
        <v>34</v>
      </c>
      <c r="Q519">
        <v>3</v>
      </c>
      <c r="R519" s="2">
        <v>35737</v>
      </c>
    </row>
    <row r="520" spans="1:18" x14ac:dyDescent="0.3">
      <c r="A520" t="s">
        <v>11</v>
      </c>
      <c r="B520">
        <v>18276222</v>
      </c>
      <c r="C520" t="s">
        <v>8</v>
      </c>
      <c r="D520" s="4">
        <v>45722</v>
      </c>
      <c r="E520" s="11">
        <f t="shared" si="32"/>
        <v>2025</v>
      </c>
      <c r="F520" s="11">
        <f t="shared" si="33"/>
        <v>3</v>
      </c>
      <c r="G520" s="11" t="str">
        <f t="shared" si="34"/>
        <v>202503</v>
      </c>
      <c r="H520" s="4">
        <v>45747</v>
      </c>
      <c r="I520" s="5">
        <v>25</v>
      </c>
      <c r="J520" s="5">
        <v>0.83333333333333337</v>
      </c>
      <c r="K520" s="5">
        <f t="shared" si="35"/>
        <v>1</v>
      </c>
      <c r="L520" s="5">
        <v>1</v>
      </c>
      <c r="M520" s="5">
        <v>1</v>
      </c>
      <c r="N520" t="s">
        <v>9</v>
      </c>
      <c r="O520" s="8">
        <v>23.950684931506849</v>
      </c>
      <c r="P520" t="s">
        <v>33</v>
      </c>
      <c r="Q520">
        <v>2</v>
      </c>
      <c r="R520" s="2">
        <v>36980</v>
      </c>
    </row>
    <row r="521" spans="1:18" x14ac:dyDescent="0.3">
      <c r="A521" t="s">
        <v>7</v>
      </c>
      <c r="B521">
        <v>18280197</v>
      </c>
      <c r="C521" t="s">
        <v>8</v>
      </c>
      <c r="D521" s="4">
        <v>45723</v>
      </c>
      <c r="E521" s="11">
        <f t="shared" si="32"/>
        <v>2025</v>
      </c>
      <c r="F521" s="11">
        <f t="shared" si="33"/>
        <v>3</v>
      </c>
      <c r="G521" s="11" t="str">
        <f t="shared" si="34"/>
        <v>202503</v>
      </c>
      <c r="H521" s="4">
        <v>45748</v>
      </c>
      <c r="I521" s="5">
        <v>25</v>
      </c>
      <c r="J521" s="5">
        <v>0.83333333333333337</v>
      </c>
      <c r="K521" s="5">
        <f t="shared" si="35"/>
        <v>1</v>
      </c>
      <c r="L521" s="5">
        <v>1</v>
      </c>
      <c r="M521" s="5">
        <v>1</v>
      </c>
      <c r="N521" t="s">
        <v>9</v>
      </c>
      <c r="O521" s="8">
        <v>18.898630136986302</v>
      </c>
      <c r="P521" t="s">
        <v>32</v>
      </c>
      <c r="Q521">
        <v>1</v>
      </c>
      <c r="R521" s="2">
        <v>38825</v>
      </c>
    </row>
    <row r="522" spans="1:18" x14ac:dyDescent="0.3">
      <c r="A522" t="s">
        <v>7</v>
      </c>
      <c r="B522">
        <v>18280339</v>
      </c>
      <c r="C522" t="s">
        <v>8</v>
      </c>
      <c r="D522" s="4">
        <v>45723</v>
      </c>
      <c r="E522" s="11">
        <f t="shared" si="32"/>
        <v>2025</v>
      </c>
      <c r="F522" s="11">
        <f t="shared" si="33"/>
        <v>3</v>
      </c>
      <c r="G522" s="11" t="str">
        <f t="shared" si="34"/>
        <v>202503</v>
      </c>
      <c r="H522" s="4">
        <v>45725</v>
      </c>
      <c r="I522" s="5">
        <v>2</v>
      </c>
      <c r="J522" s="5">
        <v>6.6666666666666666E-2</v>
      </c>
      <c r="K522" s="5">
        <f t="shared" si="35"/>
        <v>1</v>
      </c>
      <c r="L522" s="5">
        <v>1</v>
      </c>
      <c r="M522" s="5">
        <v>1</v>
      </c>
      <c r="N522" t="s">
        <v>9</v>
      </c>
      <c r="O522" s="8">
        <v>20.608219178082191</v>
      </c>
      <c r="P522" t="s">
        <v>32</v>
      </c>
      <c r="Q522">
        <v>1</v>
      </c>
      <c r="R522" s="2">
        <v>38201</v>
      </c>
    </row>
    <row r="523" spans="1:18" x14ac:dyDescent="0.3">
      <c r="A523" t="s">
        <v>7</v>
      </c>
      <c r="B523">
        <v>18280506</v>
      </c>
      <c r="C523" t="s">
        <v>10</v>
      </c>
      <c r="D523" s="4">
        <v>45723</v>
      </c>
      <c r="E523" s="11">
        <f t="shared" si="32"/>
        <v>2025</v>
      </c>
      <c r="F523" s="11">
        <f t="shared" si="33"/>
        <v>3</v>
      </c>
      <c r="G523" s="11" t="str">
        <f t="shared" si="34"/>
        <v>202503</v>
      </c>
      <c r="H523" s="4">
        <v>45869</v>
      </c>
      <c r="I523" s="5">
        <v>146</v>
      </c>
      <c r="J523" s="5">
        <v>4.8666666666666663</v>
      </c>
      <c r="K523" s="5">
        <f t="shared" si="35"/>
        <v>0</v>
      </c>
      <c r="L523" s="5">
        <v>0</v>
      </c>
      <c r="M523" s="5">
        <v>1</v>
      </c>
      <c r="N523" t="s">
        <v>12</v>
      </c>
      <c r="O523" s="8">
        <v>21.627397260273973</v>
      </c>
      <c r="P523" t="s">
        <v>33</v>
      </c>
      <c r="Q523">
        <v>2</v>
      </c>
      <c r="R523" s="2">
        <v>37829</v>
      </c>
    </row>
    <row r="524" spans="1:18" x14ac:dyDescent="0.3">
      <c r="A524" t="s">
        <v>7</v>
      </c>
      <c r="B524">
        <v>18280753</v>
      </c>
      <c r="C524" t="s">
        <v>10</v>
      </c>
      <c r="D524" s="4">
        <v>45723</v>
      </c>
      <c r="E524" s="11">
        <f t="shared" si="32"/>
        <v>2025</v>
      </c>
      <c r="F524" s="11">
        <f t="shared" si="33"/>
        <v>3</v>
      </c>
      <c r="G524" s="11" t="str">
        <f t="shared" si="34"/>
        <v>202503</v>
      </c>
      <c r="H524" s="4">
        <v>45928</v>
      </c>
      <c r="I524" s="5">
        <v>205</v>
      </c>
      <c r="J524" s="5">
        <v>6.833333333333333</v>
      </c>
      <c r="K524" s="5">
        <f t="shared" si="35"/>
        <v>0</v>
      </c>
      <c r="L524" s="5">
        <v>0</v>
      </c>
      <c r="M524" s="5">
        <v>0</v>
      </c>
      <c r="N524" t="s">
        <v>9</v>
      </c>
      <c r="O524" s="8">
        <v>19.632876712328766</v>
      </c>
      <c r="P524" t="s">
        <v>32</v>
      </c>
      <c r="Q524">
        <v>1</v>
      </c>
      <c r="R524" s="2">
        <v>38557</v>
      </c>
    </row>
    <row r="525" spans="1:18" x14ac:dyDescent="0.3">
      <c r="A525" t="s">
        <v>7</v>
      </c>
      <c r="B525">
        <v>18287779</v>
      </c>
      <c r="C525" t="s">
        <v>8</v>
      </c>
      <c r="D525" s="4">
        <v>46129</v>
      </c>
      <c r="E525" s="11">
        <f t="shared" si="32"/>
        <v>2026</v>
      </c>
      <c r="F525" s="11">
        <f t="shared" si="33"/>
        <v>4</v>
      </c>
      <c r="G525" s="11" t="str">
        <f t="shared" si="34"/>
        <v>202604</v>
      </c>
      <c r="H525" s="4">
        <v>46173</v>
      </c>
      <c r="I525" s="5">
        <v>44</v>
      </c>
      <c r="J525" s="5">
        <v>1.4666666666666666</v>
      </c>
      <c r="K525" s="5">
        <f t="shared" si="35"/>
        <v>0</v>
      </c>
      <c r="L525" s="5">
        <v>1</v>
      </c>
      <c r="M525" s="5">
        <v>1</v>
      </c>
      <c r="N525" t="s">
        <v>9</v>
      </c>
      <c r="O525" s="8">
        <v>20.391780821917809</v>
      </c>
      <c r="P525" t="s">
        <v>32</v>
      </c>
      <c r="Q525">
        <v>1</v>
      </c>
      <c r="R525" s="2">
        <v>38686</v>
      </c>
    </row>
    <row r="526" spans="1:18" x14ac:dyDescent="0.3">
      <c r="A526" t="s">
        <v>7</v>
      </c>
      <c r="B526">
        <v>18287923</v>
      </c>
      <c r="C526" t="s">
        <v>8</v>
      </c>
      <c r="D526" s="4">
        <v>45726</v>
      </c>
      <c r="E526" s="11">
        <f t="shared" si="32"/>
        <v>2025</v>
      </c>
      <c r="F526" s="11">
        <f t="shared" si="33"/>
        <v>3</v>
      </c>
      <c r="G526" s="11" t="str">
        <f t="shared" si="34"/>
        <v>202503</v>
      </c>
      <c r="H526" s="4">
        <v>45903</v>
      </c>
      <c r="I526" s="5">
        <v>177</v>
      </c>
      <c r="J526" s="5">
        <v>5.9</v>
      </c>
      <c r="K526" s="5">
        <f t="shared" si="35"/>
        <v>0</v>
      </c>
      <c r="L526" s="5">
        <v>0</v>
      </c>
      <c r="M526" s="5">
        <v>1</v>
      </c>
      <c r="N526" t="s">
        <v>9</v>
      </c>
      <c r="O526" s="8">
        <v>19.30958904109589</v>
      </c>
      <c r="P526" t="s">
        <v>32</v>
      </c>
      <c r="Q526">
        <v>1</v>
      </c>
      <c r="R526" s="2">
        <v>38678</v>
      </c>
    </row>
    <row r="527" spans="1:18" x14ac:dyDescent="0.3">
      <c r="A527" t="s">
        <v>7</v>
      </c>
      <c r="B527">
        <v>18288077</v>
      </c>
      <c r="C527" t="s">
        <v>10</v>
      </c>
      <c r="D527" s="4">
        <v>45726</v>
      </c>
      <c r="E527" s="11">
        <f t="shared" si="32"/>
        <v>2025</v>
      </c>
      <c r="F527" s="11">
        <f t="shared" si="33"/>
        <v>3</v>
      </c>
      <c r="G527" s="11" t="str">
        <f t="shared" si="34"/>
        <v>202503</v>
      </c>
      <c r="I527" s="5">
        <v>9999</v>
      </c>
      <c r="J527" s="5">
        <v>333.3</v>
      </c>
      <c r="K527" s="5">
        <f t="shared" si="35"/>
        <v>0</v>
      </c>
      <c r="L527" s="5">
        <v>0</v>
      </c>
      <c r="M527" s="5">
        <v>0</v>
      </c>
      <c r="N527" t="s">
        <v>9</v>
      </c>
      <c r="O527" s="8">
        <v>20.602739726027398</v>
      </c>
      <c r="P527" t="s">
        <v>32</v>
      </c>
      <c r="Q527">
        <v>1</v>
      </c>
      <c r="R527" s="2">
        <v>38206</v>
      </c>
    </row>
    <row r="528" spans="1:18" x14ac:dyDescent="0.3">
      <c r="A528" t="s">
        <v>7</v>
      </c>
      <c r="B528">
        <v>18288106</v>
      </c>
      <c r="C528" t="s">
        <v>8</v>
      </c>
      <c r="D528" s="4">
        <v>45726</v>
      </c>
      <c r="E528" s="11">
        <f t="shared" si="32"/>
        <v>2025</v>
      </c>
      <c r="F528" s="11">
        <f t="shared" si="33"/>
        <v>3</v>
      </c>
      <c r="G528" s="11" t="str">
        <f t="shared" si="34"/>
        <v>202503</v>
      </c>
      <c r="H528" s="4">
        <v>46173</v>
      </c>
      <c r="I528" s="5">
        <v>447</v>
      </c>
      <c r="J528" s="5">
        <v>14.9</v>
      </c>
      <c r="K528" s="5">
        <f t="shared" si="35"/>
        <v>0</v>
      </c>
      <c r="L528" s="5">
        <v>0</v>
      </c>
      <c r="M528" s="5">
        <v>0</v>
      </c>
      <c r="N528" t="s">
        <v>9</v>
      </c>
      <c r="O528" s="8">
        <v>18.452054794520549</v>
      </c>
      <c r="P528" t="s">
        <v>32</v>
      </c>
      <c r="Q528">
        <v>1</v>
      </c>
      <c r="R528" s="2">
        <v>38991</v>
      </c>
    </row>
    <row r="529" spans="1:18" x14ac:dyDescent="0.3">
      <c r="A529" t="s">
        <v>7</v>
      </c>
      <c r="B529">
        <v>18288114</v>
      </c>
      <c r="C529" t="s">
        <v>8</v>
      </c>
      <c r="D529" s="4">
        <v>45726</v>
      </c>
      <c r="E529" s="11">
        <f t="shared" si="32"/>
        <v>2025</v>
      </c>
      <c r="F529" s="11">
        <f t="shared" si="33"/>
        <v>3</v>
      </c>
      <c r="G529" s="11" t="str">
        <f t="shared" si="34"/>
        <v>202503</v>
      </c>
      <c r="H529" s="4">
        <v>45870</v>
      </c>
      <c r="I529" s="5">
        <v>144</v>
      </c>
      <c r="J529" s="5">
        <v>4.8</v>
      </c>
      <c r="K529" s="5">
        <f t="shared" si="35"/>
        <v>0</v>
      </c>
      <c r="L529" s="5">
        <v>0</v>
      </c>
      <c r="M529" s="5">
        <v>1</v>
      </c>
      <c r="N529" t="s">
        <v>9</v>
      </c>
      <c r="O529" s="8">
        <v>19.241095890410961</v>
      </c>
      <c r="P529" t="s">
        <v>32</v>
      </c>
      <c r="Q529">
        <v>1</v>
      </c>
      <c r="R529" s="2">
        <v>38703</v>
      </c>
    </row>
    <row r="530" spans="1:18" x14ac:dyDescent="0.3">
      <c r="A530" t="s">
        <v>7</v>
      </c>
      <c r="B530">
        <v>18288131</v>
      </c>
      <c r="C530" t="s">
        <v>8</v>
      </c>
      <c r="D530" s="4">
        <v>45726</v>
      </c>
      <c r="E530" s="11">
        <f t="shared" si="32"/>
        <v>2025</v>
      </c>
      <c r="F530" s="11">
        <f t="shared" si="33"/>
        <v>3</v>
      </c>
      <c r="G530" s="11" t="str">
        <f t="shared" si="34"/>
        <v>202503</v>
      </c>
      <c r="H530" s="4">
        <v>46023</v>
      </c>
      <c r="I530" s="5">
        <v>297</v>
      </c>
      <c r="J530" s="5">
        <v>9.9</v>
      </c>
      <c r="K530" s="5">
        <f t="shared" si="35"/>
        <v>0</v>
      </c>
      <c r="L530" s="5">
        <v>0</v>
      </c>
      <c r="M530" s="5">
        <v>0</v>
      </c>
      <c r="N530" t="s">
        <v>9</v>
      </c>
      <c r="O530" s="8">
        <v>21.882191780821916</v>
      </c>
      <c r="P530" t="s">
        <v>33</v>
      </c>
      <c r="Q530">
        <v>2</v>
      </c>
      <c r="R530" s="2">
        <v>37739</v>
      </c>
    </row>
    <row r="531" spans="1:18" x14ac:dyDescent="0.3">
      <c r="A531" t="s">
        <v>7</v>
      </c>
      <c r="B531">
        <v>18288140</v>
      </c>
      <c r="C531" t="s">
        <v>10</v>
      </c>
      <c r="D531" s="4">
        <v>45726</v>
      </c>
      <c r="E531" s="11">
        <f t="shared" si="32"/>
        <v>2025</v>
      </c>
      <c r="F531" s="11">
        <f t="shared" si="33"/>
        <v>3</v>
      </c>
      <c r="G531" s="11" t="str">
        <f t="shared" si="34"/>
        <v>202503</v>
      </c>
      <c r="I531" s="5">
        <v>9999</v>
      </c>
      <c r="J531" s="5">
        <v>333.3</v>
      </c>
      <c r="K531" s="5">
        <f t="shared" si="35"/>
        <v>0</v>
      </c>
      <c r="L531" s="5">
        <v>0</v>
      </c>
      <c r="M531" s="5">
        <v>0</v>
      </c>
      <c r="N531" t="s">
        <v>12</v>
      </c>
      <c r="O531" s="8">
        <v>20.301369863013697</v>
      </c>
      <c r="P531" t="s">
        <v>32</v>
      </c>
      <c r="Q531">
        <v>1</v>
      </c>
      <c r="R531" s="2">
        <v>38316</v>
      </c>
    </row>
    <row r="532" spans="1:18" x14ac:dyDescent="0.3">
      <c r="A532" t="s">
        <v>7</v>
      </c>
      <c r="B532">
        <v>18288149</v>
      </c>
      <c r="C532" t="s">
        <v>10</v>
      </c>
      <c r="D532" s="4">
        <v>45726</v>
      </c>
      <c r="E532" s="11">
        <f t="shared" si="32"/>
        <v>2025</v>
      </c>
      <c r="F532" s="11">
        <f t="shared" si="33"/>
        <v>3</v>
      </c>
      <c r="G532" s="11" t="str">
        <f t="shared" si="34"/>
        <v>202503</v>
      </c>
      <c r="H532" s="4">
        <v>45870</v>
      </c>
      <c r="I532" s="5">
        <v>144</v>
      </c>
      <c r="J532" s="5">
        <v>4.8</v>
      </c>
      <c r="K532" s="5">
        <f t="shared" si="35"/>
        <v>0</v>
      </c>
      <c r="L532" s="5">
        <v>0</v>
      </c>
      <c r="M532" s="5">
        <v>1</v>
      </c>
      <c r="N532" t="s">
        <v>9</v>
      </c>
      <c r="O532" s="8">
        <v>20.487671232876714</v>
      </c>
      <c r="P532" t="s">
        <v>32</v>
      </c>
      <c r="Q532">
        <v>1</v>
      </c>
      <c r="R532" s="2">
        <v>38248</v>
      </c>
    </row>
    <row r="533" spans="1:18" x14ac:dyDescent="0.3">
      <c r="A533" t="s">
        <v>7</v>
      </c>
      <c r="B533">
        <v>18288210</v>
      </c>
      <c r="C533" t="s">
        <v>8</v>
      </c>
      <c r="D533" s="4">
        <v>45726</v>
      </c>
      <c r="E533" s="11">
        <f t="shared" si="32"/>
        <v>2025</v>
      </c>
      <c r="F533" s="11">
        <f t="shared" si="33"/>
        <v>3</v>
      </c>
      <c r="G533" s="11" t="str">
        <f t="shared" si="34"/>
        <v>202503</v>
      </c>
      <c r="H533" s="4">
        <v>45930</v>
      </c>
      <c r="I533" s="5">
        <v>204</v>
      </c>
      <c r="J533" s="5">
        <v>6.8</v>
      </c>
      <c r="K533" s="5">
        <f t="shared" si="35"/>
        <v>0</v>
      </c>
      <c r="L533" s="5">
        <v>0</v>
      </c>
      <c r="M533" s="5">
        <v>0</v>
      </c>
      <c r="N533" t="s">
        <v>9</v>
      </c>
      <c r="O533" s="8">
        <v>48.493150684931507</v>
      </c>
      <c r="P533" t="s">
        <v>35</v>
      </c>
      <c r="Q533">
        <v>4</v>
      </c>
      <c r="R533" s="2">
        <v>28026</v>
      </c>
    </row>
    <row r="534" spans="1:18" x14ac:dyDescent="0.3">
      <c r="A534" t="s">
        <v>7</v>
      </c>
      <c r="B534">
        <v>18294702</v>
      </c>
      <c r="C534" t="s">
        <v>8</v>
      </c>
      <c r="D534" s="4">
        <v>45727</v>
      </c>
      <c r="E534" s="11">
        <f t="shared" si="32"/>
        <v>2025</v>
      </c>
      <c r="F534" s="11">
        <f t="shared" si="33"/>
        <v>3</v>
      </c>
      <c r="G534" s="11" t="str">
        <f t="shared" si="34"/>
        <v>202503</v>
      </c>
      <c r="H534" s="4">
        <v>45767</v>
      </c>
      <c r="I534" s="5">
        <v>40</v>
      </c>
      <c r="J534" s="5">
        <v>1.3333333333333333</v>
      </c>
      <c r="K534" s="5">
        <f t="shared" si="35"/>
        <v>0</v>
      </c>
      <c r="L534" s="5">
        <v>1</v>
      </c>
      <c r="M534" s="5">
        <v>1</v>
      </c>
      <c r="N534" t="s">
        <v>9</v>
      </c>
      <c r="O534" s="8">
        <v>19.416438356164385</v>
      </c>
      <c r="P534" t="s">
        <v>32</v>
      </c>
      <c r="Q534">
        <v>1</v>
      </c>
      <c r="R534" s="2">
        <v>38640</v>
      </c>
    </row>
    <row r="535" spans="1:18" x14ac:dyDescent="0.3">
      <c r="A535" t="s">
        <v>7</v>
      </c>
      <c r="B535">
        <v>18294918</v>
      </c>
      <c r="C535" t="s">
        <v>10</v>
      </c>
      <c r="D535" s="4">
        <v>45727</v>
      </c>
      <c r="E535" s="11">
        <f t="shared" si="32"/>
        <v>2025</v>
      </c>
      <c r="F535" s="11">
        <f t="shared" si="33"/>
        <v>3</v>
      </c>
      <c r="G535" s="11" t="str">
        <f t="shared" si="34"/>
        <v>202503</v>
      </c>
      <c r="I535" s="5">
        <v>9999</v>
      </c>
      <c r="J535" s="5">
        <v>333.3</v>
      </c>
      <c r="K535" s="5">
        <f t="shared" si="35"/>
        <v>0</v>
      </c>
      <c r="L535" s="5">
        <v>0</v>
      </c>
      <c r="M535" s="5">
        <v>0</v>
      </c>
      <c r="N535" t="s">
        <v>9</v>
      </c>
      <c r="O535" s="8">
        <v>19.580821917808219</v>
      </c>
      <c r="P535" t="s">
        <v>32</v>
      </c>
      <c r="Q535">
        <v>1</v>
      </c>
      <c r="R535" s="2">
        <v>38580</v>
      </c>
    </row>
    <row r="536" spans="1:18" x14ac:dyDescent="0.3">
      <c r="A536" t="s">
        <v>7</v>
      </c>
      <c r="B536">
        <v>18294934</v>
      </c>
      <c r="C536" t="s">
        <v>8</v>
      </c>
      <c r="D536" s="4">
        <v>45723</v>
      </c>
      <c r="E536" s="11">
        <f t="shared" si="32"/>
        <v>2025</v>
      </c>
      <c r="F536" s="11">
        <f t="shared" si="33"/>
        <v>3</v>
      </c>
      <c r="G536" s="11" t="str">
        <f t="shared" si="34"/>
        <v>202503</v>
      </c>
      <c r="I536" s="5">
        <v>9999</v>
      </c>
      <c r="J536" s="5">
        <v>333.3</v>
      </c>
      <c r="K536" s="5">
        <f t="shared" si="35"/>
        <v>0</v>
      </c>
      <c r="L536" s="5">
        <v>0</v>
      </c>
      <c r="M536" s="5">
        <v>0</v>
      </c>
      <c r="N536" t="s">
        <v>9</v>
      </c>
      <c r="O536" s="8">
        <v>21.728767123287671</v>
      </c>
      <c r="P536" t="s">
        <v>33</v>
      </c>
      <c r="Q536">
        <v>2</v>
      </c>
      <c r="R536" s="2">
        <v>37792</v>
      </c>
    </row>
    <row r="537" spans="1:18" x14ac:dyDescent="0.3">
      <c r="A537" t="s">
        <v>7</v>
      </c>
      <c r="B537">
        <v>18300438</v>
      </c>
      <c r="C537" t="s">
        <v>10</v>
      </c>
      <c r="D537" s="4">
        <v>45728</v>
      </c>
      <c r="E537" s="11">
        <f t="shared" si="32"/>
        <v>2025</v>
      </c>
      <c r="F537" s="11">
        <f t="shared" si="33"/>
        <v>3</v>
      </c>
      <c r="G537" s="11" t="str">
        <f t="shared" si="34"/>
        <v>202503</v>
      </c>
      <c r="I537" s="5">
        <v>9999</v>
      </c>
      <c r="J537" s="5">
        <v>333.3</v>
      </c>
      <c r="K537" s="5">
        <f t="shared" si="35"/>
        <v>0</v>
      </c>
      <c r="L537" s="5">
        <v>0</v>
      </c>
      <c r="M537" s="5">
        <v>0</v>
      </c>
      <c r="N537" t="s">
        <v>12</v>
      </c>
      <c r="O537" s="8">
        <v>19.895890410958906</v>
      </c>
      <c r="P537" t="s">
        <v>32</v>
      </c>
      <c r="Q537">
        <v>1</v>
      </c>
      <c r="R537" s="2">
        <v>38466</v>
      </c>
    </row>
    <row r="538" spans="1:18" x14ac:dyDescent="0.3">
      <c r="A538" t="s">
        <v>7</v>
      </c>
      <c r="B538">
        <v>18304653</v>
      </c>
      <c r="C538" t="s">
        <v>8</v>
      </c>
      <c r="D538" s="4">
        <v>45729</v>
      </c>
      <c r="E538" s="11">
        <f t="shared" si="32"/>
        <v>2025</v>
      </c>
      <c r="F538" s="11">
        <f t="shared" si="33"/>
        <v>3</v>
      </c>
      <c r="G538" s="11" t="str">
        <f t="shared" si="34"/>
        <v>202503</v>
      </c>
      <c r="H538" s="4">
        <v>46094</v>
      </c>
      <c r="I538" s="5">
        <v>365</v>
      </c>
      <c r="J538" s="5">
        <v>12.166666666666666</v>
      </c>
      <c r="K538" s="5">
        <f t="shared" si="35"/>
        <v>0</v>
      </c>
      <c r="L538" s="5">
        <v>0</v>
      </c>
      <c r="M538" s="5">
        <v>0</v>
      </c>
      <c r="N538" t="s">
        <v>9</v>
      </c>
      <c r="O538" s="8">
        <v>23.843835616438355</v>
      </c>
      <c r="P538" t="s">
        <v>33</v>
      </c>
      <c r="Q538">
        <v>2</v>
      </c>
      <c r="R538" s="2">
        <v>37026</v>
      </c>
    </row>
    <row r="539" spans="1:18" x14ac:dyDescent="0.3">
      <c r="A539" t="s">
        <v>7</v>
      </c>
      <c r="B539">
        <v>18304655</v>
      </c>
      <c r="C539" t="s">
        <v>8</v>
      </c>
      <c r="D539" s="4">
        <v>45729</v>
      </c>
      <c r="E539" s="11">
        <f t="shared" si="32"/>
        <v>2025</v>
      </c>
      <c r="F539" s="11">
        <f t="shared" si="33"/>
        <v>3</v>
      </c>
      <c r="G539" s="11" t="str">
        <f t="shared" si="34"/>
        <v>202503</v>
      </c>
      <c r="H539" s="4">
        <v>45879</v>
      </c>
      <c r="I539" s="5">
        <v>150</v>
      </c>
      <c r="J539" s="5">
        <v>5</v>
      </c>
      <c r="K539" s="5">
        <f t="shared" si="35"/>
        <v>0</v>
      </c>
      <c r="L539" s="5">
        <v>0</v>
      </c>
      <c r="M539" s="5">
        <v>1</v>
      </c>
      <c r="N539" t="s">
        <v>9</v>
      </c>
      <c r="O539" s="8">
        <v>37.334246575342469</v>
      </c>
      <c r="P539" t="s">
        <v>35</v>
      </c>
      <c r="Q539">
        <v>4</v>
      </c>
      <c r="R539" s="2">
        <v>32102</v>
      </c>
    </row>
    <row r="540" spans="1:18" x14ac:dyDescent="0.3">
      <c r="A540" t="s">
        <v>7</v>
      </c>
      <c r="B540">
        <v>18304656</v>
      </c>
      <c r="C540" t="s">
        <v>10</v>
      </c>
      <c r="D540" s="4">
        <v>45729</v>
      </c>
      <c r="E540" s="11">
        <f t="shared" si="32"/>
        <v>2025</v>
      </c>
      <c r="F540" s="11">
        <f t="shared" si="33"/>
        <v>3</v>
      </c>
      <c r="G540" s="11" t="str">
        <f t="shared" si="34"/>
        <v>202503</v>
      </c>
      <c r="H540" s="4">
        <v>45749</v>
      </c>
      <c r="I540" s="5">
        <v>20</v>
      </c>
      <c r="J540" s="5">
        <v>0.66666666666666663</v>
      </c>
      <c r="K540" s="5">
        <f t="shared" si="35"/>
        <v>1</v>
      </c>
      <c r="L540" s="5">
        <v>1</v>
      </c>
      <c r="M540" s="5">
        <v>1</v>
      </c>
      <c r="N540" t="s">
        <v>9</v>
      </c>
      <c r="O540" s="8">
        <v>19.115068493150684</v>
      </c>
      <c r="P540" t="s">
        <v>32</v>
      </c>
      <c r="Q540">
        <v>1</v>
      </c>
      <c r="R540" s="2">
        <v>38752</v>
      </c>
    </row>
    <row r="541" spans="1:18" x14ac:dyDescent="0.3">
      <c r="A541" t="s">
        <v>7</v>
      </c>
      <c r="B541">
        <v>18304658</v>
      </c>
      <c r="C541" t="s">
        <v>10</v>
      </c>
      <c r="D541" s="4">
        <v>45729</v>
      </c>
      <c r="E541" s="11">
        <f t="shared" si="32"/>
        <v>2025</v>
      </c>
      <c r="F541" s="11">
        <f t="shared" si="33"/>
        <v>3</v>
      </c>
      <c r="G541" s="11" t="str">
        <f t="shared" si="34"/>
        <v>202503</v>
      </c>
      <c r="I541" s="5">
        <v>9999</v>
      </c>
      <c r="J541" s="5">
        <v>333.3</v>
      </c>
      <c r="K541" s="5">
        <f t="shared" si="35"/>
        <v>0</v>
      </c>
      <c r="L541" s="5">
        <v>0</v>
      </c>
      <c r="M541" s="5">
        <v>0</v>
      </c>
      <c r="N541" t="s">
        <v>9</v>
      </c>
      <c r="O541" s="8">
        <v>18.049315068493151</v>
      </c>
      <c r="P541" t="s">
        <v>32</v>
      </c>
      <c r="Q541">
        <v>1</v>
      </c>
      <c r="R541" s="2">
        <v>39141</v>
      </c>
    </row>
    <row r="542" spans="1:18" x14ac:dyDescent="0.3">
      <c r="A542" t="s">
        <v>7</v>
      </c>
      <c r="B542">
        <v>18304659</v>
      </c>
      <c r="C542" t="s">
        <v>10</v>
      </c>
      <c r="D542" s="4">
        <v>45729</v>
      </c>
      <c r="E542" s="11">
        <f t="shared" si="32"/>
        <v>2025</v>
      </c>
      <c r="F542" s="11">
        <f t="shared" si="33"/>
        <v>3</v>
      </c>
      <c r="G542" s="11" t="str">
        <f t="shared" si="34"/>
        <v>202503</v>
      </c>
      <c r="H542" s="4">
        <v>45748</v>
      </c>
      <c r="I542" s="5">
        <v>19</v>
      </c>
      <c r="J542" s="5">
        <v>0.6333333333333333</v>
      </c>
      <c r="K542" s="5">
        <f t="shared" si="35"/>
        <v>1</v>
      </c>
      <c r="L542" s="5">
        <v>1</v>
      </c>
      <c r="M542" s="5">
        <v>1</v>
      </c>
      <c r="N542" t="s">
        <v>9</v>
      </c>
      <c r="O542" s="8">
        <v>18.682191780821917</v>
      </c>
      <c r="P542" t="s">
        <v>32</v>
      </c>
      <c r="Q542">
        <v>1</v>
      </c>
      <c r="R542" s="2">
        <v>38910</v>
      </c>
    </row>
    <row r="543" spans="1:18" x14ac:dyDescent="0.3">
      <c r="A543" t="s">
        <v>7</v>
      </c>
      <c r="B543">
        <v>18304661</v>
      </c>
      <c r="C543" t="s">
        <v>8</v>
      </c>
      <c r="D543" s="4">
        <v>45729</v>
      </c>
      <c r="E543" s="11">
        <f t="shared" si="32"/>
        <v>2025</v>
      </c>
      <c r="F543" s="11">
        <f t="shared" si="33"/>
        <v>3</v>
      </c>
      <c r="G543" s="11" t="str">
        <f t="shared" si="34"/>
        <v>202503</v>
      </c>
      <c r="H543" s="4">
        <v>45747</v>
      </c>
      <c r="I543" s="5">
        <v>18</v>
      </c>
      <c r="J543" s="5">
        <v>0.6</v>
      </c>
      <c r="K543" s="5">
        <f t="shared" si="35"/>
        <v>1</v>
      </c>
      <c r="L543" s="5">
        <v>1</v>
      </c>
      <c r="M543" s="5">
        <v>1</v>
      </c>
      <c r="N543" t="s">
        <v>9</v>
      </c>
      <c r="O543" s="8">
        <v>40.123287671232873</v>
      </c>
      <c r="P543" t="s">
        <v>35</v>
      </c>
      <c r="Q543">
        <v>4</v>
      </c>
      <c r="R543" s="2">
        <v>31084</v>
      </c>
    </row>
    <row r="544" spans="1:18" x14ac:dyDescent="0.3">
      <c r="A544" t="s">
        <v>7</v>
      </c>
      <c r="B544">
        <v>18304662</v>
      </c>
      <c r="C544" t="s">
        <v>10</v>
      </c>
      <c r="D544" s="4">
        <v>45729</v>
      </c>
      <c r="E544" s="11">
        <f t="shared" si="32"/>
        <v>2025</v>
      </c>
      <c r="F544" s="11">
        <f t="shared" si="33"/>
        <v>3</v>
      </c>
      <c r="G544" s="11" t="str">
        <f t="shared" si="34"/>
        <v>202503</v>
      </c>
      <c r="H544" s="4">
        <v>46022</v>
      </c>
      <c r="I544" s="5">
        <v>293</v>
      </c>
      <c r="J544" s="5">
        <v>9.7666666666666675</v>
      </c>
      <c r="K544" s="5">
        <f t="shared" si="35"/>
        <v>0</v>
      </c>
      <c r="L544" s="5">
        <v>0</v>
      </c>
      <c r="M544" s="5">
        <v>0</v>
      </c>
      <c r="N544" t="s">
        <v>9</v>
      </c>
      <c r="O544" s="8">
        <v>26.468493150684932</v>
      </c>
      <c r="P544" t="s">
        <v>34</v>
      </c>
      <c r="Q544">
        <v>3</v>
      </c>
      <c r="R544" s="2">
        <v>36068</v>
      </c>
    </row>
    <row r="545" spans="1:18" x14ac:dyDescent="0.3">
      <c r="A545" t="s">
        <v>7</v>
      </c>
      <c r="B545">
        <v>18304664</v>
      </c>
      <c r="C545" t="s">
        <v>10</v>
      </c>
      <c r="D545" s="4">
        <v>45729</v>
      </c>
      <c r="E545" s="11">
        <f t="shared" si="32"/>
        <v>2025</v>
      </c>
      <c r="F545" s="11">
        <f t="shared" si="33"/>
        <v>3</v>
      </c>
      <c r="G545" s="11" t="str">
        <f t="shared" si="34"/>
        <v>202503</v>
      </c>
      <c r="I545" s="5">
        <v>9999</v>
      </c>
      <c r="J545" s="5">
        <v>333.3</v>
      </c>
      <c r="K545" s="5">
        <f t="shared" si="35"/>
        <v>0</v>
      </c>
      <c r="L545" s="5">
        <v>0</v>
      </c>
      <c r="M545" s="5">
        <v>0</v>
      </c>
      <c r="N545" t="s">
        <v>9</v>
      </c>
      <c r="O545" s="8">
        <v>23.279452054794522</v>
      </c>
      <c r="P545" t="s">
        <v>33</v>
      </c>
      <c r="Q545">
        <v>2</v>
      </c>
      <c r="R545" s="2">
        <v>37232</v>
      </c>
    </row>
    <row r="546" spans="1:18" x14ac:dyDescent="0.3">
      <c r="A546" t="s">
        <v>7</v>
      </c>
      <c r="B546">
        <v>18304665</v>
      </c>
      <c r="C546" t="s">
        <v>8</v>
      </c>
      <c r="D546" s="4">
        <v>45729</v>
      </c>
      <c r="E546" s="11">
        <f t="shared" si="32"/>
        <v>2025</v>
      </c>
      <c r="F546" s="11">
        <f t="shared" si="33"/>
        <v>3</v>
      </c>
      <c r="G546" s="11" t="str">
        <f t="shared" si="34"/>
        <v>202503</v>
      </c>
      <c r="I546" s="5">
        <v>9999</v>
      </c>
      <c r="J546" s="5">
        <v>333.3</v>
      </c>
      <c r="K546" s="5">
        <f t="shared" si="35"/>
        <v>0</v>
      </c>
      <c r="L546" s="5">
        <v>0</v>
      </c>
      <c r="M546" s="5">
        <v>0</v>
      </c>
      <c r="N546" t="s">
        <v>9</v>
      </c>
      <c r="O546" s="8">
        <v>31.457534246575342</v>
      </c>
      <c r="P546" t="s">
        <v>35</v>
      </c>
      <c r="Q546">
        <v>4</v>
      </c>
      <c r="R546" s="2">
        <v>34247</v>
      </c>
    </row>
    <row r="547" spans="1:18" x14ac:dyDescent="0.3">
      <c r="A547" t="s">
        <v>7</v>
      </c>
      <c r="B547">
        <v>18304675</v>
      </c>
      <c r="C547" t="s">
        <v>10</v>
      </c>
      <c r="D547" s="4">
        <v>45729</v>
      </c>
      <c r="E547" s="11">
        <f t="shared" si="32"/>
        <v>2025</v>
      </c>
      <c r="F547" s="11">
        <f t="shared" si="33"/>
        <v>3</v>
      </c>
      <c r="G547" s="11" t="str">
        <f t="shared" si="34"/>
        <v>202503</v>
      </c>
      <c r="H547" s="4">
        <v>45809</v>
      </c>
      <c r="I547" s="5">
        <v>80</v>
      </c>
      <c r="J547" s="5">
        <v>2.6666666666666665</v>
      </c>
      <c r="K547" s="5">
        <f t="shared" si="35"/>
        <v>0</v>
      </c>
      <c r="L547" s="5">
        <v>1</v>
      </c>
      <c r="M547" s="5">
        <v>1</v>
      </c>
      <c r="N547" t="s">
        <v>9</v>
      </c>
      <c r="O547" s="8">
        <v>18.539726027397261</v>
      </c>
      <c r="P547" t="s">
        <v>32</v>
      </c>
      <c r="Q547">
        <v>1</v>
      </c>
      <c r="R547" s="2">
        <v>38962</v>
      </c>
    </row>
    <row r="548" spans="1:18" x14ac:dyDescent="0.3">
      <c r="A548" t="s">
        <v>7</v>
      </c>
      <c r="B548">
        <v>18304697</v>
      </c>
      <c r="C548" t="s">
        <v>10</v>
      </c>
      <c r="D548" s="4">
        <v>45729</v>
      </c>
      <c r="E548" s="11">
        <f t="shared" si="32"/>
        <v>2025</v>
      </c>
      <c r="F548" s="11">
        <f t="shared" si="33"/>
        <v>3</v>
      </c>
      <c r="G548" s="11" t="str">
        <f t="shared" si="34"/>
        <v>202503</v>
      </c>
      <c r="H548" s="4">
        <v>46081</v>
      </c>
      <c r="I548" s="5">
        <v>352</v>
      </c>
      <c r="J548" s="5">
        <v>11.733333333333333</v>
      </c>
      <c r="K548" s="5">
        <f t="shared" si="35"/>
        <v>0</v>
      </c>
      <c r="L548" s="5">
        <v>0</v>
      </c>
      <c r="M548" s="5">
        <v>0</v>
      </c>
      <c r="N548" t="s">
        <v>9</v>
      </c>
      <c r="O548" s="8">
        <v>20.542465753424658</v>
      </c>
      <c r="P548" t="s">
        <v>32</v>
      </c>
      <c r="Q548">
        <v>1</v>
      </c>
      <c r="R548" s="2">
        <v>38231</v>
      </c>
    </row>
    <row r="549" spans="1:18" x14ac:dyDescent="0.3">
      <c r="A549" t="s">
        <v>7</v>
      </c>
      <c r="B549">
        <v>18304698</v>
      </c>
      <c r="C549" t="s">
        <v>8</v>
      </c>
      <c r="D549" s="4">
        <v>45729</v>
      </c>
      <c r="E549" s="11">
        <f t="shared" si="32"/>
        <v>2025</v>
      </c>
      <c r="F549" s="11">
        <f t="shared" si="33"/>
        <v>3</v>
      </c>
      <c r="G549" s="11" t="str">
        <f t="shared" si="34"/>
        <v>202503</v>
      </c>
      <c r="H549" s="4">
        <v>45870</v>
      </c>
      <c r="I549" s="5">
        <v>141</v>
      </c>
      <c r="J549" s="5">
        <v>4.7</v>
      </c>
      <c r="K549" s="5">
        <f t="shared" si="35"/>
        <v>0</v>
      </c>
      <c r="L549" s="5">
        <v>0</v>
      </c>
      <c r="M549" s="5">
        <v>1</v>
      </c>
      <c r="N549" t="s">
        <v>9</v>
      </c>
      <c r="O549" s="8">
        <v>22.005479452054793</v>
      </c>
      <c r="P549" t="s">
        <v>33</v>
      </c>
      <c r="Q549">
        <v>2</v>
      </c>
      <c r="R549" s="2">
        <v>37697</v>
      </c>
    </row>
    <row r="550" spans="1:18" x14ac:dyDescent="0.3">
      <c r="A550" t="s">
        <v>7</v>
      </c>
      <c r="B550">
        <v>18304699</v>
      </c>
      <c r="C550" t="s">
        <v>10</v>
      </c>
      <c r="D550" s="4">
        <v>45729</v>
      </c>
      <c r="E550" s="11">
        <f t="shared" si="32"/>
        <v>2025</v>
      </c>
      <c r="F550" s="11">
        <f t="shared" si="33"/>
        <v>3</v>
      </c>
      <c r="G550" s="11" t="str">
        <f t="shared" si="34"/>
        <v>202503</v>
      </c>
      <c r="H550" s="4">
        <v>45809</v>
      </c>
      <c r="I550" s="5">
        <v>80</v>
      </c>
      <c r="J550" s="5">
        <v>2.6666666666666665</v>
      </c>
      <c r="K550" s="5">
        <f t="shared" si="35"/>
        <v>0</v>
      </c>
      <c r="L550" s="5">
        <v>1</v>
      </c>
      <c r="M550" s="5">
        <v>1</v>
      </c>
      <c r="N550" t="s">
        <v>9</v>
      </c>
      <c r="O550" s="8">
        <v>27.778082191780822</v>
      </c>
      <c r="P550" t="s">
        <v>34</v>
      </c>
      <c r="Q550">
        <v>3</v>
      </c>
      <c r="R550" s="2">
        <v>35590</v>
      </c>
    </row>
    <row r="551" spans="1:18" x14ac:dyDescent="0.3">
      <c r="A551" t="s">
        <v>7</v>
      </c>
      <c r="B551">
        <v>18304707</v>
      </c>
      <c r="C551" t="s">
        <v>8</v>
      </c>
      <c r="D551" s="4">
        <v>45729</v>
      </c>
      <c r="E551" s="11">
        <f t="shared" si="32"/>
        <v>2025</v>
      </c>
      <c r="F551" s="11">
        <f t="shared" si="33"/>
        <v>3</v>
      </c>
      <c r="G551" s="11" t="str">
        <f t="shared" si="34"/>
        <v>202503</v>
      </c>
      <c r="H551" s="4">
        <v>45755</v>
      </c>
      <c r="I551" s="5">
        <v>26</v>
      </c>
      <c r="J551" s="5">
        <v>0.8666666666666667</v>
      </c>
      <c r="K551" s="5">
        <f t="shared" si="35"/>
        <v>1</v>
      </c>
      <c r="L551" s="5">
        <v>1</v>
      </c>
      <c r="M551" s="5">
        <v>1</v>
      </c>
      <c r="N551" t="s">
        <v>9</v>
      </c>
      <c r="O551" s="8">
        <v>25.230136986301371</v>
      </c>
      <c r="P551" t="s">
        <v>33</v>
      </c>
      <c r="Q551">
        <v>2</v>
      </c>
      <c r="R551" s="2">
        <v>36520</v>
      </c>
    </row>
    <row r="552" spans="1:18" x14ac:dyDescent="0.3">
      <c r="A552" t="s">
        <v>7</v>
      </c>
      <c r="B552">
        <v>18304717</v>
      </c>
      <c r="C552" t="s">
        <v>8</v>
      </c>
      <c r="D552" s="4">
        <v>45729</v>
      </c>
      <c r="E552" s="11">
        <f t="shared" si="32"/>
        <v>2025</v>
      </c>
      <c r="F552" s="11">
        <f t="shared" si="33"/>
        <v>3</v>
      </c>
      <c r="G552" s="11" t="str">
        <f t="shared" si="34"/>
        <v>202503</v>
      </c>
      <c r="H552" s="4">
        <v>45783</v>
      </c>
      <c r="I552" s="5">
        <v>54</v>
      </c>
      <c r="J552" s="5">
        <v>1.8</v>
      </c>
      <c r="K552" s="5">
        <f t="shared" si="35"/>
        <v>0</v>
      </c>
      <c r="L552" s="5">
        <v>1</v>
      </c>
      <c r="M552" s="5">
        <v>1</v>
      </c>
      <c r="N552" t="s">
        <v>9</v>
      </c>
      <c r="O552" s="8">
        <v>19.789041095890411</v>
      </c>
      <c r="P552" t="s">
        <v>32</v>
      </c>
      <c r="Q552">
        <v>1</v>
      </c>
      <c r="R552" s="2">
        <v>38506</v>
      </c>
    </row>
    <row r="553" spans="1:18" x14ac:dyDescent="0.3">
      <c r="A553" t="s">
        <v>7</v>
      </c>
      <c r="B553">
        <v>18304909</v>
      </c>
      <c r="C553" t="s">
        <v>8</v>
      </c>
      <c r="D553" s="4">
        <v>45730</v>
      </c>
      <c r="E553" s="11">
        <f t="shared" si="32"/>
        <v>2025</v>
      </c>
      <c r="F553" s="11">
        <f t="shared" si="33"/>
        <v>3</v>
      </c>
      <c r="G553" s="11" t="str">
        <f t="shared" si="34"/>
        <v>202503</v>
      </c>
      <c r="H553" s="4">
        <v>45815</v>
      </c>
      <c r="I553" s="5">
        <v>85</v>
      </c>
      <c r="J553" s="5">
        <v>2.8333333333333335</v>
      </c>
      <c r="K553" s="5">
        <f t="shared" si="35"/>
        <v>0</v>
      </c>
      <c r="L553" s="5">
        <v>1</v>
      </c>
      <c r="M553" s="5">
        <v>1</v>
      </c>
      <c r="N553" t="s">
        <v>12</v>
      </c>
      <c r="O553" s="8">
        <v>21.345205479452055</v>
      </c>
      <c r="P553" t="s">
        <v>33</v>
      </c>
      <c r="Q553">
        <v>2</v>
      </c>
      <c r="R553" s="2">
        <v>37939</v>
      </c>
    </row>
    <row r="554" spans="1:18" x14ac:dyDescent="0.3">
      <c r="A554" t="s">
        <v>7</v>
      </c>
      <c r="B554">
        <v>18304917</v>
      </c>
      <c r="C554" t="s">
        <v>8</v>
      </c>
      <c r="D554" s="4">
        <v>45730</v>
      </c>
      <c r="E554" s="11">
        <f t="shared" si="32"/>
        <v>2025</v>
      </c>
      <c r="F554" s="11">
        <f t="shared" si="33"/>
        <v>3</v>
      </c>
      <c r="G554" s="11" t="str">
        <f t="shared" si="34"/>
        <v>202503</v>
      </c>
      <c r="I554" s="5">
        <v>9999</v>
      </c>
      <c r="J554" s="5">
        <v>333.3</v>
      </c>
      <c r="K554" s="5">
        <f t="shared" si="35"/>
        <v>0</v>
      </c>
      <c r="L554" s="5">
        <v>0</v>
      </c>
      <c r="M554" s="5">
        <v>0</v>
      </c>
      <c r="N554" t="s">
        <v>9</v>
      </c>
      <c r="O554" s="8">
        <v>21.19178082191781</v>
      </c>
      <c r="P554" t="s">
        <v>33</v>
      </c>
      <c r="Q554">
        <v>2</v>
      </c>
      <c r="R554" s="2">
        <v>37995</v>
      </c>
    </row>
    <row r="555" spans="1:18" x14ac:dyDescent="0.3">
      <c r="A555" t="s">
        <v>7</v>
      </c>
      <c r="B555">
        <v>18304929</v>
      </c>
      <c r="C555" t="s">
        <v>10</v>
      </c>
      <c r="D555" s="4">
        <v>45730</v>
      </c>
      <c r="E555" s="11">
        <f t="shared" si="32"/>
        <v>2025</v>
      </c>
      <c r="F555" s="11">
        <f t="shared" si="33"/>
        <v>3</v>
      </c>
      <c r="G555" s="11" t="str">
        <f t="shared" si="34"/>
        <v>202503</v>
      </c>
      <c r="H555" s="4">
        <v>45915</v>
      </c>
      <c r="I555" s="5">
        <v>185</v>
      </c>
      <c r="J555" s="5">
        <v>6.166666666666667</v>
      </c>
      <c r="K555" s="5">
        <f t="shared" si="35"/>
        <v>0</v>
      </c>
      <c r="L555" s="5">
        <v>0</v>
      </c>
      <c r="M555" s="5">
        <v>0</v>
      </c>
      <c r="N555" t="s">
        <v>9</v>
      </c>
      <c r="O555" s="8">
        <v>19.747945205479454</v>
      </c>
      <c r="P555" t="s">
        <v>32</v>
      </c>
      <c r="Q555">
        <v>1</v>
      </c>
      <c r="R555" s="2">
        <v>38522</v>
      </c>
    </row>
    <row r="556" spans="1:18" x14ac:dyDescent="0.3">
      <c r="A556" t="s">
        <v>7</v>
      </c>
      <c r="B556">
        <v>18304931</v>
      </c>
      <c r="C556" t="s">
        <v>10</v>
      </c>
      <c r="D556" s="4">
        <v>45730</v>
      </c>
      <c r="E556" s="11">
        <f t="shared" si="32"/>
        <v>2025</v>
      </c>
      <c r="F556" s="11">
        <f t="shared" si="33"/>
        <v>3</v>
      </c>
      <c r="G556" s="11" t="str">
        <f t="shared" si="34"/>
        <v>202503</v>
      </c>
      <c r="I556" s="5">
        <v>9999</v>
      </c>
      <c r="J556" s="5">
        <v>333.3</v>
      </c>
      <c r="K556" s="5">
        <f t="shared" si="35"/>
        <v>0</v>
      </c>
      <c r="L556" s="5">
        <v>0</v>
      </c>
      <c r="M556" s="5">
        <v>0</v>
      </c>
      <c r="N556" t="s">
        <v>12</v>
      </c>
      <c r="O556" s="8">
        <v>19.202739726027396</v>
      </c>
      <c r="P556" t="s">
        <v>32</v>
      </c>
      <c r="Q556">
        <v>1</v>
      </c>
      <c r="R556" s="2">
        <v>38721</v>
      </c>
    </row>
    <row r="557" spans="1:18" x14ac:dyDescent="0.3">
      <c r="A557" t="s">
        <v>7</v>
      </c>
      <c r="B557">
        <v>18304940</v>
      </c>
      <c r="C557" t="s">
        <v>8</v>
      </c>
      <c r="D557" s="4">
        <v>45730</v>
      </c>
      <c r="E557" s="11">
        <f t="shared" si="32"/>
        <v>2025</v>
      </c>
      <c r="F557" s="11">
        <f t="shared" si="33"/>
        <v>3</v>
      </c>
      <c r="G557" s="11" t="str">
        <f t="shared" si="34"/>
        <v>202503</v>
      </c>
      <c r="H557" s="4">
        <v>45961</v>
      </c>
      <c r="I557" s="5">
        <v>231</v>
      </c>
      <c r="J557" s="5">
        <v>7.7</v>
      </c>
      <c r="K557" s="5">
        <f t="shared" si="35"/>
        <v>0</v>
      </c>
      <c r="L557" s="5">
        <v>0</v>
      </c>
      <c r="M557" s="5">
        <v>0</v>
      </c>
      <c r="N557" t="s">
        <v>9</v>
      </c>
      <c r="O557" s="8">
        <v>20.742465753424657</v>
      </c>
      <c r="P557" t="s">
        <v>32</v>
      </c>
      <c r="Q557">
        <v>1</v>
      </c>
      <c r="R557" s="2">
        <v>38159</v>
      </c>
    </row>
    <row r="558" spans="1:18" x14ac:dyDescent="0.3">
      <c r="A558" t="s">
        <v>7</v>
      </c>
      <c r="B558">
        <v>18304942</v>
      </c>
      <c r="C558" t="s">
        <v>10</v>
      </c>
      <c r="D558" s="4">
        <v>45730</v>
      </c>
      <c r="E558" s="11">
        <f t="shared" si="32"/>
        <v>2025</v>
      </c>
      <c r="F558" s="11">
        <f t="shared" si="33"/>
        <v>3</v>
      </c>
      <c r="G558" s="11" t="str">
        <f t="shared" si="34"/>
        <v>202503</v>
      </c>
      <c r="H558" s="4">
        <v>45838</v>
      </c>
      <c r="I558" s="5">
        <v>108</v>
      </c>
      <c r="J558" s="5">
        <v>3.6</v>
      </c>
      <c r="K558" s="5">
        <f t="shared" si="35"/>
        <v>0</v>
      </c>
      <c r="L558" s="5">
        <v>0</v>
      </c>
      <c r="M558" s="5">
        <v>1</v>
      </c>
      <c r="N558" t="s">
        <v>9</v>
      </c>
      <c r="O558" s="8">
        <v>19.764383561643836</v>
      </c>
      <c r="P558" t="s">
        <v>32</v>
      </c>
      <c r="Q558">
        <v>1</v>
      </c>
      <c r="R558" s="2">
        <v>38516</v>
      </c>
    </row>
    <row r="559" spans="1:18" x14ac:dyDescent="0.3">
      <c r="A559" t="s">
        <v>7</v>
      </c>
      <c r="B559">
        <v>18305017</v>
      </c>
      <c r="C559" t="s">
        <v>10</v>
      </c>
      <c r="D559" s="4">
        <v>45731</v>
      </c>
      <c r="E559" s="11">
        <f t="shared" si="32"/>
        <v>2025</v>
      </c>
      <c r="F559" s="11">
        <f t="shared" si="33"/>
        <v>3</v>
      </c>
      <c r="G559" s="11" t="str">
        <f t="shared" si="34"/>
        <v>202503</v>
      </c>
      <c r="H559" s="4">
        <v>45884</v>
      </c>
      <c r="I559" s="5">
        <v>153</v>
      </c>
      <c r="J559" s="5">
        <v>5.0999999999999996</v>
      </c>
      <c r="K559" s="5">
        <f t="shared" si="35"/>
        <v>0</v>
      </c>
      <c r="L559" s="5">
        <v>0</v>
      </c>
      <c r="M559" s="5">
        <v>1</v>
      </c>
      <c r="N559" t="s">
        <v>9</v>
      </c>
      <c r="O559" s="8">
        <v>21.065753424657533</v>
      </c>
      <c r="P559" t="s">
        <v>33</v>
      </c>
      <c r="Q559">
        <v>2</v>
      </c>
      <c r="R559" s="2">
        <v>38042</v>
      </c>
    </row>
    <row r="560" spans="1:18" x14ac:dyDescent="0.3">
      <c r="A560" t="s">
        <v>7</v>
      </c>
      <c r="B560">
        <v>18305018</v>
      </c>
      <c r="C560" t="s">
        <v>8</v>
      </c>
      <c r="D560" s="4">
        <v>45731</v>
      </c>
      <c r="E560" s="11">
        <f t="shared" si="32"/>
        <v>2025</v>
      </c>
      <c r="F560" s="11">
        <f t="shared" si="33"/>
        <v>3</v>
      </c>
      <c r="G560" s="11" t="str">
        <f t="shared" si="34"/>
        <v>202503</v>
      </c>
      <c r="I560" s="5">
        <v>9999</v>
      </c>
      <c r="J560" s="5">
        <v>333.3</v>
      </c>
      <c r="K560" s="5">
        <f t="shared" si="35"/>
        <v>0</v>
      </c>
      <c r="L560" s="5">
        <v>0</v>
      </c>
      <c r="M560" s="5">
        <v>0</v>
      </c>
      <c r="N560" t="s">
        <v>9</v>
      </c>
      <c r="O560" s="8">
        <v>20.246575342465754</v>
      </c>
      <c r="P560" t="s">
        <v>32</v>
      </c>
      <c r="Q560">
        <v>1</v>
      </c>
      <c r="R560" s="2">
        <v>38341</v>
      </c>
    </row>
    <row r="561" spans="1:18" x14ac:dyDescent="0.3">
      <c r="A561" t="s">
        <v>7</v>
      </c>
      <c r="B561">
        <v>18305019</v>
      </c>
      <c r="C561" t="s">
        <v>8</v>
      </c>
      <c r="D561" s="4">
        <v>45731</v>
      </c>
      <c r="E561" s="11">
        <f t="shared" si="32"/>
        <v>2025</v>
      </c>
      <c r="F561" s="11">
        <f t="shared" si="33"/>
        <v>3</v>
      </c>
      <c r="G561" s="11" t="str">
        <f t="shared" si="34"/>
        <v>202503</v>
      </c>
      <c r="I561" s="5">
        <v>9999</v>
      </c>
      <c r="J561" s="5">
        <v>333.3</v>
      </c>
      <c r="K561" s="5">
        <f t="shared" si="35"/>
        <v>0</v>
      </c>
      <c r="L561" s="5">
        <v>0</v>
      </c>
      <c r="M561" s="5">
        <v>0</v>
      </c>
      <c r="N561" t="s">
        <v>9</v>
      </c>
      <c r="O561" s="8">
        <v>22.975342465753425</v>
      </c>
      <c r="P561" t="s">
        <v>33</v>
      </c>
      <c r="Q561">
        <v>2</v>
      </c>
      <c r="R561" s="2">
        <v>37345</v>
      </c>
    </row>
    <row r="562" spans="1:18" x14ac:dyDescent="0.3">
      <c r="A562" t="s">
        <v>7</v>
      </c>
      <c r="B562">
        <v>18305020</v>
      </c>
      <c r="C562" t="s">
        <v>10</v>
      </c>
      <c r="D562" s="4">
        <v>45731</v>
      </c>
      <c r="E562" s="11">
        <f t="shared" si="32"/>
        <v>2025</v>
      </c>
      <c r="F562" s="11">
        <f t="shared" si="33"/>
        <v>3</v>
      </c>
      <c r="G562" s="11" t="str">
        <f t="shared" si="34"/>
        <v>202503</v>
      </c>
      <c r="H562" s="4">
        <v>45808</v>
      </c>
      <c r="I562" s="5">
        <v>77</v>
      </c>
      <c r="J562" s="5">
        <v>2.5666666666666669</v>
      </c>
      <c r="K562" s="5">
        <f t="shared" si="35"/>
        <v>0</v>
      </c>
      <c r="L562" s="5">
        <v>1</v>
      </c>
      <c r="M562" s="5">
        <v>1</v>
      </c>
      <c r="N562" t="s">
        <v>9</v>
      </c>
      <c r="O562" s="8">
        <v>20.876712328767123</v>
      </c>
      <c r="P562" t="s">
        <v>32</v>
      </c>
      <c r="Q562">
        <v>1</v>
      </c>
      <c r="R562" s="2">
        <v>38111</v>
      </c>
    </row>
    <row r="563" spans="1:18" x14ac:dyDescent="0.3">
      <c r="A563" t="s">
        <v>7</v>
      </c>
      <c r="B563">
        <v>18305021</v>
      </c>
      <c r="C563" t="s">
        <v>10</v>
      </c>
      <c r="D563" s="4">
        <v>45731</v>
      </c>
      <c r="E563" s="11">
        <f t="shared" si="32"/>
        <v>2025</v>
      </c>
      <c r="F563" s="11">
        <f t="shared" si="33"/>
        <v>3</v>
      </c>
      <c r="G563" s="11" t="str">
        <f t="shared" si="34"/>
        <v>202503</v>
      </c>
      <c r="H563" s="4">
        <v>45749</v>
      </c>
      <c r="I563" s="5">
        <v>18</v>
      </c>
      <c r="J563" s="5">
        <v>0.6</v>
      </c>
      <c r="K563" s="5">
        <f t="shared" si="35"/>
        <v>1</v>
      </c>
      <c r="L563" s="5">
        <v>1</v>
      </c>
      <c r="M563" s="5">
        <v>1</v>
      </c>
      <c r="N563" t="s">
        <v>9</v>
      </c>
      <c r="O563" s="8">
        <v>21.616438356164384</v>
      </c>
      <c r="P563" t="s">
        <v>33</v>
      </c>
      <c r="Q563">
        <v>2</v>
      </c>
      <c r="R563" s="2">
        <v>37841</v>
      </c>
    </row>
    <row r="564" spans="1:18" x14ac:dyDescent="0.3">
      <c r="A564" t="s">
        <v>7</v>
      </c>
      <c r="B564">
        <v>18305022</v>
      </c>
      <c r="C564" t="s">
        <v>10</v>
      </c>
      <c r="D564" s="4">
        <v>45731</v>
      </c>
      <c r="E564" s="11">
        <f t="shared" si="32"/>
        <v>2025</v>
      </c>
      <c r="F564" s="11">
        <f t="shared" si="33"/>
        <v>3</v>
      </c>
      <c r="G564" s="11" t="str">
        <f t="shared" si="34"/>
        <v>202503</v>
      </c>
      <c r="H564" s="4">
        <v>45973</v>
      </c>
      <c r="I564" s="5">
        <v>242</v>
      </c>
      <c r="J564" s="5">
        <v>8.0666666666666664</v>
      </c>
      <c r="K564" s="5">
        <f t="shared" si="35"/>
        <v>0</v>
      </c>
      <c r="L564" s="5">
        <v>0</v>
      </c>
      <c r="M564" s="5">
        <v>0</v>
      </c>
      <c r="N564" t="s">
        <v>9</v>
      </c>
      <c r="O564" s="8">
        <v>20.361643835616437</v>
      </c>
      <c r="P564" t="s">
        <v>32</v>
      </c>
      <c r="Q564">
        <v>1</v>
      </c>
      <c r="R564" s="2">
        <v>38299</v>
      </c>
    </row>
    <row r="565" spans="1:18" x14ac:dyDescent="0.3">
      <c r="A565" t="s">
        <v>7</v>
      </c>
      <c r="B565">
        <v>18305035</v>
      </c>
      <c r="C565" t="s">
        <v>8</v>
      </c>
      <c r="D565" s="4">
        <v>45731</v>
      </c>
      <c r="E565" s="11">
        <f t="shared" si="32"/>
        <v>2025</v>
      </c>
      <c r="F565" s="11">
        <f t="shared" si="33"/>
        <v>3</v>
      </c>
      <c r="G565" s="11" t="str">
        <f t="shared" si="34"/>
        <v>202503</v>
      </c>
      <c r="H565" s="4">
        <v>45747</v>
      </c>
      <c r="I565" s="5">
        <v>16</v>
      </c>
      <c r="J565" s="5">
        <v>0.53333333333333333</v>
      </c>
      <c r="K565" s="5">
        <f t="shared" si="35"/>
        <v>1</v>
      </c>
      <c r="L565" s="5">
        <v>1</v>
      </c>
      <c r="M565" s="5">
        <v>1</v>
      </c>
      <c r="N565" t="s">
        <v>9</v>
      </c>
      <c r="O565" s="8">
        <v>20.986301369863014</v>
      </c>
      <c r="P565" t="s">
        <v>32</v>
      </c>
      <c r="Q565">
        <v>1</v>
      </c>
      <c r="R565" s="2">
        <v>38071</v>
      </c>
    </row>
    <row r="566" spans="1:18" x14ac:dyDescent="0.3">
      <c r="A566" t="s">
        <v>7</v>
      </c>
      <c r="B566">
        <v>18307177</v>
      </c>
      <c r="C566" t="s">
        <v>8</v>
      </c>
      <c r="D566" s="4">
        <v>45733</v>
      </c>
      <c r="E566" s="11">
        <f t="shared" si="32"/>
        <v>2025</v>
      </c>
      <c r="F566" s="11">
        <f t="shared" si="33"/>
        <v>3</v>
      </c>
      <c r="G566" s="11" t="str">
        <f t="shared" si="34"/>
        <v>202503</v>
      </c>
      <c r="I566" s="5">
        <v>9999</v>
      </c>
      <c r="J566" s="5">
        <v>333.3</v>
      </c>
      <c r="K566" s="5">
        <f t="shared" si="35"/>
        <v>0</v>
      </c>
      <c r="L566" s="5">
        <v>0</v>
      </c>
      <c r="M566" s="5">
        <v>0</v>
      </c>
      <c r="N566" t="s">
        <v>12</v>
      </c>
      <c r="O566" s="8">
        <v>35.213698630136989</v>
      </c>
      <c r="P566" t="s">
        <v>35</v>
      </c>
      <c r="Q566">
        <v>4</v>
      </c>
      <c r="R566" s="2">
        <v>32880</v>
      </c>
    </row>
    <row r="567" spans="1:18" x14ac:dyDescent="0.3">
      <c r="A567" t="s">
        <v>7</v>
      </c>
      <c r="B567">
        <v>18308840</v>
      </c>
      <c r="C567" t="s">
        <v>8</v>
      </c>
      <c r="D567" s="4">
        <v>45717</v>
      </c>
      <c r="E567" s="11">
        <f t="shared" si="32"/>
        <v>2025</v>
      </c>
      <c r="F567" s="11">
        <f t="shared" si="33"/>
        <v>3</v>
      </c>
      <c r="G567" s="11" t="str">
        <f t="shared" si="34"/>
        <v>202503</v>
      </c>
      <c r="H567" s="4">
        <v>45998</v>
      </c>
      <c r="I567" s="5">
        <v>281</v>
      </c>
      <c r="J567" s="5">
        <v>9.3666666666666671</v>
      </c>
      <c r="K567" s="5">
        <f t="shared" si="35"/>
        <v>0</v>
      </c>
      <c r="L567" s="5">
        <v>0</v>
      </c>
      <c r="M567" s="5">
        <v>0</v>
      </c>
      <c r="N567" t="s">
        <v>9</v>
      </c>
      <c r="O567" s="8">
        <v>21.356164383561644</v>
      </c>
      <c r="P567" t="s">
        <v>33</v>
      </c>
      <c r="Q567">
        <v>2</v>
      </c>
      <c r="R567" s="2">
        <v>37922</v>
      </c>
    </row>
    <row r="568" spans="1:18" x14ac:dyDescent="0.3">
      <c r="A568" t="s">
        <v>7</v>
      </c>
      <c r="B568">
        <v>18316672</v>
      </c>
      <c r="C568" t="s">
        <v>10</v>
      </c>
      <c r="D568" s="4">
        <v>45734</v>
      </c>
      <c r="E568" s="11">
        <f t="shared" si="32"/>
        <v>2025</v>
      </c>
      <c r="F568" s="11">
        <f t="shared" si="33"/>
        <v>3</v>
      </c>
      <c r="G568" s="11" t="str">
        <f t="shared" si="34"/>
        <v>202503</v>
      </c>
      <c r="H568" s="4">
        <v>45869</v>
      </c>
      <c r="I568" s="5">
        <v>135</v>
      </c>
      <c r="J568" s="5">
        <v>4.5</v>
      </c>
      <c r="K568" s="5">
        <f t="shared" si="35"/>
        <v>0</v>
      </c>
      <c r="L568" s="5">
        <v>0</v>
      </c>
      <c r="M568" s="5">
        <v>1</v>
      </c>
      <c r="N568" t="s">
        <v>9</v>
      </c>
      <c r="O568" s="8">
        <v>38.863013698630134</v>
      </c>
      <c r="P568" t="s">
        <v>35</v>
      </c>
      <c r="Q568">
        <v>4</v>
      </c>
      <c r="R568" s="2">
        <v>31549</v>
      </c>
    </row>
    <row r="569" spans="1:18" x14ac:dyDescent="0.3">
      <c r="A569" t="s">
        <v>7</v>
      </c>
      <c r="B569">
        <v>18316676</v>
      </c>
      <c r="C569" t="s">
        <v>10</v>
      </c>
      <c r="D569" s="4">
        <v>45734</v>
      </c>
      <c r="E569" s="11">
        <f t="shared" si="32"/>
        <v>2025</v>
      </c>
      <c r="F569" s="11">
        <f t="shared" si="33"/>
        <v>3</v>
      </c>
      <c r="G569" s="11" t="str">
        <f t="shared" si="34"/>
        <v>202503</v>
      </c>
      <c r="I569" s="5">
        <v>9999</v>
      </c>
      <c r="J569" s="5">
        <v>333.3</v>
      </c>
      <c r="K569" s="5">
        <f t="shared" si="35"/>
        <v>0</v>
      </c>
      <c r="L569" s="5">
        <v>0</v>
      </c>
      <c r="M569" s="5">
        <v>0</v>
      </c>
      <c r="N569" t="s">
        <v>9</v>
      </c>
      <c r="O569" s="8">
        <v>21.616438356164384</v>
      </c>
      <c r="P569" t="s">
        <v>33</v>
      </c>
      <c r="Q569">
        <v>2</v>
      </c>
      <c r="R569" s="2">
        <v>37844</v>
      </c>
    </row>
    <row r="570" spans="1:18" x14ac:dyDescent="0.3">
      <c r="A570" t="s">
        <v>7</v>
      </c>
      <c r="B570">
        <v>18316677</v>
      </c>
      <c r="C570" t="s">
        <v>10</v>
      </c>
      <c r="D570" s="4">
        <v>45734</v>
      </c>
      <c r="E570" s="11">
        <f t="shared" si="32"/>
        <v>2025</v>
      </c>
      <c r="F570" s="11">
        <f t="shared" si="33"/>
        <v>3</v>
      </c>
      <c r="G570" s="11" t="str">
        <f t="shared" si="34"/>
        <v>202503</v>
      </c>
      <c r="H570" s="4">
        <v>45762</v>
      </c>
      <c r="I570" s="5">
        <v>28</v>
      </c>
      <c r="J570" s="5">
        <v>0.93333333333333335</v>
      </c>
      <c r="K570" s="5">
        <f t="shared" si="35"/>
        <v>1</v>
      </c>
      <c r="L570" s="5">
        <v>1</v>
      </c>
      <c r="M570" s="5">
        <v>1</v>
      </c>
      <c r="N570" t="s">
        <v>12</v>
      </c>
      <c r="O570" s="8">
        <v>18.901369863013699</v>
      </c>
      <c r="P570" t="s">
        <v>32</v>
      </c>
      <c r="Q570">
        <v>1</v>
      </c>
      <c r="R570" s="2">
        <v>38835</v>
      </c>
    </row>
    <row r="571" spans="1:18" x14ac:dyDescent="0.3">
      <c r="A571" t="s">
        <v>7</v>
      </c>
      <c r="B571">
        <v>18316679</v>
      </c>
      <c r="C571" t="s">
        <v>10</v>
      </c>
      <c r="D571" s="4">
        <v>45734</v>
      </c>
      <c r="E571" s="11">
        <f t="shared" si="32"/>
        <v>2025</v>
      </c>
      <c r="F571" s="11">
        <f t="shared" si="33"/>
        <v>3</v>
      </c>
      <c r="G571" s="11" t="str">
        <f t="shared" si="34"/>
        <v>202503</v>
      </c>
      <c r="H571" s="4">
        <v>46081</v>
      </c>
      <c r="I571" s="5">
        <v>347</v>
      </c>
      <c r="J571" s="5">
        <v>11.566666666666666</v>
      </c>
      <c r="K571" s="5">
        <f t="shared" si="35"/>
        <v>0</v>
      </c>
      <c r="L571" s="5">
        <v>0</v>
      </c>
      <c r="M571" s="5">
        <v>0</v>
      </c>
      <c r="N571" t="s">
        <v>9</v>
      </c>
      <c r="O571" s="8">
        <v>19.019178082191782</v>
      </c>
      <c r="P571" t="s">
        <v>32</v>
      </c>
      <c r="Q571">
        <v>1</v>
      </c>
      <c r="R571" s="2">
        <v>38792</v>
      </c>
    </row>
    <row r="572" spans="1:18" x14ac:dyDescent="0.3">
      <c r="A572" t="s">
        <v>7</v>
      </c>
      <c r="B572">
        <v>18316685</v>
      </c>
      <c r="C572" t="s">
        <v>8</v>
      </c>
      <c r="D572" s="4">
        <v>45734</v>
      </c>
      <c r="E572" s="11">
        <f t="shared" si="32"/>
        <v>2025</v>
      </c>
      <c r="F572" s="11">
        <f t="shared" si="33"/>
        <v>3</v>
      </c>
      <c r="G572" s="11" t="str">
        <f t="shared" si="34"/>
        <v>202503</v>
      </c>
      <c r="H572" s="4">
        <v>45853</v>
      </c>
      <c r="I572" s="5">
        <v>119</v>
      </c>
      <c r="J572" s="5">
        <v>3.9666666666666668</v>
      </c>
      <c r="K572" s="5">
        <f t="shared" si="35"/>
        <v>0</v>
      </c>
      <c r="L572" s="5">
        <v>0</v>
      </c>
      <c r="M572" s="5">
        <v>1</v>
      </c>
      <c r="N572" t="s">
        <v>9</v>
      </c>
      <c r="O572" s="8">
        <v>19.589041095890412</v>
      </c>
      <c r="P572" t="s">
        <v>32</v>
      </c>
      <c r="Q572">
        <v>1</v>
      </c>
      <c r="R572" s="2">
        <v>38584</v>
      </c>
    </row>
    <row r="573" spans="1:18" x14ac:dyDescent="0.3">
      <c r="A573" t="s">
        <v>7</v>
      </c>
      <c r="B573">
        <v>18316687</v>
      </c>
      <c r="C573" t="s">
        <v>8</v>
      </c>
      <c r="D573" s="4">
        <v>45734</v>
      </c>
      <c r="E573" s="11">
        <f t="shared" si="32"/>
        <v>2025</v>
      </c>
      <c r="F573" s="11">
        <f t="shared" si="33"/>
        <v>3</v>
      </c>
      <c r="G573" s="11" t="str">
        <f t="shared" si="34"/>
        <v>202503</v>
      </c>
      <c r="H573" s="4">
        <v>45870</v>
      </c>
      <c r="I573" s="5">
        <v>136</v>
      </c>
      <c r="J573" s="5">
        <v>4.5333333333333332</v>
      </c>
      <c r="K573" s="5">
        <f t="shared" si="35"/>
        <v>0</v>
      </c>
      <c r="L573" s="5">
        <v>0</v>
      </c>
      <c r="M573" s="5">
        <v>1</v>
      </c>
      <c r="N573" t="s">
        <v>9</v>
      </c>
      <c r="O573" s="8">
        <v>18.197260273972603</v>
      </c>
      <c r="P573" t="s">
        <v>32</v>
      </c>
      <c r="Q573">
        <v>1</v>
      </c>
      <c r="R573" s="2">
        <v>39092</v>
      </c>
    </row>
    <row r="574" spans="1:18" x14ac:dyDescent="0.3">
      <c r="A574" t="s">
        <v>7</v>
      </c>
      <c r="B574">
        <v>18316698</v>
      </c>
      <c r="C574" t="s">
        <v>8</v>
      </c>
      <c r="D574" s="4">
        <v>45734</v>
      </c>
      <c r="E574" s="11">
        <f t="shared" si="32"/>
        <v>2025</v>
      </c>
      <c r="F574" s="11">
        <f t="shared" si="33"/>
        <v>3</v>
      </c>
      <c r="G574" s="11" t="str">
        <f t="shared" si="34"/>
        <v>202503</v>
      </c>
      <c r="I574" s="5">
        <v>9999</v>
      </c>
      <c r="J574" s="5">
        <v>333.3</v>
      </c>
      <c r="K574" s="5">
        <f t="shared" si="35"/>
        <v>0</v>
      </c>
      <c r="L574" s="5">
        <v>0</v>
      </c>
      <c r="M574" s="5">
        <v>0</v>
      </c>
      <c r="N574" t="s">
        <v>12</v>
      </c>
      <c r="O574" s="8">
        <v>19.945205479452056</v>
      </c>
      <c r="P574" t="s">
        <v>32</v>
      </c>
      <c r="Q574">
        <v>1</v>
      </c>
      <c r="R574" s="2">
        <v>38454</v>
      </c>
    </row>
    <row r="575" spans="1:18" x14ac:dyDescent="0.3">
      <c r="A575" t="s">
        <v>7</v>
      </c>
      <c r="B575">
        <v>18316699</v>
      </c>
      <c r="C575" t="s">
        <v>8</v>
      </c>
      <c r="D575" s="4">
        <v>45734</v>
      </c>
      <c r="E575" s="11">
        <f t="shared" si="32"/>
        <v>2025</v>
      </c>
      <c r="F575" s="11">
        <f t="shared" si="33"/>
        <v>3</v>
      </c>
      <c r="G575" s="11" t="str">
        <f t="shared" si="34"/>
        <v>202503</v>
      </c>
      <c r="H575" s="4">
        <v>45782</v>
      </c>
      <c r="I575" s="5">
        <v>48</v>
      </c>
      <c r="J575" s="5">
        <v>1.6</v>
      </c>
      <c r="K575" s="5">
        <f t="shared" si="35"/>
        <v>0</v>
      </c>
      <c r="L575" s="5">
        <v>1</v>
      </c>
      <c r="M575" s="5">
        <v>1</v>
      </c>
      <c r="N575" t="s">
        <v>12</v>
      </c>
      <c r="O575" s="8">
        <v>30.841095890410958</v>
      </c>
      <c r="P575" t="s">
        <v>34</v>
      </c>
      <c r="Q575">
        <v>3</v>
      </c>
      <c r="R575" s="2">
        <v>34477</v>
      </c>
    </row>
    <row r="576" spans="1:18" x14ac:dyDescent="0.3">
      <c r="A576" t="s">
        <v>7</v>
      </c>
      <c r="B576">
        <v>18316700</v>
      </c>
      <c r="C576" t="s">
        <v>8</v>
      </c>
      <c r="D576" s="4">
        <v>45734</v>
      </c>
      <c r="E576" s="11">
        <f t="shared" si="32"/>
        <v>2025</v>
      </c>
      <c r="F576" s="11">
        <f t="shared" si="33"/>
        <v>3</v>
      </c>
      <c r="G576" s="11" t="str">
        <f t="shared" si="34"/>
        <v>202503</v>
      </c>
      <c r="H576" s="4">
        <v>45777</v>
      </c>
      <c r="I576" s="5">
        <v>43</v>
      </c>
      <c r="J576" s="5">
        <v>1.4333333333333333</v>
      </c>
      <c r="K576" s="5">
        <f t="shared" si="35"/>
        <v>0</v>
      </c>
      <c r="L576" s="5">
        <v>1</v>
      </c>
      <c r="M576" s="5">
        <v>1</v>
      </c>
      <c r="N576" t="s">
        <v>12</v>
      </c>
      <c r="O576" s="8">
        <v>23.665753424657535</v>
      </c>
      <c r="P576" t="s">
        <v>33</v>
      </c>
      <c r="Q576">
        <v>2</v>
      </c>
      <c r="R576" s="2">
        <v>37096</v>
      </c>
    </row>
    <row r="577" spans="1:18" x14ac:dyDescent="0.3">
      <c r="A577" t="s">
        <v>7</v>
      </c>
      <c r="B577">
        <v>18316701</v>
      </c>
      <c r="C577" t="s">
        <v>8</v>
      </c>
      <c r="D577" s="4">
        <v>45734</v>
      </c>
      <c r="E577" s="11">
        <f t="shared" si="32"/>
        <v>2025</v>
      </c>
      <c r="F577" s="11">
        <f t="shared" si="33"/>
        <v>3</v>
      </c>
      <c r="G577" s="11" t="str">
        <f t="shared" si="34"/>
        <v>202503</v>
      </c>
      <c r="H577" s="4">
        <v>46142</v>
      </c>
      <c r="I577" s="5">
        <v>408</v>
      </c>
      <c r="J577" s="5">
        <v>13.6</v>
      </c>
      <c r="K577" s="5">
        <f t="shared" si="35"/>
        <v>0</v>
      </c>
      <c r="L577" s="5">
        <v>0</v>
      </c>
      <c r="M577" s="5">
        <v>0</v>
      </c>
      <c r="N577" t="s">
        <v>12</v>
      </c>
      <c r="O577" s="8">
        <v>31.391780821917809</v>
      </c>
      <c r="P577" t="s">
        <v>35</v>
      </c>
      <c r="Q577">
        <v>4</v>
      </c>
      <c r="R577" s="2">
        <v>34276</v>
      </c>
    </row>
    <row r="578" spans="1:18" x14ac:dyDescent="0.3">
      <c r="A578" t="s">
        <v>7</v>
      </c>
      <c r="B578">
        <v>18316702</v>
      </c>
      <c r="C578" t="s">
        <v>8</v>
      </c>
      <c r="D578" s="4">
        <v>45734</v>
      </c>
      <c r="E578" s="11">
        <f t="shared" si="32"/>
        <v>2025</v>
      </c>
      <c r="F578" s="11">
        <f t="shared" si="33"/>
        <v>3</v>
      </c>
      <c r="G578" s="11" t="str">
        <f t="shared" si="34"/>
        <v>202503</v>
      </c>
      <c r="I578" s="5">
        <v>9999</v>
      </c>
      <c r="J578" s="5">
        <v>333.3</v>
      </c>
      <c r="K578" s="5">
        <f t="shared" si="35"/>
        <v>0</v>
      </c>
      <c r="L578" s="5">
        <v>0</v>
      </c>
      <c r="M578" s="5">
        <v>0</v>
      </c>
      <c r="N578" t="s">
        <v>12</v>
      </c>
      <c r="O578" s="8">
        <v>18.890410958904109</v>
      </c>
      <c r="P578" t="s">
        <v>32</v>
      </c>
      <c r="Q578">
        <v>1</v>
      </c>
      <c r="R578" s="2">
        <v>38839</v>
      </c>
    </row>
    <row r="579" spans="1:18" x14ac:dyDescent="0.3">
      <c r="A579" t="s">
        <v>7</v>
      </c>
      <c r="B579">
        <v>18316703</v>
      </c>
      <c r="C579" t="s">
        <v>8</v>
      </c>
      <c r="D579" s="4">
        <v>45734</v>
      </c>
      <c r="E579" s="11">
        <f t="shared" ref="E579:E642" si="36">+YEAR(D579)</f>
        <v>2025</v>
      </c>
      <c r="F579" s="11">
        <f t="shared" ref="F579:F642" si="37">+MONTH(D579)</f>
        <v>3</v>
      </c>
      <c r="G579" s="11" t="str">
        <f t="shared" ref="G579:G642" si="38">+TEXT(D579, "yyymm")</f>
        <v>202503</v>
      </c>
      <c r="H579" s="4">
        <v>46005</v>
      </c>
      <c r="I579" s="5">
        <v>271</v>
      </c>
      <c r="J579" s="5">
        <v>9.0333333333333332</v>
      </c>
      <c r="K579" s="5">
        <f t="shared" ref="K579:K642" si="39">IF(J579&lt;=1,1,0)</f>
        <v>0</v>
      </c>
      <c r="L579" s="5">
        <v>0</v>
      </c>
      <c r="M579" s="5">
        <v>0</v>
      </c>
      <c r="N579" t="s">
        <v>12</v>
      </c>
      <c r="O579" s="8">
        <v>21</v>
      </c>
      <c r="P579" t="s">
        <v>33</v>
      </c>
      <c r="Q579">
        <v>2</v>
      </c>
      <c r="R579" s="2">
        <v>38069</v>
      </c>
    </row>
    <row r="580" spans="1:18" x14ac:dyDescent="0.3">
      <c r="A580" t="s">
        <v>7</v>
      </c>
      <c r="B580">
        <v>18316705</v>
      </c>
      <c r="C580" t="s">
        <v>8</v>
      </c>
      <c r="D580" s="4">
        <v>45734</v>
      </c>
      <c r="E580" s="11">
        <f t="shared" si="36"/>
        <v>2025</v>
      </c>
      <c r="F580" s="11">
        <f t="shared" si="37"/>
        <v>3</v>
      </c>
      <c r="G580" s="11" t="str">
        <f t="shared" si="38"/>
        <v>202503</v>
      </c>
      <c r="I580" s="5">
        <v>9999</v>
      </c>
      <c r="J580" s="5">
        <v>333.3</v>
      </c>
      <c r="K580" s="5">
        <f t="shared" si="39"/>
        <v>0</v>
      </c>
      <c r="L580" s="5">
        <v>0</v>
      </c>
      <c r="M580" s="5">
        <v>0</v>
      </c>
      <c r="N580" t="s">
        <v>9</v>
      </c>
      <c r="O580" s="8">
        <v>18.139726027397259</v>
      </c>
      <c r="P580" t="s">
        <v>32</v>
      </c>
      <c r="Q580">
        <v>1</v>
      </c>
      <c r="R580" s="2">
        <v>39113</v>
      </c>
    </row>
    <row r="581" spans="1:18" x14ac:dyDescent="0.3">
      <c r="A581" t="s">
        <v>7</v>
      </c>
      <c r="B581">
        <v>18320427</v>
      </c>
      <c r="C581" t="s">
        <v>10</v>
      </c>
      <c r="D581" s="4">
        <v>45735</v>
      </c>
      <c r="E581" s="11">
        <f t="shared" si="36"/>
        <v>2025</v>
      </c>
      <c r="F581" s="11">
        <f t="shared" si="37"/>
        <v>3</v>
      </c>
      <c r="G581" s="11" t="str">
        <f t="shared" si="38"/>
        <v>202503</v>
      </c>
      <c r="I581" s="5">
        <v>9999</v>
      </c>
      <c r="J581" s="5">
        <v>333.3</v>
      </c>
      <c r="K581" s="5">
        <f t="shared" si="39"/>
        <v>0</v>
      </c>
      <c r="L581" s="5">
        <v>0</v>
      </c>
      <c r="M581" s="5">
        <v>0</v>
      </c>
      <c r="N581" t="s">
        <v>9</v>
      </c>
      <c r="O581" s="8">
        <v>20.553424657534247</v>
      </c>
      <c r="P581" t="s">
        <v>32</v>
      </c>
      <c r="Q581">
        <v>1</v>
      </c>
      <c r="R581" s="2">
        <v>38233</v>
      </c>
    </row>
    <row r="582" spans="1:18" x14ac:dyDescent="0.3">
      <c r="A582" t="s">
        <v>7</v>
      </c>
      <c r="B582">
        <v>18320709</v>
      </c>
      <c r="C582" t="s">
        <v>10</v>
      </c>
      <c r="D582" s="4">
        <v>45735</v>
      </c>
      <c r="E582" s="11">
        <f t="shared" si="36"/>
        <v>2025</v>
      </c>
      <c r="F582" s="11">
        <f t="shared" si="37"/>
        <v>3</v>
      </c>
      <c r="G582" s="11" t="str">
        <f t="shared" si="38"/>
        <v>202503</v>
      </c>
      <c r="H582" s="4">
        <v>45873</v>
      </c>
      <c r="I582" s="5">
        <v>138</v>
      </c>
      <c r="J582" s="5">
        <v>4.5999999999999996</v>
      </c>
      <c r="K582" s="5">
        <f t="shared" si="39"/>
        <v>0</v>
      </c>
      <c r="L582" s="5">
        <v>0</v>
      </c>
      <c r="M582" s="5">
        <v>1</v>
      </c>
      <c r="N582" t="s">
        <v>9</v>
      </c>
      <c r="O582" s="8">
        <v>20.471232876712328</v>
      </c>
      <c r="P582" t="s">
        <v>32</v>
      </c>
      <c r="Q582">
        <v>1</v>
      </c>
      <c r="R582" s="2">
        <v>38263</v>
      </c>
    </row>
    <row r="583" spans="1:18" x14ac:dyDescent="0.3">
      <c r="A583" t="s">
        <v>7</v>
      </c>
      <c r="B583">
        <v>18327334</v>
      </c>
      <c r="C583" t="s">
        <v>8</v>
      </c>
      <c r="D583" s="4">
        <v>45736</v>
      </c>
      <c r="E583" s="11">
        <f t="shared" si="36"/>
        <v>2025</v>
      </c>
      <c r="F583" s="11">
        <f t="shared" si="37"/>
        <v>3</v>
      </c>
      <c r="G583" s="11" t="str">
        <f t="shared" si="38"/>
        <v>202503</v>
      </c>
      <c r="H583" s="4">
        <v>46127</v>
      </c>
      <c r="I583" s="5">
        <v>391</v>
      </c>
      <c r="J583" s="5">
        <v>13.033333333333333</v>
      </c>
      <c r="K583" s="5">
        <f t="shared" si="39"/>
        <v>0</v>
      </c>
      <c r="L583" s="5">
        <v>0</v>
      </c>
      <c r="M583" s="5">
        <v>0</v>
      </c>
      <c r="N583" t="s">
        <v>9</v>
      </c>
      <c r="O583" s="8">
        <v>30.24931506849315</v>
      </c>
      <c r="P583" t="s">
        <v>34</v>
      </c>
      <c r="Q583">
        <v>3</v>
      </c>
      <c r="R583" s="2">
        <v>34695</v>
      </c>
    </row>
    <row r="584" spans="1:18" x14ac:dyDescent="0.3">
      <c r="A584" t="s">
        <v>7</v>
      </c>
      <c r="B584">
        <v>18327358</v>
      </c>
      <c r="C584" t="s">
        <v>8</v>
      </c>
      <c r="D584" s="4">
        <v>45736</v>
      </c>
      <c r="E584" s="11">
        <f t="shared" si="36"/>
        <v>2025</v>
      </c>
      <c r="F584" s="11">
        <f t="shared" si="37"/>
        <v>3</v>
      </c>
      <c r="G584" s="11" t="str">
        <f t="shared" si="38"/>
        <v>202503</v>
      </c>
      <c r="H584" s="4">
        <v>45751</v>
      </c>
      <c r="I584" s="5">
        <v>15</v>
      </c>
      <c r="J584" s="5">
        <v>0.5</v>
      </c>
      <c r="K584" s="5">
        <f t="shared" si="39"/>
        <v>1</v>
      </c>
      <c r="L584" s="5">
        <v>1</v>
      </c>
      <c r="M584" s="5">
        <v>1</v>
      </c>
      <c r="N584" t="s">
        <v>9</v>
      </c>
      <c r="O584" s="8">
        <v>22.649315068493152</v>
      </c>
      <c r="P584" t="s">
        <v>33</v>
      </c>
      <c r="Q584">
        <v>2</v>
      </c>
      <c r="R584" s="2">
        <v>37469</v>
      </c>
    </row>
    <row r="585" spans="1:18" x14ac:dyDescent="0.3">
      <c r="A585" t="s">
        <v>7</v>
      </c>
      <c r="B585">
        <v>18327359</v>
      </c>
      <c r="C585" t="s">
        <v>8</v>
      </c>
      <c r="D585" s="4">
        <v>45736</v>
      </c>
      <c r="E585" s="11">
        <f t="shared" si="36"/>
        <v>2025</v>
      </c>
      <c r="F585" s="11">
        <f t="shared" si="37"/>
        <v>3</v>
      </c>
      <c r="G585" s="11" t="str">
        <f t="shared" si="38"/>
        <v>202503</v>
      </c>
      <c r="H585" s="4">
        <v>45748</v>
      </c>
      <c r="I585" s="5">
        <v>12</v>
      </c>
      <c r="J585" s="5">
        <v>0.4</v>
      </c>
      <c r="K585" s="5">
        <f t="shared" si="39"/>
        <v>1</v>
      </c>
      <c r="L585" s="5">
        <v>1</v>
      </c>
      <c r="M585" s="5">
        <v>1</v>
      </c>
      <c r="N585" t="s">
        <v>9</v>
      </c>
      <c r="O585" s="8">
        <v>19.19178082191781</v>
      </c>
      <c r="P585" t="s">
        <v>32</v>
      </c>
      <c r="Q585">
        <v>1</v>
      </c>
      <c r="R585" s="2">
        <v>38731</v>
      </c>
    </row>
    <row r="586" spans="1:18" x14ac:dyDescent="0.3">
      <c r="A586" t="s">
        <v>7</v>
      </c>
      <c r="B586">
        <v>18327424</v>
      </c>
      <c r="C586" t="s">
        <v>8</v>
      </c>
      <c r="D586" s="4">
        <v>45736</v>
      </c>
      <c r="E586" s="11">
        <f t="shared" si="36"/>
        <v>2025</v>
      </c>
      <c r="F586" s="11">
        <f t="shared" si="37"/>
        <v>3</v>
      </c>
      <c r="G586" s="11" t="str">
        <f t="shared" si="38"/>
        <v>202503</v>
      </c>
      <c r="H586" s="4">
        <v>45828</v>
      </c>
      <c r="I586" s="5">
        <v>92</v>
      </c>
      <c r="J586" s="5">
        <v>3.0666666666666669</v>
      </c>
      <c r="K586" s="5">
        <f t="shared" si="39"/>
        <v>0</v>
      </c>
      <c r="L586" s="5">
        <v>0</v>
      </c>
      <c r="M586" s="5">
        <v>1</v>
      </c>
      <c r="N586" t="s">
        <v>9</v>
      </c>
      <c r="O586" s="8">
        <v>19.838356164383562</v>
      </c>
      <c r="P586" t="s">
        <v>32</v>
      </c>
      <c r="Q586">
        <v>1</v>
      </c>
      <c r="R586" s="2">
        <v>38495</v>
      </c>
    </row>
    <row r="587" spans="1:18" x14ac:dyDescent="0.3">
      <c r="A587" t="s">
        <v>7</v>
      </c>
      <c r="B587">
        <v>18327530</v>
      </c>
      <c r="C587" t="s">
        <v>8</v>
      </c>
      <c r="D587" s="4">
        <v>45736</v>
      </c>
      <c r="E587" s="11">
        <f t="shared" si="36"/>
        <v>2025</v>
      </c>
      <c r="F587" s="11">
        <f t="shared" si="37"/>
        <v>3</v>
      </c>
      <c r="G587" s="11" t="str">
        <f t="shared" si="38"/>
        <v>202503</v>
      </c>
      <c r="H587" s="4">
        <v>45900</v>
      </c>
      <c r="I587" s="5">
        <v>164</v>
      </c>
      <c r="J587" s="5">
        <v>5.4666666666666668</v>
      </c>
      <c r="K587" s="5">
        <f t="shared" si="39"/>
        <v>0</v>
      </c>
      <c r="L587" s="5">
        <v>0</v>
      </c>
      <c r="M587" s="5">
        <v>1</v>
      </c>
      <c r="N587" t="s">
        <v>9</v>
      </c>
      <c r="O587" s="8">
        <v>23.895890410958906</v>
      </c>
      <c r="P587" t="s">
        <v>33</v>
      </c>
      <c r="Q587">
        <v>2</v>
      </c>
      <c r="R587" s="2">
        <v>37014</v>
      </c>
    </row>
    <row r="588" spans="1:18" x14ac:dyDescent="0.3">
      <c r="A588" t="s">
        <v>7</v>
      </c>
      <c r="B588">
        <v>18327567</v>
      </c>
      <c r="C588" t="s">
        <v>10</v>
      </c>
      <c r="D588" s="4">
        <v>45736</v>
      </c>
      <c r="E588" s="11">
        <f t="shared" si="36"/>
        <v>2025</v>
      </c>
      <c r="F588" s="11">
        <f t="shared" si="37"/>
        <v>3</v>
      </c>
      <c r="G588" s="11" t="str">
        <f t="shared" si="38"/>
        <v>202503</v>
      </c>
      <c r="H588" s="4">
        <v>45819</v>
      </c>
      <c r="I588" s="5">
        <v>83</v>
      </c>
      <c r="J588" s="5">
        <v>2.7666666666666666</v>
      </c>
      <c r="K588" s="5">
        <f t="shared" si="39"/>
        <v>0</v>
      </c>
      <c r="L588" s="5">
        <v>1</v>
      </c>
      <c r="M588" s="5">
        <v>1</v>
      </c>
      <c r="N588" t="s">
        <v>9</v>
      </c>
      <c r="O588" s="8">
        <v>18.424657534246574</v>
      </c>
      <c r="P588" t="s">
        <v>32</v>
      </c>
      <c r="Q588">
        <v>1</v>
      </c>
      <c r="R588" s="2">
        <v>39011</v>
      </c>
    </row>
    <row r="589" spans="1:18" x14ac:dyDescent="0.3">
      <c r="A589" t="s">
        <v>7</v>
      </c>
      <c r="B589">
        <v>18327568</v>
      </c>
      <c r="C589" t="s">
        <v>10</v>
      </c>
      <c r="D589" s="4">
        <v>45736</v>
      </c>
      <c r="E589" s="11">
        <f t="shared" si="36"/>
        <v>2025</v>
      </c>
      <c r="F589" s="11">
        <f t="shared" si="37"/>
        <v>3</v>
      </c>
      <c r="G589" s="11" t="str">
        <f t="shared" si="38"/>
        <v>202503</v>
      </c>
      <c r="H589" s="4">
        <v>46173</v>
      </c>
      <c r="I589" s="5">
        <v>437</v>
      </c>
      <c r="J589" s="5">
        <v>14.566666666666666</v>
      </c>
      <c r="K589" s="5">
        <f t="shared" si="39"/>
        <v>0</v>
      </c>
      <c r="L589" s="5">
        <v>0</v>
      </c>
      <c r="M589" s="5">
        <v>0</v>
      </c>
      <c r="N589" t="s">
        <v>9</v>
      </c>
      <c r="O589" s="8">
        <v>21.671232876712327</v>
      </c>
      <c r="P589" t="s">
        <v>33</v>
      </c>
      <c r="Q589">
        <v>2</v>
      </c>
      <c r="R589" s="2">
        <v>37826</v>
      </c>
    </row>
    <row r="590" spans="1:18" x14ac:dyDescent="0.3">
      <c r="A590" t="s">
        <v>7</v>
      </c>
      <c r="B590">
        <v>18327912</v>
      </c>
      <c r="C590" t="s">
        <v>8</v>
      </c>
      <c r="D590" s="4">
        <v>45736</v>
      </c>
      <c r="E590" s="11">
        <f t="shared" si="36"/>
        <v>2025</v>
      </c>
      <c r="F590" s="11">
        <f t="shared" si="37"/>
        <v>3</v>
      </c>
      <c r="G590" s="11" t="str">
        <f t="shared" si="38"/>
        <v>202503</v>
      </c>
      <c r="H590" s="4">
        <v>46023</v>
      </c>
      <c r="I590" s="5">
        <v>287</v>
      </c>
      <c r="J590" s="5">
        <v>9.5666666666666664</v>
      </c>
      <c r="K590" s="5">
        <f t="shared" si="39"/>
        <v>0</v>
      </c>
      <c r="L590" s="5">
        <v>0</v>
      </c>
      <c r="M590" s="5">
        <v>0</v>
      </c>
      <c r="N590" t="s">
        <v>9</v>
      </c>
      <c r="O590" s="8">
        <v>22.301369863013697</v>
      </c>
      <c r="P590" t="s">
        <v>33</v>
      </c>
      <c r="Q590">
        <v>2</v>
      </c>
      <c r="R590" s="2">
        <v>37596</v>
      </c>
    </row>
    <row r="591" spans="1:18" x14ac:dyDescent="0.3">
      <c r="A591" t="s">
        <v>7</v>
      </c>
      <c r="B591">
        <v>18327913</v>
      </c>
      <c r="C591" t="s">
        <v>8</v>
      </c>
      <c r="D591" s="4">
        <v>45736</v>
      </c>
      <c r="E591" s="11">
        <f t="shared" si="36"/>
        <v>2025</v>
      </c>
      <c r="F591" s="11">
        <f t="shared" si="37"/>
        <v>3</v>
      </c>
      <c r="G591" s="11" t="str">
        <f t="shared" si="38"/>
        <v>202503</v>
      </c>
      <c r="H591" s="4">
        <v>46006</v>
      </c>
      <c r="I591" s="5">
        <v>270</v>
      </c>
      <c r="J591" s="5">
        <v>9</v>
      </c>
      <c r="K591" s="5">
        <f t="shared" si="39"/>
        <v>0</v>
      </c>
      <c r="L591" s="5">
        <v>0</v>
      </c>
      <c r="M591" s="5">
        <v>0</v>
      </c>
      <c r="N591" t="s">
        <v>9</v>
      </c>
      <c r="O591" s="8">
        <v>23.726027397260275</v>
      </c>
      <c r="P591" t="s">
        <v>33</v>
      </c>
      <c r="Q591">
        <v>2</v>
      </c>
      <c r="R591" s="2">
        <v>37076</v>
      </c>
    </row>
    <row r="592" spans="1:18" x14ac:dyDescent="0.3">
      <c r="A592" t="s">
        <v>7</v>
      </c>
      <c r="B592">
        <v>18327914</v>
      </c>
      <c r="C592" t="s">
        <v>8</v>
      </c>
      <c r="D592" s="4">
        <v>45736</v>
      </c>
      <c r="E592" s="11">
        <f t="shared" si="36"/>
        <v>2025</v>
      </c>
      <c r="F592" s="11">
        <f t="shared" si="37"/>
        <v>3</v>
      </c>
      <c r="G592" s="11" t="str">
        <f t="shared" si="38"/>
        <v>202503</v>
      </c>
      <c r="I592" s="5">
        <v>9999</v>
      </c>
      <c r="J592" s="5">
        <v>333.3</v>
      </c>
      <c r="K592" s="5">
        <f t="shared" si="39"/>
        <v>0</v>
      </c>
      <c r="L592" s="5">
        <v>0</v>
      </c>
      <c r="M592" s="5">
        <v>0</v>
      </c>
      <c r="N592" t="s">
        <v>9</v>
      </c>
      <c r="O592" s="8">
        <v>40.783561643835618</v>
      </c>
      <c r="P592" t="s">
        <v>35</v>
      </c>
      <c r="Q592">
        <v>4</v>
      </c>
      <c r="R592" s="2">
        <v>30850</v>
      </c>
    </row>
    <row r="593" spans="1:18" x14ac:dyDescent="0.3">
      <c r="A593" t="s">
        <v>7</v>
      </c>
      <c r="B593">
        <v>18327928</v>
      </c>
      <c r="C593" t="s">
        <v>10</v>
      </c>
      <c r="D593" s="4">
        <v>45736</v>
      </c>
      <c r="E593" s="11">
        <f t="shared" si="36"/>
        <v>2025</v>
      </c>
      <c r="F593" s="11">
        <f t="shared" si="37"/>
        <v>3</v>
      </c>
      <c r="G593" s="11" t="str">
        <f t="shared" si="38"/>
        <v>202503</v>
      </c>
      <c r="H593" s="4">
        <v>45870</v>
      </c>
      <c r="I593" s="5">
        <v>134</v>
      </c>
      <c r="J593" s="5">
        <v>4.4666666666666668</v>
      </c>
      <c r="K593" s="5">
        <f t="shared" si="39"/>
        <v>0</v>
      </c>
      <c r="L593" s="5">
        <v>0</v>
      </c>
      <c r="M593" s="5">
        <v>1</v>
      </c>
      <c r="N593" t="s">
        <v>9</v>
      </c>
      <c r="O593" s="8">
        <v>18.791780821917808</v>
      </c>
      <c r="P593" t="s">
        <v>32</v>
      </c>
      <c r="Q593">
        <v>1</v>
      </c>
      <c r="R593" s="2">
        <v>38877</v>
      </c>
    </row>
    <row r="594" spans="1:18" x14ac:dyDescent="0.3">
      <c r="A594" t="s">
        <v>7</v>
      </c>
      <c r="B594">
        <v>18327929</v>
      </c>
      <c r="C594" t="s">
        <v>10</v>
      </c>
      <c r="D594" s="4">
        <v>45736</v>
      </c>
      <c r="E594" s="11">
        <f t="shared" si="36"/>
        <v>2025</v>
      </c>
      <c r="F594" s="11">
        <f t="shared" si="37"/>
        <v>3</v>
      </c>
      <c r="G594" s="11" t="str">
        <f t="shared" si="38"/>
        <v>202503</v>
      </c>
      <c r="H594" s="4">
        <v>45785</v>
      </c>
      <c r="I594" s="5">
        <v>49</v>
      </c>
      <c r="J594" s="5">
        <v>1.6333333333333333</v>
      </c>
      <c r="K594" s="5">
        <f t="shared" si="39"/>
        <v>0</v>
      </c>
      <c r="L594" s="5">
        <v>1</v>
      </c>
      <c r="M594" s="5">
        <v>1</v>
      </c>
      <c r="N594" t="s">
        <v>9</v>
      </c>
      <c r="O594" s="8">
        <v>18.117808219178084</v>
      </c>
      <c r="P594" t="s">
        <v>32</v>
      </c>
      <c r="Q594">
        <v>1</v>
      </c>
      <c r="R594" s="2">
        <v>39123</v>
      </c>
    </row>
    <row r="595" spans="1:18" x14ac:dyDescent="0.3">
      <c r="A595" t="s">
        <v>7</v>
      </c>
      <c r="B595">
        <v>18329117</v>
      </c>
      <c r="C595" t="s">
        <v>10</v>
      </c>
      <c r="D595" s="4">
        <v>45736</v>
      </c>
      <c r="E595" s="11">
        <f t="shared" si="36"/>
        <v>2025</v>
      </c>
      <c r="F595" s="11">
        <f t="shared" si="37"/>
        <v>3</v>
      </c>
      <c r="G595" s="11" t="str">
        <f t="shared" si="38"/>
        <v>202503</v>
      </c>
      <c r="H595" s="4">
        <v>45748</v>
      </c>
      <c r="I595" s="5">
        <v>12</v>
      </c>
      <c r="J595" s="5">
        <v>0.4</v>
      </c>
      <c r="K595" s="5">
        <f t="shared" si="39"/>
        <v>1</v>
      </c>
      <c r="L595" s="5">
        <v>1</v>
      </c>
      <c r="M595" s="5">
        <v>1</v>
      </c>
      <c r="N595" t="s">
        <v>9</v>
      </c>
      <c r="O595" s="8">
        <v>18.375342465753423</v>
      </c>
      <c r="P595" t="s">
        <v>32</v>
      </c>
      <c r="Q595">
        <v>1</v>
      </c>
      <c r="R595" s="2">
        <v>39029</v>
      </c>
    </row>
    <row r="596" spans="1:18" x14ac:dyDescent="0.3">
      <c r="A596" t="s">
        <v>11</v>
      </c>
      <c r="B596">
        <v>18329263</v>
      </c>
      <c r="C596" t="s">
        <v>8</v>
      </c>
      <c r="D596" s="4">
        <v>45737</v>
      </c>
      <c r="E596" s="11">
        <f t="shared" si="36"/>
        <v>2025</v>
      </c>
      <c r="F596" s="11">
        <f t="shared" si="37"/>
        <v>3</v>
      </c>
      <c r="G596" s="11" t="str">
        <f t="shared" si="38"/>
        <v>202503</v>
      </c>
      <c r="H596" s="4">
        <v>46054</v>
      </c>
      <c r="I596" s="5">
        <v>317</v>
      </c>
      <c r="J596" s="5">
        <v>10.566666666666666</v>
      </c>
      <c r="K596" s="5">
        <f t="shared" si="39"/>
        <v>0</v>
      </c>
      <c r="L596" s="5">
        <v>0</v>
      </c>
      <c r="M596" s="5">
        <v>0</v>
      </c>
      <c r="N596" t="s">
        <v>9</v>
      </c>
      <c r="O596" s="8">
        <v>20.101369863013698</v>
      </c>
      <c r="P596" t="s">
        <v>32</v>
      </c>
      <c r="Q596">
        <v>1</v>
      </c>
      <c r="R596" s="2">
        <v>38400</v>
      </c>
    </row>
    <row r="597" spans="1:18" x14ac:dyDescent="0.3">
      <c r="A597" t="s">
        <v>7</v>
      </c>
      <c r="B597">
        <v>18329270</v>
      </c>
      <c r="C597" t="s">
        <v>8</v>
      </c>
      <c r="D597" s="4">
        <v>45737</v>
      </c>
      <c r="E597" s="11">
        <f t="shared" si="36"/>
        <v>2025</v>
      </c>
      <c r="F597" s="11">
        <f t="shared" si="37"/>
        <v>3</v>
      </c>
      <c r="G597" s="11" t="str">
        <f t="shared" si="38"/>
        <v>202503</v>
      </c>
      <c r="I597" s="5">
        <v>9999</v>
      </c>
      <c r="J597" s="5">
        <v>333.3</v>
      </c>
      <c r="K597" s="5">
        <f t="shared" si="39"/>
        <v>0</v>
      </c>
      <c r="L597" s="5">
        <v>0</v>
      </c>
      <c r="M597" s="5">
        <v>0</v>
      </c>
      <c r="N597" t="s">
        <v>9</v>
      </c>
      <c r="O597" s="8">
        <v>19.523287671232875</v>
      </c>
      <c r="P597" t="s">
        <v>32</v>
      </c>
      <c r="Q597">
        <v>1</v>
      </c>
      <c r="R597" s="2">
        <v>38611</v>
      </c>
    </row>
    <row r="598" spans="1:18" x14ac:dyDescent="0.3">
      <c r="A598" t="s">
        <v>7</v>
      </c>
      <c r="B598">
        <v>18329275</v>
      </c>
      <c r="C598" t="s">
        <v>8</v>
      </c>
      <c r="D598" s="4">
        <v>45737</v>
      </c>
      <c r="E598" s="11">
        <f t="shared" si="36"/>
        <v>2025</v>
      </c>
      <c r="F598" s="11">
        <f t="shared" si="37"/>
        <v>3</v>
      </c>
      <c r="G598" s="11" t="str">
        <f t="shared" si="38"/>
        <v>202503</v>
      </c>
      <c r="H598" s="4">
        <v>45961</v>
      </c>
      <c r="I598" s="5">
        <v>224</v>
      </c>
      <c r="J598" s="5">
        <v>7.4666666666666668</v>
      </c>
      <c r="K598" s="5">
        <f t="shared" si="39"/>
        <v>0</v>
      </c>
      <c r="L598" s="5">
        <v>0</v>
      </c>
      <c r="M598" s="5">
        <v>0</v>
      </c>
      <c r="N598" t="s">
        <v>12</v>
      </c>
      <c r="O598" s="8">
        <v>28.145205479452056</v>
      </c>
      <c r="P598" t="s">
        <v>34</v>
      </c>
      <c r="Q598">
        <v>3</v>
      </c>
      <c r="R598" s="2">
        <v>35464</v>
      </c>
    </row>
    <row r="599" spans="1:18" x14ac:dyDescent="0.3">
      <c r="A599" t="s">
        <v>7</v>
      </c>
      <c r="B599">
        <v>18329286</v>
      </c>
      <c r="C599" t="s">
        <v>8</v>
      </c>
      <c r="D599" s="4">
        <v>45737</v>
      </c>
      <c r="E599" s="11">
        <f t="shared" si="36"/>
        <v>2025</v>
      </c>
      <c r="F599" s="11">
        <f t="shared" si="37"/>
        <v>3</v>
      </c>
      <c r="G599" s="11" t="str">
        <f t="shared" si="38"/>
        <v>202503</v>
      </c>
      <c r="I599" s="5">
        <v>9999</v>
      </c>
      <c r="J599" s="5">
        <v>333.3</v>
      </c>
      <c r="K599" s="5">
        <f t="shared" si="39"/>
        <v>0</v>
      </c>
      <c r="L599" s="5">
        <v>0</v>
      </c>
      <c r="M599" s="5">
        <v>0</v>
      </c>
      <c r="N599" t="s">
        <v>9</v>
      </c>
      <c r="O599" s="8">
        <v>18.315068493150687</v>
      </c>
      <c r="P599" t="s">
        <v>32</v>
      </c>
      <c r="Q599">
        <v>1</v>
      </c>
      <c r="R599" s="2">
        <v>39052</v>
      </c>
    </row>
    <row r="600" spans="1:18" x14ac:dyDescent="0.3">
      <c r="A600" t="s">
        <v>7</v>
      </c>
      <c r="B600">
        <v>18329289</v>
      </c>
      <c r="C600" t="s">
        <v>8</v>
      </c>
      <c r="D600" s="4">
        <v>45737</v>
      </c>
      <c r="E600" s="11">
        <f t="shared" si="36"/>
        <v>2025</v>
      </c>
      <c r="F600" s="11">
        <f t="shared" si="37"/>
        <v>3</v>
      </c>
      <c r="G600" s="11" t="str">
        <f t="shared" si="38"/>
        <v>202503</v>
      </c>
      <c r="I600" s="5">
        <v>9999</v>
      </c>
      <c r="J600" s="5">
        <v>333.3</v>
      </c>
      <c r="K600" s="5">
        <f t="shared" si="39"/>
        <v>0</v>
      </c>
      <c r="L600" s="5">
        <v>0</v>
      </c>
      <c r="M600" s="5">
        <v>0</v>
      </c>
      <c r="N600" t="s">
        <v>9</v>
      </c>
      <c r="O600" s="8">
        <v>25.443835616438356</v>
      </c>
      <c r="P600" t="s">
        <v>33</v>
      </c>
      <c r="Q600">
        <v>2</v>
      </c>
      <c r="R600" s="2">
        <v>36450</v>
      </c>
    </row>
    <row r="601" spans="1:18" x14ac:dyDescent="0.3">
      <c r="A601" t="s">
        <v>7</v>
      </c>
      <c r="B601">
        <v>18329293</v>
      </c>
      <c r="C601" t="s">
        <v>8</v>
      </c>
      <c r="D601" s="4">
        <v>45737</v>
      </c>
      <c r="E601" s="11">
        <f t="shared" si="36"/>
        <v>2025</v>
      </c>
      <c r="F601" s="11">
        <f t="shared" si="37"/>
        <v>3</v>
      </c>
      <c r="G601" s="11" t="str">
        <f t="shared" si="38"/>
        <v>202503</v>
      </c>
      <c r="I601" s="5">
        <v>9999</v>
      </c>
      <c r="J601" s="5">
        <v>333.3</v>
      </c>
      <c r="K601" s="5">
        <f t="shared" si="39"/>
        <v>0</v>
      </c>
      <c r="L601" s="5">
        <v>0</v>
      </c>
      <c r="M601" s="5">
        <v>0</v>
      </c>
      <c r="N601" t="s">
        <v>9</v>
      </c>
      <c r="O601" s="8">
        <v>32.772602739726025</v>
      </c>
      <c r="P601" t="s">
        <v>35</v>
      </c>
      <c r="Q601">
        <v>4</v>
      </c>
      <c r="R601" s="2">
        <v>33775</v>
      </c>
    </row>
    <row r="602" spans="1:18" x14ac:dyDescent="0.3">
      <c r="A602" t="s">
        <v>7</v>
      </c>
      <c r="B602">
        <v>18329295</v>
      </c>
      <c r="C602" t="s">
        <v>8</v>
      </c>
      <c r="D602" s="4">
        <v>45737</v>
      </c>
      <c r="E602" s="11">
        <f t="shared" si="36"/>
        <v>2025</v>
      </c>
      <c r="F602" s="11">
        <f t="shared" si="37"/>
        <v>3</v>
      </c>
      <c r="G602" s="11" t="str">
        <f t="shared" si="38"/>
        <v>202503</v>
      </c>
      <c r="H602" s="4">
        <v>46006</v>
      </c>
      <c r="I602" s="5">
        <v>269</v>
      </c>
      <c r="J602" s="5">
        <v>8.9666666666666668</v>
      </c>
      <c r="K602" s="5">
        <f t="shared" si="39"/>
        <v>0</v>
      </c>
      <c r="L602" s="5">
        <v>0</v>
      </c>
      <c r="M602" s="5">
        <v>0</v>
      </c>
      <c r="N602" t="s">
        <v>9</v>
      </c>
      <c r="O602" s="8">
        <v>19.597260273972601</v>
      </c>
      <c r="P602" t="s">
        <v>32</v>
      </c>
      <c r="Q602">
        <v>1</v>
      </c>
      <c r="R602" s="2">
        <v>38584</v>
      </c>
    </row>
    <row r="603" spans="1:18" x14ac:dyDescent="0.3">
      <c r="A603" t="s">
        <v>11</v>
      </c>
      <c r="B603">
        <v>18329312</v>
      </c>
      <c r="C603" t="s">
        <v>8</v>
      </c>
      <c r="D603" s="4">
        <v>45737</v>
      </c>
      <c r="E603" s="11">
        <f t="shared" si="36"/>
        <v>2025</v>
      </c>
      <c r="F603" s="11">
        <f t="shared" si="37"/>
        <v>3</v>
      </c>
      <c r="G603" s="11" t="str">
        <f t="shared" si="38"/>
        <v>202503</v>
      </c>
      <c r="H603" s="4">
        <v>45748</v>
      </c>
      <c r="I603" s="5">
        <v>11</v>
      </c>
      <c r="J603" s="5">
        <v>0.36666666666666664</v>
      </c>
      <c r="K603" s="5">
        <f t="shared" si="39"/>
        <v>1</v>
      </c>
      <c r="L603" s="5">
        <v>1</v>
      </c>
      <c r="M603" s="5">
        <v>1</v>
      </c>
      <c r="N603" t="s">
        <v>9</v>
      </c>
      <c r="O603" s="8">
        <v>21.972602739726028</v>
      </c>
      <c r="P603" t="s">
        <v>33</v>
      </c>
      <c r="Q603">
        <v>2</v>
      </c>
      <c r="R603" s="2">
        <v>37717</v>
      </c>
    </row>
    <row r="604" spans="1:18" x14ac:dyDescent="0.3">
      <c r="A604" t="s">
        <v>7</v>
      </c>
      <c r="B604">
        <v>18329313</v>
      </c>
      <c r="C604" t="s">
        <v>8</v>
      </c>
      <c r="D604" s="4">
        <v>45737</v>
      </c>
      <c r="E604" s="11">
        <f t="shared" si="36"/>
        <v>2025</v>
      </c>
      <c r="F604" s="11">
        <f t="shared" si="37"/>
        <v>3</v>
      </c>
      <c r="G604" s="11" t="str">
        <f t="shared" si="38"/>
        <v>202503</v>
      </c>
      <c r="I604" s="5">
        <v>9999</v>
      </c>
      <c r="J604" s="5">
        <v>333.3</v>
      </c>
      <c r="K604" s="5">
        <f t="shared" si="39"/>
        <v>0</v>
      </c>
      <c r="L604" s="5">
        <v>0</v>
      </c>
      <c r="M604" s="5">
        <v>0</v>
      </c>
      <c r="N604" t="s">
        <v>9</v>
      </c>
      <c r="O604" s="8">
        <v>23.054794520547944</v>
      </c>
      <c r="P604" t="s">
        <v>33</v>
      </c>
      <c r="Q604">
        <v>2</v>
      </c>
      <c r="R604" s="2">
        <v>37322</v>
      </c>
    </row>
    <row r="605" spans="1:18" x14ac:dyDescent="0.3">
      <c r="A605" t="s">
        <v>7</v>
      </c>
      <c r="B605">
        <v>18329319</v>
      </c>
      <c r="C605" t="s">
        <v>8</v>
      </c>
      <c r="D605" s="4">
        <v>45737</v>
      </c>
      <c r="E605" s="11">
        <f t="shared" si="36"/>
        <v>2025</v>
      </c>
      <c r="F605" s="11">
        <f t="shared" si="37"/>
        <v>3</v>
      </c>
      <c r="G605" s="11" t="str">
        <f t="shared" si="38"/>
        <v>202503</v>
      </c>
      <c r="H605" s="4">
        <v>46068</v>
      </c>
      <c r="I605" s="5">
        <v>331</v>
      </c>
      <c r="J605" s="5">
        <v>11.033333333333333</v>
      </c>
      <c r="K605" s="5">
        <f t="shared" si="39"/>
        <v>0</v>
      </c>
      <c r="L605" s="5">
        <v>0</v>
      </c>
      <c r="M605" s="5">
        <v>0</v>
      </c>
      <c r="N605" t="s">
        <v>9</v>
      </c>
      <c r="O605" s="8">
        <v>19.92876712328767</v>
      </c>
      <c r="P605" t="s">
        <v>32</v>
      </c>
      <c r="Q605">
        <v>1</v>
      </c>
      <c r="R605" s="2">
        <v>38463</v>
      </c>
    </row>
    <row r="606" spans="1:18" x14ac:dyDescent="0.3">
      <c r="A606" t="s">
        <v>11</v>
      </c>
      <c r="B606">
        <v>18329322</v>
      </c>
      <c r="C606" t="s">
        <v>8</v>
      </c>
      <c r="D606" s="4">
        <v>45737</v>
      </c>
      <c r="E606" s="11">
        <f t="shared" si="36"/>
        <v>2025</v>
      </c>
      <c r="F606" s="11">
        <f t="shared" si="37"/>
        <v>3</v>
      </c>
      <c r="G606" s="11" t="str">
        <f t="shared" si="38"/>
        <v>202503</v>
      </c>
      <c r="I606" s="5">
        <v>9999</v>
      </c>
      <c r="J606" s="5">
        <v>333.3</v>
      </c>
      <c r="K606" s="5">
        <f t="shared" si="39"/>
        <v>0</v>
      </c>
      <c r="L606" s="5">
        <v>0</v>
      </c>
      <c r="M606" s="5">
        <v>0</v>
      </c>
      <c r="N606" t="s">
        <v>9</v>
      </c>
      <c r="O606" s="8">
        <v>27.282191780821918</v>
      </c>
      <c r="P606" t="s">
        <v>34</v>
      </c>
      <c r="Q606">
        <v>3</v>
      </c>
      <c r="R606" s="2">
        <v>35779</v>
      </c>
    </row>
    <row r="607" spans="1:18" x14ac:dyDescent="0.3">
      <c r="A607" t="s">
        <v>7</v>
      </c>
      <c r="B607">
        <v>18329595</v>
      </c>
      <c r="C607" t="s">
        <v>8</v>
      </c>
      <c r="D607" s="4">
        <v>45736</v>
      </c>
      <c r="E607" s="11">
        <f t="shared" si="36"/>
        <v>2025</v>
      </c>
      <c r="F607" s="11">
        <f t="shared" si="37"/>
        <v>3</v>
      </c>
      <c r="G607" s="11" t="str">
        <f t="shared" si="38"/>
        <v>202503</v>
      </c>
      <c r="I607" s="5">
        <v>9999</v>
      </c>
      <c r="J607" s="5">
        <v>333.3</v>
      </c>
      <c r="K607" s="5">
        <f t="shared" si="39"/>
        <v>0</v>
      </c>
      <c r="L607" s="5">
        <v>0</v>
      </c>
      <c r="M607" s="5">
        <v>0</v>
      </c>
      <c r="N607" t="s">
        <v>12</v>
      </c>
      <c r="O607" s="8">
        <v>21.860273972602741</v>
      </c>
      <c r="P607" t="s">
        <v>33</v>
      </c>
      <c r="Q607">
        <v>2</v>
      </c>
      <c r="R607" s="2">
        <v>37757</v>
      </c>
    </row>
    <row r="608" spans="1:18" x14ac:dyDescent="0.3">
      <c r="A608" t="s">
        <v>7</v>
      </c>
      <c r="B608">
        <v>18338126</v>
      </c>
      <c r="C608" t="s">
        <v>8</v>
      </c>
      <c r="D608" s="4">
        <v>45740</v>
      </c>
      <c r="E608" s="11">
        <f t="shared" si="36"/>
        <v>2025</v>
      </c>
      <c r="F608" s="11">
        <f t="shared" si="37"/>
        <v>3</v>
      </c>
      <c r="G608" s="11" t="str">
        <f t="shared" si="38"/>
        <v>202503</v>
      </c>
      <c r="H608" s="4">
        <v>46142</v>
      </c>
      <c r="I608" s="5">
        <v>402</v>
      </c>
      <c r="J608" s="5">
        <v>13.4</v>
      </c>
      <c r="K608" s="5">
        <f t="shared" si="39"/>
        <v>0</v>
      </c>
      <c r="L608" s="5">
        <v>0</v>
      </c>
      <c r="M608" s="5">
        <v>0</v>
      </c>
      <c r="N608" t="s">
        <v>12</v>
      </c>
      <c r="O608" s="8">
        <v>18.465753424657535</v>
      </c>
      <c r="P608" t="s">
        <v>32</v>
      </c>
      <c r="Q608">
        <v>1</v>
      </c>
      <c r="R608" s="2">
        <v>39000</v>
      </c>
    </row>
    <row r="609" spans="1:18" x14ac:dyDescent="0.3">
      <c r="A609" t="s">
        <v>7</v>
      </c>
      <c r="B609">
        <v>18338394</v>
      </c>
      <c r="C609" t="s">
        <v>8</v>
      </c>
      <c r="D609" s="4">
        <v>45740</v>
      </c>
      <c r="E609" s="11">
        <f t="shared" si="36"/>
        <v>2025</v>
      </c>
      <c r="F609" s="11">
        <f t="shared" si="37"/>
        <v>3</v>
      </c>
      <c r="G609" s="11" t="str">
        <f t="shared" si="38"/>
        <v>202503</v>
      </c>
      <c r="H609" s="4">
        <v>45808</v>
      </c>
      <c r="I609" s="5">
        <v>68</v>
      </c>
      <c r="J609" s="5">
        <v>2.2666666666666666</v>
      </c>
      <c r="K609" s="5">
        <f t="shared" si="39"/>
        <v>0</v>
      </c>
      <c r="L609" s="5">
        <v>1</v>
      </c>
      <c r="M609" s="5">
        <v>1</v>
      </c>
      <c r="N609" t="s">
        <v>9</v>
      </c>
      <c r="O609" s="8">
        <v>20.712328767123289</v>
      </c>
      <c r="P609" t="s">
        <v>32</v>
      </c>
      <c r="Q609">
        <v>1</v>
      </c>
      <c r="R609" s="2">
        <v>38180</v>
      </c>
    </row>
    <row r="610" spans="1:18" x14ac:dyDescent="0.3">
      <c r="A610" t="s">
        <v>7</v>
      </c>
      <c r="B610">
        <v>18338429</v>
      </c>
      <c r="C610" t="s">
        <v>8</v>
      </c>
      <c r="D610" s="4">
        <v>45740</v>
      </c>
      <c r="E610" s="11">
        <f t="shared" si="36"/>
        <v>2025</v>
      </c>
      <c r="F610" s="11">
        <f t="shared" si="37"/>
        <v>3</v>
      </c>
      <c r="G610" s="11" t="str">
        <f t="shared" si="38"/>
        <v>202503</v>
      </c>
      <c r="H610" s="4">
        <v>45777</v>
      </c>
      <c r="I610" s="5">
        <v>37</v>
      </c>
      <c r="J610" s="5">
        <v>1.2333333333333334</v>
      </c>
      <c r="K610" s="5">
        <f t="shared" si="39"/>
        <v>0</v>
      </c>
      <c r="L610" s="5">
        <v>1</v>
      </c>
      <c r="M610" s="5">
        <v>1</v>
      </c>
      <c r="N610" t="s">
        <v>12</v>
      </c>
      <c r="O610" s="8">
        <v>18.298630136986301</v>
      </c>
      <c r="P610" t="s">
        <v>32</v>
      </c>
      <c r="Q610">
        <v>1</v>
      </c>
      <c r="R610" s="2">
        <v>39061</v>
      </c>
    </row>
    <row r="611" spans="1:18" x14ac:dyDescent="0.3">
      <c r="A611" t="s">
        <v>7</v>
      </c>
      <c r="B611">
        <v>18338483</v>
      </c>
      <c r="C611" t="s">
        <v>8</v>
      </c>
      <c r="D611" s="4">
        <v>45740</v>
      </c>
      <c r="E611" s="11">
        <f t="shared" si="36"/>
        <v>2025</v>
      </c>
      <c r="F611" s="11">
        <f t="shared" si="37"/>
        <v>3</v>
      </c>
      <c r="G611" s="11" t="str">
        <f t="shared" si="38"/>
        <v>202503</v>
      </c>
      <c r="H611" s="4">
        <v>46027</v>
      </c>
      <c r="I611" s="5">
        <v>287</v>
      </c>
      <c r="J611" s="5">
        <v>9.5666666666666664</v>
      </c>
      <c r="K611" s="5">
        <f t="shared" si="39"/>
        <v>0</v>
      </c>
      <c r="L611" s="5">
        <v>0</v>
      </c>
      <c r="M611" s="5">
        <v>0</v>
      </c>
      <c r="N611" t="s">
        <v>12</v>
      </c>
      <c r="O611" s="8">
        <v>27.424657534246574</v>
      </c>
      <c r="P611" t="s">
        <v>34</v>
      </c>
      <c r="Q611">
        <v>3</v>
      </c>
      <c r="R611" s="2">
        <v>35730</v>
      </c>
    </row>
    <row r="612" spans="1:18" x14ac:dyDescent="0.3">
      <c r="A612" t="s">
        <v>11</v>
      </c>
      <c r="B612">
        <v>18338496</v>
      </c>
      <c r="C612" t="s">
        <v>10</v>
      </c>
      <c r="D612" s="4">
        <v>45740</v>
      </c>
      <c r="E612" s="11">
        <f t="shared" si="36"/>
        <v>2025</v>
      </c>
      <c r="F612" s="11">
        <f t="shared" si="37"/>
        <v>3</v>
      </c>
      <c r="G612" s="11" t="str">
        <f t="shared" si="38"/>
        <v>202503</v>
      </c>
      <c r="I612" s="5">
        <v>9999</v>
      </c>
      <c r="J612" s="5">
        <v>333.3</v>
      </c>
      <c r="K612" s="5">
        <f t="shared" si="39"/>
        <v>0</v>
      </c>
      <c r="L612" s="5">
        <v>0</v>
      </c>
      <c r="M612" s="5">
        <v>0</v>
      </c>
      <c r="N612" t="s">
        <v>9</v>
      </c>
      <c r="O612" s="8">
        <v>21.438356164383563</v>
      </c>
      <c r="P612" t="s">
        <v>33</v>
      </c>
      <c r="Q612">
        <v>2</v>
      </c>
      <c r="R612" s="2">
        <v>37915</v>
      </c>
    </row>
    <row r="613" spans="1:18" x14ac:dyDescent="0.3">
      <c r="A613" t="s">
        <v>11</v>
      </c>
      <c r="B613">
        <v>18338513</v>
      </c>
      <c r="C613" t="s">
        <v>8</v>
      </c>
      <c r="D613" s="4">
        <v>45740</v>
      </c>
      <c r="E613" s="11">
        <f t="shared" si="36"/>
        <v>2025</v>
      </c>
      <c r="F613" s="11">
        <f t="shared" si="37"/>
        <v>3</v>
      </c>
      <c r="G613" s="11" t="str">
        <f t="shared" si="38"/>
        <v>202503</v>
      </c>
      <c r="I613" s="5">
        <v>9999</v>
      </c>
      <c r="J613" s="5">
        <v>333.3</v>
      </c>
      <c r="K613" s="5">
        <f t="shared" si="39"/>
        <v>0</v>
      </c>
      <c r="L613" s="5">
        <v>0</v>
      </c>
      <c r="M613" s="5">
        <v>0</v>
      </c>
      <c r="N613" t="s">
        <v>9</v>
      </c>
      <c r="O613" s="8">
        <v>23.435616438356163</v>
      </c>
      <c r="P613" t="s">
        <v>33</v>
      </c>
      <c r="Q613">
        <v>2</v>
      </c>
      <c r="R613" s="2">
        <v>37186</v>
      </c>
    </row>
    <row r="614" spans="1:18" x14ac:dyDescent="0.3">
      <c r="A614" t="s">
        <v>7</v>
      </c>
      <c r="B614">
        <v>18338516</v>
      </c>
      <c r="C614" t="s">
        <v>8</v>
      </c>
      <c r="D614" s="4">
        <v>45740</v>
      </c>
      <c r="E614" s="11">
        <f t="shared" si="36"/>
        <v>2025</v>
      </c>
      <c r="F614" s="11">
        <f t="shared" si="37"/>
        <v>3</v>
      </c>
      <c r="G614" s="11" t="str">
        <f t="shared" si="38"/>
        <v>202503</v>
      </c>
      <c r="H614" s="4">
        <v>45786</v>
      </c>
      <c r="I614" s="5">
        <v>46</v>
      </c>
      <c r="J614" s="5">
        <v>1.5333333333333334</v>
      </c>
      <c r="K614" s="5">
        <f t="shared" si="39"/>
        <v>0</v>
      </c>
      <c r="L614" s="5">
        <v>1</v>
      </c>
      <c r="M614" s="5">
        <v>1</v>
      </c>
      <c r="N614" t="s">
        <v>9</v>
      </c>
      <c r="O614" s="8">
        <v>18.095890410958905</v>
      </c>
      <c r="P614" t="s">
        <v>32</v>
      </c>
      <c r="Q614">
        <v>1</v>
      </c>
      <c r="R614" s="2">
        <v>39135</v>
      </c>
    </row>
    <row r="615" spans="1:18" x14ac:dyDescent="0.3">
      <c r="A615" t="s">
        <v>7</v>
      </c>
      <c r="B615">
        <v>18338570</v>
      </c>
      <c r="C615" t="s">
        <v>8</v>
      </c>
      <c r="D615" s="4">
        <v>45740</v>
      </c>
      <c r="E615" s="11">
        <f t="shared" si="36"/>
        <v>2025</v>
      </c>
      <c r="F615" s="11">
        <f t="shared" si="37"/>
        <v>3</v>
      </c>
      <c r="G615" s="11" t="str">
        <f t="shared" si="38"/>
        <v>202503</v>
      </c>
      <c r="H615" s="4">
        <v>45839</v>
      </c>
      <c r="I615" s="5">
        <v>99</v>
      </c>
      <c r="J615" s="5">
        <v>3.3</v>
      </c>
      <c r="K615" s="5">
        <f t="shared" si="39"/>
        <v>0</v>
      </c>
      <c r="L615" s="5">
        <v>0</v>
      </c>
      <c r="M615" s="5">
        <v>1</v>
      </c>
      <c r="N615" t="s">
        <v>9</v>
      </c>
      <c r="O615" s="8">
        <v>34.80821917808219</v>
      </c>
      <c r="P615" t="s">
        <v>35</v>
      </c>
      <c r="Q615">
        <v>4</v>
      </c>
      <c r="R615" s="2">
        <v>33035</v>
      </c>
    </row>
    <row r="616" spans="1:18" x14ac:dyDescent="0.3">
      <c r="A616" t="s">
        <v>7</v>
      </c>
      <c r="B616">
        <v>18339043</v>
      </c>
      <c r="C616" t="s">
        <v>8</v>
      </c>
      <c r="D616" s="4">
        <v>45740</v>
      </c>
      <c r="E616" s="11">
        <f t="shared" si="36"/>
        <v>2025</v>
      </c>
      <c r="F616" s="11">
        <f t="shared" si="37"/>
        <v>3</v>
      </c>
      <c r="G616" s="11" t="str">
        <f t="shared" si="38"/>
        <v>202503</v>
      </c>
      <c r="I616" s="5">
        <v>9999</v>
      </c>
      <c r="J616" s="5">
        <v>333.3</v>
      </c>
      <c r="K616" s="5">
        <f t="shared" si="39"/>
        <v>0</v>
      </c>
      <c r="L616" s="5">
        <v>0</v>
      </c>
      <c r="M616" s="5">
        <v>0</v>
      </c>
      <c r="N616" t="s">
        <v>9</v>
      </c>
      <c r="O616" s="8">
        <v>60.715068493150682</v>
      </c>
      <c r="P616" t="s">
        <v>35</v>
      </c>
      <c r="Q616">
        <v>4</v>
      </c>
      <c r="R616" s="2">
        <v>23579</v>
      </c>
    </row>
    <row r="617" spans="1:18" x14ac:dyDescent="0.3">
      <c r="A617" t="s">
        <v>7</v>
      </c>
      <c r="B617">
        <v>18340261</v>
      </c>
      <c r="C617" t="s">
        <v>10</v>
      </c>
      <c r="D617" s="4">
        <v>45741</v>
      </c>
      <c r="E617" s="11">
        <f t="shared" si="36"/>
        <v>2025</v>
      </c>
      <c r="F617" s="11">
        <f t="shared" si="37"/>
        <v>3</v>
      </c>
      <c r="G617" s="11" t="str">
        <f t="shared" si="38"/>
        <v>202503</v>
      </c>
      <c r="H617" s="4">
        <v>45792</v>
      </c>
      <c r="I617" s="5">
        <v>51</v>
      </c>
      <c r="J617" s="5">
        <v>1.7</v>
      </c>
      <c r="K617" s="5">
        <f t="shared" si="39"/>
        <v>0</v>
      </c>
      <c r="L617" s="5">
        <v>1</v>
      </c>
      <c r="M617" s="5">
        <v>1</v>
      </c>
      <c r="N617" t="s">
        <v>9</v>
      </c>
      <c r="O617" s="8">
        <v>26.561643835616437</v>
      </c>
      <c r="P617" t="s">
        <v>34</v>
      </c>
      <c r="Q617">
        <v>3</v>
      </c>
      <c r="R617" s="2">
        <v>36046</v>
      </c>
    </row>
    <row r="618" spans="1:18" x14ac:dyDescent="0.3">
      <c r="A618" t="s">
        <v>7</v>
      </c>
      <c r="B618">
        <v>18340301</v>
      </c>
      <c r="C618" t="s">
        <v>8</v>
      </c>
      <c r="D618" s="4">
        <v>45741</v>
      </c>
      <c r="E618" s="11">
        <f t="shared" si="36"/>
        <v>2025</v>
      </c>
      <c r="F618" s="11">
        <f t="shared" si="37"/>
        <v>3</v>
      </c>
      <c r="G618" s="11" t="str">
        <f t="shared" si="38"/>
        <v>202503</v>
      </c>
      <c r="I618" s="5">
        <v>9999</v>
      </c>
      <c r="J618" s="5">
        <v>333.3</v>
      </c>
      <c r="K618" s="5">
        <f t="shared" si="39"/>
        <v>0</v>
      </c>
      <c r="L618" s="5">
        <v>0</v>
      </c>
      <c r="M618" s="5">
        <v>0</v>
      </c>
      <c r="N618" t="s">
        <v>9</v>
      </c>
      <c r="O618" s="8">
        <v>24.2</v>
      </c>
      <c r="P618" t="s">
        <v>33</v>
      </c>
      <c r="Q618">
        <v>2</v>
      </c>
      <c r="R618" s="2">
        <v>36908</v>
      </c>
    </row>
    <row r="619" spans="1:18" x14ac:dyDescent="0.3">
      <c r="A619" t="s">
        <v>7</v>
      </c>
      <c r="B619">
        <v>18340386</v>
      </c>
      <c r="C619" t="s">
        <v>8</v>
      </c>
      <c r="D619" s="4">
        <v>45741</v>
      </c>
      <c r="E619" s="11">
        <f t="shared" si="36"/>
        <v>2025</v>
      </c>
      <c r="F619" s="11">
        <f t="shared" si="37"/>
        <v>3</v>
      </c>
      <c r="G619" s="11" t="str">
        <f t="shared" si="38"/>
        <v>202503</v>
      </c>
      <c r="H619" s="4">
        <v>45901</v>
      </c>
      <c r="I619" s="5">
        <v>160</v>
      </c>
      <c r="J619" s="5">
        <v>5.333333333333333</v>
      </c>
      <c r="K619" s="5">
        <f t="shared" si="39"/>
        <v>0</v>
      </c>
      <c r="L619" s="5">
        <v>0</v>
      </c>
      <c r="M619" s="5">
        <v>1</v>
      </c>
      <c r="N619" t="s">
        <v>9</v>
      </c>
      <c r="O619" s="8">
        <v>24.44109589041096</v>
      </c>
      <c r="P619" t="s">
        <v>33</v>
      </c>
      <c r="Q619">
        <v>2</v>
      </c>
      <c r="R619" s="2">
        <v>36820</v>
      </c>
    </row>
    <row r="620" spans="1:18" x14ac:dyDescent="0.3">
      <c r="A620" t="s">
        <v>7</v>
      </c>
      <c r="B620">
        <v>18340389</v>
      </c>
      <c r="C620" t="s">
        <v>10</v>
      </c>
      <c r="D620" s="4">
        <v>45741</v>
      </c>
      <c r="E620" s="11">
        <f t="shared" si="36"/>
        <v>2025</v>
      </c>
      <c r="F620" s="11">
        <f t="shared" si="37"/>
        <v>3</v>
      </c>
      <c r="G620" s="11" t="str">
        <f t="shared" si="38"/>
        <v>202503</v>
      </c>
      <c r="H620" s="4">
        <v>45839</v>
      </c>
      <c r="I620" s="5">
        <v>98</v>
      </c>
      <c r="J620" s="5">
        <v>3.2666666666666666</v>
      </c>
      <c r="K620" s="5">
        <f t="shared" si="39"/>
        <v>0</v>
      </c>
      <c r="L620" s="5">
        <v>0</v>
      </c>
      <c r="M620" s="5">
        <v>1</v>
      </c>
      <c r="N620" t="s">
        <v>9</v>
      </c>
      <c r="O620" s="8">
        <v>19.345205479452055</v>
      </c>
      <c r="P620" t="s">
        <v>32</v>
      </c>
      <c r="Q620">
        <v>1</v>
      </c>
      <c r="R620" s="2">
        <v>38680</v>
      </c>
    </row>
    <row r="621" spans="1:18" x14ac:dyDescent="0.3">
      <c r="A621" t="s">
        <v>7</v>
      </c>
      <c r="B621">
        <v>18340395</v>
      </c>
      <c r="C621" t="s">
        <v>8</v>
      </c>
      <c r="D621" s="4">
        <v>45741</v>
      </c>
      <c r="E621" s="11">
        <f t="shared" si="36"/>
        <v>2025</v>
      </c>
      <c r="F621" s="11">
        <f t="shared" si="37"/>
        <v>3</v>
      </c>
      <c r="G621" s="11" t="str">
        <f t="shared" si="38"/>
        <v>202503</v>
      </c>
      <c r="H621" s="4">
        <v>46036</v>
      </c>
      <c r="I621" s="5">
        <v>295</v>
      </c>
      <c r="J621" s="5">
        <v>9.8333333333333339</v>
      </c>
      <c r="K621" s="5">
        <f t="shared" si="39"/>
        <v>0</v>
      </c>
      <c r="L621" s="5">
        <v>0</v>
      </c>
      <c r="M621" s="5">
        <v>0</v>
      </c>
      <c r="N621" t="s">
        <v>9</v>
      </c>
      <c r="O621" s="8">
        <v>19.186301369863013</v>
      </c>
      <c r="P621" t="s">
        <v>32</v>
      </c>
      <c r="Q621">
        <v>1</v>
      </c>
      <c r="R621" s="2">
        <v>38738</v>
      </c>
    </row>
    <row r="622" spans="1:18" x14ac:dyDescent="0.3">
      <c r="A622" t="s">
        <v>7</v>
      </c>
      <c r="B622">
        <v>18340397</v>
      </c>
      <c r="C622" t="s">
        <v>8</v>
      </c>
      <c r="D622" s="4">
        <v>45741</v>
      </c>
      <c r="E622" s="11">
        <f t="shared" si="36"/>
        <v>2025</v>
      </c>
      <c r="F622" s="11">
        <f t="shared" si="37"/>
        <v>3</v>
      </c>
      <c r="G622" s="11" t="str">
        <f t="shared" si="38"/>
        <v>202503</v>
      </c>
      <c r="I622" s="5">
        <v>9999</v>
      </c>
      <c r="J622" s="5">
        <v>333.3</v>
      </c>
      <c r="K622" s="5">
        <f t="shared" si="39"/>
        <v>0</v>
      </c>
      <c r="L622" s="5">
        <v>0</v>
      </c>
      <c r="M622" s="5">
        <v>0</v>
      </c>
      <c r="N622" t="s">
        <v>12</v>
      </c>
      <c r="O622" s="8">
        <v>27.416438356164385</v>
      </c>
      <c r="P622" t="s">
        <v>34</v>
      </c>
      <c r="Q622">
        <v>3</v>
      </c>
      <c r="R622" s="2">
        <v>35734</v>
      </c>
    </row>
    <row r="623" spans="1:18" x14ac:dyDescent="0.3">
      <c r="A623" t="s">
        <v>7</v>
      </c>
      <c r="B623">
        <v>18340402</v>
      </c>
      <c r="C623" t="s">
        <v>8</v>
      </c>
      <c r="D623" s="4">
        <v>45741</v>
      </c>
      <c r="E623" s="11">
        <f t="shared" si="36"/>
        <v>2025</v>
      </c>
      <c r="F623" s="11">
        <f t="shared" si="37"/>
        <v>3</v>
      </c>
      <c r="G623" s="11" t="str">
        <f t="shared" si="38"/>
        <v>202503</v>
      </c>
      <c r="I623" s="5">
        <v>9999</v>
      </c>
      <c r="J623" s="5">
        <v>333.3</v>
      </c>
      <c r="K623" s="5">
        <f t="shared" si="39"/>
        <v>0</v>
      </c>
      <c r="L623" s="5">
        <v>0</v>
      </c>
      <c r="M623" s="5">
        <v>0</v>
      </c>
      <c r="N623" t="s">
        <v>9</v>
      </c>
      <c r="O623" s="8">
        <v>25.82191780821918</v>
      </c>
      <c r="P623" t="s">
        <v>33</v>
      </c>
      <c r="Q623">
        <v>2</v>
      </c>
      <c r="R623" s="2">
        <v>36316</v>
      </c>
    </row>
    <row r="624" spans="1:18" x14ac:dyDescent="0.3">
      <c r="A624" t="s">
        <v>7</v>
      </c>
      <c r="B624">
        <v>18340462</v>
      </c>
      <c r="C624" t="s">
        <v>8</v>
      </c>
      <c r="D624" s="4">
        <v>45742</v>
      </c>
      <c r="E624" s="11">
        <f t="shared" si="36"/>
        <v>2025</v>
      </c>
      <c r="F624" s="11">
        <f t="shared" si="37"/>
        <v>3</v>
      </c>
      <c r="G624" s="11" t="str">
        <f t="shared" si="38"/>
        <v>202503</v>
      </c>
      <c r="I624" s="5">
        <v>9999</v>
      </c>
      <c r="J624" s="5">
        <v>333.3</v>
      </c>
      <c r="K624" s="5">
        <f t="shared" si="39"/>
        <v>0</v>
      </c>
      <c r="L624" s="5">
        <v>0</v>
      </c>
      <c r="M624" s="5">
        <v>0</v>
      </c>
      <c r="N624" t="s">
        <v>9</v>
      </c>
      <c r="O624" s="8">
        <v>18.257534246575343</v>
      </c>
      <c r="P624" t="s">
        <v>32</v>
      </c>
      <c r="Q624">
        <v>1</v>
      </c>
      <c r="R624" s="2">
        <v>39078</v>
      </c>
    </row>
    <row r="625" spans="1:18" x14ac:dyDescent="0.3">
      <c r="A625" t="s">
        <v>7</v>
      </c>
      <c r="B625">
        <v>18340475</v>
      </c>
      <c r="C625" t="s">
        <v>8</v>
      </c>
      <c r="D625" s="4">
        <v>45742</v>
      </c>
      <c r="E625" s="11">
        <f t="shared" si="36"/>
        <v>2025</v>
      </c>
      <c r="F625" s="11">
        <f t="shared" si="37"/>
        <v>3</v>
      </c>
      <c r="G625" s="11" t="str">
        <f t="shared" si="38"/>
        <v>202503</v>
      </c>
      <c r="H625" s="4">
        <v>46029</v>
      </c>
      <c r="I625" s="5">
        <v>287</v>
      </c>
      <c r="J625" s="5">
        <v>9.5666666666666664</v>
      </c>
      <c r="K625" s="5">
        <f t="shared" si="39"/>
        <v>0</v>
      </c>
      <c r="L625" s="5">
        <v>0</v>
      </c>
      <c r="M625" s="5">
        <v>0</v>
      </c>
      <c r="N625" t="s">
        <v>9</v>
      </c>
      <c r="O625" s="8">
        <v>23.663013698630138</v>
      </c>
      <c r="P625" t="s">
        <v>33</v>
      </c>
      <c r="Q625">
        <v>2</v>
      </c>
      <c r="R625" s="2">
        <v>37105</v>
      </c>
    </row>
    <row r="626" spans="1:18" x14ac:dyDescent="0.3">
      <c r="A626" t="s">
        <v>7</v>
      </c>
      <c r="B626">
        <v>18340476</v>
      </c>
      <c r="C626" t="s">
        <v>10</v>
      </c>
      <c r="D626" s="4">
        <v>45742</v>
      </c>
      <c r="E626" s="11">
        <f t="shared" si="36"/>
        <v>2025</v>
      </c>
      <c r="F626" s="11">
        <f t="shared" si="37"/>
        <v>3</v>
      </c>
      <c r="G626" s="11" t="str">
        <f t="shared" si="38"/>
        <v>202503</v>
      </c>
      <c r="H626" s="4">
        <v>45900</v>
      </c>
      <c r="I626" s="5">
        <v>158</v>
      </c>
      <c r="J626" s="5">
        <v>5.2666666666666666</v>
      </c>
      <c r="K626" s="5">
        <f t="shared" si="39"/>
        <v>0</v>
      </c>
      <c r="L626" s="5">
        <v>0</v>
      </c>
      <c r="M626" s="5">
        <v>1</v>
      </c>
      <c r="N626" t="s">
        <v>9</v>
      </c>
      <c r="O626" s="8">
        <v>22.75068493150685</v>
      </c>
      <c r="P626" t="s">
        <v>33</v>
      </c>
      <c r="Q626">
        <v>2</v>
      </c>
      <c r="R626" s="2">
        <v>37438</v>
      </c>
    </row>
    <row r="627" spans="1:18" x14ac:dyDescent="0.3">
      <c r="A627" t="s">
        <v>7</v>
      </c>
      <c r="B627">
        <v>18340477</v>
      </c>
      <c r="C627" t="s">
        <v>8</v>
      </c>
      <c r="D627" s="4">
        <v>45742</v>
      </c>
      <c r="E627" s="11">
        <f t="shared" si="36"/>
        <v>2025</v>
      </c>
      <c r="F627" s="11">
        <f t="shared" si="37"/>
        <v>3</v>
      </c>
      <c r="G627" s="11" t="str">
        <f t="shared" si="38"/>
        <v>202503</v>
      </c>
      <c r="H627" s="4">
        <v>45748</v>
      </c>
      <c r="I627" s="5">
        <v>6</v>
      </c>
      <c r="J627" s="5">
        <v>0.2</v>
      </c>
      <c r="K627" s="5">
        <f t="shared" si="39"/>
        <v>1</v>
      </c>
      <c r="L627" s="5">
        <v>1</v>
      </c>
      <c r="M627" s="5">
        <v>1</v>
      </c>
      <c r="N627" t="s">
        <v>9</v>
      </c>
      <c r="O627" s="8">
        <v>19.547945205479451</v>
      </c>
      <c r="P627" t="s">
        <v>32</v>
      </c>
      <c r="Q627">
        <v>1</v>
      </c>
      <c r="R627" s="2">
        <v>38607</v>
      </c>
    </row>
    <row r="628" spans="1:18" x14ac:dyDescent="0.3">
      <c r="A628" t="s">
        <v>7</v>
      </c>
      <c r="B628">
        <v>18340480</v>
      </c>
      <c r="C628" t="s">
        <v>10</v>
      </c>
      <c r="D628" s="4">
        <v>45742</v>
      </c>
      <c r="E628" s="11">
        <f t="shared" si="36"/>
        <v>2025</v>
      </c>
      <c r="F628" s="11">
        <f t="shared" si="37"/>
        <v>3</v>
      </c>
      <c r="G628" s="11" t="str">
        <f t="shared" si="38"/>
        <v>202503</v>
      </c>
      <c r="I628" s="5">
        <v>9999</v>
      </c>
      <c r="J628" s="5">
        <v>333.3</v>
      </c>
      <c r="K628" s="5">
        <f t="shared" si="39"/>
        <v>0</v>
      </c>
      <c r="L628" s="5">
        <v>0</v>
      </c>
      <c r="M628" s="5">
        <v>0</v>
      </c>
      <c r="N628" t="s">
        <v>9</v>
      </c>
      <c r="O628" s="8">
        <v>22.706849315068492</v>
      </c>
      <c r="P628" t="s">
        <v>33</v>
      </c>
      <c r="Q628">
        <v>2</v>
      </c>
      <c r="R628" s="2">
        <v>37454</v>
      </c>
    </row>
    <row r="629" spans="1:18" x14ac:dyDescent="0.3">
      <c r="A629" t="s">
        <v>11</v>
      </c>
      <c r="B629">
        <v>18340481</v>
      </c>
      <c r="C629" t="s">
        <v>8</v>
      </c>
      <c r="D629" s="4">
        <v>45742</v>
      </c>
      <c r="E629" s="11">
        <f t="shared" si="36"/>
        <v>2025</v>
      </c>
      <c r="F629" s="11">
        <f t="shared" si="37"/>
        <v>3</v>
      </c>
      <c r="G629" s="11" t="str">
        <f t="shared" si="38"/>
        <v>202503</v>
      </c>
      <c r="H629" s="4">
        <v>46054</v>
      </c>
      <c r="I629" s="5">
        <v>312</v>
      </c>
      <c r="J629" s="5">
        <v>10.4</v>
      </c>
      <c r="K629" s="5">
        <f t="shared" si="39"/>
        <v>0</v>
      </c>
      <c r="L629" s="5">
        <v>0</v>
      </c>
      <c r="M629" s="5">
        <v>0</v>
      </c>
      <c r="N629" t="s">
        <v>9</v>
      </c>
      <c r="O629" s="8">
        <v>20.246575342465754</v>
      </c>
      <c r="P629" t="s">
        <v>32</v>
      </c>
      <c r="Q629">
        <v>1</v>
      </c>
      <c r="R629" s="2">
        <v>38352</v>
      </c>
    </row>
    <row r="630" spans="1:18" x14ac:dyDescent="0.3">
      <c r="A630" t="s">
        <v>7</v>
      </c>
      <c r="B630">
        <v>18340483</v>
      </c>
      <c r="C630" t="s">
        <v>8</v>
      </c>
      <c r="D630" s="4">
        <v>45742</v>
      </c>
      <c r="E630" s="11">
        <f t="shared" si="36"/>
        <v>2025</v>
      </c>
      <c r="F630" s="11">
        <f t="shared" si="37"/>
        <v>3</v>
      </c>
      <c r="G630" s="11" t="str">
        <f t="shared" si="38"/>
        <v>202503</v>
      </c>
      <c r="H630" s="4">
        <v>45794</v>
      </c>
      <c r="I630" s="5">
        <v>52</v>
      </c>
      <c r="J630" s="5">
        <v>1.7333333333333334</v>
      </c>
      <c r="K630" s="5">
        <f t="shared" si="39"/>
        <v>0</v>
      </c>
      <c r="L630" s="5">
        <v>1</v>
      </c>
      <c r="M630" s="5">
        <v>1</v>
      </c>
      <c r="N630" t="s">
        <v>9</v>
      </c>
      <c r="O630" s="8">
        <v>20.610958904109587</v>
      </c>
      <c r="P630" t="s">
        <v>32</v>
      </c>
      <c r="Q630">
        <v>1</v>
      </c>
      <c r="R630" s="2">
        <v>38219</v>
      </c>
    </row>
    <row r="631" spans="1:18" x14ac:dyDescent="0.3">
      <c r="A631" t="s">
        <v>7</v>
      </c>
      <c r="B631">
        <v>18340487</v>
      </c>
      <c r="C631" t="s">
        <v>8</v>
      </c>
      <c r="D631" s="4">
        <v>45742</v>
      </c>
      <c r="E631" s="11">
        <f t="shared" si="36"/>
        <v>2025</v>
      </c>
      <c r="F631" s="11">
        <f t="shared" si="37"/>
        <v>3</v>
      </c>
      <c r="G631" s="11" t="str">
        <f t="shared" si="38"/>
        <v>202503</v>
      </c>
      <c r="H631" s="4">
        <v>46022</v>
      </c>
      <c r="I631" s="5">
        <v>280</v>
      </c>
      <c r="J631" s="5">
        <v>9.3333333333333339</v>
      </c>
      <c r="K631" s="5">
        <f t="shared" si="39"/>
        <v>0</v>
      </c>
      <c r="L631" s="5">
        <v>0</v>
      </c>
      <c r="M631" s="5">
        <v>0</v>
      </c>
      <c r="N631" t="s">
        <v>9</v>
      </c>
      <c r="O631" s="8">
        <v>20.794520547945204</v>
      </c>
      <c r="P631" t="s">
        <v>32</v>
      </c>
      <c r="Q631">
        <v>1</v>
      </c>
      <c r="R631" s="2">
        <v>38152</v>
      </c>
    </row>
    <row r="632" spans="1:18" x14ac:dyDescent="0.3">
      <c r="A632" t="s">
        <v>7</v>
      </c>
      <c r="B632">
        <v>18340492</v>
      </c>
      <c r="C632" t="s">
        <v>10</v>
      </c>
      <c r="D632" s="4">
        <v>45742</v>
      </c>
      <c r="E632" s="11">
        <f t="shared" si="36"/>
        <v>2025</v>
      </c>
      <c r="F632" s="11">
        <f t="shared" si="37"/>
        <v>3</v>
      </c>
      <c r="G632" s="11" t="str">
        <f t="shared" si="38"/>
        <v>202503</v>
      </c>
      <c r="I632" s="5">
        <v>9999</v>
      </c>
      <c r="J632" s="5">
        <v>333.3</v>
      </c>
      <c r="K632" s="5">
        <f t="shared" si="39"/>
        <v>0</v>
      </c>
      <c r="L632" s="5">
        <v>0</v>
      </c>
      <c r="M632" s="5">
        <v>0</v>
      </c>
      <c r="N632" t="s">
        <v>9</v>
      </c>
      <c r="O632" s="8">
        <v>22.252054794520546</v>
      </c>
      <c r="P632" t="s">
        <v>33</v>
      </c>
      <c r="Q632">
        <v>2</v>
      </c>
      <c r="R632" s="2">
        <v>37620</v>
      </c>
    </row>
    <row r="633" spans="1:18" x14ac:dyDescent="0.3">
      <c r="A633" t="s">
        <v>7</v>
      </c>
      <c r="B633">
        <v>18340844</v>
      </c>
      <c r="C633" t="s">
        <v>8</v>
      </c>
      <c r="D633" s="4">
        <v>45743</v>
      </c>
      <c r="E633" s="11">
        <f t="shared" si="36"/>
        <v>2025</v>
      </c>
      <c r="F633" s="11">
        <f t="shared" si="37"/>
        <v>3</v>
      </c>
      <c r="G633" s="11" t="str">
        <f t="shared" si="38"/>
        <v>202503</v>
      </c>
      <c r="H633" s="4">
        <v>45977</v>
      </c>
      <c r="I633" s="5">
        <v>234</v>
      </c>
      <c r="J633" s="5">
        <v>7.8</v>
      </c>
      <c r="K633" s="5">
        <f t="shared" si="39"/>
        <v>0</v>
      </c>
      <c r="L633" s="5">
        <v>0</v>
      </c>
      <c r="M633" s="5">
        <v>0</v>
      </c>
      <c r="N633" t="s">
        <v>12</v>
      </c>
      <c r="O633" s="8">
        <v>21.693150684931506</v>
      </c>
      <c r="P633" t="s">
        <v>33</v>
      </c>
      <c r="Q633">
        <v>2</v>
      </c>
      <c r="R633" s="2">
        <v>37825</v>
      </c>
    </row>
    <row r="634" spans="1:18" x14ac:dyDescent="0.3">
      <c r="A634" t="s">
        <v>7</v>
      </c>
      <c r="B634">
        <v>18340849</v>
      </c>
      <c r="C634" t="s">
        <v>8</v>
      </c>
      <c r="D634" s="4">
        <v>45743</v>
      </c>
      <c r="E634" s="11">
        <f t="shared" si="36"/>
        <v>2025</v>
      </c>
      <c r="F634" s="11">
        <f t="shared" si="37"/>
        <v>3</v>
      </c>
      <c r="G634" s="11" t="str">
        <f t="shared" si="38"/>
        <v>202503</v>
      </c>
      <c r="H634" s="4">
        <v>45755</v>
      </c>
      <c r="I634" s="5">
        <v>12</v>
      </c>
      <c r="J634" s="5">
        <v>0.4</v>
      </c>
      <c r="K634" s="5">
        <f t="shared" si="39"/>
        <v>1</v>
      </c>
      <c r="L634" s="5">
        <v>1</v>
      </c>
      <c r="M634" s="5">
        <v>1</v>
      </c>
      <c r="N634" t="s">
        <v>9</v>
      </c>
      <c r="O634" s="8">
        <v>20.857534246575341</v>
      </c>
      <c r="P634" t="s">
        <v>32</v>
      </c>
      <c r="Q634">
        <v>1</v>
      </c>
      <c r="R634" s="2">
        <v>38130</v>
      </c>
    </row>
    <row r="635" spans="1:18" x14ac:dyDescent="0.3">
      <c r="A635" t="s">
        <v>7</v>
      </c>
      <c r="B635">
        <v>18340856</v>
      </c>
      <c r="C635" t="s">
        <v>8</v>
      </c>
      <c r="D635" s="4">
        <v>45743</v>
      </c>
      <c r="E635" s="11">
        <f t="shared" si="36"/>
        <v>2025</v>
      </c>
      <c r="F635" s="11">
        <f t="shared" si="37"/>
        <v>3</v>
      </c>
      <c r="G635" s="11" t="str">
        <f t="shared" si="38"/>
        <v>202503</v>
      </c>
      <c r="H635" s="4">
        <v>46054</v>
      </c>
      <c r="I635" s="5">
        <v>311</v>
      </c>
      <c r="J635" s="5">
        <v>10.366666666666667</v>
      </c>
      <c r="K635" s="5">
        <f t="shared" si="39"/>
        <v>0</v>
      </c>
      <c r="L635" s="5">
        <v>0</v>
      </c>
      <c r="M635" s="5">
        <v>0</v>
      </c>
      <c r="N635" t="s">
        <v>9</v>
      </c>
      <c r="O635" s="8">
        <v>20.304109589041097</v>
      </c>
      <c r="P635" t="s">
        <v>32</v>
      </c>
      <c r="Q635">
        <v>1</v>
      </c>
      <c r="R635" s="2">
        <v>38332</v>
      </c>
    </row>
    <row r="636" spans="1:18" x14ac:dyDescent="0.3">
      <c r="A636" t="s">
        <v>7</v>
      </c>
      <c r="B636">
        <v>18340858</v>
      </c>
      <c r="C636" t="s">
        <v>10</v>
      </c>
      <c r="D636" s="4">
        <v>45743</v>
      </c>
      <c r="E636" s="11">
        <f t="shared" si="36"/>
        <v>2025</v>
      </c>
      <c r="F636" s="11">
        <f t="shared" si="37"/>
        <v>3</v>
      </c>
      <c r="G636" s="11" t="str">
        <f t="shared" si="38"/>
        <v>202503</v>
      </c>
      <c r="H636" s="4">
        <v>46053</v>
      </c>
      <c r="I636" s="5">
        <v>310</v>
      </c>
      <c r="J636" s="5">
        <v>10.333333333333334</v>
      </c>
      <c r="K636" s="5">
        <f t="shared" si="39"/>
        <v>0</v>
      </c>
      <c r="L636" s="5">
        <v>0</v>
      </c>
      <c r="M636" s="5">
        <v>0</v>
      </c>
      <c r="N636" t="s">
        <v>9</v>
      </c>
      <c r="O636" s="8">
        <v>19.660273972602738</v>
      </c>
      <c r="P636" t="s">
        <v>32</v>
      </c>
      <c r="Q636">
        <v>1</v>
      </c>
      <c r="R636" s="2">
        <v>38567</v>
      </c>
    </row>
    <row r="637" spans="1:18" x14ac:dyDescent="0.3">
      <c r="A637" t="s">
        <v>7</v>
      </c>
      <c r="B637">
        <v>18340861</v>
      </c>
      <c r="C637" t="s">
        <v>8</v>
      </c>
      <c r="D637" s="4">
        <v>45743</v>
      </c>
      <c r="E637" s="11">
        <f t="shared" si="36"/>
        <v>2025</v>
      </c>
      <c r="F637" s="11">
        <f t="shared" si="37"/>
        <v>3</v>
      </c>
      <c r="G637" s="11" t="str">
        <f t="shared" si="38"/>
        <v>202503</v>
      </c>
      <c r="I637" s="5">
        <v>9999</v>
      </c>
      <c r="J637" s="5">
        <v>333.3</v>
      </c>
      <c r="K637" s="5">
        <f t="shared" si="39"/>
        <v>0</v>
      </c>
      <c r="L637" s="5">
        <v>0</v>
      </c>
      <c r="M637" s="5">
        <v>0</v>
      </c>
      <c r="N637" t="s">
        <v>9</v>
      </c>
      <c r="O637" s="8">
        <v>34.934246575342463</v>
      </c>
      <c r="P637" t="s">
        <v>35</v>
      </c>
      <c r="Q637">
        <v>4</v>
      </c>
      <c r="R637" s="2">
        <v>32992</v>
      </c>
    </row>
    <row r="638" spans="1:18" x14ac:dyDescent="0.3">
      <c r="A638" t="s">
        <v>7</v>
      </c>
      <c r="B638">
        <v>18340864</v>
      </c>
      <c r="C638" t="s">
        <v>10</v>
      </c>
      <c r="D638" s="4">
        <v>45743</v>
      </c>
      <c r="E638" s="11">
        <f t="shared" si="36"/>
        <v>2025</v>
      </c>
      <c r="F638" s="11">
        <f t="shared" si="37"/>
        <v>3</v>
      </c>
      <c r="G638" s="11" t="str">
        <f t="shared" si="38"/>
        <v>202503</v>
      </c>
      <c r="H638" s="4">
        <v>45751</v>
      </c>
      <c r="I638" s="5">
        <v>8</v>
      </c>
      <c r="J638" s="5">
        <v>0.26666666666666666</v>
      </c>
      <c r="K638" s="5">
        <f t="shared" si="39"/>
        <v>1</v>
      </c>
      <c r="L638" s="5">
        <v>1</v>
      </c>
      <c r="M638" s="5">
        <v>1</v>
      </c>
      <c r="N638" t="s">
        <v>9</v>
      </c>
      <c r="O638" s="8">
        <v>20.109589041095891</v>
      </c>
      <c r="P638" t="s">
        <v>32</v>
      </c>
      <c r="Q638">
        <v>1</v>
      </c>
      <c r="R638" s="2">
        <v>38403</v>
      </c>
    </row>
    <row r="639" spans="1:18" x14ac:dyDescent="0.3">
      <c r="A639" t="s">
        <v>7</v>
      </c>
      <c r="B639">
        <v>18340865</v>
      </c>
      <c r="C639" t="s">
        <v>8</v>
      </c>
      <c r="D639" s="4">
        <v>45743</v>
      </c>
      <c r="E639" s="11">
        <f t="shared" si="36"/>
        <v>2025</v>
      </c>
      <c r="F639" s="11">
        <f t="shared" si="37"/>
        <v>3</v>
      </c>
      <c r="G639" s="11" t="str">
        <f t="shared" si="38"/>
        <v>202503</v>
      </c>
      <c r="H639" s="4">
        <v>45901</v>
      </c>
      <c r="I639" s="5">
        <v>158</v>
      </c>
      <c r="J639" s="5">
        <v>5.2666666666666666</v>
      </c>
      <c r="K639" s="5">
        <f t="shared" si="39"/>
        <v>0</v>
      </c>
      <c r="L639" s="5">
        <v>0</v>
      </c>
      <c r="M639" s="5">
        <v>1</v>
      </c>
      <c r="N639" t="s">
        <v>9</v>
      </c>
      <c r="O639" s="8">
        <v>20.238356164383561</v>
      </c>
      <c r="P639" t="s">
        <v>32</v>
      </c>
      <c r="Q639">
        <v>1</v>
      </c>
      <c r="R639" s="2">
        <v>38356</v>
      </c>
    </row>
    <row r="640" spans="1:18" x14ac:dyDescent="0.3">
      <c r="A640" t="s">
        <v>7</v>
      </c>
      <c r="B640">
        <v>18340866</v>
      </c>
      <c r="C640" t="s">
        <v>8</v>
      </c>
      <c r="D640" s="4">
        <v>45743</v>
      </c>
      <c r="E640" s="11">
        <f t="shared" si="36"/>
        <v>2025</v>
      </c>
      <c r="F640" s="11">
        <f t="shared" si="37"/>
        <v>3</v>
      </c>
      <c r="G640" s="11" t="str">
        <f t="shared" si="38"/>
        <v>202503</v>
      </c>
      <c r="H640" s="4">
        <v>46032</v>
      </c>
      <c r="I640" s="5">
        <v>289</v>
      </c>
      <c r="J640" s="5">
        <v>9.6333333333333329</v>
      </c>
      <c r="K640" s="5">
        <f t="shared" si="39"/>
        <v>0</v>
      </c>
      <c r="L640" s="5">
        <v>0</v>
      </c>
      <c r="M640" s="5">
        <v>0</v>
      </c>
      <c r="N640" t="s">
        <v>9</v>
      </c>
      <c r="O640" s="8">
        <v>18.75068493150685</v>
      </c>
      <c r="P640" t="s">
        <v>32</v>
      </c>
      <c r="Q640">
        <v>1</v>
      </c>
      <c r="R640" s="2">
        <v>38899</v>
      </c>
    </row>
    <row r="641" spans="1:18" x14ac:dyDescent="0.3">
      <c r="A641" t="s">
        <v>7</v>
      </c>
      <c r="B641">
        <v>18340870</v>
      </c>
      <c r="C641" t="s">
        <v>8</v>
      </c>
      <c r="D641" s="4">
        <v>45743</v>
      </c>
      <c r="E641" s="11">
        <f t="shared" si="36"/>
        <v>2025</v>
      </c>
      <c r="F641" s="11">
        <f t="shared" si="37"/>
        <v>3</v>
      </c>
      <c r="G641" s="11" t="str">
        <f t="shared" si="38"/>
        <v>202503</v>
      </c>
      <c r="H641" s="4">
        <v>45748</v>
      </c>
      <c r="I641" s="5">
        <v>5</v>
      </c>
      <c r="J641" s="5">
        <v>0.16666666666666666</v>
      </c>
      <c r="K641" s="5">
        <f t="shared" si="39"/>
        <v>1</v>
      </c>
      <c r="L641" s="5">
        <v>1</v>
      </c>
      <c r="M641" s="5">
        <v>1</v>
      </c>
      <c r="N641" t="s">
        <v>9</v>
      </c>
      <c r="O641" s="8">
        <v>26.838356164383562</v>
      </c>
      <c r="P641" t="s">
        <v>34</v>
      </c>
      <c r="Q641">
        <v>3</v>
      </c>
      <c r="R641" s="2">
        <v>35947</v>
      </c>
    </row>
    <row r="642" spans="1:18" x14ac:dyDescent="0.3">
      <c r="A642" t="s">
        <v>7</v>
      </c>
      <c r="B642">
        <v>18340874</v>
      </c>
      <c r="C642" t="s">
        <v>10</v>
      </c>
      <c r="D642" s="4">
        <v>45743</v>
      </c>
      <c r="E642" s="11">
        <f t="shared" si="36"/>
        <v>2025</v>
      </c>
      <c r="F642" s="11">
        <f t="shared" si="37"/>
        <v>3</v>
      </c>
      <c r="G642" s="11" t="str">
        <f t="shared" si="38"/>
        <v>202503</v>
      </c>
      <c r="H642" s="4">
        <v>45869</v>
      </c>
      <c r="I642" s="5">
        <v>126</v>
      </c>
      <c r="J642" s="5">
        <v>4.2</v>
      </c>
      <c r="K642" s="5">
        <f t="shared" si="39"/>
        <v>0</v>
      </c>
      <c r="L642" s="5">
        <v>0</v>
      </c>
      <c r="M642" s="5">
        <v>1</v>
      </c>
      <c r="N642" t="s">
        <v>12</v>
      </c>
      <c r="O642" s="8">
        <v>23.284931506849315</v>
      </c>
      <c r="P642" t="s">
        <v>33</v>
      </c>
      <c r="Q642">
        <v>2</v>
      </c>
      <c r="R642" s="2">
        <v>37244</v>
      </c>
    </row>
    <row r="643" spans="1:18" x14ac:dyDescent="0.3">
      <c r="A643" t="s">
        <v>7</v>
      </c>
      <c r="B643">
        <v>18340875</v>
      </c>
      <c r="C643" t="s">
        <v>8</v>
      </c>
      <c r="D643" s="4">
        <v>45737</v>
      </c>
      <c r="E643" s="11">
        <f t="shared" ref="E643:E706" si="40">+YEAR(D643)</f>
        <v>2025</v>
      </c>
      <c r="F643" s="11">
        <f t="shared" ref="F643:F706" si="41">+MONTH(D643)</f>
        <v>3</v>
      </c>
      <c r="G643" s="11" t="str">
        <f t="shared" ref="G643:G706" si="42">+TEXT(D643, "yyymm")</f>
        <v>202503</v>
      </c>
      <c r="I643" s="5">
        <v>9999</v>
      </c>
      <c r="J643" s="5">
        <v>333.3</v>
      </c>
      <c r="K643" s="5">
        <f t="shared" ref="K643:K706" si="43">IF(J643&lt;=1,1,0)</f>
        <v>0</v>
      </c>
      <c r="L643" s="5">
        <v>0</v>
      </c>
      <c r="M643" s="5">
        <v>0</v>
      </c>
      <c r="N643" t="s">
        <v>12</v>
      </c>
      <c r="O643" s="8">
        <v>28.465753424657535</v>
      </c>
      <c r="P643" t="s">
        <v>34</v>
      </c>
      <c r="Q643">
        <v>3</v>
      </c>
      <c r="R643" s="2">
        <v>35347</v>
      </c>
    </row>
    <row r="644" spans="1:18" x14ac:dyDescent="0.3">
      <c r="A644" t="s">
        <v>7</v>
      </c>
      <c r="B644">
        <v>18340880</v>
      </c>
      <c r="C644" t="s">
        <v>8</v>
      </c>
      <c r="D644" s="4">
        <v>45743</v>
      </c>
      <c r="E644" s="11">
        <f t="shared" si="40"/>
        <v>2025</v>
      </c>
      <c r="F644" s="11">
        <f t="shared" si="41"/>
        <v>3</v>
      </c>
      <c r="G644" s="11" t="str">
        <f t="shared" si="42"/>
        <v>202503</v>
      </c>
      <c r="H644" s="4">
        <v>45777</v>
      </c>
      <c r="I644" s="5">
        <v>34</v>
      </c>
      <c r="J644" s="5">
        <v>1.1333333333333333</v>
      </c>
      <c r="K644" s="5">
        <f t="shared" si="43"/>
        <v>0</v>
      </c>
      <c r="L644" s="5">
        <v>1</v>
      </c>
      <c r="M644" s="5">
        <v>1</v>
      </c>
      <c r="N644" t="s">
        <v>12</v>
      </c>
      <c r="O644" s="8">
        <v>18.545205479452054</v>
      </c>
      <c r="P644" t="s">
        <v>32</v>
      </c>
      <c r="Q644">
        <v>1</v>
      </c>
      <c r="R644" s="2">
        <v>38974</v>
      </c>
    </row>
    <row r="645" spans="1:18" x14ac:dyDescent="0.3">
      <c r="A645" t="s">
        <v>7</v>
      </c>
      <c r="B645">
        <v>18340881</v>
      </c>
      <c r="C645" t="s">
        <v>10</v>
      </c>
      <c r="D645" s="4">
        <v>45743</v>
      </c>
      <c r="E645" s="11">
        <f t="shared" si="40"/>
        <v>2025</v>
      </c>
      <c r="F645" s="11">
        <f t="shared" si="41"/>
        <v>3</v>
      </c>
      <c r="G645" s="11" t="str">
        <f t="shared" si="42"/>
        <v>202503</v>
      </c>
      <c r="H645" s="4">
        <v>45810</v>
      </c>
      <c r="I645" s="5">
        <v>67</v>
      </c>
      <c r="J645" s="5">
        <v>2.2333333333333334</v>
      </c>
      <c r="K645" s="5">
        <f t="shared" si="43"/>
        <v>0</v>
      </c>
      <c r="L645" s="5">
        <v>1</v>
      </c>
      <c r="M645" s="5">
        <v>1</v>
      </c>
      <c r="N645" t="s">
        <v>12</v>
      </c>
      <c r="O645" s="8">
        <v>18.284931506849315</v>
      </c>
      <c r="P645" t="s">
        <v>32</v>
      </c>
      <c r="Q645">
        <v>1</v>
      </c>
      <c r="R645" s="2">
        <v>39069</v>
      </c>
    </row>
    <row r="646" spans="1:18" x14ac:dyDescent="0.3">
      <c r="A646" t="s">
        <v>7</v>
      </c>
      <c r="B646">
        <v>18340890</v>
      </c>
      <c r="C646" t="s">
        <v>8</v>
      </c>
      <c r="D646" s="4">
        <v>45743</v>
      </c>
      <c r="E646" s="11">
        <f t="shared" si="40"/>
        <v>2025</v>
      </c>
      <c r="F646" s="11">
        <f t="shared" si="41"/>
        <v>3</v>
      </c>
      <c r="G646" s="11" t="str">
        <f t="shared" si="42"/>
        <v>202503</v>
      </c>
      <c r="I646" s="5">
        <v>9999</v>
      </c>
      <c r="J646" s="5">
        <v>333.3</v>
      </c>
      <c r="K646" s="5">
        <f t="shared" si="43"/>
        <v>0</v>
      </c>
      <c r="L646" s="5">
        <v>0</v>
      </c>
      <c r="M646" s="5">
        <v>0</v>
      </c>
      <c r="N646" t="s">
        <v>12</v>
      </c>
      <c r="O646" s="8">
        <v>20.758904109589039</v>
      </c>
      <c r="P646" t="s">
        <v>32</v>
      </c>
      <c r="Q646">
        <v>1</v>
      </c>
      <c r="R646" s="2">
        <v>38166</v>
      </c>
    </row>
    <row r="647" spans="1:18" x14ac:dyDescent="0.3">
      <c r="A647" t="s">
        <v>7</v>
      </c>
      <c r="B647">
        <v>18340891</v>
      </c>
      <c r="C647" t="s">
        <v>8</v>
      </c>
      <c r="D647" s="4">
        <v>45743</v>
      </c>
      <c r="E647" s="11">
        <f t="shared" si="40"/>
        <v>2025</v>
      </c>
      <c r="F647" s="11">
        <f t="shared" si="41"/>
        <v>3</v>
      </c>
      <c r="G647" s="11" t="str">
        <f t="shared" si="42"/>
        <v>202503</v>
      </c>
      <c r="I647" s="5">
        <v>9999</v>
      </c>
      <c r="J647" s="5">
        <v>333.3</v>
      </c>
      <c r="K647" s="5">
        <f t="shared" si="43"/>
        <v>0</v>
      </c>
      <c r="L647" s="5">
        <v>0</v>
      </c>
      <c r="M647" s="5">
        <v>0</v>
      </c>
      <c r="N647" t="s">
        <v>12</v>
      </c>
      <c r="O647" s="8">
        <v>21.153424657534245</v>
      </c>
      <c r="P647" t="s">
        <v>33</v>
      </c>
      <c r="Q647">
        <v>2</v>
      </c>
      <c r="R647" s="2">
        <v>38022</v>
      </c>
    </row>
    <row r="648" spans="1:18" x14ac:dyDescent="0.3">
      <c r="A648" t="s">
        <v>7</v>
      </c>
      <c r="B648">
        <v>18340892</v>
      </c>
      <c r="C648" t="s">
        <v>8</v>
      </c>
      <c r="D648" s="4">
        <v>45743</v>
      </c>
      <c r="E648" s="11">
        <f t="shared" si="40"/>
        <v>2025</v>
      </c>
      <c r="F648" s="11">
        <f t="shared" si="41"/>
        <v>3</v>
      </c>
      <c r="G648" s="11" t="str">
        <f t="shared" si="42"/>
        <v>202503</v>
      </c>
      <c r="I648" s="5">
        <v>9999</v>
      </c>
      <c r="J648" s="5">
        <v>333.3</v>
      </c>
      <c r="K648" s="5">
        <f t="shared" si="43"/>
        <v>0</v>
      </c>
      <c r="L648" s="5">
        <v>0</v>
      </c>
      <c r="M648" s="5">
        <v>0</v>
      </c>
      <c r="N648" t="s">
        <v>12</v>
      </c>
      <c r="O648" s="8">
        <v>20.87945205479452</v>
      </c>
      <c r="P648" t="s">
        <v>32</v>
      </c>
      <c r="Q648">
        <v>1</v>
      </c>
      <c r="R648" s="2">
        <v>38122</v>
      </c>
    </row>
    <row r="649" spans="1:18" x14ac:dyDescent="0.3">
      <c r="A649" t="s">
        <v>7</v>
      </c>
      <c r="B649">
        <v>18340952</v>
      </c>
      <c r="C649" t="s">
        <v>8</v>
      </c>
      <c r="D649" s="4">
        <v>45744</v>
      </c>
      <c r="E649" s="11">
        <f t="shared" si="40"/>
        <v>2025</v>
      </c>
      <c r="F649" s="11">
        <f t="shared" si="41"/>
        <v>3</v>
      </c>
      <c r="G649" s="11" t="str">
        <f t="shared" si="42"/>
        <v>202503</v>
      </c>
      <c r="H649" s="4">
        <v>46081</v>
      </c>
      <c r="I649" s="5">
        <v>337</v>
      </c>
      <c r="J649" s="5">
        <v>11.233333333333333</v>
      </c>
      <c r="K649" s="5">
        <f t="shared" si="43"/>
        <v>0</v>
      </c>
      <c r="L649" s="5">
        <v>0</v>
      </c>
      <c r="M649" s="5">
        <v>0</v>
      </c>
      <c r="N649" t="s">
        <v>12</v>
      </c>
      <c r="O649" s="8">
        <v>25.665753424657535</v>
      </c>
      <c r="P649" t="s">
        <v>33</v>
      </c>
      <c r="Q649">
        <v>2</v>
      </c>
      <c r="R649" s="2">
        <v>36376</v>
      </c>
    </row>
    <row r="650" spans="1:18" x14ac:dyDescent="0.3">
      <c r="A650" t="s">
        <v>11</v>
      </c>
      <c r="B650">
        <v>18340965</v>
      </c>
      <c r="C650" t="s">
        <v>8</v>
      </c>
      <c r="D650" s="4">
        <v>45744</v>
      </c>
      <c r="E650" s="11">
        <f t="shared" si="40"/>
        <v>2025</v>
      </c>
      <c r="F650" s="11">
        <f t="shared" si="41"/>
        <v>3</v>
      </c>
      <c r="G650" s="11" t="str">
        <f t="shared" si="42"/>
        <v>202503</v>
      </c>
      <c r="H650" s="4">
        <v>46112</v>
      </c>
      <c r="I650" s="5">
        <v>368</v>
      </c>
      <c r="J650" s="5">
        <v>12.266666666666667</v>
      </c>
      <c r="K650" s="5">
        <f t="shared" si="43"/>
        <v>0</v>
      </c>
      <c r="L650" s="5">
        <v>0</v>
      </c>
      <c r="M650" s="5">
        <v>0</v>
      </c>
      <c r="N650" t="s">
        <v>9</v>
      </c>
      <c r="O650" s="8">
        <v>21.671232876712327</v>
      </c>
      <c r="P650" t="s">
        <v>33</v>
      </c>
      <c r="Q650">
        <v>2</v>
      </c>
      <c r="R650" s="2">
        <v>37834</v>
      </c>
    </row>
    <row r="651" spans="1:18" x14ac:dyDescent="0.3">
      <c r="A651" t="s">
        <v>7</v>
      </c>
      <c r="B651">
        <v>18340966</v>
      </c>
      <c r="C651" t="s">
        <v>8</v>
      </c>
      <c r="D651" s="4">
        <v>45744</v>
      </c>
      <c r="E651" s="11">
        <f t="shared" si="40"/>
        <v>2025</v>
      </c>
      <c r="F651" s="11">
        <f t="shared" si="41"/>
        <v>3</v>
      </c>
      <c r="G651" s="11" t="str">
        <f t="shared" si="42"/>
        <v>202503</v>
      </c>
      <c r="H651" s="4">
        <v>45808</v>
      </c>
      <c r="I651" s="5">
        <v>64</v>
      </c>
      <c r="J651" s="5">
        <v>2.1333333333333333</v>
      </c>
      <c r="K651" s="5">
        <f t="shared" si="43"/>
        <v>0</v>
      </c>
      <c r="L651" s="5">
        <v>1</v>
      </c>
      <c r="M651" s="5">
        <v>1</v>
      </c>
      <c r="N651" t="s">
        <v>9</v>
      </c>
      <c r="O651" s="8">
        <v>22.257534246575343</v>
      </c>
      <c r="P651" t="s">
        <v>33</v>
      </c>
      <c r="Q651">
        <v>2</v>
      </c>
      <c r="R651" s="2">
        <v>37620</v>
      </c>
    </row>
    <row r="652" spans="1:18" x14ac:dyDescent="0.3">
      <c r="A652" t="s">
        <v>7</v>
      </c>
      <c r="B652">
        <v>18340999</v>
      </c>
      <c r="C652" t="s">
        <v>8</v>
      </c>
      <c r="D652" s="4">
        <v>45744</v>
      </c>
      <c r="E652" s="11">
        <f t="shared" si="40"/>
        <v>2025</v>
      </c>
      <c r="F652" s="11">
        <f t="shared" si="41"/>
        <v>3</v>
      </c>
      <c r="G652" s="11" t="str">
        <f t="shared" si="42"/>
        <v>202503</v>
      </c>
      <c r="H652" s="4">
        <v>45777</v>
      </c>
      <c r="I652" s="5">
        <v>33</v>
      </c>
      <c r="J652" s="5">
        <v>1.1000000000000001</v>
      </c>
      <c r="K652" s="5">
        <f t="shared" si="43"/>
        <v>0</v>
      </c>
      <c r="L652" s="5">
        <v>1</v>
      </c>
      <c r="M652" s="5">
        <v>1</v>
      </c>
      <c r="N652" t="s">
        <v>9</v>
      </c>
      <c r="O652" s="8">
        <v>18.572602739726026</v>
      </c>
      <c r="P652" t="s">
        <v>32</v>
      </c>
      <c r="Q652">
        <v>1</v>
      </c>
      <c r="R652" s="2">
        <v>38965</v>
      </c>
    </row>
    <row r="653" spans="1:18" x14ac:dyDescent="0.3">
      <c r="A653" t="s">
        <v>7</v>
      </c>
      <c r="B653">
        <v>18341030</v>
      </c>
      <c r="C653" t="s">
        <v>8</v>
      </c>
      <c r="D653" s="4">
        <v>45747</v>
      </c>
      <c r="E653" s="11">
        <f t="shared" si="40"/>
        <v>2025</v>
      </c>
      <c r="F653" s="11">
        <f t="shared" si="41"/>
        <v>3</v>
      </c>
      <c r="G653" s="11" t="str">
        <f t="shared" si="42"/>
        <v>202503</v>
      </c>
      <c r="I653" s="5">
        <v>9999</v>
      </c>
      <c r="J653" s="5">
        <v>333.3</v>
      </c>
      <c r="K653" s="5">
        <f t="shared" si="43"/>
        <v>0</v>
      </c>
      <c r="L653" s="5">
        <v>0</v>
      </c>
      <c r="M653" s="5">
        <v>0</v>
      </c>
      <c r="N653" t="s">
        <v>9</v>
      </c>
      <c r="O653" s="8">
        <v>19.989041095890411</v>
      </c>
      <c r="P653" t="s">
        <v>32</v>
      </c>
      <c r="Q653">
        <v>1</v>
      </c>
      <c r="R653" s="2">
        <v>38451</v>
      </c>
    </row>
    <row r="654" spans="1:18" x14ac:dyDescent="0.3">
      <c r="A654" t="s">
        <v>7</v>
      </c>
      <c r="B654">
        <v>18343214</v>
      </c>
      <c r="C654" t="s">
        <v>8</v>
      </c>
      <c r="D654" s="4">
        <v>45748</v>
      </c>
      <c r="E654" s="11">
        <f t="shared" si="40"/>
        <v>2025</v>
      </c>
      <c r="F654" s="11">
        <f t="shared" si="41"/>
        <v>4</v>
      </c>
      <c r="G654" s="11" t="str">
        <f t="shared" si="42"/>
        <v>202504</v>
      </c>
      <c r="I654" s="5">
        <v>9999</v>
      </c>
      <c r="J654" s="5">
        <v>333.3</v>
      </c>
      <c r="K654" s="5">
        <f t="shared" si="43"/>
        <v>0</v>
      </c>
      <c r="L654" s="5">
        <v>0</v>
      </c>
      <c r="M654" s="5">
        <v>0</v>
      </c>
      <c r="N654" t="s">
        <v>12</v>
      </c>
      <c r="O654" s="8">
        <v>22.775342465753425</v>
      </c>
      <c r="P654" t="s">
        <v>33</v>
      </c>
      <c r="Q654">
        <v>2</v>
      </c>
      <c r="R654" s="2">
        <v>37435</v>
      </c>
    </row>
    <row r="655" spans="1:18" x14ac:dyDescent="0.3">
      <c r="A655" t="s">
        <v>7</v>
      </c>
      <c r="B655">
        <v>18343215</v>
      </c>
      <c r="C655" t="s">
        <v>8</v>
      </c>
      <c r="D655" s="4">
        <v>45748</v>
      </c>
      <c r="E655" s="11">
        <f t="shared" si="40"/>
        <v>2025</v>
      </c>
      <c r="F655" s="11">
        <f t="shared" si="41"/>
        <v>4</v>
      </c>
      <c r="G655" s="11" t="str">
        <f t="shared" si="42"/>
        <v>202504</v>
      </c>
      <c r="I655" s="5">
        <v>9999</v>
      </c>
      <c r="J655" s="5">
        <v>333.3</v>
      </c>
      <c r="K655" s="5">
        <f t="shared" si="43"/>
        <v>0</v>
      </c>
      <c r="L655" s="5">
        <v>0</v>
      </c>
      <c r="M655" s="5">
        <v>0</v>
      </c>
      <c r="N655" t="s">
        <v>12</v>
      </c>
      <c r="O655" s="8">
        <v>31.975342465753425</v>
      </c>
      <c r="P655" t="s">
        <v>35</v>
      </c>
      <c r="Q655">
        <v>4</v>
      </c>
      <c r="R655" s="2">
        <v>34077</v>
      </c>
    </row>
    <row r="656" spans="1:18" x14ac:dyDescent="0.3">
      <c r="A656" t="s">
        <v>7</v>
      </c>
      <c r="B656">
        <v>18343427</v>
      </c>
      <c r="C656" t="s">
        <v>10</v>
      </c>
      <c r="D656" s="4">
        <v>45748</v>
      </c>
      <c r="E656" s="11">
        <f t="shared" si="40"/>
        <v>2025</v>
      </c>
      <c r="F656" s="11">
        <f t="shared" si="41"/>
        <v>4</v>
      </c>
      <c r="G656" s="11" t="str">
        <f t="shared" si="42"/>
        <v>202504</v>
      </c>
      <c r="H656" s="4">
        <v>45791</v>
      </c>
      <c r="I656" s="5">
        <v>43</v>
      </c>
      <c r="J656" s="5">
        <v>1.4333333333333333</v>
      </c>
      <c r="K656" s="5">
        <f t="shared" si="43"/>
        <v>0</v>
      </c>
      <c r="L656" s="5">
        <v>1</v>
      </c>
      <c r="M656" s="5">
        <v>1</v>
      </c>
      <c r="N656" t="s">
        <v>9</v>
      </c>
      <c r="O656" s="8">
        <v>26.917808219178081</v>
      </c>
      <c r="P656" t="s">
        <v>34</v>
      </c>
      <c r="Q656">
        <v>3</v>
      </c>
      <c r="R656" s="2">
        <v>35923</v>
      </c>
    </row>
    <row r="657" spans="1:18" x14ac:dyDescent="0.3">
      <c r="A657" t="s">
        <v>7</v>
      </c>
      <c r="B657">
        <v>18343480</v>
      </c>
      <c r="C657" t="s">
        <v>8</v>
      </c>
      <c r="D657" s="4">
        <v>45748</v>
      </c>
      <c r="E657" s="11">
        <f t="shared" si="40"/>
        <v>2025</v>
      </c>
      <c r="F657" s="11">
        <f t="shared" si="41"/>
        <v>4</v>
      </c>
      <c r="G657" s="11" t="str">
        <f t="shared" si="42"/>
        <v>202504</v>
      </c>
      <c r="H657" s="4">
        <v>45933</v>
      </c>
      <c r="I657" s="5">
        <v>185</v>
      </c>
      <c r="J657" s="5">
        <v>6.166666666666667</v>
      </c>
      <c r="K657" s="5">
        <f t="shared" si="43"/>
        <v>0</v>
      </c>
      <c r="L657" s="5">
        <v>0</v>
      </c>
      <c r="M657" s="5">
        <v>0</v>
      </c>
      <c r="N657" t="s">
        <v>12</v>
      </c>
      <c r="O657" s="8">
        <v>23.273972602739725</v>
      </c>
      <c r="P657" t="s">
        <v>33</v>
      </c>
      <c r="Q657">
        <v>2</v>
      </c>
      <c r="R657" s="2">
        <v>37253</v>
      </c>
    </row>
    <row r="658" spans="1:18" x14ac:dyDescent="0.3">
      <c r="A658" t="s">
        <v>7</v>
      </c>
      <c r="B658">
        <v>18343493</v>
      </c>
      <c r="C658" t="s">
        <v>8</v>
      </c>
      <c r="D658" s="4">
        <v>45748</v>
      </c>
      <c r="E658" s="11">
        <f t="shared" si="40"/>
        <v>2025</v>
      </c>
      <c r="F658" s="11">
        <f t="shared" si="41"/>
        <v>4</v>
      </c>
      <c r="G658" s="11" t="str">
        <f t="shared" si="42"/>
        <v>202504</v>
      </c>
      <c r="H658" s="4">
        <v>46173</v>
      </c>
      <c r="I658" s="5">
        <v>425</v>
      </c>
      <c r="J658" s="5">
        <v>14.166666666666666</v>
      </c>
      <c r="K658" s="5">
        <f t="shared" si="43"/>
        <v>0</v>
      </c>
      <c r="L658" s="5">
        <v>0</v>
      </c>
      <c r="M658" s="5">
        <v>0</v>
      </c>
      <c r="N658" t="s">
        <v>9</v>
      </c>
      <c r="O658" s="8">
        <v>19.17808219178082</v>
      </c>
      <c r="P658" t="s">
        <v>32</v>
      </c>
      <c r="Q658">
        <v>1</v>
      </c>
      <c r="R658" s="2">
        <v>38748</v>
      </c>
    </row>
    <row r="659" spans="1:18" x14ac:dyDescent="0.3">
      <c r="A659" t="s">
        <v>7</v>
      </c>
      <c r="B659">
        <v>18343517</v>
      </c>
      <c r="C659" t="s">
        <v>8</v>
      </c>
      <c r="D659" s="4">
        <v>45748</v>
      </c>
      <c r="E659" s="11">
        <f t="shared" si="40"/>
        <v>2025</v>
      </c>
      <c r="F659" s="11">
        <f t="shared" si="41"/>
        <v>4</v>
      </c>
      <c r="G659" s="11" t="str">
        <f t="shared" si="42"/>
        <v>202504</v>
      </c>
      <c r="I659" s="5">
        <v>9999</v>
      </c>
      <c r="J659" s="5">
        <v>333.3</v>
      </c>
      <c r="K659" s="5">
        <f t="shared" si="43"/>
        <v>0</v>
      </c>
      <c r="L659" s="5">
        <v>0</v>
      </c>
      <c r="M659" s="5">
        <v>0</v>
      </c>
      <c r="N659" t="s">
        <v>12</v>
      </c>
      <c r="O659" s="8">
        <v>26.090410958904108</v>
      </c>
      <c r="P659" t="s">
        <v>34</v>
      </c>
      <c r="Q659">
        <v>3</v>
      </c>
      <c r="R659" s="2">
        <v>36225</v>
      </c>
    </row>
    <row r="660" spans="1:18" x14ac:dyDescent="0.3">
      <c r="A660" t="s">
        <v>7</v>
      </c>
      <c r="B660">
        <v>18343643</v>
      </c>
      <c r="C660" t="s">
        <v>10</v>
      </c>
      <c r="D660" s="4">
        <v>45748</v>
      </c>
      <c r="E660" s="11">
        <f t="shared" si="40"/>
        <v>2025</v>
      </c>
      <c r="F660" s="11">
        <f t="shared" si="41"/>
        <v>4</v>
      </c>
      <c r="G660" s="11" t="str">
        <f t="shared" si="42"/>
        <v>202504</v>
      </c>
      <c r="I660" s="5">
        <v>9999</v>
      </c>
      <c r="J660" s="5">
        <v>333.3</v>
      </c>
      <c r="K660" s="5">
        <f t="shared" si="43"/>
        <v>0</v>
      </c>
      <c r="L660" s="5">
        <v>0</v>
      </c>
      <c r="M660" s="5">
        <v>0</v>
      </c>
      <c r="N660" t="s">
        <v>9</v>
      </c>
      <c r="O660" s="8">
        <v>19.052054794520547</v>
      </c>
      <c r="P660" t="s">
        <v>32</v>
      </c>
      <c r="Q660">
        <v>1</v>
      </c>
      <c r="R660" s="2">
        <v>38794</v>
      </c>
    </row>
    <row r="661" spans="1:18" x14ac:dyDescent="0.3">
      <c r="A661" t="s">
        <v>7</v>
      </c>
      <c r="B661">
        <v>18343659</v>
      </c>
      <c r="C661" t="s">
        <v>8</v>
      </c>
      <c r="D661" s="4">
        <v>45748</v>
      </c>
      <c r="E661" s="11">
        <f t="shared" si="40"/>
        <v>2025</v>
      </c>
      <c r="F661" s="11">
        <f t="shared" si="41"/>
        <v>4</v>
      </c>
      <c r="G661" s="11" t="str">
        <f t="shared" si="42"/>
        <v>202504</v>
      </c>
      <c r="H661" s="4">
        <v>45962</v>
      </c>
      <c r="I661" s="5">
        <v>214</v>
      </c>
      <c r="J661" s="5">
        <v>7.1333333333333337</v>
      </c>
      <c r="K661" s="5">
        <f t="shared" si="43"/>
        <v>0</v>
      </c>
      <c r="L661" s="5">
        <v>0</v>
      </c>
      <c r="M661" s="5">
        <v>0</v>
      </c>
      <c r="N661" t="s">
        <v>12</v>
      </c>
      <c r="O661" s="8">
        <v>26.967123287671232</v>
      </c>
      <c r="P661" t="s">
        <v>34</v>
      </c>
      <c r="Q661">
        <v>3</v>
      </c>
      <c r="R661" s="2">
        <v>35905</v>
      </c>
    </row>
    <row r="662" spans="1:18" x14ac:dyDescent="0.3">
      <c r="A662" t="s">
        <v>7</v>
      </c>
      <c r="B662">
        <v>18343793</v>
      </c>
      <c r="C662" t="s">
        <v>10</v>
      </c>
      <c r="D662" s="4">
        <v>45748</v>
      </c>
      <c r="E662" s="11">
        <f t="shared" si="40"/>
        <v>2025</v>
      </c>
      <c r="F662" s="11">
        <f t="shared" si="41"/>
        <v>4</v>
      </c>
      <c r="G662" s="11" t="str">
        <f t="shared" si="42"/>
        <v>202504</v>
      </c>
      <c r="H662" s="4">
        <v>45991</v>
      </c>
      <c r="I662" s="5">
        <v>243</v>
      </c>
      <c r="J662" s="5">
        <v>8.1</v>
      </c>
      <c r="K662" s="5">
        <f t="shared" si="43"/>
        <v>0</v>
      </c>
      <c r="L662" s="5">
        <v>0</v>
      </c>
      <c r="M662" s="5">
        <v>0</v>
      </c>
      <c r="N662" t="s">
        <v>12</v>
      </c>
      <c r="O662" s="8">
        <v>18.057534246575344</v>
      </c>
      <c r="P662" t="s">
        <v>32</v>
      </c>
      <c r="Q662">
        <v>1</v>
      </c>
      <c r="R662" s="2">
        <v>39157</v>
      </c>
    </row>
    <row r="663" spans="1:18" x14ac:dyDescent="0.3">
      <c r="A663" t="s">
        <v>7</v>
      </c>
      <c r="B663">
        <v>18343880</v>
      </c>
      <c r="C663" t="s">
        <v>8</v>
      </c>
      <c r="D663" s="4">
        <v>45748</v>
      </c>
      <c r="E663" s="11">
        <f t="shared" si="40"/>
        <v>2025</v>
      </c>
      <c r="F663" s="11">
        <f t="shared" si="41"/>
        <v>4</v>
      </c>
      <c r="G663" s="11" t="str">
        <f t="shared" si="42"/>
        <v>202504</v>
      </c>
      <c r="H663" s="4">
        <v>45931</v>
      </c>
      <c r="I663" s="5">
        <v>183</v>
      </c>
      <c r="J663" s="5">
        <v>6.1</v>
      </c>
      <c r="K663" s="5">
        <f t="shared" si="43"/>
        <v>0</v>
      </c>
      <c r="L663" s="5">
        <v>0</v>
      </c>
      <c r="M663" s="5">
        <v>0</v>
      </c>
      <c r="N663" t="s">
        <v>12</v>
      </c>
      <c r="O663" s="8">
        <v>22.230136986301371</v>
      </c>
      <c r="P663" t="s">
        <v>33</v>
      </c>
      <c r="Q663">
        <v>2</v>
      </c>
      <c r="R663" s="2">
        <v>37634</v>
      </c>
    </row>
    <row r="664" spans="1:18" x14ac:dyDescent="0.3">
      <c r="A664" t="s">
        <v>7</v>
      </c>
      <c r="B664">
        <v>18343893</v>
      </c>
      <c r="C664" t="s">
        <v>10</v>
      </c>
      <c r="D664" s="4">
        <v>45748</v>
      </c>
      <c r="E664" s="11">
        <f t="shared" si="40"/>
        <v>2025</v>
      </c>
      <c r="F664" s="11">
        <f t="shared" si="41"/>
        <v>4</v>
      </c>
      <c r="G664" s="11" t="str">
        <f t="shared" si="42"/>
        <v>202504</v>
      </c>
      <c r="I664" s="5">
        <v>9999</v>
      </c>
      <c r="J664" s="5">
        <v>333.3</v>
      </c>
      <c r="K664" s="5">
        <f t="shared" si="43"/>
        <v>0</v>
      </c>
      <c r="L664" s="5">
        <v>0</v>
      </c>
      <c r="M664" s="5">
        <v>0</v>
      </c>
      <c r="N664" t="s">
        <v>12</v>
      </c>
      <c r="O664" s="8">
        <v>25.375342465753423</v>
      </c>
      <c r="P664" t="s">
        <v>33</v>
      </c>
      <c r="Q664">
        <v>2</v>
      </c>
      <c r="R664" s="2">
        <v>36486</v>
      </c>
    </row>
    <row r="665" spans="1:18" x14ac:dyDescent="0.3">
      <c r="A665" t="s">
        <v>7</v>
      </c>
      <c r="B665">
        <v>18343924</v>
      </c>
      <c r="C665" t="s">
        <v>8</v>
      </c>
      <c r="D665" s="4">
        <v>45748</v>
      </c>
      <c r="E665" s="11">
        <f t="shared" si="40"/>
        <v>2025</v>
      </c>
      <c r="F665" s="11">
        <f t="shared" si="41"/>
        <v>4</v>
      </c>
      <c r="G665" s="11" t="str">
        <f t="shared" si="42"/>
        <v>202504</v>
      </c>
      <c r="H665" s="4">
        <v>45839</v>
      </c>
      <c r="I665" s="5">
        <v>91</v>
      </c>
      <c r="J665" s="5">
        <v>3.0333333333333332</v>
      </c>
      <c r="K665" s="5">
        <f t="shared" si="43"/>
        <v>0</v>
      </c>
      <c r="L665" s="5">
        <v>0</v>
      </c>
      <c r="M665" s="5">
        <v>1</v>
      </c>
      <c r="N665" t="s">
        <v>12</v>
      </c>
      <c r="O665" s="8">
        <v>21.758904109589039</v>
      </c>
      <c r="P665" t="s">
        <v>33</v>
      </c>
      <c r="Q665">
        <v>2</v>
      </c>
      <c r="R665" s="2">
        <v>37806</v>
      </c>
    </row>
    <row r="666" spans="1:18" x14ac:dyDescent="0.3">
      <c r="A666" t="s">
        <v>7</v>
      </c>
      <c r="B666">
        <v>18344388</v>
      </c>
      <c r="C666" t="s">
        <v>10</v>
      </c>
      <c r="D666" s="4">
        <v>45748</v>
      </c>
      <c r="E666" s="11">
        <f t="shared" si="40"/>
        <v>2025</v>
      </c>
      <c r="F666" s="11">
        <f t="shared" si="41"/>
        <v>4</v>
      </c>
      <c r="G666" s="11" t="str">
        <f t="shared" si="42"/>
        <v>202504</v>
      </c>
      <c r="H666" s="4">
        <v>45930</v>
      </c>
      <c r="I666" s="5">
        <v>182</v>
      </c>
      <c r="J666" s="5">
        <v>6.0666666666666664</v>
      </c>
      <c r="K666" s="5">
        <f t="shared" si="43"/>
        <v>0</v>
      </c>
      <c r="L666" s="5">
        <v>0</v>
      </c>
      <c r="M666" s="5">
        <v>0</v>
      </c>
      <c r="N666" t="s">
        <v>12</v>
      </c>
      <c r="O666" s="8">
        <v>21.534246575342465</v>
      </c>
      <c r="P666" t="s">
        <v>33</v>
      </c>
      <c r="Q666">
        <v>2</v>
      </c>
      <c r="R666" s="2">
        <v>37888</v>
      </c>
    </row>
    <row r="667" spans="1:18" x14ac:dyDescent="0.3">
      <c r="A667" t="s">
        <v>7</v>
      </c>
      <c r="B667">
        <v>18347381</v>
      </c>
      <c r="C667" t="s">
        <v>8</v>
      </c>
      <c r="D667" s="4">
        <v>45749</v>
      </c>
      <c r="E667" s="11">
        <f t="shared" si="40"/>
        <v>2025</v>
      </c>
      <c r="F667" s="11">
        <f t="shared" si="41"/>
        <v>4</v>
      </c>
      <c r="G667" s="11" t="str">
        <f t="shared" si="42"/>
        <v>202504</v>
      </c>
      <c r="H667" s="4">
        <v>45865</v>
      </c>
      <c r="I667" s="5">
        <v>116</v>
      </c>
      <c r="J667" s="5">
        <v>3.8666666666666667</v>
      </c>
      <c r="K667" s="5">
        <f t="shared" si="43"/>
        <v>0</v>
      </c>
      <c r="L667" s="5">
        <v>0</v>
      </c>
      <c r="M667" s="5">
        <v>1</v>
      </c>
      <c r="N667" t="s">
        <v>9</v>
      </c>
      <c r="O667" s="8">
        <v>20.912328767123288</v>
      </c>
      <c r="P667" t="s">
        <v>32</v>
      </c>
      <c r="Q667">
        <v>1</v>
      </c>
      <c r="R667" s="2">
        <v>38116</v>
      </c>
    </row>
    <row r="668" spans="1:18" x14ac:dyDescent="0.3">
      <c r="A668" t="s">
        <v>11</v>
      </c>
      <c r="B668">
        <v>18347397</v>
      </c>
      <c r="C668" t="s">
        <v>8</v>
      </c>
      <c r="D668" s="4">
        <v>45749</v>
      </c>
      <c r="E668" s="11">
        <f t="shared" si="40"/>
        <v>2025</v>
      </c>
      <c r="F668" s="11">
        <f t="shared" si="41"/>
        <v>4</v>
      </c>
      <c r="G668" s="11" t="str">
        <f t="shared" si="42"/>
        <v>202504</v>
      </c>
      <c r="H668" s="4">
        <v>46081</v>
      </c>
      <c r="I668" s="5">
        <v>332</v>
      </c>
      <c r="J668" s="5">
        <v>11.066666666666666</v>
      </c>
      <c r="K668" s="5">
        <f t="shared" si="43"/>
        <v>0</v>
      </c>
      <c r="L668" s="5">
        <v>0</v>
      </c>
      <c r="M668" s="5">
        <v>0</v>
      </c>
      <c r="N668" t="s">
        <v>9</v>
      </c>
      <c r="O668" s="8">
        <v>34.934246575342463</v>
      </c>
      <c r="P668" t="s">
        <v>35</v>
      </c>
      <c r="Q668">
        <v>4</v>
      </c>
      <c r="R668" s="2">
        <v>32998</v>
      </c>
    </row>
    <row r="669" spans="1:18" x14ac:dyDescent="0.3">
      <c r="A669" t="s">
        <v>7</v>
      </c>
      <c r="B669">
        <v>18347408</v>
      </c>
      <c r="C669" t="s">
        <v>10</v>
      </c>
      <c r="D669" s="4">
        <v>45749</v>
      </c>
      <c r="E669" s="11">
        <f t="shared" si="40"/>
        <v>2025</v>
      </c>
      <c r="F669" s="11">
        <f t="shared" si="41"/>
        <v>4</v>
      </c>
      <c r="G669" s="11" t="str">
        <f t="shared" si="42"/>
        <v>202504</v>
      </c>
      <c r="H669" s="4">
        <v>45931</v>
      </c>
      <c r="I669" s="5">
        <v>182</v>
      </c>
      <c r="J669" s="5">
        <v>6.0666666666666664</v>
      </c>
      <c r="K669" s="5">
        <f t="shared" si="43"/>
        <v>0</v>
      </c>
      <c r="L669" s="5">
        <v>0</v>
      </c>
      <c r="M669" s="5">
        <v>0</v>
      </c>
      <c r="N669" t="s">
        <v>9</v>
      </c>
      <c r="O669" s="8">
        <v>21.326027397260273</v>
      </c>
      <c r="P669" t="s">
        <v>33</v>
      </c>
      <c r="Q669">
        <v>2</v>
      </c>
      <c r="R669" s="2">
        <v>37965</v>
      </c>
    </row>
    <row r="670" spans="1:18" x14ac:dyDescent="0.3">
      <c r="A670" t="s">
        <v>7</v>
      </c>
      <c r="B670">
        <v>18347409</v>
      </c>
      <c r="C670" t="s">
        <v>8</v>
      </c>
      <c r="D670" s="4">
        <v>45749</v>
      </c>
      <c r="E670" s="11">
        <f t="shared" si="40"/>
        <v>2025</v>
      </c>
      <c r="F670" s="11">
        <f t="shared" si="41"/>
        <v>4</v>
      </c>
      <c r="G670" s="11" t="str">
        <f t="shared" si="42"/>
        <v>202504</v>
      </c>
      <c r="H670" s="4">
        <v>46022</v>
      </c>
      <c r="I670" s="5">
        <v>273</v>
      </c>
      <c r="J670" s="5">
        <v>9.1</v>
      </c>
      <c r="K670" s="5">
        <f t="shared" si="43"/>
        <v>0</v>
      </c>
      <c r="L670" s="5">
        <v>0</v>
      </c>
      <c r="M670" s="5">
        <v>0</v>
      </c>
      <c r="N670" t="s">
        <v>9</v>
      </c>
      <c r="O670" s="8">
        <v>19.183561643835617</v>
      </c>
      <c r="P670" t="s">
        <v>32</v>
      </c>
      <c r="Q670">
        <v>1</v>
      </c>
      <c r="R670" s="2">
        <v>38747</v>
      </c>
    </row>
    <row r="671" spans="1:18" x14ac:dyDescent="0.3">
      <c r="A671" t="s">
        <v>11</v>
      </c>
      <c r="B671">
        <v>18347410</v>
      </c>
      <c r="C671" t="s">
        <v>10</v>
      </c>
      <c r="D671" s="4">
        <v>45749</v>
      </c>
      <c r="E671" s="11">
        <f t="shared" si="40"/>
        <v>2025</v>
      </c>
      <c r="F671" s="11">
        <f t="shared" si="41"/>
        <v>4</v>
      </c>
      <c r="G671" s="11" t="str">
        <f t="shared" si="42"/>
        <v>202504</v>
      </c>
      <c r="H671" s="4">
        <v>45869</v>
      </c>
      <c r="I671" s="5">
        <v>120</v>
      </c>
      <c r="J671" s="5">
        <v>4</v>
      </c>
      <c r="K671" s="5">
        <f t="shared" si="43"/>
        <v>0</v>
      </c>
      <c r="L671" s="5">
        <v>0</v>
      </c>
      <c r="M671" s="5">
        <v>1</v>
      </c>
      <c r="N671" t="s">
        <v>9</v>
      </c>
      <c r="O671" s="8">
        <v>20.731506849315068</v>
      </c>
      <c r="P671" t="s">
        <v>32</v>
      </c>
      <c r="Q671">
        <v>1</v>
      </c>
      <c r="R671" s="2">
        <v>38182</v>
      </c>
    </row>
    <row r="672" spans="1:18" x14ac:dyDescent="0.3">
      <c r="A672" t="s">
        <v>7</v>
      </c>
      <c r="B672">
        <v>18348707</v>
      </c>
      <c r="C672" t="s">
        <v>8</v>
      </c>
      <c r="D672" s="4">
        <v>45749</v>
      </c>
      <c r="E672" s="11">
        <f t="shared" si="40"/>
        <v>2025</v>
      </c>
      <c r="F672" s="11">
        <f t="shared" si="41"/>
        <v>4</v>
      </c>
      <c r="G672" s="11" t="str">
        <f t="shared" si="42"/>
        <v>202504</v>
      </c>
      <c r="H672" s="4">
        <v>46056</v>
      </c>
      <c r="I672" s="5">
        <v>307</v>
      </c>
      <c r="J672" s="5">
        <v>10.233333333333333</v>
      </c>
      <c r="K672" s="5">
        <f t="shared" si="43"/>
        <v>0</v>
      </c>
      <c r="L672" s="5">
        <v>0</v>
      </c>
      <c r="M672" s="5">
        <v>0</v>
      </c>
      <c r="N672" t="s">
        <v>12</v>
      </c>
      <c r="O672" s="8">
        <v>19.295890410958904</v>
      </c>
      <c r="P672" t="s">
        <v>32</v>
      </c>
      <c r="Q672">
        <v>1</v>
      </c>
      <c r="R672" s="2">
        <v>38706</v>
      </c>
    </row>
    <row r="673" spans="1:18" x14ac:dyDescent="0.3">
      <c r="A673" t="s">
        <v>7</v>
      </c>
      <c r="B673">
        <v>18356804</v>
      </c>
      <c r="C673" t="s">
        <v>8</v>
      </c>
      <c r="D673" s="4">
        <v>45750</v>
      </c>
      <c r="E673" s="11">
        <f t="shared" si="40"/>
        <v>2025</v>
      </c>
      <c r="F673" s="11">
        <f t="shared" si="41"/>
        <v>4</v>
      </c>
      <c r="G673" s="11" t="str">
        <f t="shared" si="42"/>
        <v>202504</v>
      </c>
      <c r="I673" s="5">
        <v>9999</v>
      </c>
      <c r="J673" s="5">
        <v>333.3</v>
      </c>
      <c r="K673" s="5">
        <f t="shared" si="43"/>
        <v>0</v>
      </c>
      <c r="L673" s="5">
        <v>0</v>
      </c>
      <c r="M673" s="5">
        <v>0</v>
      </c>
      <c r="N673" t="s">
        <v>9</v>
      </c>
      <c r="O673" s="8">
        <v>19.12876712328767</v>
      </c>
      <c r="P673" t="s">
        <v>32</v>
      </c>
      <c r="Q673">
        <v>1</v>
      </c>
      <c r="R673" s="2">
        <v>38768</v>
      </c>
    </row>
    <row r="674" spans="1:18" x14ac:dyDescent="0.3">
      <c r="A674" t="s">
        <v>7</v>
      </c>
      <c r="B674">
        <v>18356856</v>
      </c>
      <c r="C674" t="s">
        <v>10</v>
      </c>
      <c r="D674" s="4">
        <v>45750</v>
      </c>
      <c r="E674" s="11">
        <f t="shared" si="40"/>
        <v>2025</v>
      </c>
      <c r="F674" s="11">
        <f t="shared" si="41"/>
        <v>4</v>
      </c>
      <c r="G674" s="11" t="str">
        <f t="shared" si="42"/>
        <v>202504</v>
      </c>
      <c r="H674" s="4">
        <v>45810</v>
      </c>
      <c r="I674" s="5">
        <v>60</v>
      </c>
      <c r="J674" s="5">
        <v>2</v>
      </c>
      <c r="K674" s="5">
        <f t="shared" si="43"/>
        <v>0</v>
      </c>
      <c r="L674" s="5">
        <v>1</v>
      </c>
      <c r="M674" s="5">
        <v>1</v>
      </c>
      <c r="N674" t="s">
        <v>9</v>
      </c>
      <c r="O674" s="8">
        <v>21.756164383561643</v>
      </c>
      <c r="P674" t="s">
        <v>33</v>
      </c>
      <c r="Q674">
        <v>2</v>
      </c>
      <c r="R674" s="2">
        <v>37809</v>
      </c>
    </row>
    <row r="675" spans="1:18" x14ac:dyDescent="0.3">
      <c r="A675" t="s">
        <v>7</v>
      </c>
      <c r="B675">
        <v>18356901</v>
      </c>
      <c r="C675" t="s">
        <v>8</v>
      </c>
      <c r="D675" s="4">
        <v>45750</v>
      </c>
      <c r="E675" s="11">
        <f t="shared" si="40"/>
        <v>2025</v>
      </c>
      <c r="F675" s="11">
        <f t="shared" si="41"/>
        <v>4</v>
      </c>
      <c r="G675" s="11" t="str">
        <f t="shared" si="42"/>
        <v>202504</v>
      </c>
      <c r="H675" s="4">
        <v>45844</v>
      </c>
      <c r="I675" s="5">
        <v>94</v>
      </c>
      <c r="J675" s="5">
        <v>3.1333333333333333</v>
      </c>
      <c r="K675" s="5">
        <f t="shared" si="43"/>
        <v>0</v>
      </c>
      <c r="L675" s="5">
        <v>0</v>
      </c>
      <c r="M675" s="5">
        <v>1</v>
      </c>
      <c r="N675" t="s">
        <v>9</v>
      </c>
      <c r="O675" s="8">
        <v>18.797260273972604</v>
      </c>
      <c r="P675" t="s">
        <v>32</v>
      </c>
      <c r="Q675">
        <v>1</v>
      </c>
      <c r="R675" s="2">
        <v>38889</v>
      </c>
    </row>
    <row r="676" spans="1:18" x14ac:dyDescent="0.3">
      <c r="A676" t="s">
        <v>7</v>
      </c>
      <c r="B676">
        <v>18356955</v>
      </c>
      <c r="C676" t="s">
        <v>10</v>
      </c>
      <c r="D676" s="4">
        <v>45750</v>
      </c>
      <c r="E676" s="11">
        <f t="shared" si="40"/>
        <v>2025</v>
      </c>
      <c r="F676" s="11">
        <f t="shared" si="41"/>
        <v>4</v>
      </c>
      <c r="G676" s="11" t="str">
        <f t="shared" si="42"/>
        <v>202504</v>
      </c>
      <c r="H676" s="4">
        <v>45869</v>
      </c>
      <c r="I676" s="5">
        <v>119</v>
      </c>
      <c r="J676" s="5">
        <v>3.9666666666666668</v>
      </c>
      <c r="K676" s="5">
        <f t="shared" si="43"/>
        <v>0</v>
      </c>
      <c r="L676" s="5">
        <v>0</v>
      </c>
      <c r="M676" s="5">
        <v>1</v>
      </c>
      <c r="N676" t="s">
        <v>9</v>
      </c>
      <c r="O676" s="8">
        <v>19.898630136986302</v>
      </c>
      <c r="P676" t="s">
        <v>32</v>
      </c>
      <c r="Q676">
        <v>1</v>
      </c>
      <c r="R676" s="2">
        <v>38487</v>
      </c>
    </row>
    <row r="677" spans="1:18" x14ac:dyDescent="0.3">
      <c r="A677" t="s">
        <v>7</v>
      </c>
      <c r="B677">
        <v>18357095</v>
      </c>
      <c r="C677" t="s">
        <v>8</v>
      </c>
      <c r="D677" s="4">
        <v>45750</v>
      </c>
      <c r="E677" s="11">
        <f t="shared" si="40"/>
        <v>2025</v>
      </c>
      <c r="F677" s="11">
        <f t="shared" si="41"/>
        <v>4</v>
      </c>
      <c r="G677" s="11" t="str">
        <f t="shared" si="42"/>
        <v>202504</v>
      </c>
      <c r="I677" s="5">
        <v>9999</v>
      </c>
      <c r="J677" s="5">
        <v>333.3</v>
      </c>
      <c r="K677" s="5">
        <f t="shared" si="43"/>
        <v>0</v>
      </c>
      <c r="L677" s="5">
        <v>0</v>
      </c>
      <c r="M677" s="5">
        <v>0</v>
      </c>
      <c r="N677" t="s">
        <v>9</v>
      </c>
      <c r="O677" s="8">
        <v>19.802739726027397</v>
      </c>
      <c r="P677" t="s">
        <v>32</v>
      </c>
      <c r="Q677">
        <v>1</v>
      </c>
      <c r="R677" s="2">
        <v>38522</v>
      </c>
    </row>
    <row r="678" spans="1:18" x14ac:dyDescent="0.3">
      <c r="A678" t="s">
        <v>7</v>
      </c>
      <c r="B678">
        <v>18357130</v>
      </c>
      <c r="C678" t="s">
        <v>8</v>
      </c>
      <c r="D678" s="4">
        <v>45750</v>
      </c>
      <c r="E678" s="11">
        <f t="shared" si="40"/>
        <v>2025</v>
      </c>
      <c r="F678" s="11">
        <f t="shared" si="41"/>
        <v>4</v>
      </c>
      <c r="G678" s="11" t="str">
        <f t="shared" si="42"/>
        <v>202504</v>
      </c>
      <c r="H678" s="4">
        <v>45839</v>
      </c>
      <c r="I678" s="5">
        <v>89</v>
      </c>
      <c r="J678" s="5">
        <v>2.9666666666666668</v>
      </c>
      <c r="K678" s="5">
        <f t="shared" si="43"/>
        <v>0</v>
      </c>
      <c r="L678" s="5">
        <v>1</v>
      </c>
      <c r="M678" s="5">
        <v>1</v>
      </c>
      <c r="N678" t="s">
        <v>9</v>
      </c>
      <c r="O678" s="8">
        <v>22.260273972602739</v>
      </c>
      <c r="P678" t="s">
        <v>33</v>
      </c>
      <c r="Q678">
        <v>2</v>
      </c>
      <c r="R678" s="2">
        <v>37625</v>
      </c>
    </row>
    <row r="679" spans="1:18" x14ac:dyDescent="0.3">
      <c r="A679" t="s">
        <v>7</v>
      </c>
      <c r="B679">
        <v>18357131</v>
      </c>
      <c r="C679" t="s">
        <v>8</v>
      </c>
      <c r="D679" s="4">
        <v>45750</v>
      </c>
      <c r="E679" s="11">
        <f t="shared" si="40"/>
        <v>2025</v>
      </c>
      <c r="F679" s="11">
        <f t="shared" si="41"/>
        <v>4</v>
      </c>
      <c r="G679" s="11" t="str">
        <f t="shared" si="42"/>
        <v>202504</v>
      </c>
      <c r="H679" s="4">
        <v>45809</v>
      </c>
      <c r="I679" s="5">
        <v>59</v>
      </c>
      <c r="J679" s="5">
        <v>1.9666666666666666</v>
      </c>
      <c r="K679" s="5">
        <f t="shared" si="43"/>
        <v>0</v>
      </c>
      <c r="L679" s="5">
        <v>1</v>
      </c>
      <c r="M679" s="5">
        <v>1</v>
      </c>
      <c r="N679" t="s">
        <v>9</v>
      </c>
      <c r="O679" s="8">
        <v>29.526027397260275</v>
      </c>
      <c r="P679" t="s">
        <v>34</v>
      </c>
      <c r="Q679">
        <v>3</v>
      </c>
      <c r="R679" s="2">
        <v>34973</v>
      </c>
    </row>
    <row r="680" spans="1:18" x14ac:dyDescent="0.3">
      <c r="A680" t="s">
        <v>7</v>
      </c>
      <c r="B680">
        <v>18357132</v>
      </c>
      <c r="C680" t="s">
        <v>10</v>
      </c>
      <c r="D680" s="4">
        <v>45750</v>
      </c>
      <c r="E680" s="11">
        <f t="shared" si="40"/>
        <v>2025</v>
      </c>
      <c r="F680" s="11">
        <f t="shared" si="41"/>
        <v>4</v>
      </c>
      <c r="G680" s="11" t="str">
        <f t="shared" si="42"/>
        <v>202504</v>
      </c>
      <c r="H680" s="4">
        <v>46012</v>
      </c>
      <c r="I680" s="5">
        <v>262</v>
      </c>
      <c r="J680" s="5">
        <v>8.7333333333333325</v>
      </c>
      <c r="K680" s="5">
        <f t="shared" si="43"/>
        <v>0</v>
      </c>
      <c r="L680" s="5">
        <v>0</v>
      </c>
      <c r="M680" s="5">
        <v>0</v>
      </c>
      <c r="N680" t="s">
        <v>9</v>
      </c>
      <c r="O680" s="8">
        <v>20.895890410958906</v>
      </c>
      <c r="P680" t="s">
        <v>32</v>
      </c>
      <c r="Q680">
        <v>1</v>
      </c>
      <c r="R680" s="2">
        <v>38123</v>
      </c>
    </row>
    <row r="681" spans="1:18" x14ac:dyDescent="0.3">
      <c r="A681" t="s">
        <v>7</v>
      </c>
      <c r="B681">
        <v>18357168</v>
      </c>
      <c r="C681" t="s">
        <v>8</v>
      </c>
      <c r="D681" s="4">
        <v>45750</v>
      </c>
      <c r="E681" s="11">
        <f t="shared" si="40"/>
        <v>2025</v>
      </c>
      <c r="F681" s="11">
        <f t="shared" si="41"/>
        <v>4</v>
      </c>
      <c r="G681" s="11" t="str">
        <f t="shared" si="42"/>
        <v>202504</v>
      </c>
      <c r="H681" s="4">
        <v>46023</v>
      </c>
      <c r="I681" s="5">
        <v>273</v>
      </c>
      <c r="J681" s="5">
        <v>9.1</v>
      </c>
      <c r="K681" s="5">
        <f t="shared" si="43"/>
        <v>0</v>
      </c>
      <c r="L681" s="5">
        <v>0</v>
      </c>
      <c r="M681" s="5">
        <v>0</v>
      </c>
      <c r="N681" t="s">
        <v>12</v>
      </c>
      <c r="O681" s="8">
        <v>24.134246575342466</v>
      </c>
      <c r="P681" t="s">
        <v>33</v>
      </c>
      <c r="Q681">
        <v>2</v>
      </c>
      <c r="R681" s="2">
        <v>36941</v>
      </c>
    </row>
    <row r="682" spans="1:18" x14ac:dyDescent="0.3">
      <c r="A682" t="s">
        <v>7</v>
      </c>
      <c r="B682">
        <v>18357169</v>
      </c>
      <c r="C682" t="s">
        <v>8</v>
      </c>
      <c r="D682" s="4">
        <v>45750</v>
      </c>
      <c r="E682" s="11">
        <f t="shared" si="40"/>
        <v>2025</v>
      </c>
      <c r="F682" s="11">
        <f t="shared" si="41"/>
        <v>4</v>
      </c>
      <c r="G682" s="11" t="str">
        <f t="shared" si="42"/>
        <v>202504</v>
      </c>
      <c r="H682" s="4">
        <v>46152</v>
      </c>
      <c r="I682" s="5">
        <v>402</v>
      </c>
      <c r="J682" s="5">
        <v>13.4</v>
      </c>
      <c r="K682" s="5">
        <f t="shared" si="43"/>
        <v>0</v>
      </c>
      <c r="L682" s="5">
        <v>0</v>
      </c>
      <c r="M682" s="5">
        <v>0</v>
      </c>
      <c r="N682" t="s">
        <v>9</v>
      </c>
      <c r="O682" s="8">
        <v>21.961643835616439</v>
      </c>
      <c r="P682" t="s">
        <v>33</v>
      </c>
      <c r="Q682">
        <v>2</v>
      </c>
      <c r="R682" s="2">
        <v>37734</v>
      </c>
    </row>
    <row r="683" spans="1:18" x14ac:dyDescent="0.3">
      <c r="A683" t="s">
        <v>11</v>
      </c>
      <c r="B683">
        <v>18357221</v>
      </c>
      <c r="C683" t="s">
        <v>8</v>
      </c>
      <c r="D683" s="4">
        <v>45962</v>
      </c>
      <c r="E683" s="11">
        <f t="shared" si="40"/>
        <v>2025</v>
      </c>
      <c r="F683" s="11">
        <f t="shared" si="41"/>
        <v>11</v>
      </c>
      <c r="G683" s="11" t="str">
        <f t="shared" si="42"/>
        <v>202511</v>
      </c>
      <c r="H683" s="4">
        <v>46173</v>
      </c>
      <c r="I683" s="5">
        <v>211</v>
      </c>
      <c r="J683" s="5">
        <v>7.0333333333333332</v>
      </c>
      <c r="K683" s="5">
        <f t="shared" si="43"/>
        <v>0</v>
      </c>
      <c r="L683" s="5">
        <v>0</v>
      </c>
      <c r="M683" s="5">
        <v>0</v>
      </c>
      <c r="N683" t="s">
        <v>9</v>
      </c>
      <c r="O683" s="8">
        <v>24.18082191780822</v>
      </c>
      <c r="P683" t="s">
        <v>33</v>
      </c>
      <c r="Q683">
        <v>2</v>
      </c>
      <c r="R683" s="2">
        <v>37136</v>
      </c>
    </row>
    <row r="684" spans="1:18" x14ac:dyDescent="0.3">
      <c r="A684" t="s">
        <v>7</v>
      </c>
      <c r="B684">
        <v>18357221</v>
      </c>
      <c r="C684" t="s">
        <v>8</v>
      </c>
      <c r="D684" s="4">
        <v>45750</v>
      </c>
      <c r="E684" s="11">
        <f t="shared" si="40"/>
        <v>2025</v>
      </c>
      <c r="F684" s="11">
        <f t="shared" si="41"/>
        <v>4</v>
      </c>
      <c r="G684" s="11" t="str">
        <f t="shared" si="42"/>
        <v>202504</v>
      </c>
      <c r="H684" s="4">
        <v>45961</v>
      </c>
      <c r="I684" s="5">
        <v>211</v>
      </c>
      <c r="J684" s="5">
        <v>7.0333333333333332</v>
      </c>
      <c r="K684" s="5">
        <f t="shared" si="43"/>
        <v>0</v>
      </c>
      <c r="L684" s="5">
        <v>0</v>
      </c>
      <c r="M684" s="5">
        <v>0</v>
      </c>
      <c r="N684" t="s">
        <v>9</v>
      </c>
      <c r="O684" s="8">
        <v>23.6</v>
      </c>
      <c r="P684" t="s">
        <v>33</v>
      </c>
      <c r="Q684">
        <v>2</v>
      </c>
      <c r="R684" s="2">
        <v>37136</v>
      </c>
    </row>
    <row r="685" spans="1:18" x14ac:dyDescent="0.3">
      <c r="A685" t="s">
        <v>7</v>
      </c>
      <c r="B685">
        <v>18357222</v>
      </c>
      <c r="C685" t="s">
        <v>10</v>
      </c>
      <c r="D685" s="4">
        <v>45750</v>
      </c>
      <c r="E685" s="11">
        <f t="shared" si="40"/>
        <v>2025</v>
      </c>
      <c r="F685" s="11">
        <f t="shared" si="41"/>
        <v>4</v>
      </c>
      <c r="G685" s="11" t="str">
        <f t="shared" si="42"/>
        <v>202504</v>
      </c>
      <c r="H685" s="4">
        <v>45838</v>
      </c>
      <c r="I685" s="5">
        <v>88</v>
      </c>
      <c r="J685" s="5">
        <v>2.9333333333333331</v>
      </c>
      <c r="K685" s="5">
        <f t="shared" si="43"/>
        <v>0</v>
      </c>
      <c r="L685" s="5">
        <v>1</v>
      </c>
      <c r="M685" s="5">
        <v>1</v>
      </c>
      <c r="N685" t="s">
        <v>9</v>
      </c>
      <c r="O685" s="8">
        <v>18.591780821917808</v>
      </c>
      <c r="P685" t="s">
        <v>32</v>
      </c>
      <c r="Q685">
        <v>1</v>
      </c>
      <c r="R685" s="2">
        <v>38964</v>
      </c>
    </row>
    <row r="686" spans="1:18" x14ac:dyDescent="0.3">
      <c r="A686" t="s">
        <v>7</v>
      </c>
      <c r="B686">
        <v>18357251</v>
      </c>
      <c r="C686" t="s">
        <v>8</v>
      </c>
      <c r="D686" s="4">
        <v>45750</v>
      </c>
      <c r="E686" s="11">
        <f t="shared" si="40"/>
        <v>2025</v>
      </c>
      <c r="F686" s="11">
        <f t="shared" si="41"/>
        <v>4</v>
      </c>
      <c r="G686" s="11" t="str">
        <f t="shared" si="42"/>
        <v>202504</v>
      </c>
      <c r="H686" s="4">
        <v>45819</v>
      </c>
      <c r="I686" s="5">
        <v>69</v>
      </c>
      <c r="J686" s="5">
        <v>2.2999999999999998</v>
      </c>
      <c r="K686" s="5">
        <f t="shared" si="43"/>
        <v>0</v>
      </c>
      <c r="L686" s="5">
        <v>1</v>
      </c>
      <c r="M686" s="5">
        <v>1</v>
      </c>
      <c r="N686" t="s">
        <v>9</v>
      </c>
      <c r="O686" s="8">
        <v>31.884931506849316</v>
      </c>
      <c r="P686" t="s">
        <v>35</v>
      </c>
      <c r="Q686">
        <v>4</v>
      </c>
      <c r="R686" s="2">
        <v>34112</v>
      </c>
    </row>
    <row r="687" spans="1:18" x14ac:dyDescent="0.3">
      <c r="A687" t="s">
        <v>7</v>
      </c>
      <c r="B687">
        <v>18357252</v>
      </c>
      <c r="C687" t="s">
        <v>8</v>
      </c>
      <c r="D687" s="4">
        <v>45750</v>
      </c>
      <c r="E687" s="11">
        <f t="shared" si="40"/>
        <v>2025</v>
      </c>
      <c r="F687" s="11">
        <f t="shared" si="41"/>
        <v>4</v>
      </c>
      <c r="G687" s="11" t="str">
        <f t="shared" si="42"/>
        <v>202504</v>
      </c>
      <c r="H687" s="4">
        <v>46103</v>
      </c>
      <c r="I687" s="5">
        <v>353</v>
      </c>
      <c r="J687" s="5">
        <v>11.766666666666667</v>
      </c>
      <c r="K687" s="5">
        <f t="shared" si="43"/>
        <v>0</v>
      </c>
      <c r="L687" s="5">
        <v>0</v>
      </c>
      <c r="M687" s="5">
        <v>0</v>
      </c>
      <c r="N687" t="s">
        <v>9</v>
      </c>
      <c r="O687" s="8">
        <v>19.153424657534245</v>
      </c>
      <c r="P687" t="s">
        <v>32</v>
      </c>
      <c r="Q687">
        <v>1</v>
      </c>
      <c r="R687" s="2">
        <v>38759</v>
      </c>
    </row>
    <row r="688" spans="1:18" x14ac:dyDescent="0.3">
      <c r="A688" t="s">
        <v>7</v>
      </c>
      <c r="B688">
        <v>18357253</v>
      </c>
      <c r="C688" t="s">
        <v>8</v>
      </c>
      <c r="D688" s="4">
        <v>45750</v>
      </c>
      <c r="E688" s="11">
        <f t="shared" si="40"/>
        <v>2025</v>
      </c>
      <c r="F688" s="11">
        <f t="shared" si="41"/>
        <v>4</v>
      </c>
      <c r="G688" s="11" t="str">
        <f t="shared" si="42"/>
        <v>202504</v>
      </c>
      <c r="I688" s="5">
        <v>9999</v>
      </c>
      <c r="J688" s="5">
        <v>333.3</v>
      </c>
      <c r="K688" s="5">
        <f t="shared" si="43"/>
        <v>0</v>
      </c>
      <c r="L688" s="5">
        <v>0</v>
      </c>
      <c r="M688" s="5">
        <v>0</v>
      </c>
      <c r="N688" t="s">
        <v>9</v>
      </c>
      <c r="O688" s="8">
        <v>19.186301369863013</v>
      </c>
      <c r="P688" t="s">
        <v>32</v>
      </c>
      <c r="Q688">
        <v>1</v>
      </c>
      <c r="R688" s="2">
        <v>38747</v>
      </c>
    </row>
    <row r="689" spans="1:18" x14ac:dyDescent="0.3">
      <c r="A689" t="s">
        <v>7</v>
      </c>
      <c r="B689">
        <v>18357254</v>
      </c>
      <c r="C689" t="s">
        <v>8</v>
      </c>
      <c r="D689" s="4">
        <v>45750</v>
      </c>
      <c r="E689" s="11">
        <f t="shared" si="40"/>
        <v>2025</v>
      </c>
      <c r="F689" s="11">
        <f t="shared" si="41"/>
        <v>4</v>
      </c>
      <c r="G689" s="11" t="str">
        <f t="shared" si="42"/>
        <v>202504</v>
      </c>
      <c r="H689" s="4">
        <v>45853</v>
      </c>
      <c r="I689" s="5">
        <v>103</v>
      </c>
      <c r="J689" s="5">
        <v>3.4333333333333331</v>
      </c>
      <c r="K689" s="5">
        <f t="shared" si="43"/>
        <v>0</v>
      </c>
      <c r="L689" s="5">
        <v>0</v>
      </c>
      <c r="M689" s="5">
        <v>1</v>
      </c>
      <c r="N689" t="s">
        <v>9</v>
      </c>
      <c r="O689" s="8">
        <v>46.742465753424661</v>
      </c>
      <c r="P689" t="s">
        <v>35</v>
      </c>
      <c r="Q689">
        <v>4</v>
      </c>
      <c r="R689" s="2">
        <v>28689</v>
      </c>
    </row>
    <row r="690" spans="1:18" x14ac:dyDescent="0.3">
      <c r="A690" t="s">
        <v>7</v>
      </c>
      <c r="B690">
        <v>18357255</v>
      </c>
      <c r="C690" t="s">
        <v>8</v>
      </c>
      <c r="D690" s="4">
        <v>45750</v>
      </c>
      <c r="E690" s="11">
        <f t="shared" si="40"/>
        <v>2025</v>
      </c>
      <c r="F690" s="11">
        <f t="shared" si="41"/>
        <v>4</v>
      </c>
      <c r="G690" s="11" t="str">
        <f t="shared" si="42"/>
        <v>202504</v>
      </c>
      <c r="I690" s="5">
        <v>9999</v>
      </c>
      <c r="J690" s="5">
        <v>333.3</v>
      </c>
      <c r="K690" s="5">
        <f t="shared" si="43"/>
        <v>0</v>
      </c>
      <c r="L690" s="5">
        <v>0</v>
      </c>
      <c r="M690" s="5">
        <v>0</v>
      </c>
      <c r="N690" t="s">
        <v>9</v>
      </c>
      <c r="O690" s="8">
        <v>20.446575342465753</v>
      </c>
      <c r="P690" t="s">
        <v>32</v>
      </c>
      <c r="Q690">
        <v>1</v>
      </c>
      <c r="R690" s="2">
        <v>38287</v>
      </c>
    </row>
    <row r="691" spans="1:18" x14ac:dyDescent="0.3">
      <c r="A691" t="s">
        <v>7</v>
      </c>
      <c r="B691">
        <v>18357256</v>
      </c>
      <c r="C691" t="s">
        <v>8</v>
      </c>
      <c r="D691" s="4">
        <v>45750</v>
      </c>
      <c r="E691" s="11">
        <f t="shared" si="40"/>
        <v>2025</v>
      </c>
      <c r="F691" s="11">
        <f t="shared" si="41"/>
        <v>4</v>
      </c>
      <c r="G691" s="11" t="str">
        <f t="shared" si="42"/>
        <v>202504</v>
      </c>
      <c r="H691" s="4">
        <v>45955</v>
      </c>
      <c r="I691" s="5">
        <v>205</v>
      </c>
      <c r="J691" s="5">
        <v>6.833333333333333</v>
      </c>
      <c r="K691" s="5">
        <f t="shared" si="43"/>
        <v>0</v>
      </c>
      <c r="L691" s="5">
        <v>0</v>
      </c>
      <c r="M691" s="5">
        <v>0</v>
      </c>
      <c r="N691" t="s">
        <v>9</v>
      </c>
      <c r="O691" s="8">
        <v>19.252054794520546</v>
      </c>
      <c r="P691" t="s">
        <v>32</v>
      </c>
      <c r="Q691">
        <v>1</v>
      </c>
      <c r="R691" s="2">
        <v>38723</v>
      </c>
    </row>
    <row r="692" spans="1:18" x14ac:dyDescent="0.3">
      <c r="A692" t="s">
        <v>7</v>
      </c>
      <c r="B692">
        <v>18357258</v>
      </c>
      <c r="C692" t="s">
        <v>8</v>
      </c>
      <c r="D692" s="4">
        <v>45750</v>
      </c>
      <c r="E692" s="11">
        <f t="shared" si="40"/>
        <v>2025</v>
      </c>
      <c r="F692" s="11">
        <f t="shared" si="41"/>
        <v>4</v>
      </c>
      <c r="G692" s="11" t="str">
        <f t="shared" si="42"/>
        <v>202504</v>
      </c>
      <c r="H692" s="4">
        <v>45763</v>
      </c>
      <c r="I692" s="5">
        <v>13</v>
      </c>
      <c r="J692" s="5">
        <v>0.43333333333333335</v>
      </c>
      <c r="K692" s="5">
        <f t="shared" si="43"/>
        <v>1</v>
      </c>
      <c r="L692" s="5">
        <v>1</v>
      </c>
      <c r="M692" s="5">
        <v>1</v>
      </c>
      <c r="N692" t="s">
        <v>9</v>
      </c>
      <c r="O692" s="8">
        <v>30.32054794520548</v>
      </c>
      <c r="P692" t="s">
        <v>34</v>
      </c>
      <c r="Q692">
        <v>3</v>
      </c>
      <c r="R692" s="2">
        <v>34683</v>
      </c>
    </row>
    <row r="693" spans="1:18" x14ac:dyDescent="0.3">
      <c r="A693" t="s">
        <v>7</v>
      </c>
      <c r="B693">
        <v>18357332</v>
      </c>
      <c r="C693" t="s">
        <v>8</v>
      </c>
      <c r="D693" s="4">
        <v>45750</v>
      </c>
      <c r="E693" s="11">
        <f t="shared" si="40"/>
        <v>2025</v>
      </c>
      <c r="F693" s="11">
        <f t="shared" si="41"/>
        <v>4</v>
      </c>
      <c r="G693" s="11" t="str">
        <f t="shared" si="42"/>
        <v>202504</v>
      </c>
      <c r="I693" s="5">
        <v>9999</v>
      </c>
      <c r="J693" s="5">
        <v>333.3</v>
      </c>
      <c r="K693" s="5">
        <f t="shared" si="43"/>
        <v>0</v>
      </c>
      <c r="L693" s="5">
        <v>0</v>
      </c>
      <c r="M693" s="5">
        <v>0</v>
      </c>
      <c r="N693" t="s">
        <v>9</v>
      </c>
      <c r="O693" s="8">
        <v>51.734246575342468</v>
      </c>
      <c r="P693" t="s">
        <v>35</v>
      </c>
      <c r="Q693">
        <v>4</v>
      </c>
      <c r="R693" s="2">
        <v>26867</v>
      </c>
    </row>
    <row r="694" spans="1:18" x14ac:dyDescent="0.3">
      <c r="A694" t="s">
        <v>7</v>
      </c>
      <c r="B694">
        <v>18357333</v>
      </c>
      <c r="C694" t="s">
        <v>10</v>
      </c>
      <c r="D694" s="4">
        <v>45750</v>
      </c>
      <c r="E694" s="11">
        <f t="shared" si="40"/>
        <v>2025</v>
      </c>
      <c r="F694" s="11">
        <f t="shared" si="41"/>
        <v>4</v>
      </c>
      <c r="G694" s="11" t="str">
        <f t="shared" si="42"/>
        <v>202504</v>
      </c>
      <c r="I694" s="5">
        <v>9999</v>
      </c>
      <c r="J694" s="5">
        <v>333.3</v>
      </c>
      <c r="K694" s="5">
        <f t="shared" si="43"/>
        <v>0</v>
      </c>
      <c r="L694" s="5">
        <v>0</v>
      </c>
      <c r="M694" s="5">
        <v>0</v>
      </c>
      <c r="N694" t="s">
        <v>9</v>
      </c>
      <c r="O694" s="8">
        <v>18.345205479452055</v>
      </c>
      <c r="P694" t="s">
        <v>32</v>
      </c>
      <c r="Q694">
        <v>1</v>
      </c>
      <c r="R694" s="2">
        <v>39054</v>
      </c>
    </row>
    <row r="695" spans="1:18" x14ac:dyDescent="0.3">
      <c r="A695" t="s">
        <v>7</v>
      </c>
      <c r="B695">
        <v>18357334</v>
      </c>
      <c r="C695" t="s">
        <v>8</v>
      </c>
      <c r="D695" s="4">
        <v>45750</v>
      </c>
      <c r="E695" s="11">
        <f t="shared" si="40"/>
        <v>2025</v>
      </c>
      <c r="F695" s="11">
        <f t="shared" si="41"/>
        <v>4</v>
      </c>
      <c r="G695" s="11" t="str">
        <f t="shared" si="42"/>
        <v>202504</v>
      </c>
      <c r="I695" s="5">
        <v>9999</v>
      </c>
      <c r="J695" s="5">
        <v>333.3</v>
      </c>
      <c r="K695" s="5">
        <f t="shared" si="43"/>
        <v>0</v>
      </c>
      <c r="L695" s="5">
        <v>0</v>
      </c>
      <c r="M695" s="5">
        <v>0</v>
      </c>
      <c r="N695" t="s">
        <v>9</v>
      </c>
      <c r="O695" s="8">
        <v>20.306849315068494</v>
      </c>
      <c r="P695" t="s">
        <v>32</v>
      </c>
      <c r="Q695">
        <v>1</v>
      </c>
      <c r="R695" s="2">
        <v>38338</v>
      </c>
    </row>
    <row r="696" spans="1:18" x14ac:dyDescent="0.3">
      <c r="A696" t="s">
        <v>7</v>
      </c>
      <c r="B696">
        <v>18357335</v>
      </c>
      <c r="C696" t="s">
        <v>8</v>
      </c>
      <c r="D696" s="4">
        <v>45750</v>
      </c>
      <c r="E696" s="11">
        <f t="shared" si="40"/>
        <v>2025</v>
      </c>
      <c r="F696" s="11">
        <f t="shared" si="41"/>
        <v>4</v>
      </c>
      <c r="G696" s="11" t="str">
        <f t="shared" si="42"/>
        <v>202504</v>
      </c>
      <c r="H696" s="4">
        <v>45783</v>
      </c>
      <c r="I696" s="5">
        <v>33</v>
      </c>
      <c r="J696" s="5">
        <v>1.1000000000000001</v>
      </c>
      <c r="K696" s="5">
        <f t="shared" si="43"/>
        <v>0</v>
      </c>
      <c r="L696" s="5">
        <v>1</v>
      </c>
      <c r="M696" s="5">
        <v>1</v>
      </c>
      <c r="N696" t="s">
        <v>9</v>
      </c>
      <c r="O696" s="8">
        <v>20.783561643835615</v>
      </c>
      <c r="P696" t="s">
        <v>32</v>
      </c>
      <c r="Q696">
        <v>1</v>
      </c>
      <c r="R696" s="2">
        <v>38164</v>
      </c>
    </row>
    <row r="697" spans="1:18" x14ac:dyDescent="0.3">
      <c r="A697" t="s">
        <v>7</v>
      </c>
      <c r="B697">
        <v>18357398</v>
      </c>
      <c r="C697" t="s">
        <v>8</v>
      </c>
      <c r="D697" s="4">
        <v>45750</v>
      </c>
      <c r="E697" s="11">
        <f t="shared" si="40"/>
        <v>2025</v>
      </c>
      <c r="F697" s="11">
        <f t="shared" si="41"/>
        <v>4</v>
      </c>
      <c r="G697" s="11" t="str">
        <f t="shared" si="42"/>
        <v>202504</v>
      </c>
      <c r="H697" s="4">
        <v>46096</v>
      </c>
      <c r="I697" s="5">
        <v>346</v>
      </c>
      <c r="J697" s="5">
        <v>11.533333333333333</v>
      </c>
      <c r="K697" s="5">
        <f t="shared" si="43"/>
        <v>0</v>
      </c>
      <c r="L697" s="5">
        <v>0</v>
      </c>
      <c r="M697" s="5">
        <v>0</v>
      </c>
      <c r="N697" t="s">
        <v>9</v>
      </c>
      <c r="O697" s="8">
        <v>19.375342465753423</v>
      </c>
      <c r="P697" t="s">
        <v>32</v>
      </c>
      <c r="Q697">
        <v>1</v>
      </c>
      <c r="R697" s="2">
        <v>38678</v>
      </c>
    </row>
    <row r="698" spans="1:18" x14ac:dyDescent="0.3">
      <c r="A698" t="s">
        <v>7</v>
      </c>
      <c r="B698">
        <v>18357507</v>
      </c>
      <c r="C698" t="s">
        <v>8</v>
      </c>
      <c r="D698" s="4">
        <v>45750</v>
      </c>
      <c r="E698" s="11">
        <f t="shared" si="40"/>
        <v>2025</v>
      </c>
      <c r="F698" s="11">
        <f t="shared" si="41"/>
        <v>4</v>
      </c>
      <c r="G698" s="11" t="str">
        <f t="shared" si="42"/>
        <v>202504</v>
      </c>
      <c r="H698" s="4">
        <v>45853</v>
      </c>
      <c r="I698" s="5">
        <v>103</v>
      </c>
      <c r="J698" s="5">
        <v>3.4333333333333331</v>
      </c>
      <c r="K698" s="5">
        <f t="shared" si="43"/>
        <v>0</v>
      </c>
      <c r="L698" s="5">
        <v>0</v>
      </c>
      <c r="M698" s="5">
        <v>1</v>
      </c>
      <c r="N698" t="s">
        <v>9</v>
      </c>
      <c r="O698" s="8">
        <v>27.882191780821916</v>
      </c>
      <c r="P698" t="s">
        <v>34</v>
      </c>
      <c r="Q698">
        <v>3</v>
      </c>
      <c r="R698" s="2">
        <v>35573</v>
      </c>
    </row>
    <row r="699" spans="1:18" x14ac:dyDescent="0.3">
      <c r="A699" t="s">
        <v>7</v>
      </c>
      <c r="B699">
        <v>18357561</v>
      </c>
      <c r="C699" t="s">
        <v>10</v>
      </c>
      <c r="D699" s="4">
        <v>45750</v>
      </c>
      <c r="E699" s="11">
        <f t="shared" si="40"/>
        <v>2025</v>
      </c>
      <c r="F699" s="11">
        <f t="shared" si="41"/>
        <v>4</v>
      </c>
      <c r="G699" s="11" t="str">
        <f t="shared" si="42"/>
        <v>202504</v>
      </c>
      <c r="H699" s="4">
        <v>45811</v>
      </c>
      <c r="I699" s="5">
        <v>61</v>
      </c>
      <c r="J699" s="5">
        <v>2.0333333333333332</v>
      </c>
      <c r="K699" s="5">
        <f t="shared" si="43"/>
        <v>0</v>
      </c>
      <c r="L699" s="5">
        <v>1</v>
      </c>
      <c r="M699" s="5">
        <v>1</v>
      </c>
      <c r="N699" t="s">
        <v>9</v>
      </c>
      <c r="O699" s="8">
        <v>18.816438356164383</v>
      </c>
      <c r="P699" t="s">
        <v>32</v>
      </c>
      <c r="Q699">
        <v>1</v>
      </c>
      <c r="R699" s="2">
        <v>38882</v>
      </c>
    </row>
    <row r="700" spans="1:18" x14ac:dyDescent="0.3">
      <c r="A700" t="s">
        <v>7</v>
      </c>
      <c r="B700">
        <v>18357680</v>
      </c>
      <c r="C700" t="s">
        <v>8</v>
      </c>
      <c r="D700" s="4">
        <v>45750</v>
      </c>
      <c r="E700" s="11">
        <f t="shared" si="40"/>
        <v>2025</v>
      </c>
      <c r="F700" s="11">
        <f t="shared" si="41"/>
        <v>4</v>
      </c>
      <c r="G700" s="11" t="str">
        <f t="shared" si="42"/>
        <v>202504</v>
      </c>
      <c r="H700" s="4">
        <v>45879</v>
      </c>
      <c r="I700" s="5">
        <v>129</v>
      </c>
      <c r="J700" s="5">
        <v>4.3</v>
      </c>
      <c r="K700" s="5">
        <f t="shared" si="43"/>
        <v>0</v>
      </c>
      <c r="L700" s="5">
        <v>0</v>
      </c>
      <c r="M700" s="5">
        <v>1</v>
      </c>
      <c r="N700" t="s">
        <v>9</v>
      </c>
      <c r="O700" s="8">
        <v>23.8</v>
      </c>
      <c r="P700" t="s">
        <v>33</v>
      </c>
      <c r="Q700">
        <v>2</v>
      </c>
      <c r="R700" s="2">
        <v>37063</v>
      </c>
    </row>
    <row r="701" spans="1:18" x14ac:dyDescent="0.3">
      <c r="A701" t="s">
        <v>7</v>
      </c>
      <c r="B701">
        <v>18357903</v>
      </c>
      <c r="C701" t="s">
        <v>8</v>
      </c>
      <c r="D701" s="4">
        <v>45750</v>
      </c>
      <c r="E701" s="11">
        <f t="shared" si="40"/>
        <v>2025</v>
      </c>
      <c r="F701" s="11">
        <f t="shared" si="41"/>
        <v>4</v>
      </c>
      <c r="G701" s="11" t="str">
        <f t="shared" si="42"/>
        <v>202504</v>
      </c>
      <c r="H701" s="4">
        <v>45809</v>
      </c>
      <c r="I701" s="5">
        <v>59</v>
      </c>
      <c r="J701" s="5">
        <v>1.9666666666666666</v>
      </c>
      <c r="K701" s="5">
        <f t="shared" si="43"/>
        <v>0</v>
      </c>
      <c r="L701" s="5">
        <v>1</v>
      </c>
      <c r="M701" s="5">
        <v>1</v>
      </c>
      <c r="N701" t="s">
        <v>9</v>
      </c>
      <c r="O701" s="8">
        <v>41.42739726027397</v>
      </c>
      <c r="P701" t="s">
        <v>35</v>
      </c>
      <c r="Q701">
        <v>4</v>
      </c>
      <c r="R701" s="2">
        <v>30629</v>
      </c>
    </row>
    <row r="702" spans="1:18" x14ac:dyDescent="0.3">
      <c r="A702" t="s">
        <v>7</v>
      </c>
      <c r="B702">
        <v>18357904</v>
      </c>
      <c r="C702" t="s">
        <v>8</v>
      </c>
      <c r="D702" s="4">
        <v>45750</v>
      </c>
      <c r="E702" s="11">
        <f t="shared" si="40"/>
        <v>2025</v>
      </c>
      <c r="F702" s="11">
        <f t="shared" si="41"/>
        <v>4</v>
      </c>
      <c r="G702" s="11" t="str">
        <f t="shared" si="42"/>
        <v>202504</v>
      </c>
      <c r="H702" s="4">
        <v>45879</v>
      </c>
      <c r="I702" s="5">
        <v>129</v>
      </c>
      <c r="J702" s="5">
        <v>4.3</v>
      </c>
      <c r="K702" s="5">
        <f t="shared" si="43"/>
        <v>0</v>
      </c>
      <c r="L702" s="5">
        <v>0</v>
      </c>
      <c r="M702" s="5">
        <v>1</v>
      </c>
      <c r="N702" t="s">
        <v>9</v>
      </c>
      <c r="O702" s="8">
        <v>31.416438356164385</v>
      </c>
      <c r="P702" t="s">
        <v>35</v>
      </c>
      <c r="Q702">
        <v>4</v>
      </c>
      <c r="R702" s="2">
        <v>34283</v>
      </c>
    </row>
    <row r="703" spans="1:18" x14ac:dyDescent="0.3">
      <c r="A703" t="s">
        <v>7</v>
      </c>
      <c r="B703">
        <v>18358071</v>
      </c>
      <c r="C703" t="s">
        <v>8</v>
      </c>
      <c r="D703" s="4">
        <v>45750</v>
      </c>
      <c r="E703" s="11">
        <f t="shared" si="40"/>
        <v>2025</v>
      </c>
      <c r="F703" s="11">
        <f t="shared" si="41"/>
        <v>4</v>
      </c>
      <c r="G703" s="11" t="str">
        <f t="shared" si="42"/>
        <v>202504</v>
      </c>
      <c r="H703" s="4">
        <v>46053</v>
      </c>
      <c r="I703" s="5">
        <v>303</v>
      </c>
      <c r="J703" s="5">
        <v>10.1</v>
      </c>
      <c r="K703" s="5">
        <f t="shared" si="43"/>
        <v>0</v>
      </c>
      <c r="L703" s="5">
        <v>0</v>
      </c>
      <c r="M703" s="5">
        <v>0</v>
      </c>
      <c r="N703" t="s">
        <v>9</v>
      </c>
      <c r="O703" s="8">
        <v>20.917808219178081</v>
      </c>
      <c r="P703" t="s">
        <v>32</v>
      </c>
      <c r="Q703">
        <v>1</v>
      </c>
      <c r="R703" s="2">
        <v>38115</v>
      </c>
    </row>
    <row r="704" spans="1:18" x14ac:dyDescent="0.3">
      <c r="A704" t="s">
        <v>7</v>
      </c>
      <c r="B704">
        <v>18358208</v>
      </c>
      <c r="C704" t="s">
        <v>8</v>
      </c>
      <c r="D704" s="4">
        <v>45750</v>
      </c>
      <c r="E704" s="11">
        <f t="shared" si="40"/>
        <v>2025</v>
      </c>
      <c r="F704" s="11">
        <f t="shared" si="41"/>
        <v>4</v>
      </c>
      <c r="G704" s="11" t="str">
        <f t="shared" si="42"/>
        <v>202504</v>
      </c>
      <c r="H704" s="4">
        <v>45839</v>
      </c>
      <c r="I704" s="5">
        <v>89</v>
      </c>
      <c r="J704" s="5">
        <v>2.9666666666666668</v>
      </c>
      <c r="K704" s="5">
        <f t="shared" si="43"/>
        <v>0</v>
      </c>
      <c r="L704" s="5">
        <v>1</v>
      </c>
      <c r="M704" s="5">
        <v>1</v>
      </c>
      <c r="N704" t="s">
        <v>9</v>
      </c>
      <c r="O704" s="8">
        <v>20.312328767123287</v>
      </c>
      <c r="P704" t="s">
        <v>32</v>
      </c>
      <c r="Q704">
        <v>1</v>
      </c>
      <c r="R704" s="2">
        <v>38336</v>
      </c>
    </row>
    <row r="705" spans="1:18" x14ac:dyDescent="0.3">
      <c r="A705" t="s">
        <v>7</v>
      </c>
      <c r="B705">
        <v>18359813</v>
      </c>
      <c r="C705" t="s">
        <v>8</v>
      </c>
      <c r="D705" s="4">
        <v>45750</v>
      </c>
      <c r="E705" s="11">
        <f t="shared" si="40"/>
        <v>2025</v>
      </c>
      <c r="F705" s="11">
        <f t="shared" si="41"/>
        <v>4</v>
      </c>
      <c r="G705" s="11" t="str">
        <f t="shared" si="42"/>
        <v>202504</v>
      </c>
      <c r="H705" s="4">
        <v>45910</v>
      </c>
      <c r="I705" s="5">
        <v>160</v>
      </c>
      <c r="J705" s="5">
        <v>5.333333333333333</v>
      </c>
      <c r="K705" s="5">
        <f t="shared" si="43"/>
        <v>0</v>
      </c>
      <c r="L705" s="5">
        <v>0</v>
      </c>
      <c r="M705" s="5">
        <v>1</v>
      </c>
      <c r="N705" t="s">
        <v>9</v>
      </c>
      <c r="O705" s="8">
        <v>19.356164383561644</v>
      </c>
      <c r="P705" t="s">
        <v>32</v>
      </c>
      <c r="Q705">
        <v>1</v>
      </c>
      <c r="R705" s="2">
        <v>38685</v>
      </c>
    </row>
    <row r="706" spans="1:18" x14ac:dyDescent="0.3">
      <c r="A706" t="s">
        <v>7</v>
      </c>
      <c r="B706">
        <v>18370283</v>
      </c>
      <c r="C706" t="s">
        <v>8</v>
      </c>
      <c r="D706" s="4">
        <v>45751</v>
      </c>
      <c r="E706" s="11">
        <f t="shared" si="40"/>
        <v>2025</v>
      </c>
      <c r="F706" s="11">
        <f t="shared" si="41"/>
        <v>4</v>
      </c>
      <c r="G706" s="11" t="str">
        <f t="shared" si="42"/>
        <v>202504</v>
      </c>
      <c r="H706" s="4">
        <v>45777</v>
      </c>
      <c r="I706" s="5">
        <v>26</v>
      </c>
      <c r="J706" s="5">
        <v>0.8666666666666667</v>
      </c>
      <c r="K706" s="5">
        <f t="shared" si="43"/>
        <v>1</v>
      </c>
      <c r="L706" s="5">
        <v>1</v>
      </c>
      <c r="M706" s="5">
        <v>1</v>
      </c>
      <c r="N706" t="s">
        <v>9</v>
      </c>
      <c r="O706" s="8">
        <v>21.43013698630137</v>
      </c>
      <c r="P706" t="s">
        <v>33</v>
      </c>
      <c r="Q706">
        <v>2</v>
      </c>
      <c r="R706" s="2">
        <v>37929</v>
      </c>
    </row>
    <row r="707" spans="1:18" x14ac:dyDescent="0.3">
      <c r="A707" t="s">
        <v>7</v>
      </c>
      <c r="B707">
        <v>18371477</v>
      </c>
      <c r="C707" t="s">
        <v>8</v>
      </c>
      <c r="D707" s="4">
        <v>45751</v>
      </c>
      <c r="E707" s="11">
        <f t="shared" ref="E707:E770" si="44">+YEAR(D707)</f>
        <v>2025</v>
      </c>
      <c r="F707" s="11">
        <f t="shared" ref="F707:F770" si="45">+MONTH(D707)</f>
        <v>4</v>
      </c>
      <c r="G707" s="11" t="str">
        <f t="shared" ref="G707:G770" si="46">+TEXT(D707, "yyymm")</f>
        <v>202504</v>
      </c>
      <c r="I707" s="5">
        <v>9999</v>
      </c>
      <c r="J707" s="5">
        <v>333.3</v>
      </c>
      <c r="K707" s="5">
        <f t="shared" ref="K707:K770" si="47">IF(J707&lt;=1,1,0)</f>
        <v>0</v>
      </c>
      <c r="L707" s="5">
        <v>0</v>
      </c>
      <c r="M707" s="5">
        <v>0</v>
      </c>
      <c r="N707" t="s">
        <v>12</v>
      </c>
      <c r="O707" s="8">
        <v>23.589041095890412</v>
      </c>
      <c r="P707" t="s">
        <v>33</v>
      </c>
      <c r="Q707">
        <v>2</v>
      </c>
      <c r="R707" s="2">
        <v>37141</v>
      </c>
    </row>
    <row r="708" spans="1:18" x14ac:dyDescent="0.3">
      <c r="A708" t="s">
        <v>7</v>
      </c>
      <c r="B708">
        <v>18371776</v>
      </c>
      <c r="C708" t="s">
        <v>8</v>
      </c>
      <c r="D708" s="4">
        <v>45751</v>
      </c>
      <c r="E708" s="11">
        <f t="shared" si="44"/>
        <v>2025</v>
      </c>
      <c r="F708" s="11">
        <f t="shared" si="45"/>
        <v>4</v>
      </c>
      <c r="G708" s="11" t="str">
        <f t="shared" si="46"/>
        <v>202504</v>
      </c>
      <c r="H708" s="4">
        <v>46142</v>
      </c>
      <c r="I708" s="5">
        <v>391</v>
      </c>
      <c r="J708" s="5">
        <v>13.033333333333333</v>
      </c>
      <c r="K708" s="5">
        <f t="shared" si="47"/>
        <v>0</v>
      </c>
      <c r="L708" s="5">
        <v>0</v>
      </c>
      <c r="M708" s="5">
        <v>0</v>
      </c>
      <c r="N708" t="s">
        <v>9</v>
      </c>
      <c r="O708" s="8">
        <v>40.263013698630139</v>
      </c>
      <c r="P708" t="s">
        <v>35</v>
      </c>
      <c r="Q708">
        <v>4</v>
      </c>
      <c r="R708" s="2">
        <v>31055</v>
      </c>
    </row>
    <row r="709" spans="1:18" x14ac:dyDescent="0.3">
      <c r="A709" t="s">
        <v>7</v>
      </c>
      <c r="B709">
        <v>18383017</v>
      </c>
      <c r="C709" t="s">
        <v>8</v>
      </c>
      <c r="D709" s="4">
        <v>45752</v>
      </c>
      <c r="E709" s="11">
        <f t="shared" si="44"/>
        <v>2025</v>
      </c>
      <c r="F709" s="11">
        <f t="shared" si="45"/>
        <v>4</v>
      </c>
      <c r="G709" s="11" t="str">
        <f t="shared" si="46"/>
        <v>202504</v>
      </c>
      <c r="H709" s="4">
        <v>46033</v>
      </c>
      <c r="I709" s="5">
        <v>281</v>
      </c>
      <c r="J709" s="5">
        <v>9.3666666666666671</v>
      </c>
      <c r="K709" s="5">
        <f t="shared" si="47"/>
        <v>0</v>
      </c>
      <c r="L709" s="5">
        <v>0</v>
      </c>
      <c r="M709" s="5">
        <v>0</v>
      </c>
      <c r="N709" t="s">
        <v>9</v>
      </c>
      <c r="O709" s="8">
        <v>32.109589041095887</v>
      </c>
      <c r="P709" t="s">
        <v>35</v>
      </c>
      <c r="Q709">
        <v>4</v>
      </c>
      <c r="R709" s="2">
        <v>34032</v>
      </c>
    </row>
    <row r="710" spans="1:18" x14ac:dyDescent="0.3">
      <c r="A710" t="s">
        <v>7</v>
      </c>
      <c r="B710">
        <v>18408035</v>
      </c>
      <c r="C710" t="s">
        <v>10</v>
      </c>
      <c r="D710" s="4">
        <v>45754</v>
      </c>
      <c r="E710" s="11">
        <f t="shared" si="44"/>
        <v>2025</v>
      </c>
      <c r="F710" s="11">
        <f t="shared" si="45"/>
        <v>4</v>
      </c>
      <c r="G710" s="11" t="str">
        <f t="shared" si="46"/>
        <v>202504</v>
      </c>
      <c r="H710" s="4">
        <v>45901</v>
      </c>
      <c r="I710" s="5">
        <v>147</v>
      </c>
      <c r="J710" s="5">
        <v>4.9000000000000004</v>
      </c>
      <c r="K710" s="5">
        <f t="shared" si="47"/>
        <v>0</v>
      </c>
      <c r="L710" s="5">
        <v>0</v>
      </c>
      <c r="M710" s="5">
        <v>1</v>
      </c>
      <c r="N710" t="s">
        <v>9</v>
      </c>
      <c r="O710" s="8">
        <v>18.210958904109589</v>
      </c>
      <c r="P710" t="s">
        <v>32</v>
      </c>
      <c r="Q710">
        <v>1</v>
      </c>
      <c r="R710" s="2">
        <v>39107</v>
      </c>
    </row>
    <row r="711" spans="1:18" x14ac:dyDescent="0.3">
      <c r="A711" t="s">
        <v>7</v>
      </c>
      <c r="B711">
        <v>18408804</v>
      </c>
      <c r="C711" t="s">
        <v>8</v>
      </c>
      <c r="D711" s="4">
        <v>45754</v>
      </c>
      <c r="E711" s="11">
        <f t="shared" si="44"/>
        <v>2025</v>
      </c>
      <c r="F711" s="11">
        <f t="shared" si="45"/>
        <v>4</v>
      </c>
      <c r="G711" s="11" t="str">
        <f t="shared" si="46"/>
        <v>202504</v>
      </c>
      <c r="I711" s="5">
        <v>9999</v>
      </c>
      <c r="J711" s="5">
        <v>333.3</v>
      </c>
      <c r="K711" s="5">
        <f t="shared" si="47"/>
        <v>0</v>
      </c>
      <c r="L711" s="5">
        <v>0</v>
      </c>
      <c r="M711" s="5">
        <v>0</v>
      </c>
      <c r="N711" t="s">
        <v>9</v>
      </c>
      <c r="O711" s="8">
        <v>31.019178082191782</v>
      </c>
      <c r="P711" t="s">
        <v>35</v>
      </c>
      <c r="Q711">
        <v>4</v>
      </c>
      <c r="R711" s="2">
        <v>34432</v>
      </c>
    </row>
    <row r="712" spans="1:18" x14ac:dyDescent="0.3">
      <c r="A712" t="s">
        <v>7</v>
      </c>
      <c r="B712">
        <v>18408897</v>
      </c>
      <c r="C712" t="s">
        <v>8</v>
      </c>
      <c r="D712" s="4">
        <v>45754</v>
      </c>
      <c r="E712" s="11">
        <f t="shared" si="44"/>
        <v>2025</v>
      </c>
      <c r="F712" s="11">
        <f t="shared" si="45"/>
        <v>4</v>
      </c>
      <c r="G712" s="11" t="str">
        <f t="shared" si="46"/>
        <v>202504</v>
      </c>
      <c r="H712" s="4">
        <v>45811</v>
      </c>
      <c r="I712" s="5">
        <v>57</v>
      </c>
      <c r="J712" s="5">
        <v>1.9</v>
      </c>
      <c r="K712" s="5">
        <f t="shared" si="47"/>
        <v>0</v>
      </c>
      <c r="L712" s="5">
        <v>1</v>
      </c>
      <c r="M712" s="5">
        <v>1</v>
      </c>
      <c r="N712" t="s">
        <v>12</v>
      </c>
      <c r="O712" s="8">
        <v>20.063013698630137</v>
      </c>
      <c r="P712" t="s">
        <v>32</v>
      </c>
      <c r="Q712">
        <v>1</v>
      </c>
      <c r="R712" s="2">
        <v>38431</v>
      </c>
    </row>
    <row r="713" spans="1:18" x14ac:dyDescent="0.3">
      <c r="A713" t="s">
        <v>7</v>
      </c>
      <c r="B713">
        <v>18415319</v>
      </c>
      <c r="C713" t="s">
        <v>8</v>
      </c>
      <c r="D713" s="4">
        <v>45755</v>
      </c>
      <c r="E713" s="11">
        <f t="shared" si="44"/>
        <v>2025</v>
      </c>
      <c r="F713" s="11">
        <f t="shared" si="45"/>
        <v>4</v>
      </c>
      <c r="G713" s="11" t="str">
        <f t="shared" si="46"/>
        <v>202504</v>
      </c>
      <c r="H713" s="4">
        <v>45839</v>
      </c>
      <c r="I713" s="5">
        <v>84</v>
      </c>
      <c r="J713" s="5">
        <v>2.8</v>
      </c>
      <c r="K713" s="5">
        <f t="shared" si="47"/>
        <v>0</v>
      </c>
      <c r="L713" s="5">
        <v>1</v>
      </c>
      <c r="M713" s="5">
        <v>1</v>
      </c>
      <c r="N713" t="s">
        <v>9</v>
      </c>
      <c r="O713" s="8">
        <v>27.895890410958906</v>
      </c>
      <c r="P713" t="s">
        <v>34</v>
      </c>
      <c r="Q713">
        <v>3</v>
      </c>
      <c r="R713" s="2">
        <v>35573</v>
      </c>
    </row>
    <row r="714" spans="1:18" x14ac:dyDescent="0.3">
      <c r="A714" t="s">
        <v>7</v>
      </c>
      <c r="B714">
        <v>18415342</v>
      </c>
      <c r="C714" t="s">
        <v>8</v>
      </c>
      <c r="D714" s="4">
        <v>45755</v>
      </c>
      <c r="E714" s="11">
        <f t="shared" si="44"/>
        <v>2025</v>
      </c>
      <c r="F714" s="11">
        <f t="shared" si="45"/>
        <v>4</v>
      </c>
      <c r="G714" s="11" t="str">
        <f t="shared" si="46"/>
        <v>202504</v>
      </c>
      <c r="H714" s="4">
        <v>45870</v>
      </c>
      <c r="I714" s="5">
        <v>115</v>
      </c>
      <c r="J714" s="5">
        <v>3.8333333333333335</v>
      </c>
      <c r="K714" s="5">
        <f t="shared" si="47"/>
        <v>0</v>
      </c>
      <c r="L714" s="5">
        <v>0</v>
      </c>
      <c r="M714" s="5">
        <v>1</v>
      </c>
      <c r="N714" t="s">
        <v>9</v>
      </c>
      <c r="O714" s="8">
        <v>19.490410958904111</v>
      </c>
      <c r="P714" t="s">
        <v>32</v>
      </c>
      <c r="Q714">
        <v>1</v>
      </c>
      <c r="R714" s="2">
        <v>38641</v>
      </c>
    </row>
    <row r="715" spans="1:18" x14ac:dyDescent="0.3">
      <c r="A715" t="s">
        <v>7</v>
      </c>
      <c r="B715">
        <v>18415369</v>
      </c>
      <c r="C715" t="s">
        <v>8</v>
      </c>
      <c r="D715" s="4">
        <v>45755</v>
      </c>
      <c r="E715" s="11">
        <f t="shared" si="44"/>
        <v>2025</v>
      </c>
      <c r="F715" s="11">
        <f t="shared" si="45"/>
        <v>4</v>
      </c>
      <c r="G715" s="11" t="str">
        <f t="shared" si="46"/>
        <v>202504</v>
      </c>
      <c r="H715" s="4">
        <v>46082</v>
      </c>
      <c r="I715" s="5">
        <v>327</v>
      </c>
      <c r="J715" s="5">
        <v>10.9</v>
      </c>
      <c r="K715" s="5">
        <f t="shared" si="47"/>
        <v>0</v>
      </c>
      <c r="L715" s="5">
        <v>0</v>
      </c>
      <c r="M715" s="5">
        <v>0</v>
      </c>
      <c r="N715" t="s">
        <v>12</v>
      </c>
      <c r="O715" s="8">
        <v>18.695890410958903</v>
      </c>
      <c r="P715" t="s">
        <v>32</v>
      </c>
      <c r="Q715">
        <v>1</v>
      </c>
      <c r="R715" s="2">
        <v>38931</v>
      </c>
    </row>
    <row r="716" spans="1:18" x14ac:dyDescent="0.3">
      <c r="A716" t="s">
        <v>7</v>
      </c>
      <c r="B716">
        <v>18415370</v>
      </c>
      <c r="C716" t="s">
        <v>8</v>
      </c>
      <c r="D716" s="4">
        <v>45755</v>
      </c>
      <c r="E716" s="11">
        <f t="shared" si="44"/>
        <v>2025</v>
      </c>
      <c r="F716" s="11">
        <f t="shared" si="45"/>
        <v>4</v>
      </c>
      <c r="G716" s="11" t="str">
        <f t="shared" si="46"/>
        <v>202504</v>
      </c>
      <c r="H716" s="4">
        <v>45790</v>
      </c>
      <c r="I716" s="5">
        <v>35</v>
      </c>
      <c r="J716" s="5">
        <v>1.1666666666666667</v>
      </c>
      <c r="K716" s="5">
        <f t="shared" si="47"/>
        <v>0</v>
      </c>
      <c r="L716" s="5">
        <v>1</v>
      </c>
      <c r="M716" s="5">
        <v>1</v>
      </c>
      <c r="N716" t="s">
        <v>9</v>
      </c>
      <c r="O716" s="8">
        <v>23.608219178082191</v>
      </c>
      <c r="P716" t="s">
        <v>33</v>
      </c>
      <c r="Q716">
        <v>2</v>
      </c>
      <c r="R716" s="2">
        <v>37138</v>
      </c>
    </row>
    <row r="717" spans="1:18" x14ac:dyDescent="0.3">
      <c r="A717" t="s">
        <v>7</v>
      </c>
      <c r="B717">
        <v>18415395</v>
      </c>
      <c r="C717" t="s">
        <v>8</v>
      </c>
      <c r="D717" s="4">
        <v>45755</v>
      </c>
      <c r="E717" s="11">
        <f t="shared" si="44"/>
        <v>2025</v>
      </c>
      <c r="F717" s="11">
        <f t="shared" si="45"/>
        <v>4</v>
      </c>
      <c r="G717" s="11" t="str">
        <f t="shared" si="46"/>
        <v>202504</v>
      </c>
      <c r="H717" s="4">
        <v>46054</v>
      </c>
      <c r="I717" s="5">
        <v>299</v>
      </c>
      <c r="J717" s="5">
        <v>9.9666666666666668</v>
      </c>
      <c r="K717" s="5">
        <f t="shared" si="47"/>
        <v>0</v>
      </c>
      <c r="L717" s="5">
        <v>0</v>
      </c>
      <c r="M717" s="5">
        <v>0</v>
      </c>
      <c r="N717" t="s">
        <v>12</v>
      </c>
      <c r="O717" s="8">
        <v>27.506849315068493</v>
      </c>
      <c r="P717" t="s">
        <v>34</v>
      </c>
      <c r="Q717">
        <v>3</v>
      </c>
      <c r="R717" s="2">
        <v>35715</v>
      </c>
    </row>
    <row r="718" spans="1:18" x14ac:dyDescent="0.3">
      <c r="A718" t="s">
        <v>11</v>
      </c>
      <c r="B718">
        <v>18415461</v>
      </c>
      <c r="C718" t="s">
        <v>8</v>
      </c>
      <c r="D718" s="4">
        <v>45755</v>
      </c>
      <c r="E718" s="11">
        <f t="shared" si="44"/>
        <v>2025</v>
      </c>
      <c r="F718" s="11">
        <f t="shared" si="45"/>
        <v>4</v>
      </c>
      <c r="G718" s="11" t="str">
        <f t="shared" si="46"/>
        <v>202504</v>
      </c>
      <c r="H718" s="4">
        <v>46081</v>
      </c>
      <c r="I718" s="5">
        <v>326</v>
      </c>
      <c r="J718" s="5">
        <v>10.866666666666667</v>
      </c>
      <c r="K718" s="5">
        <f t="shared" si="47"/>
        <v>0</v>
      </c>
      <c r="L718" s="5">
        <v>0</v>
      </c>
      <c r="M718" s="5">
        <v>0</v>
      </c>
      <c r="N718" t="s">
        <v>9</v>
      </c>
      <c r="O718" s="8">
        <v>19.383561643835616</v>
      </c>
      <c r="P718" t="s">
        <v>32</v>
      </c>
      <c r="Q718">
        <v>1</v>
      </c>
      <c r="R718" s="2">
        <v>38680</v>
      </c>
    </row>
    <row r="719" spans="1:18" x14ac:dyDescent="0.3">
      <c r="A719" t="s">
        <v>7</v>
      </c>
      <c r="B719">
        <v>18415680</v>
      </c>
      <c r="C719" t="s">
        <v>8</v>
      </c>
      <c r="D719" s="4">
        <v>45755</v>
      </c>
      <c r="E719" s="11">
        <f t="shared" si="44"/>
        <v>2025</v>
      </c>
      <c r="F719" s="11">
        <f t="shared" si="45"/>
        <v>4</v>
      </c>
      <c r="G719" s="11" t="str">
        <f t="shared" si="46"/>
        <v>202504</v>
      </c>
      <c r="H719" s="4">
        <v>46053</v>
      </c>
      <c r="I719" s="5">
        <v>298</v>
      </c>
      <c r="J719" s="5">
        <v>9.9333333333333336</v>
      </c>
      <c r="K719" s="5">
        <f t="shared" si="47"/>
        <v>0</v>
      </c>
      <c r="L719" s="5">
        <v>0</v>
      </c>
      <c r="M719" s="5">
        <v>0</v>
      </c>
      <c r="N719" t="s">
        <v>9</v>
      </c>
      <c r="O719" s="8">
        <v>21.531506849315068</v>
      </c>
      <c r="P719" t="s">
        <v>33</v>
      </c>
      <c r="Q719">
        <v>2</v>
      </c>
      <c r="R719" s="2">
        <v>37896</v>
      </c>
    </row>
    <row r="720" spans="1:18" x14ac:dyDescent="0.3">
      <c r="A720" t="s">
        <v>7</v>
      </c>
      <c r="B720">
        <v>18415879</v>
      </c>
      <c r="C720" t="s">
        <v>8</v>
      </c>
      <c r="D720" s="4">
        <v>45755</v>
      </c>
      <c r="E720" s="11">
        <f t="shared" si="44"/>
        <v>2025</v>
      </c>
      <c r="F720" s="11">
        <f t="shared" si="45"/>
        <v>4</v>
      </c>
      <c r="G720" s="11" t="str">
        <f t="shared" si="46"/>
        <v>202504</v>
      </c>
      <c r="I720" s="5">
        <v>9999</v>
      </c>
      <c r="J720" s="5">
        <v>333.3</v>
      </c>
      <c r="K720" s="5">
        <f t="shared" si="47"/>
        <v>0</v>
      </c>
      <c r="L720" s="5">
        <v>0</v>
      </c>
      <c r="M720" s="5">
        <v>0</v>
      </c>
      <c r="N720" t="s">
        <v>9</v>
      </c>
      <c r="O720" s="8">
        <v>19.032876712328768</v>
      </c>
      <c r="P720" t="s">
        <v>32</v>
      </c>
      <c r="Q720">
        <v>1</v>
      </c>
      <c r="R720" s="2">
        <v>38808</v>
      </c>
    </row>
    <row r="721" spans="1:18" x14ac:dyDescent="0.3">
      <c r="A721" t="s">
        <v>7</v>
      </c>
      <c r="B721">
        <v>18416004</v>
      </c>
      <c r="C721" t="s">
        <v>8</v>
      </c>
      <c r="D721" s="4">
        <v>45755</v>
      </c>
      <c r="E721" s="11">
        <f t="shared" si="44"/>
        <v>2025</v>
      </c>
      <c r="F721" s="11">
        <f t="shared" si="45"/>
        <v>4</v>
      </c>
      <c r="G721" s="11" t="str">
        <f t="shared" si="46"/>
        <v>202504</v>
      </c>
      <c r="I721" s="5">
        <v>9999</v>
      </c>
      <c r="J721" s="5">
        <v>333.3</v>
      </c>
      <c r="K721" s="5">
        <f t="shared" si="47"/>
        <v>0</v>
      </c>
      <c r="L721" s="5">
        <v>0</v>
      </c>
      <c r="M721" s="5">
        <v>0</v>
      </c>
      <c r="N721" t="s">
        <v>9</v>
      </c>
      <c r="O721" s="8">
        <v>19.906849315068492</v>
      </c>
      <c r="P721" t="s">
        <v>32</v>
      </c>
      <c r="Q721">
        <v>1</v>
      </c>
      <c r="R721" s="2">
        <v>38489</v>
      </c>
    </row>
    <row r="722" spans="1:18" x14ac:dyDescent="0.3">
      <c r="A722" t="s">
        <v>7</v>
      </c>
      <c r="B722">
        <v>18416039</v>
      </c>
      <c r="C722" t="s">
        <v>8</v>
      </c>
      <c r="D722" s="4">
        <v>45755</v>
      </c>
      <c r="E722" s="11">
        <f t="shared" si="44"/>
        <v>2025</v>
      </c>
      <c r="F722" s="11">
        <f t="shared" si="45"/>
        <v>4</v>
      </c>
      <c r="G722" s="11" t="str">
        <f t="shared" si="46"/>
        <v>202504</v>
      </c>
      <c r="H722" s="4">
        <v>46082</v>
      </c>
      <c r="I722" s="5">
        <v>327</v>
      </c>
      <c r="J722" s="5">
        <v>10.9</v>
      </c>
      <c r="K722" s="5">
        <f t="shared" si="47"/>
        <v>0</v>
      </c>
      <c r="L722" s="5">
        <v>0</v>
      </c>
      <c r="M722" s="5">
        <v>0</v>
      </c>
      <c r="N722" t="s">
        <v>9</v>
      </c>
      <c r="O722" s="8">
        <v>25.67945205479452</v>
      </c>
      <c r="P722" t="s">
        <v>33</v>
      </c>
      <c r="Q722">
        <v>2</v>
      </c>
      <c r="R722" s="2">
        <v>36382</v>
      </c>
    </row>
    <row r="723" spans="1:18" x14ac:dyDescent="0.3">
      <c r="A723" t="s">
        <v>7</v>
      </c>
      <c r="B723">
        <v>18425442</v>
      </c>
      <c r="C723" t="s">
        <v>8</v>
      </c>
      <c r="D723" s="4">
        <v>45756</v>
      </c>
      <c r="E723" s="11">
        <f t="shared" si="44"/>
        <v>2025</v>
      </c>
      <c r="F723" s="11">
        <f t="shared" si="45"/>
        <v>4</v>
      </c>
      <c r="G723" s="11" t="str">
        <f t="shared" si="46"/>
        <v>202504</v>
      </c>
      <c r="H723" s="4">
        <v>45809</v>
      </c>
      <c r="I723" s="5">
        <v>53</v>
      </c>
      <c r="J723" s="5">
        <v>1.7666666666666666</v>
      </c>
      <c r="K723" s="5">
        <f t="shared" si="47"/>
        <v>0</v>
      </c>
      <c r="L723" s="5">
        <v>1</v>
      </c>
      <c r="M723" s="5">
        <v>1</v>
      </c>
      <c r="N723" t="s">
        <v>9</v>
      </c>
      <c r="O723" s="8">
        <v>21.027397260273972</v>
      </c>
      <c r="P723" t="s">
        <v>33</v>
      </c>
      <c r="Q723">
        <v>2</v>
      </c>
      <c r="R723" s="2">
        <v>38081</v>
      </c>
    </row>
    <row r="724" spans="1:18" x14ac:dyDescent="0.3">
      <c r="A724" t="s">
        <v>7</v>
      </c>
      <c r="B724">
        <v>18425443</v>
      </c>
      <c r="C724" t="s">
        <v>8</v>
      </c>
      <c r="D724" s="4">
        <v>45756</v>
      </c>
      <c r="E724" s="11">
        <f t="shared" si="44"/>
        <v>2025</v>
      </c>
      <c r="F724" s="11">
        <f t="shared" si="45"/>
        <v>4</v>
      </c>
      <c r="G724" s="11" t="str">
        <f t="shared" si="46"/>
        <v>202504</v>
      </c>
      <c r="I724" s="5">
        <v>9999</v>
      </c>
      <c r="J724" s="5">
        <v>333.3</v>
      </c>
      <c r="K724" s="5">
        <f t="shared" si="47"/>
        <v>0</v>
      </c>
      <c r="L724" s="5">
        <v>0</v>
      </c>
      <c r="M724" s="5">
        <v>0</v>
      </c>
      <c r="N724" t="s">
        <v>9</v>
      </c>
      <c r="O724" s="8">
        <v>33.871232876712327</v>
      </c>
      <c r="P724" t="s">
        <v>35</v>
      </c>
      <c r="Q724">
        <v>4</v>
      </c>
      <c r="R724" s="2">
        <v>33393</v>
      </c>
    </row>
    <row r="725" spans="1:18" x14ac:dyDescent="0.3">
      <c r="A725" t="s">
        <v>7</v>
      </c>
      <c r="B725">
        <v>18426489</v>
      </c>
      <c r="C725" t="s">
        <v>10</v>
      </c>
      <c r="D725" s="4">
        <v>45756</v>
      </c>
      <c r="E725" s="11">
        <f t="shared" si="44"/>
        <v>2025</v>
      </c>
      <c r="F725" s="11">
        <f t="shared" si="45"/>
        <v>4</v>
      </c>
      <c r="G725" s="11" t="str">
        <f t="shared" si="46"/>
        <v>202504</v>
      </c>
      <c r="H725" s="4">
        <v>45838</v>
      </c>
      <c r="I725" s="5">
        <v>82</v>
      </c>
      <c r="J725" s="5">
        <v>2.7333333333333334</v>
      </c>
      <c r="K725" s="5">
        <f t="shared" si="47"/>
        <v>0</v>
      </c>
      <c r="L725" s="5">
        <v>1</v>
      </c>
      <c r="M725" s="5">
        <v>1</v>
      </c>
      <c r="N725" t="s">
        <v>12</v>
      </c>
      <c r="O725" s="8">
        <v>20.336986301369862</v>
      </c>
      <c r="P725" t="s">
        <v>32</v>
      </c>
      <c r="Q725">
        <v>1</v>
      </c>
      <c r="R725" s="2">
        <v>38333</v>
      </c>
    </row>
    <row r="726" spans="1:18" x14ac:dyDescent="0.3">
      <c r="A726" t="s">
        <v>7</v>
      </c>
      <c r="B726">
        <v>18426528</v>
      </c>
      <c r="C726" t="s">
        <v>10</v>
      </c>
      <c r="D726" s="4">
        <v>45756</v>
      </c>
      <c r="E726" s="11">
        <f t="shared" si="44"/>
        <v>2025</v>
      </c>
      <c r="F726" s="11">
        <f t="shared" si="45"/>
        <v>4</v>
      </c>
      <c r="G726" s="11" t="str">
        <f t="shared" si="46"/>
        <v>202504</v>
      </c>
      <c r="H726" s="4">
        <v>46053</v>
      </c>
      <c r="I726" s="5">
        <v>297</v>
      </c>
      <c r="J726" s="5">
        <v>9.9</v>
      </c>
      <c r="K726" s="5">
        <f t="shared" si="47"/>
        <v>0</v>
      </c>
      <c r="L726" s="5">
        <v>0</v>
      </c>
      <c r="M726" s="5">
        <v>0</v>
      </c>
      <c r="N726" t="s">
        <v>12</v>
      </c>
      <c r="O726" s="8">
        <v>24.424657534246574</v>
      </c>
      <c r="P726" t="s">
        <v>33</v>
      </c>
      <c r="Q726">
        <v>2</v>
      </c>
      <c r="R726" s="2">
        <v>36841</v>
      </c>
    </row>
    <row r="727" spans="1:18" x14ac:dyDescent="0.3">
      <c r="A727" t="s">
        <v>7</v>
      </c>
      <c r="B727">
        <v>18437811</v>
      </c>
      <c r="C727" t="s">
        <v>8</v>
      </c>
      <c r="D727" s="4">
        <v>45757</v>
      </c>
      <c r="E727" s="11">
        <f t="shared" si="44"/>
        <v>2025</v>
      </c>
      <c r="F727" s="11">
        <f t="shared" si="45"/>
        <v>4</v>
      </c>
      <c r="G727" s="11" t="str">
        <f t="shared" si="46"/>
        <v>202504</v>
      </c>
      <c r="I727" s="5">
        <v>9999</v>
      </c>
      <c r="J727" s="5">
        <v>333.3</v>
      </c>
      <c r="K727" s="5">
        <f t="shared" si="47"/>
        <v>0</v>
      </c>
      <c r="L727" s="5">
        <v>0</v>
      </c>
      <c r="M727" s="5">
        <v>0</v>
      </c>
      <c r="N727" t="s">
        <v>9</v>
      </c>
      <c r="O727" s="8">
        <v>24.517808219178082</v>
      </c>
      <c r="P727" t="s">
        <v>33</v>
      </c>
      <c r="Q727">
        <v>2</v>
      </c>
      <c r="R727" s="2">
        <v>36808</v>
      </c>
    </row>
    <row r="728" spans="1:18" x14ac:dyDescent="0.3">
      <c r="A728" t="s">
        <v>7</v>
      </c>
      <c r="B728">
        <v>18437815</v>
      </c>
      <c r="C728" t="s">
        <v>8</v>
      </c>
      <c r="D728" s="4">
        <v>45757</v>
      </c>
      <c r="E728" s="11">
        <f t="shared" si="44"/>
        <v>2025</v>
      </c>
      <c r="F728" s="11">
        <f t="shared" si="45"/>
        <v>4</v>
      </c>
      <c r="G728" s="11" t="str">
        <f t="shared" si="46"/>
        <v>202504</v>
      </c>
      <c r="H728" s="4">
        <v>46054</v>
      </c>
      <c r="I728" s="5">
        <v>297</v>
      </c>
      <c r="J728" s="5">
        <v>9.9</v>
      </c>
      <c r="K728" s="5">
        <f t="shared" si="47"/>
        <v>0</v>
      </c>
      <c r="L728" s="5">
        <v>0</v>
      </c>
      <c r="M728" s="5">
        <v>0</v>
      </c>
      <c r="N728" t="s">
        <v>9</v>
      </c>
      <c r="O728" s="8">
        <v>18.945205479452056</v>
      </c>
      <c r="P728" t="s">
        <v>32</v>
      </c>
      <c r="Q728">
        <v>1</v>
      </c>
      <c r="R728" s="2">
        <v>38842</v>
      </c>
    </row>
    <row r="729" spans="1:18" x14ac:dyDescent="0.3">
      <c r="A729" t="s">
        <v>7</v>
      </c>
      <c r="B729">
        <v>18437855</v>
      </c>
      <c r="C729" t="s">
        <v>8</v>
      </c>
      <c r="D729" s="4">
        <v>45757</v>
      </c>
      <c r="E729" s="11">
        <f t="shared" si="44"/>
        <v>2025</v>
      </c>
      <c r="F729" s="11">
        <f t="shared" si="45"/>
        <v>4</v>
      </c>
      <c r="G729" s="11" t="str">
        <f t="shared" si="46"/>
        <v>202504</v>
      </c>
      <c r="H729" s="4">
        <v>46027</v>
      </c>
      <c r="I729" s="5">
        <v>270</v>
      </c>
      <c r="J729" s="5">
        <v>9</v>
      </c>
      <c r="K729" s="5">
        <f t="shared" si="47"/>
        <v>0</v>
      </c>
      <c r="L729" s="5">
        <v>0</v>
      </c>
      <c r="M729" s="5">
        <v>0</v>
      </c>
      <c r="N729" t="s">
        <v>9</v>
      </c>
      <c r="O729" s="8">
        <v>28.219178082191782</v>
      </c>
      <c r="P729" t="s">
        <v>34</v>
      </c>
      <c r="Q729">
        <v>3</v>
      </c>
      <c r="R729" s="2">
        <v>35457</v>
      </c>
    </row>
    <row r="730" spans="1:18" x14ac:dyDescent="0.3">
      <c r="A730" t="s">
        <v>7</v>
      </c>
      <c r="B730">
        <v>18437856</v>
      </c>
      <c r="C730" t="s">
        <v>10</v>
      </c>
      <c r="D730" s="4">
        <v>45757</v>
      </c>
      <c r="E730" s="11">
        <f t="shared" si="44"/>
        <v>2025</v>
      </c>
      <c r="F730" s="11">
        <f t="shared" si="45"/>
        <v>4</v>
      </c>
      <c r="G730" s="11" t="str">
        <f t="shared" si="46"/>
        <v>202504</v>
      </c>
      <c r="H730" s="4">
        <v>46022</v>
      </c>
      <c r="I730" s="5">
        <v>265</v>
      </c>
      <c r="J730" s="5">
        <v>8.8333333333333339</v>
      </c>
      <c r="K730" s="5">
        <f t="shared" si="47"/>
        <v>0</v>
      </c>
      <c r="L730" s="5">
        <v>0</v>
      </c>
      <c r="M730" s="5">
        <v>0</v>
      </c>
      <c r="N730" t="s">
        <v>9</v>
      </c>
      <c r="O730" s="8">
        <v>19.339726027397262</v>
      </c>
      <c r="P730" t="s">
        <v>32</v>
      </c>
      <c r="Q730">
        <v>1</v>
      </c>
      <c r="R730" s="2">
        <v>38698</v>
      </c>
    </row>
    <row r="731" spans="1:18" x14ac:dyDescent="0.3">
      <c r="A731" t="s">
        <v>7</v>
      </c>
      <c r="B731">
        <v>18437941</v>
      </c>
      <c r="C731" t="s">
        <v>8</v>
      </c>
      <c r="D731" s="4">
        <v>45757</v>
      </c>
      <c r="E731" s="11">
        <f t="shared" si="44"/>
        <v>2025</v>
      </c>
      <c r="F731" s="11">
        <f t="shared" si="45"/>
        <v>4</v>
      </c>
      <c r="G731" s="11" t="str">
        <f t="shared" si="46"/>
        <v>202504</v>
      </c>
      <c r="H731" s="4">
        <v>46026</v>
      </c>
      <c r="I731" s="5">
        <v>269</v>
      </c>
      <c r="J731" s="5">
        <v>8.9666666666666668</v>
      </c>
      <c r="K731" s="5">
        <f t="shared" si="47"/>
        <v>0</v>
      </c>
      <c r="L731" s="5">
        <v>0</v>
      </c>
      <c r="M731" s="5">
        <v>0</v>
      </c>
      <c r="N731" t="s">
        <v>12</v>
      </c>
      <c r="O731" s="8">
        <v>21.416438356164385</v>
      </c>
      <c r="P731" t="s">
        <v>33</v>
      </c>
      <c r="Q731">
        <v>2</v>
      </c>
      <c r="R731" s="2">
        <v>37940</v>
      </c>
    </row>
    <row r="732" spans="1:18" x14ac:dyDescent="0.3">
      <c r="A732" t="s">
        <v>7</v>
      </c>
      <c r="B732">
        <v>18437984</v>
      </c>
      <c r="C732" t="s">
        <v>10</v>
      </c>
      <c r="D732" s="4">
        <v>45757</v>
      </c>
      <c r="E732" s="11">
        <f t="shared" si="44"/>
        <v>2025</v>
      </c>
      <c r="F732" s="11">
        <f t="shared" si="45"/>
        <v>4</v>
      </c>
      <c r="G732" s="11" t="str">
        <f t="shared" si="46"/>
        <v>202504</v>
      </c>
      <c r="H732" s="4">
        <v>46064</v>
      </c>
      <c r="I732" s="5">
        <v>307</v>
      </c>
      <c r="J732" s="5">
        <v>10.233333333333333</v>
      </c>
      <c r="K732" s="5">
        <f t="shared" si="47"/>
        <v>0</v>
      </c>
      <c r="L732" s="5">
        <v>0</v>
      </c>
      <c r="M732" s="5">
        <v>0</v>
      </c>
      <c r="N732" t="s">
        <v>9</v>
      </c>
      <c r="O732" s="8">
        <v>25.624657534246577</v>
      </c>
      <c r="P732" t="s">
        <v>33</v>
      </c>
      <c r="Q732">
        <v>2</v>
      </c>
      <c r="R732" s="2">
        <v>36404</v>
      </c>
    </row>
    <row r="733" spans="1:18" x14ac:dyDescent="0.3">
      <c r="A733" t="s">
        <v>7</v>
      </c>
      <c r="B733">
        <v>18438013</v>
      </c>
      <c r="C733" t="s">
        <v>8</v>
      </c>
      <c r="D733" s="4">
        <v>45757</v>
      </c>
      <c r="E733" s="11">
        <f t="shared" si="44"/>
        <v>2025</v>
      </c>
      <c r="F733" s="11">
        <f t="shared" si="45"/>
        <v>4</v>
      </c>
      <c r="G733" s="11" t="str">
        <f t="shared" si="46"/>
        <v>202504</v>
      </c>
      <c r="H733" s="4">
        <v>45854</v>
      </c>
      <c r="I733" s="5">
        <v>97</v>
      </c>
      <c r="J733" s="5">
        <v>3.2333333333333334</v>
      </c>
      <c r="K733" s="5">
        <f t="shared" si="47"/>
        <v>0</v>
      </c>
      <c r="L733" s="5">
        <v>0</v>
      </c>
      <c r="M733" s="5">
        <v>1</v>
      </c>
      <c r="N733" t="s">
        <v>9</v>
      </c>
      <c r="O733" s="8">
        <v>28.112328767123287</v>
      </c>
      <c r="P733" t="s">
        <v>34</v>
      </c>
      <c r="Q733">
        <v>3</v>
      </c>
      <c r="R733" s="2">
        <v>35496</v>
      </c>
    </row>
    <row r="734" spans="1:18" x14ac:dyDescent="0.3">
      <c r="A734" t="s">
        <v>7</v>
      </c>
      <c r="B734">
        <v>18438056</v>
      </c>
      <c r="C734" t="s">
        <v>10</v>
      </c>
      <c r="D734" s="4">
        <v>45757</v>
      </c>
      <c r="E734" s="11">
        <f t="shared" si="44"/>
        <v>2025</v>
      </c>
      <c r="F734" s="11">
        <f t="shared" si="45"/>
        <v>4</v>
      </c>
      <c r="G734" s="11" t="str">
        <f t="shared" si="46"/>
        <v>202504</v>
      </c>
      <c r="H734" s="4">
        <v>45940</v>
      </c>
      <c r="I734" s="5">
        <v>183</v>
      </c>
      <c r="J734" s="5">
        <v>6.1</v>
      </c>
      <c r="K734" s="5">
        <f t="shared" si="47"/>
        <v>0</v>
      </c>
      <c r="L734" s="5">
        <v>0</v>
      </c>
      <c r="M734" s="5">
        <v>0</v>
      </c>
      <c r="N734" t="s">
        <v>9</v>
      </c>
      <c r="O734" s="8">
        <v>19.273972602739725</v>
      </c>
      <c r="P734" t="s">
        <v>32</v>
      </c>
      <c r="Q734">
        <v>1</v>
      </c>
      <c r="R734" s="2">
        <v>38722</v>
      </c>
    </row>
    <row r="735" spans="1:18" x14ac:dyDescent="0.3">
      <c r="A735" t="s">
        <v>7</v>
      </c>
      <c r="B735">
        <v>18438355</v>
      </c>
      <c r="C735" t="s">
        <v>8</v>
      </c>
      <c r="D735" s="4">
        <v>45757</v>
      </c>
      <c r="E735" s="11">
        <f t="shared" si="44"/>
        <v>2025</v>
      </c>
      <c r="F735" s="11">
        <f t="shared" si="45"/>
        <v>4</v>
      </c>
      <c r="G735" s="11" t="str">
        <f t="shared" si="46"/>
        <v>202504</v>
      </c>
      <c r="H735" s="4">
        <v>46112</v>
      </c>
      <c r="I735" s="5">
        <v>355</v>
      </c>
      <c r="J735" s="5">
        <v>11.833333333333334</v>
      </c>
      <c r="K735" s="5">
        <f t="shared" si="47"/>
        <v>0</v>
      </c>
      <c r="L735" s="5">
        <v>0</v>
      </c>
      <c r="M735" s="5">
        <v>0</v>
      </c>
      <c r="N735" t="s">
        <v>9</v>
      </c>
      <c r="O735" s="8">
        <v>19.457534246575342</v>
      </c>
      <c r="P735" t="s">
        <v>32</v>
      </c>
      <c r="Q735">
        <v>1</v>
      </c>
      <c r="R735" s="2">
        <v>38655</v>
      </c>
    </row>
    <row r="736" spans="1:18" x14ac:dyDescent="0.3">
      <c r="A736" t="s">
        <v>7</v>
      </c>
      <c r="B736">
        <v>18438371</v>
      </c>
      <c r="C736" t="s">
        <v>10</v>
      </c>
      <c r="D736" s="4">
        <v>45757</v>
      </c>
      <c r="E736" s="11">
        <f t="shared" si="44"/>
        <v>2025</v>
      </c>
      <c r="F736" s="11">
        <f t="shared" si="45"/>
        <v>4</v>
      </c>
      <c r="G736" s="11" t="str">
        <f t="shared" si="46"/>
        <v>202504</v>
      </c>
      <c r="H736" s="4">
        <v>46023</v>
      </c>
      <c r="I736" s="5">
        <v>266</v>
      </c>
      <c r="J736" s="5">
        <v>8.8666666666666671</v>
      </c>
      <c r="K736" s="5">
        <f t="shared" si="47"/>
        <v>0</v>
      </c>
      <c r="L736" s="5">
        <v>0</v>
      </c>
      <c r="M736" s="5">
        <v>0</v>
      </c>
      <c r="N736" t="s">
        <v>9</v>
      </c>
      <c r="O736" s="8">
        <v>20.397260273972602</v>
      </c>
      <c r="P736" t="s">
        <v>32</v>
      </c>
      <c r="Q736">
        <v>1</v>
      </c>
      <c r="R736" s="2">
        <v>38312</v>
      </c>
    </row>
    <row r="737" spans="1:18" x14ac:dyDescent="0.3">
      <c r="A737" t="s">
        <v>7</v>
      </c>
      <c r="B737">
        <v>18438386</v>
      </c>
      <c r="C737" t="s">
        <v>10</v>
      </c>
      <c r="D737" s="4">
        <v>45757</v>
      </c>
      <c r="E737" s="11">
        <f t="shared" si="44"/>
        <v>2025</v>
      </c>
      <c r="F737" s="11">
        <f t="shared" si="45"/>
        <v>4</v>
      </c>
      <c r="G737" s="11" t="str">
        <f t="shared" si="46"/>
        <v>202504</v>
      </c>
      <c r="H737" s="4">
        <v>46053</v>
      </c>
      <c r="I737" s="5">
        <v>296</v>
      </c>
      <c r="J737" s="5">
        <v>9.8666666666666671</v>
      </c>
      <c r="K737" s="5">
        <f t="shared" si="47"/>
        <v>0</v>
      </c>
      <c r="L737" s="5">
        <v>0</v>
      </c>
      <c r="M737" s="5">
        <v>0</v>
      </c>
      <c r="N737" t="s">
        <v>9</v>
      </c>
      <c r="O737" s="8">
        <v>19.068493150684933</v>
      </c>
      <c r="P737" t="s">
        <v>32</v>
      </c>
      <c r="Q737">
        <v>1</v>
      </c>
      <c r="R737" s="2">
        <v>38797</v>
      </c>
    </row>
    <row r="738" spans="1:18" x14ac:dyDescent="0.3">
      <c r="A738" t="s">
        <v>7</v>
      </c>
      <c r="B738">
        <v>18443414</v>
      </c>
      <c r="C738" t="s">
        <v>8</v>
      </c>
      <c r="D738" s="4">
        <v>45758</v>
      </c>
      <c r="E738" s="11">
        <f t="shared" si="44"/>
        <v>2025</v>
      </c>
      <c r="F738" s="11">
        <f t="shared" si="45"/>
        <v>4</v>
      </c>
      <c r="G738" s="11" t="str">
        <f t="shared" si="46"/>
        <v>202504</v>
      </c>
      <c r="H738" s="4">
        <v>45994</v>
      </c>
      <c r="I738" s="5">
        <v>236</v>
      </c>
      <c r="J738" s="5">
        <v>7.8666666666666663</v>
      </c>
      <c r="K738" s="5">
        <f t="shared" si="47"/>
        <v>0</v>
      </c>
      <c r="L738" s="5">
        <v>0</v>
      </c>
      <c r="M738" s="5">
        <v>0</v>
      </c>
      <c r="N738" t="s">
        <v>12</v>
      </c>
      <c r="O738" s="8">
        <v>23.523287671232875</v>
      </c>
      <c r="P738" t="s">
        <v>33</v>
      </c>
      <c r="Q738">
        <v>2</v>
      </c>
      <c r="R738" s="2">
        <v>37172</v>
      </c>
    </row>
    <row r="739" spans="1:18" x14ac:dyDescent="0.3">
      <c r="A739" t="s">
        <v>7</v>
      </c>
      <c r="B739">
        <v>18443455</v>
      </c>
      <c r="C739" t="s">
        <v>8</v>
      </c>
      <c r="D739" s="4">
        <v>45758</v>
      </c>
      <c r="E739" s="11">
        <f t="shared" si="44"/>
        <v>2025</v>
      </c>
      <c r="F739" s="11">
        <f t="shared" si="45"/>
        <v>4</v>
      </c>
      <c r="G739" s="11" t="str">
        <f t="shared" si="46"/>
        <v>202504</v>
      </c>
      <c r="H739" s="4">
        <v>45778</v>
      </c>
      <c r="I739" s="5">
        <v>20</v>
      </c>
      <c r="J739" s="5">
        <v>0.66666666666666663</v>
      </c>
      <c r="K739" s="5">
        <f t="shared" si="47"/>
        <v>1</v>
      </c>
      <c r="L739" s="5">
        <v>1</v>
      </c>
      <c r="M739" s="5">
        <v>1</v>
      </c>
      <c r="N739" t="s">
        <v>9</v>
      </c>
      <c r="O739" s="8">
        <v>20.8</v>
      </c>
      <c r="P739" t="s">
        <v>32</v>
      </c>
      <c r="Q739">
        <v>1</v>
      </c>
      <c r="R739" s="2">
        <v>38166</v>
      </c>
    </row>
    <row r="740" spans="1:18" x14ac:dyDescent="0.3">
      <c r="A740" t="s">
        <v>7</v>
      </c>
      <c r="B740">
        <v>18443483</v>
      </c>
      <c r="C740" t="s">
        <v>8</v>
      </c>
      <c r="D740" s="4">
        <v>45758</v>
      </c>
      <c r="E740" s="11">
        <f t="shared" si="44"/>
        <v>2025</v>
      </c>
      <c r="F740" s="11">
        <f t="shared" si="45"/>
        <v>4</v>
      </c>
      <c r="G740" s="11" t="str">
        <f t="shared" si="46"/>
        <v>202504</v>
      </c>
      <c r="I740" s="5">
        <v>9999</v>
      </c>
      <c r="J740" s="5">
        <v>333.3</v>
      </c>
      <c r="K740" s="5">
        <f t="shared" si="47"/>
        <v>0</v>
      </c>
      <c r="L740" s="5">
        <v>0</v>
      </c>
      <c r="M740" s="5">
        <v>0</v>
      </c>
      <c r="N740" t="s">
        <v>9</v>
      </c>
      <c r="O740" s="8">
        <v>18.931506849315067</v>
      </c>
      <c r="P740" t="s">
        <v>32</v>
      </c>
      <c r="Q740">
        <v>1</v>
      </c>
      <c r="R740" s="2">
        <v>38848</v>
      </c>
    </row>
    <row r="741" spans="1:18" x14ac:dyDescent="0.3">
      <c r="A741" t="s">
        <v>7</v>
      </c>
      <c r="B741">
        <v>18443500</v>
      </c>
      <c r="C741" t="s">
        <v>8</v>
      </c>
      <c r="D741" s="4">
        <v>45758</v>
      </c>
      <c r="E741" s="11">
        <f t="shared" si="44"/>
        <v>2025</v>
      </c>
      <c r="F741" s="11">
        <f t="shared" si="45"/>
        <v>4</v>
      </c>
      <c r="G741" s="11" t="str">
        <f t="shared" si="46"/>
        <v>202504</v>
      </c>
      <c r="I741" s="5">
        <v>9999</v>
      </c>
      <c r="J741" s="5">
        <v>333.3</v>
      </c>
      <c r="K741" s="5">
        <f t="shared" si="47"/>
        <v>0</v>
      </c>
      <c r="L741" s="5">
        <v>0</v>
      </c>
      <c r="M741" s="5">
        <v>0</v>
      </c>
      <c r="N741" t="s">
        <v>9</v>
      </c>
      <c r="O741" s="8">
        <v>37.654794520547945</v>
      </c>
      <c r="P741" t="s">
        <v>35</v>
      </c>
      <c r="Q741">
        <v>4</v>
      </c>
      <c r="R741" s="2">
        <v>32014</v>
      </c>
    </row>
    <row r="742" spans="1:18" x14ac:dyDescent="0.3">
      <c r="A742" t="s">
        <v>7</v>
      </c>
      <c r="B742">
        <v>18443501</v>
      </c>
      <c r="C742" t="s">
        <v>8</v>
      </c>
      <c r="D742" s="4">
        <v>45758</v>
      </c>
      <c r="E742" s="11">
        <f t="shared" si="44"/>
        <v>2025</v>
      </c>
      <c r="F742" s="11">
        <f t="shared" si="45"/>
        <v>4</v>
      </c>
      <c r="G742" s="11" t="str">
        <f t="shared" si="46"/>
        <v>202504</v>
      </c>
      <c r="I742" s="5">
        <v>9999</v>
      </c>
      <c r="J742" s="5">
        <v>333.3</v>
      </c>
      <c r="K742" s="5">
        <f t="shared" si="47"/>
        <v>0</v>
      </c>
      <c r="L742" s="5">
        <v>0</v>
      </c>
      <c r="M742" s="5">
        <v>0</v>
      </c>
      <c r="N742" t="s">
        <v>9</v>
      </c>
      <c r="O742" s="8">
        <v>28.361643835616437</v>
      </c>
      <c r="P742" t="s">
        <v>34</v>
      </c>
      <c r="Q742">
        <v>3</v>
      </c>
      <c r="R742" s="2">
        <v>35406</v>
      </c>
    </row>
    <row r="743" spans="1:18" x14ac:dyDescent="0.3">
      <c r="A743" t="s">
        <v>7</v>
      </c>
      <c r="B743">
        <v>18443519</v>
      </c>
      <c r="C743" t="s">
        <v>8</v>
      </c>
      <c r="D743" s="4">
        <v>45758</v>
      </c>
      <c r="E743" s="11">
        <f t="shared" si="44"/>
        <v>2025</v>
      </c>
      <c r="F743" s="11">
        <f t="shared" si="45"/>
        <v>4</v>
      </c>
      <c r="G743" s="11" t="str">
        <f t="shared" si="46"/>
        <v>202504</v>
      </c>
      <c r="H743" s="4">
        <v>45870</v>
      </c>
      <c r="I743" s="5">
        <v>112</v>
      </c>
      <c r="J743" s="5">
        <v>3.7333333333333334</v>
      </c>
      <c r="K743" s="5">
        <f t="shared" si="47"/>
        <v>0</v>
      </c>
      <c r="L743" s="5">
        <v>0</v>
      </c>
      <c r="M743" s="5">
        <v>1</v>
      </c>
      <c r="N743" t="s">
        <v>9</v>
      </c>
      <c r="O743" s="8">
        <v>18.783561643835615</v>
      </c>
      <c r="P743" t="s">
        <v>32</v>
      </c>
      <c r="Q743">
        <v>1</v>
      </c>
      <c r="R743" s="2">
        <v>38902</v>
      </c>
    </row>
    <row r="744" spans="1:18" x14ac:dyDescent="0.3">
      <c r="A744" t="s">
        <v>7</v>
      </c>
      <c r="B744">
        <v>18443524</v>
      </c>
      <c r="C744" t="s">
        <v>10</v>
      </c>
      <c r="D744" s="4">
        <v>45758</v>
      </c>
      <c r="E744" s="11">
        <f t="shared" si="44"/>
        <v>2025</v>
      </c>
      <c r="F744" s="11">
        <f t="shared" si="45"/>
        <v>4</v>
      </c>
      <c r="G744" s="11" t="str">
        <f t="shared" si="46"/>
        <v>202504</v>
      </c>
      <c r="I744" s="5">
        <v>9999</v>
      </c>
      <c r="J744" s="5">
        <v>333.3</v>
      </c>
      <c r="K744" s="5">
        <f t="shared" si="47"/>
        <v>0</v>
      </c>
      <c r="L744" s="5">
        <v>0</v>
      </c>
      <c r="M744" s="5">
        <v>0</v>
      </c>
      <c r="N744" t="s">
        <v>9</v>
      </c>
      <c r="O744" s="8">
        <v>20.723287671232878</v>
      </c>
      <c r="P744" t="s">
        <v>32</v>
      </c>
      <c r="Q744">
        <v>1</v>
      </c>
      <c r="R744" s="2">
        <v>38194</v>
      </c>
    </row>
    <row r="745" spans="1:18" x14ac:dyDescent="0.3">
      <c r="A745" t="s">
        <v>7</v>
      </c>
      <c r="B745">
        <v>18443525</v>
      </c>
      <c r="C745" t="s">
        <v>8</v>
      </c>
      <c r="D745" s="4">
        <v>45758</v>
      </c>
      <c r="E745" s="11">
        <f t="shared" si="44"/>
        <v>2025</v>
      </c>
      <c r="F745" s="11">
        <f t="shared" si="45"/>
        <v>4</v>
      </c>
      <c r="G745" s="11" t="str">
        <f t="shared" si="46"/>
        <v>202504</v>
      </c>
      <c r="H745" s="4">
        <v>45838</v>
      </c>
      <c r="I745" s="5">
        <v>80</v>
      </c>
      <c r="J745" s="5">
        <v>2.6666666666666665</v>
      </c>
      <c r="K745" s="5">
        <f t="shared" si="47"/>
        <v>0</v>
      </c>
      <c r="L745" s="5">
        <v>1</v>
      </c>
      <c r="M745" s="5">
        <v>1</v>
      </c>
      <c r="N745" t="s">
        <v>9</v>
      </c>
      <c r="O745" s="8">
        <v>35.279452054794518</v>
      </c>
      <c r="P745" t="s">
        <v>35</v>
      </c>
      <c r="Q745">
        <v>4</v>
      </c>
      <c r="R745" s="2">
        <v>32881</v>
      </c>
    </row>
    <row r="746" spans="1:18" x14ac:dyDescent="0.3">
      <c r="A746" t="s">
        <v>7</v>
      </c>
      <c r="B746">
        <v>18443579</v>
      </c>
      <c r="C746" t="s">
        <v>8</v>
      </c>
      <c r="D746" s="4">
        <v>45758</v>
      </c>
      <c r="E746" s="11">
        <f t="shared" si="44"/>
        <v>2025</v>
      </c>
      <c r="F746" s="11">
        <f t="shared" si="45"/>
        <v>4</v>
      </c>
      <c r="G746" s="11" t="str">
        <f t="shared" si="46"/>
        <v>202504</v>
      </c>
      <c r="I746" s="5">
        <v>9999</v>
      </c>
      <c r="J746" s="5">
        <v>333.3</v>
      </c>
      <c r="K746" s="5">
        <f t="shared" si="47"/>
        <v>0</v>
      </c>
      <c r="L746" s="5">
        <v>0</v>
      </c>
      <c r="M746" s="5">
        <v>0</v>
      </c>
      <c r="N746" t="s">
        <v>9</v>
      </c>
      <c r="O746" s="8">
        <v>22.934246575342467</v>
      </c>
      <c r="P746" t="s">
        <v>33</v>
      </c>
      <c r="Q746">
        <v>2</v>
      </c>
      <c r="R746" s="2">
        <v>37387</v>
      </c>
    </row>
    <row r="747" spans="1:18" x14ac:dyDescent="0.3">
      <c r="A747" t="s">
        <v>7</v>
      </c>
      <c r="B747">
        <v>18455779</v>
      </c>
      <c r="C747" t="s">
        <v>10</v>
      </c>
      <c r="D747" s="4">
        <v>45761</v>
      </c>
      <c r="E747" s="11">
        <f t="shared" si="44"/>
        <v>2025</v>
      </c>
      <c r="F747" s="11">
        <f t="shared" si="45"/>
        <v>4</v>
      </c>
      <c r="G747" s="11" t="str">
        <f t="shared" si="46"/>
        <v>202504</v>
      </c>
      <c r="I747" s="5">
        <v>9999</v>
      </c>
      <c r="J747" s="5">
        <v>333.3</v>
      </c>
      <c r="K747" s="5">
        <f t="shared" si="47"/>
        <v>0</v>
      </c>
      <c r="L747" s="5">
        <v>0</v>
      </c>
      <c r="M747" s="5">
        <v>0</v>
      </c>
      <c r="N747" t="s">
        <v>9</v>
      </c>
      <c r="O747" s="8">
        <v>22.323287671232876</v>
      </c>
      <c r="P747" t="s">
        <v>33</v>
      </c>
      <c r="Q747">
        <v>2</v>
      </c>
      <c r="R747" s="2">
        <v>37613</v>
      </c>
    </row>
    <row r="748" spans="1:18" x14ac:dyDescent="0.3">
      <c r="A748" t="s">
        <v>7</v>
      </c>
      <c r="B748">
        <v>18455801</v>
      </c>
      <c r="C748" t="s">
        <v>8</v>
      </c>
      <c r="D748" s="4">
        <v>45761</v>
      </c>
      <c r="E748" s="11">
        <f t="shared" si="44"/>
        <v>2025</v>
      </c>
      <c r="F748" s="11">
        <f t="shared" si="45"/>
        <v>4</v>
      </c>
      <c r="G748" s="11" t="str">
        <f t="shared" si="46"/>
        <v>202504</v>
      </c>
      <c r="I748" s="5">
        <v>9999</v>
      </c>
      <c r="J748" s="5">
        <v>333.3</v>
      </c>
      <c r="K748" s="5">
        <f t="shared" si="47"/>
        <v>0</v>
      </c>
      <c r="L748" s="5">
        <v>0</v>
      </c>
      <c r="M748" s="5">
        <v>0</v>
      </c>
      <c r="N748" t="s">
        <v>9</v>
      </c>
      <c r="O748" s="8">
        <v>20.027397260273972</v>
      </c>
      <c r="P748" t="s">
        <v>32</v>
      </c>
      <c r="Q748">
        <v>1</v>
      </c>
      <c r="R748" s="2">
        <v>38451</v>
      </c>
    </row>
    <row r="749" spans="1:18" x14ac:dyDescent="0.3">
      <c r="A749" t="s">
        <v>7</v>
      </c>
      <c r="B749">
        <v>18455803</v>
      </c>
      <c r="C749" t="s">
        <v>8</v>
      </c>
      <c r="D749" s="4">
        <v>45761</v>
      </c>
      <c r="E749" s="11">
        <f t="shared" si="44"/>
        <v>2025</v>
      </c>
      <c r="F749" s="11">
        <f t="shared" si="45"/>
        <v>4</v>
      </c>
      <c r="G749" s="11" t="str">
        <f t="shared" si="46"/>
        <v>202504</v>
      </c>
      <c r="H749" s="4">
        <v>46022</v>
      </c>
      <c r="I749" s="5">
        <v>261</v>
      </c>
      <c r="J749" s="5">
        <v>8.6999999999999993</v>
      </c>
      <c r="K749" s="5">
        <f t="shared" si="47"/>
        <v>0</v>
      </c>
      <c r="L749" s="5">
        <v>0</v>
      </c>
      <c r="M749" s="5">
        <v>0</v>
      </c>
      <c r="N749" t="s">
        <v>9</v>
      </c>
      <c r="O749" s="8">
        <v>24.238356164383561</v>
      </c>
      <c r="P749" t="s">
        <v>33</v>
      </c>
      <c r="Q749">
        <v>2</v>
      </c>
      <c r="R749" s="2">
        <v>36914</v>
      </c>
    </row>
    <row r="750" spans="1:18" x14ac:dyDescent="0.3">
      <c r="A750" t="s">
        <v>7</v>
      </c>
      <c r="B750">
        <v>18455812</v>
      </c>
      <c r="C750" t="s">
        <v>10</v>
      </c>
      <c r="D750" s="4">
        <v>45761</v>
      </c>
      <c r="E750" s="11">
        <f t="shared" si="44"/>
        <v>2025</v>
      </c>
      <c r="F750" s="11">
        <f t="shared" si="45"/>
        <v>4</v>
      </c>
      <c r="G750" s="11" t="str">
        <f t="shared" si="46"/>
        <v>202504</v>
      </c>
      <c r="H750" s="4">
        <v>45763</v>
      </c>
      <c r="I750" s="5">
        <v>2</v>
      </c>
      <c r="J750" s="5">
        <v>6.6666666666666666E-2</v>
      </c>
      <c r="K750" s="5">
        <f t="shared" si="47"/>
        <v>1</v>
      </c>
      <c r="L750" s="5">
        <v>1</v>
      </c>
      <c r="M750" s="5">
        <v>1</v>
      </c>
      <c r="N750" t="s">
        <v>9</v>
      </c>
      <c r="O750" s="8">
        <v>30.104109589041094</v>
      </c>
      <c r="P750" t="s">
        <v>34</v>
      </c>
      <c r="Q750">
        <v>3</v>
      </c>
      <c r="R750" s="2">
        <v>34773</v>
      </c>
    </row>
    <row r="751" spans="1:18" x14ac:dyDescent="0.3">
      <c r="A751" t="s">
        <v>7</v>
      </c>
      <c r="B751">
        <v>18455828</v>
      </c>
      <c r="C751" t="s">
        <v>8</v>
      </c>
      <c r="D751" s="4">
        <v>45761</v>
      </c>
      <c r="E751" s="11">
        <f t="shared" si="44"/>
        <v>2025</v>
      </c>
      <c r="F751" s="11">
        <f t="shared" si="45"/>
        <v>4</v>
      </c>
      <c r="G751" s="11" t="str">
        <f t="shared" si="46"/>
        <v>202504</v>
      </c>
      <c r="H751" s="4">
        <v>45949</v>
      </c>
      <c r="I751" s="5">
        <v>188</v>
      </c>
      <c r="J751" s="5">
        <v>6.2666666666666666</v>
      </c>
      <c r="K751" s="5">
        <f t="shared" si="47"/>
        <v>0</v>
      </c>
      <c r="L751" s="5">
        <v>0</v>
      </c>
      <c r="M751" s="5">
        <v>0</v>
      </c>
      <c r="N751" t="s">
        <v>9</v>
      </c>
      <c r="O751" s="8">
        <v>20.682191780821917</v>
      </c>
      <c r="P751" t="s">
        <v>32</v>
      </c>
      <c r="Q751">
        <v>1</v>
      </c>
      <c r="R751" s="2">
        <v>38212</v>
      </c>
    </row>
    <row r="752" spans="1:18" x14ac:dyDescent="0.3">
      <c r="A752" t="s">
        <v>7</v>
      </c>
      <c r="B752">
        <v>18455871</v>
      </c>
      <c r="C752" t="s">
        <v>8</v>
      </c>
      <c r="D752" s="4">
        <v>45761</v>
      </c>
      <c r="E752" s="11">
        <f t="shared" si="44"/>
        <v>2025</v>
      </c>
      <c r="F752" s="11">
        <f t="shared" si="45"/>
        <v>4</v>
      </c>
      <c r="G752" s="11" t="str">
        <f t="shared" si="46"/>
        <v>202504</v>
      </c>
      <c r="I752" s="5">
        <v>9999</v>
      </c>
      <c r="J752" s="5">
        <v>333.3</v>
      </c>
      <c r="K752" s="5">
        <f t="shared" si="47"/>
        <v>0</v>
      </c>
      <c r="L752" s="5">
        <v>0</v>
      </c>
      <c r="M752" s="5">
        <v>0</v>
      </c>
      <c r="N752" t="s">
        <v>9</v>
      </c>
      <c r="O752" s="8">
        <v>21.347945205479451</v>
      </c>
      <c r="P752" t="s">
        <v>33</v>
      </c>
      <c r="Q752">
        <v>2</v>
      </c>
      <c r="R752" s="2">
        <v>37969</v>
      </c>
    </row>
    <row r="753" spans="1:18" x14ac:dyDescent="0.3">
      <c r="A753" t="s">
        <v>7</v>
      </c>
      <c r="B753">
        <v>18455942</v>
      </c>
      <c r="C753" t="s">
        <v>10</v>
      </c>
      <c r="D753" s="4">
        <v>45761</v>
      </c>
      <c r="E753" s="11">
        <f t="shared" si="44"/>
        <v>2025</v>
      </c>
      <c r="F753" s="11">
        <f t="shared" si="45"/>
        <v>4</v>
      </c>
      <c r="G753" s="11" t="str">
        <f t="shared" si="46"/>
        <v>202504</v>
      </c>
      <c r="H753" s="4">
        <v>45870</v>
      </c>
      <c r="I753" s="5">
        <v>109</v>
      </c>
      <c r="J753" s="5">
        <v>3.6333333333333333</v>
      </c>
      <c r="K753" s="5">
        <f t="shared" si="47"/>
        <v>0</v>
      </c>
      <c r="L753" s="5">
        <v>0</v>
      </c>
      <c r="M753" s="5">
        <v>1</v>
      </c>
      <c r="N753" t="s">
        <v>9</v>
      </c>
      <c r="O753" s="8">
        <v>18.098630136986301</v>
      </c>
      <c r="P753" t="s">
        <v>32</v>
      </c>
      <c r="Q753">
        <v>1</v>
      </c>
      <c r="R753" s="2">
        <v>39155</v>
      </c>
    </row>
    <row r="754" spans="1:18" x14ac:dyDescent="0.3">
      <c r="A754" t="s">
        <v>7</v>
      </c>
      <c r="B754">
        <v>18455974</v>
      </c>
      <c r="C754" t="s">
        <v>8</v>
      </c>
      <c r="D754" s="4">
        <v>45761</v>
      </c>
      <c r="E754" s="11">
        <f t="shared" si="44"/>
        <v>2025</v>
      </c>
      <c r="F754" s="11">
        <f t="shared" si="45"/>
        <v>4</v>
      </c>
      <c r="G754" s="11" t="str">
        <f t="shared" si="46"/>
        <v>202504</v>
      </c>
      <c r="H754" s="4">
        <v>45808</v>
      </c>
      <c r="I754" s="5">
        <v>47</v>
      </c>
      <c r="J754" s="5">
        <v>1.5666666666666667</v>
      </c>
      <c r="K754" s="5">
        <f t="shared" si="47"/>
        <v>0</v>
      </c>
      <c r="L754" s="5">
        <v>1</v>
      </c>
      <c r="M754" s="5">
        <v>1</v>
      </c>
      <c r="N754" t="s">
        <v>9</v>
      </c>
      <c r="O754" s="8">
        <v>20.419178082191781</v>
      </c>
      <c r="P754" t="s">
        <v>32</v>
      </c>
      <c r="Q754">
        <v>1</v>
      </c>
      <c r="R754" s="2">
        <v>38308</v>
      </c>
    </row>
    <row r="755" spans="1:18" x14ac:dyDescent="0.3">
      <c r="A755" t="s">
        <v>7</v>
      </c>
      <c r="B755">
        <v>18455976</v>
      </c>
      <c r="C755" t="s">
        <v>8</v>
      </c>
      <c r="D755" s="4">
        <v>45761</v>
      </c>
      <c r="E755" s="11">
        <f t="shared" si="44"/>
        <v>2025</v>
      </c>
      <c r="F755" s="11">
        <f t="shared" si="45"/>
        <v>4</v>
      </c>
      <c r="G755" s="11" t="str">
        <f t="shared" si="46"/>
        <v>202504</v>
      </c>
      <c r="H755" s="4">
        <v>46174</v>
      </c>
      <c r="I755" s="5">
        <v>413</v>
      </c>
      <c r="J755" s="5">
        <v>13.766666666666667</v>
      </c>
      <c r="K755" s="5">
        <f t="shared" si="47"/>
        <v>0</v>
      </c>
      <c r="L755" s="5">
        <v>0</v>
      </c>
      <c r="M755" s="5">
        <v>0</v>
      </c>
      <c r="N755" t="s">
        <v>9</v>
      </c>
      <c r="O755" s="8">
        <v>20.936986301369863</v>
      </c>
      <c r="P755" t="s">
        <v>32</v>
      </c>
      <c r="Q755">
        <v>1</v>
      </c>
      <c r="R755" s="2">
        <v>38119</v>
      </c>
    </row>
    <row r="756" spans="1:18" x14ac:dyDescent="0.3">
      <c r="A756" t="s">
        <v>7</v>
      </c>
      <c r="B756">
        <v>18456454</v>
      </c>
      <c r="C756" t="s">
        <v>8</v>
      </c>
      <c r="D756" s="4">
        <v>45761</v>
      </c>
      <c r="E756" s="11">
        <f t="shared" si="44"/>
        <v>2025</v>
      </c>
      <c r="F756" s="11">
        <f t="shared" si="45"/>
        <v>4</v>
      </c>
      <c r="G756" s="11" t="str">
        <f t="shared" si="46"/>
        <v>202504</v>
      </c>
      <c r="I756" s="5">
        <v>9999</v>
      </c>
      <c r="J756" s="5">
        <v>333.3</v>
      </c>
      <c r="K756" s="5">
        <f t="shared" si="47"/>
        <v>0</v>
      </c>
      <c r="L756" s="5">
        <v>0</v>
      </c>
      <c r="M756" s="5">
        <v>0</v>
      </c>
      <c r="N756" t="s">
        <v>12</v>
      </c>
      <c r="O756" s="8">
        <v>21.232876712328768</v>
      </c>
      <c r="P756" t="s">
        <v>33</v>
      </c>
      <c r="Q756">
        <v>2</v>
      </c>
      <c r="R756" s="2">
        <v>38011</v>
      </c>
    </row>
    <row r="757" spans="1:18" x14ac:dyDescent="0.3">
      <c r="A757" t="s">
        <v>7</v>
      </c>
      <c r="B757">
        <v>18456485</v>
      </c>
      <c r="C757" t="s">
        <v>10</v>
      </c>
      <c r="D757" s="4">
        <v>45761</v>
      </c>
      <c r="E757" s="11">
        <f t="shared" si="44"/>
        <v>2025</v>
      </c>
      <c r="F757" s="11">
        <f t="shared" si="45"/>
        <v>4</v>
      </c>
      <c r="G757" s="11" t="str">
        <f t="shared" si="46"/>
        <v>202504</v>
      </c>
      <c r="I757" s="5">
        <v>9999</v>
      </c>
      <c r="J757" s="5">
        <v>333.3</v>
      </c>
      <c r="K757" s="5">
        <f t="shared" si="47"/>
        <v>0</v>
      </c>
      <c r="L757" s="5">
        <v>0</v>
      </c>
      <c r="M757" s="5">
        <v>0</v>
      </c>
      <c r="N757" t="s">
        <v>12</v>
      </c>
      <c r="O757" s="8">
        <v>20.419178082191781</v>
      </c>
      <c r="P757" t="s">
        <v>32</v>
      </c>
      <c r="Q757">
        <v>1</v>
      </c>
      <c r="R757" s="2">
        <v>38308</v>
      </c>
    </row>
    <row r="758" spans="1:18" x14ac:dyDescent="0.3">
      <c r="A758" t="s">
        <v>7</v>
      </c>
      <c r="B758">
        <v>18456487</v>
      </c>
      <c r="C758" t="s">
        <v>8</v>
      </c>
      <c r="D758" s="4">
        <v>45761</v>
      </c>
      <c r="E758" s="11">
        <f t="shared" si="44"/>
        <v>2025</v>
      </c>
      <c r="F758" s="11">
        <f t="shared" si="45"/>
        <v>4</v>
      </c>
      <c r="G758" s="11" t="str">
        <f t="shared" si="46"/>
        <v>202504</v>
      </c>
      <c r="H758" s="4">
        <v>46112</v>
      </c>
      <c r="I758" s="5">
        <v>351</v>
      </c>
      <c r="J758" s="5">
        <v>11.7</v>
      </c>
      <c r="K758" s="5">
        <f t="shared" si="47"/>
        <v>0</v>
      </c>
      <c r="L758" s="5">
        <v>0</v>
      </c>
      <c r="M758" s="5">
        <v>0</v>
      </c>
      <c r="N758" t="s">
        <v>12</v>
      </c>
      <c r="O758" s="8">
        <v>21.739726027397261</v>
      </c>
      <c r="P758" t="s">
        <v>33</v>
      </c>
      <c r="Q758">
        <v>2</v>
      </c>
      <c r="R758" s="2">
        <v>37826</v>
      </c>
    </row>
    <row r="759" spans="1:18" x14ac:dyDescent="0.3">
      <c r="A759" t="s">
        <v>7</v>
      </c>
      <c r="B759">
        <v>18457580</v>
      </c>
      <c r="C759" t="s">
        <v>10</v>
      </c>
      <c r="D759" s="4">
        <v>45758</v>
      </c>
      <c r="E759" s="11">
        <f t="shared" si="44"/>
        <v>2025</v>
      </c>
      <c r="F759" s="11">
        <f t="shared" si="45"/>
        <v>4</v>
      </c>
      <c r="G759" s="11" t="str">
        <f t="shared" si="46"/>
        <v>202504</v>
      </c>
      <c r="I759" s="5">
        <v>9999</v>
      </c>
      <c r="J759" s="5">
        <v>333.3</v>
      </c>
      <c r="K759" s="5">
        <f t="shared" si="47"/>
        <v>0</v>
      </c>
      <c r="L759" s="5">
        <v>0</v>
      </c>
      <c r="M759" s="5">
        <v>0</v>
      </c>
      <c r="N759" t="s">
        <v>9</v>
      </c>
      <c r="O759" s="8">
        <v>19.739726027397261</v>
      </c>
      <c r="P759" t="s">
        <v>32</v>
      </c>
      <c r="Q759">
        <v>1</v>
      </c>
      <c r="R759" s="2">
        <v>38553</v>
      </c>
    </row>
    <row r="760" spans="1:18" x14ac:dyDescent="0.3">
      <c r="A760" t="s">
        <v>7</v>
      </c>
      <c r="B760">
        <v>18457921</v>
      </c>
      <c r="C760" t="s">
        <v>8</v>
      </c>
      <c r="D760" s="4">
        <v>45954</v>
      </c>
      <c r="E760" s="11">
        <f t="shared" si="44"/>
        <v>2025</v>
      </c>
      <c r="F760" s="11">
        <f t="shared" si="45"/>
        <v>10</v>
      </c>
      <c r="G760" s="11" t="str">
        <f t="shared" si="46"/>
        <v>202510</v>
      </c>
      <c r="H760" s="4">
        <v>45992</v>
      </c>
      <c r="I760" s="5">
        <v>38</v>
      </c>
      <c r="J760" s="5">
        <v>1.2666666666666666</v>
      </c>
      <c r="K760" s="5">
        <f t="shared" si="47"/>
        <v>0</v>
      </c>
      <c r="L760" s="5">
        <v>1</v>
      </c>
      <c r="M760" s="5">
        <v>1</v>
      </c>
      <c r="N760" t="s">
        <v>9</v>
      </c>
      <c r="O760" s="8">
        <v>18.753424657534246</v>
      </c>
      <c r="P760" t="s">
        <v>32</v>
      </c>
      <c r="Q760">
        <v>1</v>
      </c>
      <c r="R760" s="2">
        <v>39109</v>
      </c>
    </row>
    <row r="761" spans="1:18" x14ac:dyDescent="0.3">
      <c r="A761" t="s">
        <v>7</v>
      </c>
      <c r="B761">
        <v>18459090</v>
      </c>
      <c r="C761" t="s">
        <v>8</v>
      </c>
      <c r="D761" s="4">
        <v>45761</v>
      </c>
      <c r="E761" s="11">
        <f t="shared" si="44"/>
        <v>2025</v>
      </c>
      <c r="F761" s="11">
        <f t="shared" si="45"/>
        <v>4</v>
      </c>
      <c r="G761" s="11" t="str">
        <f t="shared" si="46"/>
        <v>202504</v>
      </c>
      <c r="I761" s="5">
        <v>9999</v>
      </c>
      <c r="J761" s="5">
        <v>333.3</v>
      </c>
      <c r="K761" s="5">
        <f t="shared" si="47"/>
        <v>0</v>
      </c>
      <c r="L761" s="5">
        <v>0</v>
      </c>
      <c r="M761" s="5">
        <v>0</v>
      </c>
      <c r="N761" t="s">
        <v>12</v>
      </c>
      <c r="O761" s="8">
        <v>18.709589041095889</v>
      </c>
      <c r="P761" t="s">
        <v>32</v>
      </c>
      <c r="Q761">
        <v>1</v>
      </c>
      <c r="R761" s="2">
        <v>38932</v>
      </c>
    </row>
    <row r="762" spans="1:18" x14ac:dyDescent="0.3">
      <c r="A762" t="s">
        <v>7</v>
      </c>
      <c r="B762">
        <v>18471533</v>
      </c>
      <c r="C762" t="s">
        <v>8</v>
      </c>
      <c r="D762" s="4">
        <v>45762</v>
      </c>
      <c r="E762" s="11">
        <f t="shared" si="44"/>
        <v>2025</v>
      </c>
      <c r="F762" s="11">
        <f t="shared" si="45"/>
        <v>4</v>
      </c>
      <c r="G762" s="11" t="str">
        <f t="shared" si="46"/>
        <v>202504</v>
      </c>
      <c r="H762" s="4">
        <v>46037</v>
      </c>
      <c r="I762" s="5">
        <v>275</v>
      </c>
      <c r="J762" s="5">
        <v>9.1666666666666661</v>
      </c>
      <c r="K762" s="5">
        <f t="shared" si="47"/>
        <v>0</v>
      </c>
      <c r="L762" s="5">
        <v>0</v>
      </c>
      <c r="M762" s="5">
        <v>0</v>
      </c>
      <c r="N762" t="s">
        <v>12</v>
      </c>
      <c r="O762" s="8">
        <v>19.347945205479451</v>
      </c>
      <c r="P762" t="s">
        <v>32</v>
      </c>
      <c r="Q762">
        <v>1</v>
      </c>
      <c r="R762" s="2">
        <v>38700</v>
      </c>
    </row>
    <row r="763" spans="1:18" x14ac:dyDescent="0.3">
      <c r="A763" t="s">
        <v>7</v>
      </c>
      <c r="B763">
        <v>18473423</v>
      </c>
      <c r="C763" t="s">
        <v>8</v>
      </c>
      <c r="D763" s="4">
        <v>45762</v>
      </c>
      <c r="E763" s="11">
        <f t="shared" si="44"/>
        <v>2025</v>
      </c>
      <c r="F763" s="11">
        <f t="shared" si="45"/>
        <v>4</v>
      </c>
      <c r="G763" s="11" t="str">
        <f t="shared" si="46"/>
        <v>202504</v>
      </c>
      <c r="I763" s="5">
        <v>9999</v>
      </c>
      <c r="J763" s="5">
        <v>333.3</v>
      </c>
      <c r="K763" s="5">
        <f t="shared" si="47"/>
        <v>0</v>
      </c>
      <c r="L763" s="5">
        <v>0</v>
      </c>
      <c r="M763" s="5">
        <v>0</v>
      </c>
      <c r="N763" t="s">
        <v>9</v>
      </c>
      <c r="O763" s="8">
        <v>41.583561643835615</v>
      </c>
      <c r="P763" t="s">
        <v>35</v>
      </c>
      <c r="Q763">
        <v>4</v>
      </c>
      <c r="R763" s="2">
        <v>30584</v>
      </c>
    </row>
    <row r="764" spans="1:18" x14ac:dyDescent="0.3">
      <c r="A764" t="s">
        <v>7</v>
      </c>
      <c r="B764">
        <v>18477957</v>
      </c>
      <c r="C764" t="s">
        <v>8</v>
      </c>
      <c r="D764" s="4">
        <v>45762</v>
      </c>
      <c r="E764" s="11">
        <f t="shared" si="44"/>
        <v>2025</v>
      </c>
      <c r="F764" s="11">
        <f t="shared" si="45"/>
        <v>4</v>
      </c>
      <c r="G764" s="11" t="str">
        <f t="shared" si="46"/>
        <v>202504</v>
      </c>
      <c r="H764" s="4">
        <v>46053</v>
      </c>
      <c r="I764" s="5">
        <v>291</v>
      </c>
      <c r="J764" s="5">
        <v>9.6999999999999993</v>
      </c>
      <c r="K764" s="5">
        <f t="shared" si="47"/>
        <v>0</v>
      </c>
      <c r="L764" s="5">
        <v>0</v>
      </c>
      <c r="M764" s="5">
        <v>0</v>
      </c>
      <c r="N764" t="s">
        <v>12</v>
      </c>
      <c r="O764" s="8">
        <v>22.906849315068492</v>
      </c>
      <c r="P764" t="s">
        <v>33</v>
      </c>
      <c r="Q764">
        <v>2</v>
      </c>
      <c r="R764" s="2">
        <v>37401</v>
      </c>
    </row>
    <row r="765" spans="1:18" x14ac:dyDescent="0.3">
      <c r="A765" t="s">
        <v>7</v>
      </c>
      <c r="B765">
        <v>18488126</v>
      </c>
      <c r="C765" t="s">
        <v>10</v>
      </c>
      <c r="D765" s="4">
        <v>45763</v>
      </c>
      <c r="E765" s="11">
        <f t="shared" si="44"/>
        <v>2025</v>
      </c>
      <c r="F765" s="11">
        <f t="shared" si="45"/>
        <v>4</v>
      </c>
      <c r="G765" s="11" t="str">
        <f t="shared" si="46"/>
        <v>202504</v>
      </c>
      <c r="H765" s="4">
        <v>46006</v>
      </c>
      <c r="I765" s="5">
        <v>243</v>
      </c>
      <c r="J765" s="5">
        <v>8.1</v>
      </c>
      <c r="K765" s="5">
        <f t="shared" si="47"/>
        <v>0</v>
      </c>
      <c r="L765" s="5">
        <v>0</v>
      </c>
      <c r="M765" s="5">
        <v>0</v>
      </c>
      <c r="N765" t="s">
        <v>9</v>
      </c>
      <c r="O765" s="8">
        <v>18.701369863013699</v>
      </c>
      <c r="P765" t="s">
        <v>32</v>
      </c>
      <c r="Q765">
        <v>1</v>
      </c>
      <c r="R765" s="2">
        <v>38937</v>
      </c>
    </row>
    <row r="766" spans="1:18" x14ac:dyDescent="0.3">
      <c r="A766" t="s">
        <v>7</v>
      </c>
      <c r="B766">
        <v>18488612</v>
      </c>
      <c r="C766" t="s">
        <v>8</v>
      </c>
      <c r="D766" s="4">
        <v>45763</v>
      </c>
      <c r="E766" s="11">
        <f t="shared" si="44"/>
        <v>2025</v>
      </c>
      <c r="F766" s="11">
        <f t="shared" si="45"/>
        <v>4</v>
      </c>
      <c r="G766" s="11" t="str">
        <f t="shared" si="46"/>
        <v>202504</v>
      </c>
      <c r="I766" s="5">
        <v>9999</v>
      </c>
      <c r="J766" s="5">
        <v>333.3</v>
      </c>
      <c r="K766" s="5">
        <f t="shared" si="47"/>
        <v>0</v>
      </c>
      <c r="L766" s="5">
        <v>0</v>
      </c>
      <c r="M766" s="5">
        <v>0</v>
      </c>
      <c r="N766" t="s">
        <v>9</v>
      </c>
      <c r="O766" s="8">
        <v>18.583561643835615</v>
      </c>
      <c r="P766" t="s">
        <v>32</v>
      </c>
      <c r="Q766">
        <v>1</v>
      </c>
      <c r="R766" s="2">
        <v>38980</v>
      </c>
    </row>
    <row r="767" spans="1:18" x14ac:dyDescent="0.3">
      <c r="A767" t="s">
        <v>7</v>
      </c>
      <c r="B767">
        <v>18488757</v>
      </c>
      <c r="C767" t="s">
        <v>8</v>
      </c>
      <c r="D767" s="4">
        <v>45763</v>
      </c>
      <c r="E767" s="11">
        <f t="shared" si="44"/>
        <v>2025</v>
      </c>
      <c r="F767" s="11">
        <f t="shared" si="45"/>
        <v>4</v>
      </c>
      <c r="G767" s="11" t="str">
        <f t="shared" si="46"/>
        <v>202504</v>
      </c>
      <c r="H767" s="4">
        <v>45964</v>
      </c>
      <c r="I767" s="5">
        <v>201</v>
      </c>
      <c r="J767" s="5">
        <v>6.7</v>
      </c>
      <c r="K767" s="5">
        <f t="shared" si="47"/>
        <v>0</v>
      </c>
      <c r="L767" s="5">
        <v>0</v>
      </c>
      <c r="M767" s="5">
        <v>0</v>
      </c>
      <c r="N767" t="s">
        <v>9</v>
      </c>
      <c r="O767" s="8">
        <v>19.739726027397261</v>
      </c>
      <c r="P767" t="s">
        <v>32</v>
      </c>
      <c r="Q767">
        <v>1</v>
      </c>
      <c r="R767" s="2">
        <v>38558</v>
      </c>
    </row>
    <row r="768" spans="1:18" x14ac:dyDescent="0.3">
      <c r="A768" t="s">
        <v>7</v>
      </c>
      <c r="B768">
        <v>18496181</v>
      </c>
      <c r="C768" t="s">
        <v>8</v>
      </c>
      <c r="D768" s="4">
        <v>45763</v>
      </c>
      <c r="E768" s="11">
        <f t="shared" si="44"/>
        <v>2025</v>
      </c>
      <c r="F768" s="11">
        <f t="shared" si="45"/>
        <v>4</v>
      </c>
      <c r="G768" s="11" t="str">
        <f t="shared" si="46"/>
        <v>202504</v>
      </c>
      <c r="H768" s="4">
        <v>46081</v>
      </c>
      <c r="I768" s="5">
        <v>318</v>
      </c>
      <c r="J768" s="5">
        <v>10.6</v>
      </c>
      <c r="K768" s="5">
        <f t="shared" si="47"/>
        <v>0</v>
      </c>
      <c r="L768" s="5">
        <v>0</v>
      </c>
      <c r="M768" s="5">
        <v>0</v>
      </c>
      <c r="N768" t="s">
        <v>9</v>
      </c>
      <c r="O768" s="8">
        <v>34.632876712328766</v>
      </c>
      <c r="P768" t="s">
        <v>35</v>
      </c>
      <c r="Q768">
        <v>4</v>
      </c>
      <c r="R768" s="2">
        <v>33122</v>
      </c>
    </row>
    <row r="769" spans="1:18" x14ac:dyDescent="0.3">
      <c r="A769" t="s">
        <v>7</v>
      </c>
      <c r="B769">
        <v>18619687</v>
      </c>
      <c r="C769" t="s">
        <v>10</v>
      </c>
      <c r="D769" s="4">
        <v>45768</v>
      </c>
      <c r="E769" s="11">
        <f t="shared" si="44"/>
        <v>2025</v>
      </c>
      <c r="F769" s="11">
        <f t="shared" si="45"/>
        <v>4</v>
      </c>
      <c r="G769" s="11" t="str">
        <f t="shared" si="46"/>
        <v>202504</v>
      </c>
      <c r="I769" s="5">
        <v>9999</v>
      </c>
      <c r="J769" s="5">
        <v>333.3</v>
      </c>
      <c r="K769" s="5">
        <f t="shared" si="47"/>
        <v>0</v>
      </c>
      <c r="L769" s="5">
        <v>0</v>
      </c>
      <c r="M769" s="5">
        <v>0</v>
      </c>
      <c r="N769" t="s">
        <v>12</v>
      </c>
      <c r="O769" s="8">
        <v>23.005479452054793</v>
      </c>
      <c r="P769" t="s">
        <v>33</v>
      </c>
      <c r="Q769">
        <v>2</v>
      </c>
      <c r="R769" s="2">
        <v>37371</v>
      </c>
    </row>
    <row r="770" spans="1:18" x14ac:dyDescent="0.3">
      <c r="A770" t="s">
        <v>7</v>
      </c>
      <c r="B770">
        <v>18619689</v>
      </c>
      <c r="C770" t="s">
        <v>10</v>
      </c>
      <c r="D770" s="4">
        <v>45768</v>
      </c>
      <c r="E770" s="11">
        <f t="shared" si="44"/>
        <v>2025</v>
      </c>
      <c r="F770" s="11">
        <f t="shared" si="45"/>
        <v>4</v>
      </c>
      <c r="G770" s="11" t="str">
        <f t="shared" si="46"/>
        <v>202504</v>
      </c>
      <c r="I770" s="5">
        <v>9999</v>
      </c>
      <c r="J770" s="5">
        <v>333.3</v>
      </c>
      <c r="K770" s="5">
        <f t="shared" si="47"/>
        <v>0</v>
      </c>
      <c r="L770" s="5">
        <v>0</v>
      </c>
      <c r="M770" s="5">
        <v>0</v>
      </c>
      <c r="N770" t="s">
        <v>12</v>
      </c>
      <c r="O770" s="8">
        <v>21.698630136986303</v>
      </c>
      <c r="P770" t="s">
        <v>33</v>
      </c>
      <c r="Q770">
        <v>2</v>
      </c>
      <c r="R770" s="2">
        <v>37848</v>
      </c>
    </row>
    <row r="771" spans="1:18" x14ac:dyDescent="0.3">
      <c r="A771" t="s">
        <v>7</v>
      </c>
      <c r="B771">
        <v>18619690</v>
      </c>
      <c r="C771" t="s">
        <v>8</v>
      </c>
      <c r="D771" s="4">
        <v>45748</v>
      </c>
      <c r="E771" s="11">
        <f t="shared" ref="E771:E834" si="48">+YEAR(D771)</f>
        <v>2025</v>
      </c>
      <c r="F771" s="11">
        <f t="shared" ref="F771:F834" si="49">+MONTH(D771)</f>
        <v>4</v>
      </c>
      <c r="G771" s="11" t="str">
        <f t="shared" ref="G771:G834" si="50">+TEXT(D771, "yyymm")</f>
        <v>202504</v>
      </c>
      <c r="H771" s="4">
        <v>45824</v>
      </c>
      <c r="I771" s="5">
        <v>76</v>
      </c>
      <c r="J771" s="5">
        <v>2.5333333333333332</v>
      </c>
      <c r="K771" s="5">
        <f t="shared" ref="K771:K834" si="51">IF(J771&lt;=1,1,0)</f>
        <v>0</v>
      </c>
      <c r="L771" s="5">
        <v>1</v>
      </c>
      <c r="M771" s="5">
        <v>1</v>
      </c>
      <c r="N771" t="s">
        <v>12</v>
      </c>
      <c r="O771" s="8">
        <v>23.915068493150685</v>
      </c>
      <c r="P771" t="s">
        <v>33</v>
      </c>
      <c r="Q771">
        <v>2</v>
      </c>
      <c r="R771" s="2">
        <v>37019</v>
      </c>
    </row>
    <row r="772" spans="1:18" x14ac:dyDescent="0.3">
      <c r="A772" t="s">
        <v>7</v>
      </c>
      <c r="B772">
        <v>18619691</v>
      </c>
      <c r="C772" t="s">
        <v>8</v>
      </c>
      <c r="D772" s="4">
        <v>45748</v>
      </c>
      <c r="E772" s="11">
        <f t="shared" si="48"/>
        <v>2025</v>
      </c>
      <c r="F772" s="11">
        <f t="shared" si="49"/>
        <v>4</v>
      </c>
      <c r="G772" s="11" t="str">
        <f t="shared" si="50"/>
        <v>202504</v>
      </c>
      <c r="H772" s="4">
        <v>45973</v>
      </c>
      <c r="I772" s="5">
        <v>225</v>
      </c>
      <c r="J772" s="5">
        <v>7.5</v>
      </c>
      <c r="K772" s="5">
        <f t="shared" si="51"/>
        <v>0</v>
      </c>
      <c r="L772" s="5">
        <v>0</v>
      </c>
      <c r="M772" s="5">
        <v>0</v>
      </c>
      <c r="N772" t="s">
        <v>12</v>
      </c>
      <c r="O772" s="8">
        <v>18.586301369863012</v>
      </c>
      <c r="P772" t="s">
        <v>32</v>
      </c>
      <c r="Q772">
        <v>1</v>
      </c>
      <c r="R772" s="2">
        <v>38964</v>
      </c>
    </row>
    <row r="773" spans="1:18" x14ac:dyDescent="0.3">
      <c r="A773" t="s">
        <v>7</v>
      </c>
      <c r="B773">
        <v>18619692</v>
      </c>
      <c r="C773" t="s">
        <v>8</v>
      </c>
      <c r="D773" s="4">
        <v>45748</v>
      </c>
      <c r="E773" s="11">
        <f t="shared" si="48"/>
        <v>2025</v>
      </c>
      <c r="F773" s="11">
        <f t="shared" si="49"/>
        <v>4</v>
      </c>
      <c r="G773" s="11" t="str">
        <f t="shared" si="50"/>
        <v>202504</v>
      </c>
      <c r="H773" s="4">
        <v>45961</v>
      </c>
      <c r="I773" s="5">
        <v>213</v>
      </c>
      <c r="J773" s="5">
        <v>7.1</v>
      </c>
      <c r="K773" s="5">
        <f t="shared" si="51"/>
        <v>0</v>
      </c>
      <c r="L773" s="5">
        <v>0</v>
      </c>
      <c r="M773" s="5">
        <v>0</v>
      </c>
      <c r="N773" t="s">
        <v>12</v>
      </c>
      <c r="O773" s="8">
        <v>20.942465753424656</v>
      </c>
      <c r="P773" t="s">
        <v>32</v>
      </c>
      <c r="Q773">
        <v>1</v>
      </c>
      <c r="R773" s="2">
        <v>38104</v>
      </c>
    </row>
    <row r="774" spans="1:18" x14ac:dyDescent="0.3">
      <c r="A774" t="s">
        <v>7</v>
      </c>
      <c r="B774">
        <v>18619693</v>
      </c>
      <c r="C774" t="s">
        <v>10</v>
      </c>
      <c r="D774" s="4">
        <v>45748</v>
      </c>
      <c r="E774" s="11">
        <f t="shared" si="48"/>
        <v>2025</v>
      </c>
      <c r="F774" s="11">
        <f t="shared" si="49"/>
        <v>4</v>
      </c>
      <c r="G774" s="11" t="str">
        <f t="shared" si="50"/>
        <v>202504</v>
      </c>
      <c r="I774" s="5">
        <v>9999</v>
      </c>
      <c r="J774" s="5">
        <v>333.3</v>
      </c>
      <c r="K774" s="5">
        <f t="shared" si="51"/>
        <v>0</v>
      </c>
      <c r="L774" s="5">
        <v>0</v>
      </c>
      <c r="M774" s="5">
        <v>0</v>
      </c>
      <c r="N774" t="s">
        <v>12</v>
      </c>
      <c r="O774" s="8">
        <v>18.638356164383563</v>
      </c>
      <c r="P774" t="s">
        <v>32</v>
      </c>
      <c r="Q774">
        <v>1</v>
      </c>
      <c r="R774" s="2">
        <v>38945</v>
      </c>
    </row>
    <row r="775" spans="1:18" x14ac:dyDescent="0.3">
      <c r="A775" t="s">
        <v>7</v>
      </c>
      <c r="B775">
        <v>18619928</v>
      </c>
      <c r="C775" t="s">
        <v>8</v>
      </c>
      <c r="D775" s="4">
        <v>45992</v>
      </c>
      <c r="E775" s="11">
        <f t="shared" si="48"/>
        <v>2025</v>
      </c>
      <c r="F775" s="11">
        <f t="shared" si="49"/>
        <v>12</v>
      </c>
      <c r="G775" s="11" t="str">
        <f t="shared" si="50"/>
        <v>202512</v>
      </c>
      <c r="I775" s="5">
        <v>9999</v>
      </c>
      <c r="J775" s="5">
        <v>333.3</v>
      </c>
      <c r="K775" s="5">
        <f t="shared" si="51"/>
        <v>0</v>
      </c>
      <c r="L775" s="5">
        <v>0</v>
      </c>
      <c r="M775" s="5">
        <v>0</v>
      </c>
      <c r="N775" t="s">
        <v>9</v>
      </c>
      <c r="O775" s="8">
        <v>19.361643835616437</v>
      </c>
      <c r="P775" t="s">
        <v>32</v>
      </c>
      <c r="Q775">
        <v>1</v>
      </c>
      <c r="R775" s="2">
        <v>38925</v>
      </c>
    </row>
    <row r="776" spans="1:18" x14ac:dyDescent="0.3">
      <c r="A776" t="s">
        <v>7</v>
      </c>
      <c r="B776">
        <v>18622456</v>
      </c>
      <c r="C776" t="s">
        <v>8</v>
      </c>
      <c r="D776" s="4">
        <v>45769</v>
      </c>
      <c r="E776" s="11">
        <f t="shared" si="48"/>
        <v>2025</v>
      </c>
      <c r="F776" s="11">
        <f t="shared" si="49"/>
        <v>4</v>
      </c>
      <c r="G776" s="11" t="str">
        <f t="shared" si="50"/>
        <v>202504</v>
      </c>
      <c r="H776" s="4">
        <v>45886</v>
      </c>
      <c r="I776" s="5">
        <v>117</v>
      </c>
      <c r="J776" s="5">
        <v>3.9</v>
      </c>
      <c r="K776" s="5">
        <f t="shared" si="51"/>
        <v>0</v>
      </c>
      <c r="L776" s="5">
        <v>0</v>
      </c>
      <c r="M776" s="5">
        <v>1</v>
      </c>
      <c r="N776" t="s">
        <v>9</v>
      </c>
      <c r="O776" s="8">
        <v>20.610958904109587</v>
      </c>
      <c r="P776" t="s">
        <v>32</v>
      </c>
      <c r="Q776">
        <v>1</v>
      </c>
      <c r="R776" s="2">
        <v>38246</v>
      </c>
    </row>
    <row r="777" spans="1:18" x14ac:dyDescent="0.3">
      <c r="A777" t="s">
        <v>7</v>
      </c>
      <c r="B777">
        <v>18622457</v>
      </c>
      <c r="C777" t="s">
        <v>10</v>
      </c>
      <c r="D777" s="4">
        <v>45769</v>
      </c>
      <c r="E777" s="11">
        <f t="shared" si="48"/>
        <v>2025</v>
      </c>
      <c r="F777" s="11">
        <f t="shared" si="49"/>
        <v>4</v>
      </c>
      <c r="G777" s="11" t="str">
        <f t="shared" si="50"/>
        <v>202504</v>
      </c>
      <c r="H777" s="4">
        <v>46082</v>
      </c>
      <c r="I777" s="5">
        <v>313</v>
      </c>
      <c r="J777" s="5">
        <v>10.433333333333334</v>
      </c>
      <c r="K777" s="5">
        <f t="shared" si="51"/>
        <v>0</v>
      </c>
      <c r="L777" s="5">
        <v>0</v>
      </c>
      <c r="M777" s="5">
        <v>0</v>
      </c>
      <c r="N777" t="s">
        <v>9</v>
      </c>
      <c r="O777" s="8">
        <v>18.794520547945204</v>
      </c>
      <c r="P777" t="s">
        <v>32</v>
      </c>
      <c r="Q777">
        <v>1</v>
      </c>
      <c r="R777" s="2">
        <v>38909</v>
      </c>
    </row>
    <row r="778" spans="1:18" x14ac:dyDescent="0.3">
      <c r="A778" t="s">
        <v>7</v>
      </c>
      <c r="B778">
        <v>18622544</v>
      </c>
      <c r="C778" t="s">
        <v>10</v>
      </c>
      <c r="D778" s="4">
        <v>45769</v>
      </c>
      <c r="E778" s="11">
        <f t="shared" si="48"/>
        <v>2025</v>
      </c>
      <c r="F778" s="11">
        <f t="shared" si="49"/>
        <v>4</v>
      </c>
      <c r="G778" s="11" t="str">
        <f t="shared" si="50"/>
        <v>202504</v>
      </c>
      <c r="H778" s="4">
        <v>45809</v>
      </c>
      <c r="I778" s="5">
        <v>40</v>
      </c>
      <c r="J778" s="5">
        <v>1.3333333333333333</v>
      </c>
      <c r="K778" s="5">
        <f t="shared" si="51"/>
        <v>0</v>
      </c>
      <c r="L778" s="5">
        <v>1</v>
      </c>
      <c r="M778" s="5">
        <v>1</v>
      </c>
      <c r="N778" t="s">
        <v>9</v>
      </c>
      <c r="O778" s="8">
        <v>18.054794520547944</v>
      </c>
      <c r="P778" t="s">
        <v>32</v>
      </c>
      <c r="Q778">
        <v>1</v>
      </c>
      <c r="R778" s="2">
        <v>39179</v>
      </c>
    </row>
    <row r="779" spans="1:18" x14ac:dyDescent="0.3">
      <c r="A779" t="s">
        <v>7</v>
      </c>
      <c r="B779">
        <v>18622583</v>
      </c>
      <c r="C779" t="s">
        <v>8</v>
      </c>
      <c r="D779" s="4">
        <v>45769</v>
      </c>
      <c r="E779" s="11">
        <f t="shared" si="48"/>
        <v>2025</v>
      </c>
      <c r="F779" s="11">
        <f t="shared" si="49"/>
        <v>4</v>
      </c>
      <c r="G779" s="11" t="str">
        <f t="shared" si="50"/>
        <v>202504</v>
      </c>
      <c r="H779" s="4">
        <v>45870</v>
      </c>
      <c r="I779" s="5">
        <v>101</v>
      </c>
      <c r="J779" s="5">
        <v>3.3666666666666667</v>
      </c>
      <c r="K779" s="5">
        <f t="shared" si="51"/>
        <v>0</v>
      </c>
      <c r="L779" s="5">
        <v>0</v>
      </c>
      <c r="M779" s="5">
        <v>1</v>
      </c>
      <c r="N779" t="s">
        <v>9</v>
      </c>
      <c r="O779" s="8">
        <v>28.597260273972601</v>
      </c>
      <c r="P779" t="s">
        <v>34</v>
      </c>
      <c r="Q779">
        <v>3</v>
      </c>
      <c r="R779" s="2">
        <v>35331</v>
      </c>
    </row>
    <row r="780" spans="1:18" x14ac:dyDescent="0.3">
      <c r="A780" t="s">
        <v>7</v>
      </c>
      <c r="B780">
        <v>18622611</v>
      </c>
      <c r="C780" t="s">
        <v>8</v>
      </c>
      <c r="D780" s="4">
        <v>45769</v>
      </c>
      <c r="E780" s="11">
        <f t="shared" si="48"/>
        <v>2025</v>
      </c>
      <c r="F780" s="11">
        <f t="shared" si="49"/>
        <v>4</v>
      </c>
      <c r="G780" s="11" t="str">
        <f t="shared" si="50"/>
        <v>202504</v>
      </c>
      <c r="H780" s="4">
        <v>46138</v>
      </c>
      <c r="I780" s="5">
        <v>369</v>
      </c>
      <c r="J780" s="5">
        <v>12.3</v>
      </c>
      <c r="K780" s="5">
        <f t="shared" si="51"/>
        <v>0</v>
      </c>
      <c r="L780" s="5">
        <v>0</v>
      </c>
      <c r="M780" s="5">
        <v>0</v>
      </c>
      <c r="N780" t="s">
        <v>9</v>
      </c>
      <c r="O780" s="8">
        <v>19.084931506849315</v>
      </c>
      <c r="P780" t="s">
        <v>32</v>
      </c>
      <c r="Q780">
        <v>1</v>
      </c>
      <c r="R780" s="2">
        <v>38803</v>
      </c>
    </row>
    <row r="781" spans="1:18" x14ac:dyDescent="0.3">
      <c r="A781" t="s">
        <v>7</v>
      </c>
      <c r="B781">
        <v>18622743</v>
      </c>
      <c r="C781" t="s">
        <v>10</v>
      </c>
      <c r="D781" s="4">
        <v>45769</v>
      </c>
      <c r="E781" s="11">
        <f t="shared" si="48"/>
        <v>2025</v>
      </c>
      <c r="F781" s="11">
        <f t="shared" si="49"/>
        <v>4</v>
      </c>
      <c r="G781" s="11" t="str">
        <f t="shared" si="50"/>
        <v>202504</v>
      </c>
      <c r="I781" s="5">
        <v>9999</v>
      </c>
      <c r="J781" s="5">
        <v>333.3</v>
      </c>
      <c r="K781" s="5">
        <f t="shared" si="51"/>
        <v>0</v>
      </c>
      <c r="L781" s="5">
        <v>0</v>
      </c>
      <c r="M781" s="5">
        <v>0</v>
      </c>
      <c r="N781" t="s">
        <v>9</v>
      </c>
      <c r="O781" s="8">
        <v>21.358904109589041</v>
      </c>
      <c r="P781" t="s">
        <v>33</v>
      </c>
      <c r="Q781">
        <v>2</v>
      </c>
      <c r="R781" s="2">
        <v>37973</v>
      </c>
    </row>
    <row r="782" spans="1:18" x14ac:dyDescent="0.3">
      <c r="A782" t="s">
        <v>7</v>
      </c>
      <c r="B782">
        <v>18623003</v>
      </c>
      <c r="C782" t="s">
        <v>8</v>
      </c>
      <c r="D782" s="4">
        <v>45769</v>
      </c>
      <c r="E782" s="11">
        <f t="shared" si="48"/>
        <v>2025</v>
      </c>
      <c r="F782" s="11">
        <f t="shared" si="49"/>
        <v>4</v>
      </c>
      <c r="G782" s="11" t="str">
        <f t="shared" si="50"/>
        <v>202504</v>
      </c>
      <c r="I782" s="5">
        <v>9999</v>
      </c>
      <c r="J782" s="5">
        <v>333.3</v>
      </c>
      <c r="K782" s="5">
        <f t="shared" si="51"/>
        <v>0</v>
      </c>
      <c r="L782" s="5">
        <v>0</v>
      </c>
      <c r="M782" s="5">
        <v>0</v>
      </c>
      <c r="N782" t="s">
        <v>9</v>
      </c>
      <c r="O782" s="8">
        <v>26.972602739726028</v>
      </c>
      <c r="P782" t="s">
        <v>34</v>
      </c>
      <c r="Q782">
        <v>3</v>
      </c>
      <c r="R782" s="2">
        <v>35924</v>
      </c>
    </row>
    <row r="783" spans="1:18" x14ac:dyDescent="0.3">
      <c r="A783" t="s">
        <v>11</v>
      </c>
      <c r="B783">
        <v>18623029</v>
      </c>
      <c r="C783" t="s">
        <v>8</v>
      </c>
      <c r="D783" s="4">
        <v>45769</v>
      </c>
      <c r="E783" s="11">
        <f t="shared" si="48"/>
        <v>2025</v>
      </c>
      <c r="F783" s="11">
        <f t="shared" si="49"/>
        <v>4</v>
      </c>
      <c r="G783" s="11" t="str">
        <f t="shared" si="50"/>
        <v>202504</v>
      </c>
      <c r="H783" s="4">
        <v>45808</v>
      </c>
      <c r="I783" s="5">
        <v>39</v>
      </c>
      <c r="J783" s="5">
        <v>1.3</v>
      </c>
      <c r="K783" s="5">
        <f t="shared" si="51"/>
        <v>0</v>
      </c>
      <c r="L783" s="5">
        <v>1</v>
      </c>
      <c r="M783" s="5">
        <v>1</v>
      </c>
      <c r="N783" t="s">
        <v>9</v>
      </c>
      <c r="O783" s="8">
        <v>20.734246575342464</v>
      </c>
      <c r="P783" t="s">
        <v>32</v>
      </c>
      <c r="Q783">
        <v>1</v>
      </c>
      <c r="R783" s="2">
        <v>38201</v>
      </c>
    </row>
    <row r="784" spans="1:18" x14ac:dyDescent="0.3">
      <c r="A784" t="s">
        <v>7</v>
      </c>
      <c r="B784">
        <v>18623030</v>
      </c>
      <c r="C784" t="s">
        <v>8</v>
      </c>
      <c r="D784" s="4">
        <v>45769</v>
      </c>
      <c r="E784" s="11">
        <f t="shared" si="48"/>
        <v>2025</v>
      </c>
      <c r="F784" s="11">
        <f t="shared" si="49"/>
        <v>4</v>
      </c>
      <c r="G784" s="11" t="str">
        <f t="shared" si="50"/>
        <v>202504</v>
      </c>
      <c r="I784" s="5">
        <v>9999</v>
      </c>
      <c r="J784" s="5">
        <v>333.3</v>
      </c>
      <c r="K784" s="5">
        <f t="shared" si="51"/>
        <v>0</v>
      </c>
      <c r="L784" s="5">
        <v>0</v>
      </c>
      <c r="M784" s="5">
        <v>0</v>
      </c>
      <c r="N784" t="s">
        <v>9</v>
      </c>
      <c r="O784" s="8">
        <v>24.06027397260274</v>
      </c>
      <c r="P784" t="s">
        <v>33</v>
      </c>
      <c r="Q784">
        <v>2</v>
      </c>
      <c r="R784" s="2">
        <v>36987</v>
      </c>
    </row>
    <row r="785" spans="1:18" x14ac:dyDescent="0.3">
      <c r="A785" t="s">
        <v>7</v>
      </c>
      <c r="B785">
        <v>18623031</v>
      </c>
      <c r="C785" t="s">
        <v>8</v>
      </c>
      <c r="D785" s="4">
        <v>45769</v>
      </c>
      <c r="E785" s="11">
        <f t="shared" si="48"/>
        <v>2025</v>
      </c>
      <c r="F785" s="11">
        <f t="shared" si="49"/>
        <v>4</v>
      </c>
      <c r="G785" s="11" t="str">
        <f t="shared" si="50"/>
        <v>202504</v>
      </c>
      <c r="H785" s="4">
        <v>45870</v>
      </c>
      <c r="I785" s="5">
        <v>101</v>
      </c>
      <c r="J785" s="5">
        <v>3.3666666666666667</v>
      </c>
      <c r="K785" s="5">
        <f t="shared" si="51"/>
        <v>0</v>
      </c>
      <c r="L785" s="5">
        <v>0</v>
      </c>
      <c r="M785" s="5">
        <v>1</v>
      </c>
      <c r="N785" t="s">
        <v>9</v>
      </c>
      <c r="O785" s="8">
        <v>19.44109589041096</v>
      </c>
      <c r="P785" t="s">
        <v>32</v>
      </c>
      <c r="Q785">
        <v>1</v>
      </c>
      <c r="R785" s="2">
        <v>38673</v>
      </c>
    </row>
    <row r="786" spans="1:18" x14ac:dyDescent="0.3">
      <c r="A786" t="s">
        <v>7</v>
      </c>
      <c r="B786">
        <v>18624893</v>
      </c>
      <c r="C786" t="s">
        <v>8</v>
      </c>
      <c r="D786" s="4">
        <v>45770</v>
      </c>
      <c r="E786" s="11">
        <f t="shared" si="48"/>
        <v>2025</v>
      </c>
      <c r="F786" s="11">
        <f t="shared" si="49"/>
        <v>4</v>
      </c>
      <c r="G786" s="11" t="str">
        <f t="shared" si="50"/>
        <v>202504</v>
      </c>
      <c r="H786" s="4">
        <v>45811</v>
      </c>
      <c r="I786" s="5">
        <v>41</v>
      </c>
      <c r="J786" s="5">
        <v>1.3666666666666667</v>
      </c>
      <c r="K786" s="5">
        <f t="shared" si="51"/>
        <v>0</v>
      </c>
      <c r="L786" s="5">
        <v>1</v>
      </c>
      <c r="M786" s="5">
        <v>1</v>
      </c>
      <c r="N786" t="s">
        <v>12</v>
      </c>
      <c r="O786" s="8">
        <v>28.6</v>
      </c>
      <c r="P786" t="s">
        <v>34</v>
      </c>
      <c r="Q786">
        <v>3</v>
      </c>
      <c r="R786" s="2">
        <v>35331</v>
      </c>
    </row>
    <row r="787" spans="1:18" x14ac:dyDescent="0.3">
      <c r="A787" t="s">
        <v>7</v>
      </c>
      <c r="B787">
        <v>18624911</v>
      </c>
      <c r="C787" t="s">
        <v>8</v>
      </c>
      <c r="D787" s="4">
        <v>45770</v>
      </c>
      <c r="E787" s="11">
        <f t="shared" si="48"/>
        <v>2025</v>
      </c>
      <c r="F787" s="11">
        <f t="shared" si="49"/>
        <v>4</v>
      </c>
      <c r="G787" s="11" t="str">
        <f t="shared" si="50"/>
        <v>202504</v>
      </c>
      <c r="H787" s="4">
        <v>46033</v>
      </c>
      <c r="I787" s="5">
        <v>263</v>
      </c>
      <c r="J787" s="5">
        <v>8.7666666666666675</v>
      </c>
      <c r="K787" s="5">
        <f t="shared" si="51"/>
        <v>0</v>
      </c>
      <c r="L787" s="5">
        <v>0</v>
      </c>
      <c r="M787" s="5">
        <v>0</v>
      </c>
      <c r="N787" t="s">
        <v>9</v>
      </c>
      <c r="O787" s="8">
        <v>19.216438356164385</v>
      </c>
      <c r="P787" t="s">
        <v>32</v>
      </c>
      <c r="Q787">
        <v>1</v>
      </c>
      <c r="R787" s="2">
        <v>38756</v>
      </c>
    </row>
    <row r="788" spans="1:18" x14ac:dyDescent="0.3">
      <c r="A788" t="s">
        <v>7</v>
      </c>
      <c r="B788">
        <v>18625666</v>
      </c>
      <c r="C788" t="s">
        <v>8</v>
      </c>
      <c r="D788" s="4">
        <v>45770</v>
      </c>
      <c r="E788" s="11">
        <f t="shared" si="48"/>
        <v>2025</v>
      </c>
      <c r="F788" s="11">
        <f t="shared" si="49"/>
        <v>4</v>
      </c>
      <c r="G788" s="11" t="str">
        <f t="shared" si="50"/>
        <v>202504</v>
      </c>
      <c r="H788" s="4">
        <v>46022</v>
      </c>
      <c r="I788" s="5">
        <v>252</v>
      </c>
      <c r="J788" s="5">
        <v>8.4</v>
      </c>
      <c r="K788" s="5">
        <f t="shared" si="51"/>
        <v>0</v>
      </c>
      <c r="L788" s="5">
        <v>0</v>
      </c>
      <c r="M788" s="5">
        <v>0</v>
      </c>
      <c r="N788" t="s">
        <v>12</v>
      </c>
      <c r="O788" s="8">
        <v>22.87123287671233</v>
      </c>
      <c r="P788" t="s">
        <v>33</v>
      </c>
      <c r="Q788">
        <v>2</v>
      </c>
      <c r="R788" s="2">
        <v>37422</v>
      </c>
    </row>
    <row r="789" spans="1:18" x14ac:dyDescent="0.3">
      <c r="A789" t="s">
        <v>7</v>
      </c>
      <c r="B789">
        <v>18625732</v>
      </c>
      <c r="C789" t="s">
        <v>10</v>
      </c>
      <c r="D789" s="4">
        <v>45771</v>
      </c>
      <c r="E789" s="11">
        <f t="shared" si="48"/>
        <v>2025</v>
      </c>
      <c r="F789" s="11">
        <f t="shared" si="49"/>
        <v>4</v>
      </c>
      <c r="G789" s="11" t="str">
        <f t="shared" si="50"/>
        <v>202504</v>
      </c>
      <c r="H789" s="4">
        <v>45991</v>
      </c>
      <c r="I789" s="5">
        <v>220</v>
      </c>
      <c r="J789" s="5">
        <v>7.333333333333333</v>
      </c>
      <c r="K789" s="5">
        <f t="shared" si="51"/>
        <v>0</v>
      </c>
      <c r="L789" s="5">
        <v>0</v>
      </c>
      <c r="M789" s="5">
        <v>0</v>
      </c>
      <c r="N789" t="s">
        <v>12</v>
      </c>
      <c r="O789" s="8">
        <v>20.947945205479453</v>
      </c>
      <c r="P789" t="s">
        <v>32</v>
      </c>
      <c r="Q789">
        <v>1</v>
      </c>
      <c r="R789" s="2">
        <v>38125</v>
      </c>
    </row>
    <row r="790" spans="1:18" x14ac:dyDescent="0.3">
      <c r="A790" t="s">
        <v>11</v>
      </c>
      <c r="B790">
        <v>18625750</v>
      </c>
      <c r="C790" t="s">
        <v>8</v>
      </c>
      <c r="D790" s="4">
        <v>45771</v>
      </c>
      <c r="E790" s="11">
        <f t="shared" si="48"/>
        <v>2025</v>
      </c>
      <c r="F790" s="11">
        <f t="shared" si="49"/>
        <v>4</v>
      </c>
      <c r="G790" s="11" t="str">
        <f t="shared" si="50"/>
        <v>202504</v>
      </c>
      <c r="I790" s="5">
        <v>9999</v>
      </c>
      <c r="J790" s="5">
        <v>333.3</v>
      </c>
      <c r="K790" s="5">
        <f t="shared" si="51"/>
        <v>0</v>
      </c>
      <c r="L790" s="5">
        <v>0</v>
      </c>
      <c r="M790" s="5">
        <v>0</v>
      </c>
      <c r="N790" t="s">
        <v>9</v>
      </c>
      <c r="O790" s="8">
        <v>38.353424657534248</v>
      </c>
      <c r="P790" t="s">
        <v>35</v>
      </c>
      <c r="Q790">
        <v>4</v>
      </c>
      <c r="R790" s="2">
        <v>31772</v>
      </c>
    </row>
    <row r="791" spans="1:18" x14ac:dyDescent="0.3">
      <c r="A791" t="s">
        <v>7</v>
      </c>
      <c r="B791">
        <v>18625752</v>
      </c>
      <c r="C791" t="s">
        <v>10</v>
      </c>
      <c r="D791" s="4">
        <v>45771</v>
      </c>
      <c r="E791" s="11">
        <f t="shared" si="48"/>
        <v>2025</v>
      </c>
      <c r="F791" s="11">
        <f t="shared" si="49"/>
        <v>4</v>
      </c>
      <c r="G791" s="11" t="str">
        <f t="shared" si="50"/>
        <v>202504</v>
      </c>
      <c r="H791" s="4">
        <v>46082</v>
      </c>
      <c r="I791" s="5">
        <v>311</v>
      </c>
      <c r="J791" s="5">
        <v>10.366666666666667</v>
      </c>
      <c r="K791" s="5">
        <f t="shared" si="51"/>
        <v>0</v>
      </c>
      <c r="L791" s="5">
        <v>0</v>
      </c>
      <c r="M791" s="5">
        <v>0</v>
      </c>
      <c r="N791" t="s">
        <v>9</v>
      </c>
      <c r="O791" s="8">
        <v>19.578082191780823</v>
      </c>
      <c r="P791" t="s">
        <v>32</v>
      </c>
      <c r="Q791">
        <v>1</v>
      </c>
      <c r="R791" s="2">
        <v>38625</v>
      </c>
    </row>
    <row r="792" spans="1:18" x14ac:dyDescent="0.3">
      <c r="A792" t="s">
        <v>7</v>
      </c>
      <c r="B792">
        <v>18625769</v>
      </c>
      <c r="C792" t="s">
        <v>8</v>
      </c>
      <c r="D792" s="4">
        <v>45771</v>
      </c>
      <c r="E792" s="11">
        <f t="shared" si="48"/>
        <v>2025</v>
      </c>
      <c r="F792" s="11">
        <f t="shared" si="49"/>
        <v>4</v>
      </c>
      <c r="G792" s="11" t="str">
        <f t="shared" si="50"/>
        <v>202504</v>
      </c>
      <c r="H792" s="4">
        <v>46112</v>
      </c>
      <c r="I792" s="5">
        <v>341</v>
      </c>
      <c r="J792" s="5">
        <v>11.366666666666667</v>
      </c>
      <c r="K792" s="5">
        <f t="shared" si="51"/>
        <v>0</v>
      </c>
      <c r="L792" s="5">
        <v>0</v>
      </c>
      <c r="M792" s="5">
        <v>0</v>
      </c>
      <c r="N792" t="s">
        <v>9</v>
      </c>
      <c r="O792" s="8">
        <v>25.095890410958905</v>
      </c>
      <c r="P792" t="s">
        <v>33</v>
      </c>
      <c r="Q792">
        <v>2</v>
      </c>
      <c r="R792" s="2">
        <v>36611</v>
      </c>
    </row>
    <row r="793" spans="1:18" x14ac:dyDescent="0.3">
      <c r="A793" t="s">
        <v>7</v>
      </c>
      <c r="B793">
        <v>18625771</v>
      </c>
      <c r="C793" t="s">
        <v>8</v>
      </c>
      <c r="D793" s="4">
        <v>45771</v>
      </c>
      <c r="E793" s="11">
        <f t="shared" si="48"/>
        <v>2025</v>
      </c>
      <c r="F793" s="11">
        <f t="shared" si="49"/>
        <v>4</v>
      </c>
      <c r="G793" s="11" t="str">
        <f t="shared" si="50"/>
        <v>202504</v>
      </c>
      <c r="H793" s="4">
        <v>46112</v>
      </c>
      <c r="I793" s="5">
        <v>341</v>
      </c>
      <c r="J793" s="5">
        <v>11.366666666666667</v>
      </c>
      <c r="K793" s="5">
        <f t="shared" si="51"/>
        <v>0</v>
      </c>
      <c r="L793" s="5">
        <v>0</v>
      </c>
      <c r="M793" s="5">
        <v>0</v>
      </c>
      <c r="N793" t="s">
        <v>9</v>
      </c>
      <c r="O793" s="8">
        <v>22.109589041095891</v>
      </c>
      <c r="P793" t="s">
        <v>33</v>
      </c>
      <c r="Q793">
        <v>2</v>
      </c>
      <c r="R793" s="2">
        <v>37701</v>
      </c>
    </row>
    <row r="794" spans="1:18" x14ac:dyDescent="0.3">
      <c r="A794" t="s">
        <v>7</v>
      </c>
      <c r="B794">
        <v>18625863</v>
      </c>
      <c r="C794" t="s">
        <v>10</v>
      </c>
      <c r="D794" s="4">
        <v>45772</v>
      </c>
      <c r="E794" s="11">
        <f t="shared" si="48"/>
        <v>2025</v>
      </c>
      <c r="F794" s="11">
        <f t="shared" si="49"/>
        <v>4</v>
      </c>
      <c r="G794" s="11" t="str">
        <f t="shared" si="50"/>
        <v>202504</v>
      </c>
      <c r="I794" s="5">
        <v>9999</v>
      </c>
      <c r="J794" s="5">
        <v>333.3</v>
      </c>
      <c r="K794" s="5">
        <f t="shared" si="51"/>
        <v>0</v>
      </c>
      <c r="L794" s="5">
        <v>0</v>
      </c>
      <c r="M794" s="5">
        <v>0</v>
      </c>
      <c r="N794" t="s">
        <v>12</v>
      </c>
      <c r="O794" s="8">
        <v>20.876712328767123</v>
      </c>
      <c r="P794" t="s">
        <v>32</v>
      </c>
      <c r="Q794">
        <v>1</v>
      </c>
      <c r="R794" s="2">
        <v>38152</v>
      </c>
    </row>
    <row r="795" spans="1:18" x14ac:dyDescent="0.3">
      <c r="A795" t="s">
        <v>7</v>
      </c>
      <c r="B795">
        <v>18625867</v>
      </c>
      <c r="C795" t="s">
        <v>10</v>
      </c>
      <c r="D795" s="4">
        <v>45772</v>
      </c>
      <c r="E795" s="11">
        <f t="shared" si="48"/>
        <v>2025</v>
      </c>
      <c r="F795" s="11">
        <f t="shared" si="49"/>
        <v>4</v>
      </c>
      <c r="G795" s="11" t="str">
        <f t="shared" si="50"/>
        <v>202504</v>
      </c>
      <c r="I795" s="5">
        <v>9999</v>
      </c>
      <c r="J795" s="5">
        <v>333.3</v>
      </c>
      <c r="K795" s="5">
        <f t="shared" si="51"/>
        <v>0</v>
      </c>
      <c r="L795" s="5">
        <v>0</v>
      </c>
      <c r="M795" s="5">
        <v>0</v>
      </c>
      <c r="N795" t="s">
        <v>9</v>
      </c>
      <c r="O795" s="8">
        <v>18.775342465753425</v>
      </c>
      <c r="P795" t="s">
        <v>32</v>
      </c>
      <c r="Q795">
        <v>1</v>
      </c>
      <c r="R795" s="2">
        <v>38919</v>
      </c>
    </row>
    <row r="796" spans="1:18" x14ac:dyDescent="0.3">
      <c r="A796" t="s">
        <v>7</v>
      </c>
      <c r="B796">
        <v>18625868</v>
      </c>
      <c r="C796" t="s">
        <v>10</v>
      </c>
      <c r="D796" s="4">
        <v>45772</v>
      </c>
      <c r="E796" s="11">
        <f t="shared" si="48"/>
        <v>2025</v>
      </c>
      <c r="F796" s="11">
        <f t="shared" si="49"/>
        <v>4</v>
      </c>
      <c r="G796" s="11" t="str">
        <f t="shared" si="50"/>
        <v>202504</v>
      </c>
      <c r="H796" s="4">
        <v>46112</v>
      </c>
      <c r="I796" s="5">
        <v>340</v>
      </c>
      <c r="J796" s="5">
        <v>11.333333333333334</v>
      </c>
      <c r="K796" s="5">
        <f t="shared" si="51"/>
        <v>0</v>
      </c>
      <c r="L796" s="5">
        <v>0</v>
      </c>
      <c r="M796" s="5">
        <v>0</v>
      </c>
      <c r="N796" t="s">
        <v>9</v>
      </c>
      <c r="O796" s="8">
        <v>18.216438356164385</v>
      </c>
      <c r="P796" t="s">
        <v>32</v>
      </c>
      <c r="Q796">
        <v>1</v>
      </c>
      <c r="R796" s="2">
        <v>39123</v>
      </c>
    </row>
    <row r="797" spans="1:18" x14ac:dyDescent="0.3">
      <c r="A797" t="s">
        <v>7</v>
      </c>
      <c r="B797">
        <v>18625869</v>
      </c>
      <c r="C797" t="s">
        <v>10</v>
      </c>
      <c r="D797" s="4">
        <v>45772</v>
      </c>
      <c r="E797" s="11">
        <f t="shared" si="48"/>
        <v>2025</v>
      </c>
      <c r="F797" s="11">
        <f t="shared" si="49"/>
        <v>4</v>
      </c>
      <c r="G797" s="11" t="str">
        <f t="shared" si="50"/>
        <v>202504</v>
      </c>
      <c r="H797" s="4">
        <v>45821</v>
      </c>
      <c r="I797" s="5">
        <v>49</v>
      </c>
      <c r="J797" s="5">
        <v>1.6333333333333333</v>
      </c>
      <c r="K797" s="5">
        <f t="shared" si="51"/>
        <v>0</v>
      </c>
      <c r="L797" s="5">
        <v>1</v>
      </c>
      <c r="M797" s="5">
        <v>1</v>
      </c>
      <c r="N797" t="s">
        <v>9</v>
      </c>
      <c r="O797" s="8">
        <v>22.098630136986301</v>
      </c>
      <c r="P797" t="s">
        <v>33</v>
      </c>
      <c r="Q797">
        <v>2</v>
      </c>
      <c r="R797" s="2">
        <v>37706</v>
      </c>
    </row>
    <row r="798" spans="1:18" x14ac:dyDescent="0.3">
      <c r="A798" t="s">
        <v>7</v>
      </c>
      <c r="B798">
        <v>18625871</v>
      </c>
      <c r="C798" t="s">
        <v>10</v>
      </c>
      <c r="D798" s="4">
        <v>45772</v>
      </c>
      <c r="E798" s="11">
        <f t="shared" si="48"/>
        <v>2025</v>
      </c>
      <c r="F798" s="11">
        <f t="shared" si="49"/>
        <v>4</v>
      </c>
      <c r="G798" s="11" t="str">
        <f t="shared" si="50"/>
        <v>202504</v>
      </c>
      <c r="I798" s="5">
        <v>9999</v>
      </c>
      <c r="J798" s="5">
        <v>333.3</v>
      </c>
      <c r="K798" s="5">
        <f t="shared" si="51"/>
        <v>0</v>
      </c>
      <c r="L798" s="5">
        <v>0</v>
      </c>
      <c r="M798" s="5">
        <v>0</v>
      </c>
      <c r="N798" t="s">
        <v>9</v>
      </c>
      <c r="O798" s="8">
        <v>19.775342465753425</v>
      </c>
      <c r="P798" t="s">
        <v>32</v>
      </c>
      <c r="Q798">
        <v>1</v>
      </c>
      <c r="R798" s="2">
        <v>38554</v>
      </c>
    </row>
    <row r="799" spans="1:18" x14ac:dyDescent="0.3">
      <c r="A799" t="s">
        <v>7</v>
      </c>
      <c r="B799">
        <v>18625873</v>
      </c>
      <c r="C799" t="s">
        <v>8</v>
      </c>
      <c r="D799" s="4">
        <v>45772</v>
      </c>
      <c r="E799" s="11">
        <f t="shared" si="48"/>
        <v>2025</v>
      </c>
      <c r="F799" s="11">
        <f t="shared" si="49"/>
        <v>4</v>
      </c>
      <c r="G799" s="11" t="str">
        <f t="shared" si="50"/>
        <v>202504</v>
      </c>
      <c r="I799" s="5">
        <v>9999</v>
      </c>
      <c r="J799" s="5">
        <v>333.3</v>
      </c>
      <c r="K799" s="5">
        <f t="shared" si="51"/>
        <v>0</v>
      </c>
      <c r="L799" s="5">
        <v>0</v>
      </c>
      <c r="M799" s="5">
        <v>0</v>
      </c>
      <c r="N799" t="s">
        <v>9</v>
      </c>
      <c r="O799" s="8">
        <v>18.427397260273974</v>
      </c>
      <c r="P799" t="s">
        <v>32</v>
      </c>
      <c r="Q799">
        <v>1</v>
      </c>
      <c r="R799" s="2">
        <v>39046</v>
      </c>
    </row>
    <row r="800" spans="1:18" x14ac:dyDescent="0.3">
      <c r="A800" t="s">
        <v>7</v>
      </c>
      <c r="B800">
        <v>18625876</v>
      </c>
      <c r="C800" t="s">
        <v>8</v>
      </c>
      <c r="D800" s="4">
        <v>45772</v>
      </c>
      <c r="E800" s="11">
        <f t="shared" si="48"/>
        <v>2025</v>
      </c>
      <c r="F800" s="11">
        <f t="shared" si="49"/>
        <v>4</v>
      </c>
      <c r="G800" s="11" t="str">
        <f t="shared" si="50"/>
        <v>202504</v>
      </c>
      <c r="H800" s="4">
        <v>45870</v>
      </c>
      <c r="I800" s="5">
        <v>98</v>
      </c>
      <c r="J800" s="5">
        <v>3.2666666666666666</v>
      </c>
      <c r="K800" s="5">
        <f t="shared" si="51"/>
        <v>0</v>
      </c>
      <c r="L800" s="5">
        <v>0</v>
      </c>
      <c r="M800" s="5">
        <v>1</v>
      </c>
      <c r="N800" t="s">
        <v>9</v>
      </c>
      <c r="O800" s="8">
        <v>23.334246575342465</v>
      </c>
      <c r="P800" t="s">
        <v>33</v>
      </c>
      <c r="Q800">
        <v>2</v>
      </c>
      <c r="R800" s="2">
        <v>37255</v>
      </c>
    </row>
    <row r="801" spans="1:18" x14ac:dyDescent="0.3">
      <c r="A801" t="s">
        <v>7</v>
      </c>
      <c r="B801">
        <v>18625884</v>
      </c>
      <c r="C801" t="s">
        <v>8</v>
      </c>
      <c r="D801" s="4">
        <v>45772</v>
      </c>
      <c r="E801" s="11">
        <f t="shared" si="48"/>
        <v>2025</v>
      </c>
      <c r="F801" s="11">
        <f t="shared" si="49"/>
        <v>4</v>
      </c>
      <c r="G801" s="11" t="str">
        <f t="shared" si="50"/>
        <v>202504</v>
      </c>
      <c r="H801" s="4">
        <v>46063</v>
      </c>
      <c r="I801" s="5">
        <v>291</v>
      </c>
      <c r="J801" s="5">
        <v>9.6999999999999993</v>
      </c>
      <c r="K801" s="5">
        <f t="shared" si="51"/>
        <v>0</v>
      </c>
      <c r="L801" s="5">
        <v>0</v>
      </c>
      <c r="M801" s="5">
        <v>0</v>
      </c>
      <c r="N801" t="s">
        <v>9</v>
      </c>
      <c r="O801" s="8">
        <v>19.87123287671233</v>
      </c>
      <c r="P801" t="s">
        <v>32</v>
      </c>
      <c r="Q801">
        <v>1</v>
      </c>
      <c r="R801" s="2">
        <v>38519</v>
      </c>
    </row>
    <row r="802" spans="1:18" x14ac:dyDescent="0.3">
      <c r="A802" t="s">
        <v>7</v>
      </c>
      <c r="B802">
        <v>18625886</v>
      </c>
      <c r="C802" t="s">
        <v>10</v>
      </c>
      <c r="D802" s="4">
        <v>45772</v>
      </c>
      <c r="E802" s="11">
        <f t="shared" si="48"/>
        <v>2025</v>
      </c>
      <c r="F802" s="11">
        <f t="shared" si="49"/>
        <v>4</v>
      </c>
      <c r="G802" s="11" t="str">
        <f t="shared" si="50"/>
        <v>202504</v>
      </c>
      <c r="H802" s="4">
        <v>46006</v>
      </c>
      <c r="I802" s="5">
        <v>234</v>
      </c>
      <c r="J802" s="5">
        <v>7.8</v>
      </c>
      <c r="K802" s="5">
        <f t="shared" si="51"/>
        <v>0</v>
      </c>
      <c r="L802" s="5">
        <v>0</v>
      </c>
      <c r="M802" s="5">
        <v>0</v>
      </c>
      <c r="N802" t="s">
        <v>9</v>
      </c>
      <c r="O802" s="8">
        <v>22.36986301369863</v>
      </c>
      <c r="P802" t="s">
        <v>33</v>
      </c>
      <c r="Q802">
        <v>2</v>
      </c>
      <c r="R802" s="2">
        <v>37607</v>
      </c>
    </row>
    <row r="803" spans="1:18" x14ac:dyDescent="0.3">
      <c r="A803" t="s">
        <v>7</v>
      </c>
      <c r="B803">
        <v>18625887</v>
      </c>
      <c r="C803" t="s">
        <v>10</v>
      </c>
      <c r="D803" s="4">
        <v>45772</v>
      </c>
      <c r="E803" s="11">
        <f t="shared" si="48"/>
        <v>2025</v>
      </c>
      <c r="F803" s="11">
        <f t="shared" si="49"/>
        <v>4</v>
      </c>
      <c r="G803" s="11" t="str">
        <f t="shared" si="50"/>
        <v>202504</v>
      </c>
      <c r="I803" s="5">
        <v>9999</v>
      </c>
      <c r="J803" s="5">
        <v>333.3</v>
      </c>
      <c r="K803" s="5">
        <f t="shared" si="51"/>
        <v>0</v>
      </c>
      <c r="L803" s="5">
        <v>0</v>
      </c>
      <c r="M803" s="5">
        <v>0</v>
      </c>
      <c r="N803" t="s">
        <v>9</v>
      </c>
      <c r="O803" s="8">
        <v>20.909589041095892</v>
      </c>
      <c r="P803" t="s">
        <v>32</v>
      </c>
      <c r="Q803">
        <v>1</v>
      </c>
      <c r="R803" s="2">
        <v>38140</v>
      </c>
    </row>
    <row r="804" spans="1:18" x14ac:dyDescent="0.3">
      <c r="A804" t="s">
        <v>7</v>
      </c>
      <c r="B804">
        <v>18625888</v>
      </c>
      <c r="C804" t="s">
        <v>8</v>
      </c>
      <c r="D804" s="4">
        <v>45772</v>
      </c>
      <c r="E804" s="11">
        <f t="shared" si="48"/>
        <v>2025</v>
      </c>
      <c r="F804" s="11">
        <f t="shared" si="49"/>
        <v>4</v>
      </c>
      <c r="G804" s="11" t="str">
        <f t="shared" si="50"/>
        <v>202504</v>
      </c>
      <c r="H804" s="4">
        <v>46023</v>
      </c>
      <c r="I804" s="5">
        <v>251</v>
      </c>
      <c r="J804" s="5">
        <v>8.3666666666666671</v>
      </c>
      <c r="K804" s="5">
        <f t="shared" si="51"/>
        <v>0</v>
      </c>
      <c r="L804" s="5">
        <v>0</v>
      </c>
      <c r="M804" s="5">
        <v>0</v>
      </c>
      <c r="N804" t="s">
        <v>9</v>
      </c>
      <c r="O804" s="8">
        <v>19.36986301369863</v>
      </c>
      <c r="P804" t="s">
        <v>32</v>
      </c>
      <c r="Q804">
        <v>1</v>
      </c>
      <c r="R804" s="2">
        <v>38702</v>
      </c>
    </row>
    <row r="805" spans="1:18" x14ac:dyDescent="0.3">
      <c r="A805" t="s">
        <v>7</v>
      </c>
      <c r="B805">
        <v>18625889</v>
      </c>
      <c r="C805" t="s">
        <v>10</v>
      </c>
      <c r="D805" s="4">
        <v>45772</v>
      </c>
      <c r="E805" s="11">
        <f t="shared" si="48"/>
        <v>2025</v>
      </c>
      <c r="F805" s="11">
        <f t="shared" si="49"/>
        <v>4</v>
      </c>
      <c r="G805" s="11" t="str">
        <f t="shared" si="50"/>
        <v>202504</v>
      </c>
      <c r="I805" s="5">
        <v>9999</v>
      </c>
      <c r="J805" s="5">
        <v>333.3</v>
      </c>
      <c r="K805" s="5">
        <f t="shared" si="51"/>
        <v>0</v>
      </c>
      <c r="L805" s="5">
        <v>0</v>
      </c>
      <c r="M805" s="5">
        <v>0</v>
      </c>
      <c r="N805" t="s">
        <v>9</v>
      </c>
      <c r="O805" s="8">
        <v>20.19178082191781</v>
      </c>
      <c r="P805" t="s">
        <v>32</v>
      </c>
      <c r="Q805">
        <v>1</v>
      </c>
      <c r="R805" s="2">
        <v>38402</v>
      </c>
    </row>
    <row r="806" spans="1:18" x14ac:dyDescent="0.3">
      <c r="A806" t="s">
        <v>7</v>
      </c>
      <c r="B806">
        <v>18625896</v>
      </c>
      <c r="C806" t="s">
        <v>8</v>
      </c>
      <c r="D806" s="4">
        <v>45772</v>
      </c>
      <c r="E806" s="11">
        <f t="shared" si="48"/>
        <v>2025</v>
      </c>
      <c r="F806" s="11">
        <f t="shared" si="49"/>
        <v>4</v>
      </c>
      <c r="G806" s="11" t="str">
        <f t="shared" si="50"/>
        <v>202504</v>
      </c>
      <c r="I806" s="5">
        <v>9999</v>
      </c>
      <c r="J806" s="5">
        <v>333.3</v>
      </c>
      <c r="K806" s="5">
        <f t="shared" si="51"/>
        <v>0</v>
      </c>
      <c r="L806" s="5">
        <v>0</v>
      </c>
      <c r="M806" s="5">
        <v>0</v>
      </c>
      <c r="N806" t="s">
        <v>9</v>
      </c>
      <c r="O806" s="8">
        <v>19.734246575342464</v>
      </c>
      <c r="P806" t="s">
        <v>32</v>
      </c>
      <c r="Q806">
        <v>1</v>
      </c>
      <c r="R806" s="2">
        <v>38569</v>
      </c>
    </row>
    <row r="807" spans="1:18" x14ac:dyDescent="0.3">
      <c r="A807" t="s">
        <v>7</v>
      </c>
      <c r="B807">
        <v>18625897</v>
      </c>
      <c r="C807" t="s">
        <v>8</v>
      </c>
      <c r="D807" s="4">
        <v>45772</v>
      </c>
      <c r="E807" s="11">
        <f t="shared" si="48"/>
        <v>2025</v>
      </c>
      <c r="F807" s="11">
        <f t="shared" si="49"/>
        <v>4</v>
      </c>
      <c r="G807" s="11" t="str">
        <f t="shared" si="50"/>
        <v>202504</v>
      </c>
      <c r="I807" s="5">
        <v>9999</v>
      </c>
      <c r="J807" s="5">
        <v>333.3</v>
      </c>
      <c r="K807" s="5">
        <f t="shared" si="51"/>
        <v>0</v>
      </c>
      <c r="L807" s="5">
        <v>0</v>
      </c>
      <c r="M807" s="5">
        <v>0</v>
      </c>
      <c r="N807" t="s">
        <v>9</v>
      </c>
      <c r="O807" s="8">
        <v>21.2</v>
      </c>
      <c r="P807" t="s">
        <v>33</v>
      </c>
      <c r="Q807">
        <v>2</v>
      </c>
      <c r="R807" s="2">
        <v>38034</v>
      </c>
    </row>
    <row r="808" spans="1:18" x14ac:dyDescent="0.3">
      <c r="A808" t="s">
        <v>7</v>
      </c>
      <c r="B808">
        <v>18625901</v>
      </c>
      <c r="C808" t="s">
        <v>8</v>
      </c>
      <c r="D808" s="4">
        <v>45772</v>
      </c>
      <c r="E808" s="11">
        <f t="shared" si="48"/>
        <v>2025</v>
      </c>
      <c r="F808" s="11">
        <f t="shared" si="49"/>
        <v>4</v>
      </c>
      <c r="G808" s="11" t="str">
        <f t="shared" si="50"/>
        <v>202504</v>
      </c>
      <c r="H808" s="4">
        <v>45901</v>
      </c>
      <c r="I808" s="5">
        <v>129</v>
      </c>
      <c r="J808" s="5">
        <v>4.3</v>
      </c>
      <c r="K808" s="5">
        <f t="shared" si="51"/>
        <v>0</v>
      </c>
      <c r="L808" s="5">
        <v>0</v>
      </c>
      <c r="M808" s="5">
        <v>1</v>
      </c>
      <c r="N808" t="s">
        <v>9</v>
      </c>
      <c r="O808" s="8">
        <v>22.252054794520546</v>
      </c>
      <c r="P808" t="s">
        <v>33</v>
      </c>
      <c r="Q808">
        <v>2</v>
      </c>
      <c r="R808" s="2">
        <v>37650</v>
      </c>
    </row>
    <row r="809" spans="1:18" x14ac:dyDescent="0.3">
      <c r="A809" t="s">
        <v>7</v>
      </c>
      <c r="B809">
        <v>18625907</v>
      </c>
      <c r="C809" t="s">
        <v>8</v>
      </c>
      <c r="D809" s="4">
        <v>45772</v>
      </c>
      <c r="E809" s="11">
        <f t="shared" si="48"/>
        <v>2025</v>
      </c>
      <c r="F809" s="11">
        <f t="shared" si="49"/>
        <v>4</v>
      </c>
      <c r="G809" s="11" t="str">
        <f t="shared" si="50"/>
        <v>202504</v>
      </c>
      <c r="H809" s="4">
        <v>45788</v>
      </c>
      <c r="I809" s="5">
        <v>16</v>
      </c>
      <c r="J809" s="5">
        <v>0.53333333333333333</v>
      </c>
      <c r="K809" s="5">
        <f t="shared" si="51"/>
        <v>1</v>
      </c>
      <c r="L809" s="5">
        <v>1</v>
      </c>
      <c r="M809" s="5">
        <v>1</v>
      </c>
      <c r="N809" t="s">
        <v>9</v>
      </c>
      <c r="O809" s="8">
        <v>23.4</v>
      </c>
      <c r="P809" t="s">
        <v>33</v>
      </c>
      <c r="Q809">
        <v>2</v>
      </c>
      <c r="R809" s="2">
        <v>37231</v>
      </c>
    </row>
    <row r="810" spans="1:18" x14ac:dyDescent="0.3">
      <c r="A810" t="s">
        <v>7</v>
      </c>
      <c r="B810">
        <v>18625932</v>
      </c>
      <c r="C810" t="s">
        <v>8</v>
      </c>
      <c r="D810" s="4">
        <v>45772</v>
      </c>
      <c r="E810" s="11">
        <f t="shared" si="48"/>
        <v>2025</v>
      </c>
      <c r="F810" s="11">
        <f t="shared" si="49"/>
        <v>4</v>
      </c>
      <c r="G810" s="11" t="str">
        <f t="shared" si="50"/>
        <v>202504</v>
      </c>
      <c r="I810" s="5">
        <v>9999</v>
      </c>
      <c r="J810" s="5">
        <v>333.3</v>
      </c>
      <c r="K810" s="5">
        <f t="shared" si="51"/>
        <v>0</v>
      </c>
      <c r="L810" s="5">
        <v>0</v>
      </c>
      <c r="M810" s="5">
        <v>0</v>
      </c>
      <c r="N810" t="s">
        <v>9</v>
      </c>
      <c r="O810" s="8">
        <v>25.246575342465754</v>
      </c>
      <c r="P810" t="s">
        <v>33</v>
      </c>
      <c r="Q810">
        <v>2</v>
      </c>
      <c r="R810" s="2">
        <v>36557</v>
      </c>
    </row>
    <row r="811" spans="1:18" x14ac:dyDescent="0.3">
      <c r="A811" t="s">
        <v>7</v>
      </c>
      <c r="B811">
        <v>18625936</v>
      </c>
      <c r="C811" t="s">
        <v>8</v>
      </c>
      <c r="D811" s="4">
        <v>45772</v>
      </c>
      <c r="E811" s="11">
        <f t="shared" si="48"/>
        <v>2025</v>
      </c>
      <c r="F811" s="11">
        <f t="shared" si="49"/>
        <v>4</v>
      </c>
      <c r="G811" s="11" t="str">
        <f t="shared" si="50"/>
        <v>202504</v>
      </c>
      <c r="H811" s="4">
        <v>46113</v>
      </c>
      <c r="I811" s="5">
        <v>341</v>
      </c>
      <c r="J811" s="5">
        <v>11.366666666666667</v>
      </c>
      <c r="K811" s="5">
        <f t="shared" si="51"/>
        <v>0</v>
      </c>
      <c r="L811" s="5">
        <v>0</v>
      </c>
      <c r="M811" s="5">
        <v>0</v>
      </c>
      <c r="N811" t="s">
        <v>9</v>
      </c>
      <c r="O811" s="8">
        <v>20.008219178082193</v>
      </c>
      <c r="P811" t="s">
        <v>32</v>
      </c>
      <c r="Q811">
        <v>1</v>
      </c>
      <c r="R811" s="2">
        <v>38469</v>
      </c>
    </row>
    <row r="812" spans="1:18" x14ac:dyDescent="0.3">
      <c r="A812" t="s">
        <v>7</v>
      </c>
      <c r="B812">
        <v>18625950</v>
      </c>
      <c r="C812" t="s">
        <v>10</v>
      </c>
      <c r="D812" s="4">
        <v>45926</v>
      </c>
      <c r="E812" s="11">
        <f t="shared" si="48"/>
        <v>2025</v>
      </c>
      <c r="F812" s="11">
        <f t="shared" si="49"/>
        <v>9</v>
      </c>
      <c r="G812" s="11" t="str">
        <f t="shared" si="50"/>
        <v>202509</v>
      </c>
      <c r="H812" s="4">
        <v>46113</v>
      </c>
      <c r="I812" s="5">
        <v>187</v>
      </c>
      <c r="J812" s="5">
        <v>6.2333333333333334</v>
      </c>
      <c r="K812" s="5">
        <f t="shared" si="51"/>
        <v>0</v>
      </c>
      <c r="L812" s="5">
        <v>0</v>
      </c>
      <c r="M812" s="5">
        <v>0</v>
      </c>
      <c r="N812" t="s">
        <v>9</v>
      </c>
      <c r="O812" s="8">
        <v>19.323287671232876</v>
      </c>
      <c r="P812" t="s">
        <v>32</v>
      </c>
      <c r="Q812">
        <v>1</v>
      </c>
      <c r="R812" s="2">
        <v>38873</v>
      </c>
    </row>
    <row r="813" spans="1:18" x14ac:dyDescent="0.3">
      <c r="A813" t="s">
        <v>11</v>
      </c>
      <c r="B813">
        <v>18626058</v>
      </c>
      <c r="C813" t="s">
        <v>8</v>
      </c>
      <c r="D813" s="4">
        <v>45775</v>
      </c>
      <c r="E813" s="11">
        <f t="shared" si="48"/>
        <v>2025</v>
      </c>
      <c r="F813" s="11">
        <f t="shared" si="49"/>
        <v>4</v>
      </c>
      <c r="G813" s="11" t="str">
        <f t="shared" si="50"/>
        <v>202504</v>
      </c>
      <c r="H813" s="4">
        <v>45931</v>
      </c>
      <c r="I813" s="5">
        <v>156</v>
      </c>
      <c r="J813" s="5">
        <v>5.2</v>
      </c>
      <c r="K813" s="5">
        <f t="shared" si="51"/>
        <v>0</v>
      </c>
      <c r="L813" s="5">
        <v>0</v>
      </c>
      <c r="M813" s="5">
        <v>1</v>
      </c>
      <c r="N813" t="s">
        <v>9</v>
      </c>
      <c r="O813" s="8">
        <v>25.098630136986301</v>
      </c>
      <c r="P813" t="s">
        <v>33</v>
      </c>
      <c r="Q813">
        <v>2</v>
      </c>
      <c r="R813" s="2">
        <v>36614</v>
      </c>
    </row>
    <row r="814" spans="1:18" x14ac:dyDescent="0.3">
      <c r="A814" t="s">
        <v>7</v>
      </c>
      <c r="B814">
        <v>18626063</v>
      </c>
      <c r="C814" t="s">
        <v>8</v>
      </c>
      <c r="D814" s="4">
        <v>45775</v>
      </c>
      <c r="E814" s="11">
        <f t="shared" si="48"/>
        <v>2025</v>
      </c>
      <c r="F814" s="11">
        <f t="shared" si="49"/>
        <v>4</v>
      </c>
      <c r="G814" s="11" t="str">
        <f t="shared" si="50"/>
        <v>202504</v>
      </c>
      <c r="I814" s="5">
        <v>9999</v>
      </c>
      <c r="J814" s="5">
        <v>333.3</v>
      </c>
      <c r="K814" s="5">
        <f t="shared" si="51"/>
        <v>0</v>
      </c>
      <c r="L814" s="5">
        <v>0</v>
      </c>
      <c r="M814" s="5">
        <v>0</v>
      </c>
      <c r="N814" t="s">
        <v>9</v>
      </c>
      <c r="O814" s="8">
        <v>19.164383561643834</v>
      </c>
      <c r="P814" t="s">
        <v>32</v>
      </c>
      <c r="Q814">
        <v>1</v>
      </c>
      <c r="R814" s="2">
        <v>38780</v>
      </c>
    </row>
    <row r="815" spans="1:18" x14ac:dyDescent="0.3">
      <c r="A815" t="s">
        <v>11</v>
      </c>
      <c r="B815">
        <v>18626066</v>
      </c>
      <c r="C815" t="s">
        <v>10</v>
      </c>
      <c r="D815" s="4">
        <v>45775</v>
      </c>
      <c r="E815" s="11">
        <f t="shared" si="48"/>
        <v>2025</v>
      </c>
      <c r="F815" s="11">
        <f t="shared" si="49"/>
        <v>4</v>
      </c>
      <c r="G815" s="11" t="str">
        <f t="shared" si="50"/>
        <v>202504</v>
      </c>
      <c r="I815" s="5">
        <v>9999</v>
      </c>
      <c r="J815" s="5">
        <v>333.3</v>
      </c>
      <c r="K815" s="5">
        <f t="shared" si="51"/>
        <v>0</v>
      </c>
      <c r="L815" s="5">
        <v>0</v>
      </c>
      <c r="M815" s="5">
        <v>0</v>
      </c>
      <c r="N815" t="s">
        <v>9</v>
      </c>
      <c r="O815" s="8">
        <v>20.989041095890411</v>
      </c>
      <c r="P815" t="s">
        <v>32</v>
      </c>
      <c r="Q815">
        <v>1</v>
      </c>
      <c r="R815" s="2">
        <v>38114</v>
      </c>
    </row>
    <row r="816" spans="1:18" x14ac:dyDescent="0.3">
      <c r="A816" t="s">
        <v>7</v>
      </c>
      <c r="B816">
        <v>18628141</v>
      </c>
      <c r="C816" t="s">
        <v>8</v>
      </c>
      <c r="D816" s="4">
        <v>45776</v>
      </c>
      <c r="E816" s="11">
        <f t="shared" si="48"/>
        <v>2025</v>
      </c>
      <c r="F816" s="11">
        <f t="shared" si="49"/>
        <v>4</v>
      </c>
      <c r="G816" s="11" t="str">
        <f t="shared" si="50"/>
        <v>202504</v>
      </c>
      <c r="I816" s="5">
        <v>9999</v>
      </c>
      <c r="J816" s="5">
        <v>333.3</v>
      </c>
      <c r="K816" s="5">
        <f t="shared" si="51"/>
        <v>0</v>
      </c>
      <c r="L816" s="5">
        <v>0</v>
      </c>
      <c r="M816" s="5">
        <v>0</v>
      </c>
      <c r="N816" t="s">
        <v>12</v>
      </c>
      <c r="O816" s="8">
        <v>20.386301369863013</v>
      </c>
      <c r="P816" t="s">
        <v>32</v>
      </c>
      <c r="Q816">
        <v>1</v>
      </c>
      <c r="R816" s="2">
        <v>38335</v>
      </c>
    </row>
    <row r="817" spans="1:18" x14ac:dyDescent="0.3">
      <c r="A817" t="s">
        <v>7</v>
      </c>
      <c r="B817">
        <v>18628170</v>
      </c>
      <c r="C817" t="s">
        <v>10</v>
      </c>
      <c r="D817" s="4">
        <v>45776</v>
      </c>
      <c r="E817" s="11">
        <f t="shared" si="48"/>
        <v>2025</v>
      </c>
      <c r="F817" s="11">
        <f t="shared" si="49"/>
        <v>4</v>
      </c>
      <c r="G817" s="11" t="str">
        <f t="shared" si="50"/>
        <v>202504</v>
      </c>
      <c r="H817" s="4">
        <v>45869</v>
      </c>
      <c r="I817" s="5">
        <v>93</v>
      </c>
      <c r="J817" s="5">
        <v>3.1</v>
      </c>
      <c r="K817" s="5">
        <f t="shared" si="51"/>
        <v>0</v>
      </c>
      <c r="L817" s="5">
        <v>0</v>
      </c>
      <c r="M817" s="5">
        <v>1</v>
      </c>
      <c r="N817" t="s">
        <v>12</v>
      </c>
      <c r="O817" s="8">
        <v>19.4986301369863</v>
      </c>
      <c r="P817" t="s">
        <v>32</v>
      </c>
      <c r="Q817">
        <v>1</v>
      </c>
      <c r="R817" s="2">
        <v>38659</v>
      </c>
    </row>
    <row r="818" spans="1:18" x14ac:dyDescent="0.3">
      <c r="A818" t="s">
        <v>7</v>
      </c>
      <c r="B818">
        <v>18628235</v>
      </c>
      <c r="C818" t="s">
        <v>8</v>
      </c>
      <c r="D818" s="4">
        <v>45776</v>
      </c>
      <c r="E818" s="11">
        <f t="shared" si="48"/>
        <v>2025</v>
      </c>
      <c r="F818" s="11">
        <f t="shared" si="49"/>
        <v>4</v>
      </c>
      <c r="G818" s="11" t="str">
        <f t="shared" si="50"/>
        <v>202504</v>
      </c>
      <c r="H818" s="4">
        <v>45783</v>
      </c>
      <c r="I818" s="5">
        <v>7</v>
      </c>
      <c r="J818" s="5">
        <v>0.23333333333333334</v>
      </c>
      <c r="K818" s="5">
        <f t="shared" si="51"/>
        <v>1</v>
      </c>
      <c r="L818" s="5">
        <v>1</v>
      </c>
      <c r="M818" s="5">
        <v>1</v>
      </c>
      <c r="N818" t="s">
        <v>9</v>
      </c>
      <c r="O818" s="8">
        <v>23.797260273972604</v>
      </c>
      <c r="P818" t="s">
        <v>33</v>
      </c>
      <c r="Q818">
        <v>2</v>
      </c>
      <c r="R818" s="2">
        <v>37090</v>
      </c>
    </row>
    <row r="819" spans="1:18" x14ac:dyDescent="0.3">
      <c r="A819" t="s">
        <v>7</v>
      </c>
      <c r="B819">
        <v>18628239</v>
      </c>
      <c r="C819" t="s">
        <v>8</v>
      </c>
      <c r="D819" s="4">
        <v>45776</v>
      </c>
      <c r="E819" s="11">
        <f t="shared" si="48"/>
        <v>2025</v>
      </c>
      <c r="F819" s="11">
        <f t="shared" si="49"/>
        <v>4</v>
      </c>
      <c r="G819" s="11" t="str">
        <f t="shared" si="50"/>
        <v>202504</v>
      </c>
      <c r="I819" s="5">
        <v>9999</v>
      </c>
      <c r="J819" s="5">
        <v>333.3</v>
      </c>
      <c r="K819" s="5">
        <f t="shared" si="51"/>
        <v>0</v>
      </c>
      <c r="L819" s="5">
        <v>0</v>
      </c>
      <c r="M819" s="5">
        <v>0</v>
      </c>
      <c r="N819" t="s">
        <v>9</v>
      </c>
      <c r="O819" s="8">
        <v>25.32054794520548</v>
      </c>
      <c r="P819" t="s">
        <v>33</v>
      </c>
      <c r="Q819">
        <v>2</v>
      </c>
      <c r="R819" s="2">
        <v>36534</v>
      </c>
    </row>
    <row r="820" spans="1:18" x14ac:dyDescent="0.3">
      <c r="A820" t="s">
        <v>7</v>
      </c>
      <c r="B820">
        <v>18628295</v>
      </c>
      <c r="C820" t="s">
        <v>8</v>
      </c>
      <c r="D820" s="4">
        <v>45776</v>
      </c>
      <c r="E820" s="11">
        <f t="shared" si="48"/>
        <v>2025</v>
      </c>
      <c r="F820" s="11">
        <f t="shared" si="49"/>
        <v>4</v>
      </c>
      <c r="G820" s="11" t="str">
        <f t="shared" si="50"/>
        <v>202504</v>
      </c>
      <c r="H820" s="4">
        <v>45886</v>
      </c>
      <c r="I820" s="5">
        <v>110</v>
      </c>
      <c r="J820" s="5">
        <v>3.6666666666666665</v>
      </c>
      <c r="K820" s="5">
        <f t="shared" si="51"/>
        <v>0</v>
      </c>
      <c r="L820" s="5">
        <v>0</v>
      </c>
      <c r="M820" s="5">
        <v>1</v>
      </c>
      <c r="N820" t="s">
        <v>9</v>
      </c>
      <c r="O820" s="8">
        <v>20.904109589041095</v>
      </c>
      <c r="P820" t="s">
        <v>32</v>
      </c>
      <c r="Q820">
        <v>1</v>
      </c>
      <c r="R820" s="2">
        <v>38146</v>
      </c>
    </row>
    <row r="821" spans="1:18" x14ac:dyDescent="0.3">
      <c r="A821" t="s">
        <v>7</v>
      </c>
      <c r="B821">
        <v>18628296</v>
      </c>
      <c r="C821" t="s">
        <v>10</v>
      </c>
      <c r="D821" s="4">
        <v>45776</v>
      </c>
      <c r="E821" s="11">
        <f t="shared" si="48"/>
        <v>2025</v>
      </c>
      <c r="F821" s="11">
        <f t="shared" si="49"/>
        <v>4</v>
      </c>
      <c r="G821" s="11" t="str">
        <f t="shared" si="50"/>
        <v>202504</v>
      </c>
      <c r="H821" s="4">
        <v>45818</v>
      </c>
      <c r="I821" s="5">
        <v>42</v>
      </c>
      <c r="J821" s="5">
        <v>1.4</v>
      </c>
      <c r="K821" s="5">
        <f t="shared" si="51"/>
        <v>0</v>
      </c>
      <c r="L821" s="5">
        <v>1</v>
      </c>
      <c r="M821" s="5">
        <v>1</v>
      </c>
      <c r="N821" t="s">
        <v>9</v>
      </c>
      <c r="O821" s="8">
        <v>23.4986301369863</v>
      </c>
      <c r="P821" t="s">
        <v>33</v>
      </c>
      <c r="Q821">
        <v>2</v>
      </c>
      <c r="R821" s="2">
        <v>37199</v>
      </c>
    </row>
    <row r="822" spans="1:18" x14ac:dyDescent="0.3">
      <c r="A822" t="s">
        <v>7</v>
      </c>
      <c r="B822">
        <v>18628301</v>
      </c>
      <c r="C822" t="s">
        <v>10</v>
      </c>
      <c r="D822" s="4">
        <v>45776</v>
      </c>
      <c r="E822" s="11">
        <f t="shared" si="48"/>
        <v>2025</v>
      </c>
      <c r="F822" s="11">
        <f t="shared" si="49"/>
        <v>4</v>
      </c>
      <c r="G822" s="11" t="str">
        <f t="shared" si="50"/>
        <v>202504</v>
      </c>
      <c r="H822" s="4">
        <v>45931</v>
      </c>
      <c r="I822" s="5">
        <v>155</v>
      </c>
      <c r="J822" s="5">
        <v>5.166666666666667</v>
      </c>
      <c r="K822" s="5">
        <f t="shared" si="51"/>
        <v>0</v>
      </c>
      <c r="L822" s="5">
        <v>0</v>
      </c>
      <c r="M822" s="5">
        <v>1</v>
      </c>
      <c r="N822" t="s">
        <v>9</v>
      </c>
      <c r="O822" s="8">
        <v>27.589041095890412</v>
      </c>
      <c r="P822" t="s">
        <v>34</v>
      </c>
      <c r="Q822">
        <v>3</v>
      </c>
      <c r="R822" s="2">
        <v>35706</v>
      </c>
    </row>
    <row r="823" spans="1:18" x14ac:dyDescent="0.3">
      <c r="A823" t="s">
        <v>7</v>
      </c>
      <c r="B823">
        <v>18628308</v>
      </c>
      <c r="C823" t="s">
        <v>8</v>
      </c>
      <c r="D823" s="4">
        <v>45776</v>
      </c>
      <c r="E823" s="11">
        <f t="shared" si="48"/>
        <v>2025</v>
      </c>
      <c r="F823" s="11">
        <f t="shared" si="49"/>
        <v>4</v>
      </c>
      <c r="G823" s="11" t="str">
        <f t="shared" si="50"/>
        <v>202504</v>
      </c>
      <c r="H823" s="4">
        <v>46005</v>
      </c>
      <c r="I823" s="5">
        <v>229</v>
      </c>
      <c r="J823" s="5">
        <v>7.6333333333333337</v>
      </c>
      <c r="K823" s="5">
        <f t="shared" si="51"/>
        <v>0</v>
      </c>
      <c r="L823" s="5">
        <v>0</v>
      </c>
      <c r="M823" s="5">
        <v>0</v>
      </c>
      <c r="N823" t="s">
        <v>9</v>
      </c>
      <c r="O823" s="8">
        <v>21.273972602739725</v>
      </c>
      <c r="P823" t="s">
        <v>33</v>
      </c>
      <c r="Q823">
        <v>2</v>
      </c>
      <c r="R823" s="2">
        <v>38011</v>
      </c>
    </row>
    <row r="824" spans="1:18" x14ac:dyDescent="0.3">
      <c r="A824" t="s">
        <v>7</v>
      </c>
      <c r="B824">
        <v>18628342</v>
      </c>
      <c r="C824" t="s">
        <v>8</v>
      </c>
      <c r="D824" s="4">
        <v>45776</v>
      </c>
      <c r="E824" s="11">
        <f t="shared" si="48"/>
        <v>2025</v>
      </c>
      <c r="F824" s="11">
        <f t="shared" si="49"/>
        <v>4</v>
      </c>
      <c r="G824" s="11" t="str">
        <f t="shared" si="50"/>
        <v>202504</v>
      </c>
      <c r="I824" s="5">
        <v>9999</v>
      </c>
      <c r="J824" s="5">
        <v>333.3</v>
      </c>
      <c r="K824" s="5">
        <f t="shared" si="51"/>
        <v>0</v>
      </c>
      <c r="L824" s="5">
        <v>0</v>
      </c>
      <c r="M824" s="5">
        <v>0</v>
      </c>
      <c r="N824" t="s">
        <v>9</v>
      </c>
      <c r="O824" s="8">
        <v>29.67945205479452</v>
      </c>
      <c r="P824" t="s">
        <v>34</v>
      </c>
      <c r="Q824">
        <v>3</v>
      </c>
      <c r="R824" s="2">
        <v>34943</v>
      </c>
    </row>
    <row r="825" spans="1:18" x14ac:dyDescent="0.3">
      <c r="A825" t="s">
        <v>7</v>
      </c>
      <c r="B825">
        <v>18628343</v>
      </c>
      <c r="C825" t="s">
        <v>8</v>
      </c>
      <c r="D825" s="4">
        <v>45776</v>
      </c>
      <c r="E825" s="11">
        <f t="shared" si="48"/>
        <v>2025</v>
      </c>
      <c r="F825" s="11">
        <f t="shared" si="49"/>
        <v>4</v>
      </c>
      <c r="G825" s="11" t="str">
        <f t="shared" si="50"/>
        <v>202504</v>
      </c>
      <c r="I825" s="5">
        <v>9999</v>
      </c>
      <c r="J825" s="5">
        <v>333.3</v>
      </c>
      <c r="K825" s="5">
        <f t="shared" si="51"/>
        <v>0</v>
      </c>
      <c r="L825" s="5">
        <v>0</v>
      </c>
      <c r="M825" s="5">
        <v>0</v>
      </c>
      <c r="N825" t="s">
        <v>9</v>
      </c>
      <c r="O825" s="8">
        <v>18.254794520547946</v>
      </c>
      <c r="P825" t="s">
        <v>32</v>
      </c>
      <c r="Q825">
        <v>1</v>
      </c>
      <c r="R825" s="2">
        <v>39113</v>
      </c>
    </row>
    <row r="826" spans="1:18" x14ac:dyDescent="0.3">
      <c r="A826" t="s">
        <v>7</v>
      </c>
      <c r="B826">
        <v>18628345</v>
      </c>
      <c r="C826" t="s">
        <v>10</v>
      </c>
      <c r="D826" s="4">
        <v>45776</v>
      </c>
      <c r="E826" s="11">
        <f t="shared" si="48"/>
        <v>2025</v>
      </c>
      <c r="F826" s="11">
        <f t="shared" si="49"/>
        <v>4</v>
      </c>
      <c r="G826" s="11" t="str">
        <f t="shared" si="50"/>
        <v>202504</v>
      </c>
      <c r="H826" s="4">
        <v>46142</v>
      </c>
      <c r="I826" s="5">
        <v>366</v>
      </c>
      <c r="J826" s="5">
        <v>12.2</v>
      </c>
      <c r="K826" s="5">
        <f t="shared" si="51"/>
        <v>0</v>
      </c>
      <c r="L826" s="5">
        <v>0</v>
      </c>
      <c r="M826" s="5">
        <v>0</v>
      </c>
      <c r="N826" t="s">
        <v>12</v>
      </c>
      <c r="O826" s="8">
        <v>21.87123287671233</v>
      </c>
      <c r="P826" t="s">
        <v>33</v>
      </c>
      <c r="Q826">
        <v>2</v>
      </c>
      <c r="R826" s="2">
        <v>37793</v>
      </c>
    </row>
    <row r="827" spans="1:18" x14ac:dyDescent="0.3">
      <c r="A827" t="s">
        <v>7</v>
      </c>
      <c r="B827">
        <v>18628370</v>
      </c>
      <c r="C827" t="s">
        <v>8</v>
      </c>
      <c r="D827" s="4">
        <v>45776</v>
      </c>
      <c r="E827" s="11">
        <f t="shared" si="48"/>
        <v>2025</v>
      </c>
      <c r="F827" s="11">
        <f t="shared" si="49"/>
        <v>4</v>
      </c>
      <c r="G827" s="11" t="str">
        <f t="shared" si="50"/>
        <v>202504</v>
      </c>
      <c r="H827" s="4">
        <v>46035</v>
      </c>
      <c r="I827" s="5">
        <v>259</v>
      </c>
      <c r="J827" s="5">
        <v>8.6333333333333329</v>
      </c>
      <c r="K827" s="5">
        <f t="shared" si="51"/>
        <v>0</v>
      </c>
      <c r="L827" s="5">
        <v>0</v>
      </c>
      <c r="M827" s="5">
        <v>0</v>
      </c>
      <c r="N827" t="s">
        <v>9</v>
      </c>
      <c r="O827" s="8">
        <v>18.564383561643837</v>
      </c>
      <c r="P827" t="s">
        <v>32</v>
      </c>
      <c r="Q827">
        <v>1</v>
      </c>
      <c r="R827" s="2">
        <v>39000</v>
      </c>
    </row>
    <row r="828" spans="1:18" x14ac:dyDescent="0.3">
      <c r="A828" t="s">
        <v>7</v>
      </c>
      <c r="B828">
        <v>18628387</v>
      </c>
      <c r="C828" t="s">
        <v>8</v>
      </c>
      <c r="D828" s="4">
        <v>45776</v>
      </c>
      <c r="E828" s="11">
        <f t="shared" si="48"/>
        <v>2025</v>
      </c>
      <c r="F828" s="11">
        <f t="shared" si="49"/>
        <v>4</v>
      </c>
      <c r="G828" s="11" t="str">
        <f t="shared" si="50"/>
        <v>202504</v>
      </c>
      <c r="H828" s="4">
        <v>46053</v>
      </c>
      <c r="I828" s="5">
        <v>277</v>
      </c>
      <c r="J828" s="5">
        <v>9.2333333333333325</v>
      </c>
      <c r="K828" s="5">
        <f t="shared" si="51"/>
        <v>0</v>
      </c>
      <c r="L828" s="5">
        <v>0</v>
      </c>
      <c r="M828" s="5">
        <v>0</v>
      </c>
      <c r="N828" t="s">
        <v>12</v>
      </c>
      <c r="O828" s="8">
        <v>18.334246575342465</v>
      </c>
      <c r="P828" t="s">
        <v>32</v>
      </c>
      <c r="Q828">
        <v>1</v>
      </c>
      <c r="R828" s="2">
        <v>39084</v>
      </c>
    </row>
    <row r="829" spans="1:18" x14ac:dyDescent="0.3">
      <c r="A829" t="s">
        <v>7</v>
      </c>
      <c r="B829">
        <v>18628391</v>
      </c>
      <c r="C829" t="s">
        <v>8</v>
      </c>
      <c r="D829" s="4">
        <v>45776</v>
      </c>
      <c r="E829" s="11">
        <f t="shared" si="48"/>
        <v>2025</v>
      </c>
      <c r="F829" s="11">
        <f t="shared" si="49"/>
        <v>4</v>
      </c>
      <c r="G829" s="11" t="str">
        <f t="shared" si="50"/>
        <v>202504</v>
      </c>
      <c r="H829" s="4">
        <v>45942</v>
      </c>
      <c r="I829" s="5">
        <v>166</v>
      </c>
      <c r="J829" s="5">
        <v>5.5333333333333332</v>
      </c>
      <c r="K829" s="5">
        <f t="shared" si="51"/>
        <v>0</v>
      </c>
      <c r="L829" s="5">
        <v>0</v>
      </c>
      <c r="M829" s="5">
        <v>1</v>
      </c>
      <c r="N829" t="s">
        <v>9</v>
      </c>
      <c r="O829" s="8">
        <v>18.306849315068494</v>
      </c>
      <c r="P829" t="s">
        <v>32</v>
      </c>
      <c r="Q829">
        <v>1</v>
      </c>
      <c r="R829" s="2">
        <v>39094</v>
      </c>
    </row>
    <row r="830" spans="1:18" x14ac:dyDescent="0.3">
      <c r="A830" t="s">
        <v>7</v>
      </c>
      <c r="B830">
        <v>18628414</v>
      </c>
      <c r="C830" t="s">
        <v>8</v>
      </c>
      <c r="D830" s="4">
        <v>45776</v>
      </c>
      <c r="E830" s="11">
        <f t="shared" si="48"/>
        <v>2025</v>
      </c>
      <c r="F830" s="11">
        <f t="shared" si="49"/>
        <v>4</v>
      </c>
      <c r="G830" s="11" t="str">
        <f t="shared" si="50"/>
        <v>202504</v>
      </c>
      <c r="I830" s="5">
        <v>9999</v>
      </c>
      <c r="J830" s="5">
        <v>333.3</v>
      </c>
      <c r="K830" s="5">
        <f t="shared" si="51"/>
        <v>0</v>
      </c>
      <c r="L830" s="5">
        <v>0</v>
      </c>
      <c r="M830" s="5">
        <v>0</v>
      </c>
      <c r="N830" t="s">
        <v>9</v>
      </c>
      <c r="O830" s="8">
        <v>20.597260273972601</v>
      </c>
      <c r="P830" t="s">
        <v>32</v>
      </c>
      <c r="Q830">
        <v>1</v>
      </c>
      <c r="R830" s="2">
        <v>38258</v>
      </c>
    </row>
    <row r="831" spans="1:18" x14ac:dyDescent="0.3">
      <c r="A831" t="s">
        <v>7</v>
      </c>
      <c r="B831">
        <v>18628522</v>
      </c>
      <c r="C831" t="s">
        <v>8</v>
      </c>
      <c r="D831" s="4">
        <v>45776</v>
      </c>
      <c r="E831" s="11">
        <f t="shared" si="48"/>
        <v>2025</v>
      </c>
      <c r="F831" s="11">
        <f t="shared" si="49"/>
        <v>4</v>
      </c>
      <c r="G831" s="11" t="str">
        <f t="shared" si="50"/>
        <v>202504</v>
      </c>
      <c r="I831" s="5">
        <v>9999</v>
      </c>
      <c r="J831" s="5">
        <v>333.3</v>
      </c>
      <c r="K831" s="5">
        <f t="shared" si="51"/>
        <v>0</v>
      </c>
      <c r="L831" s="5">
        <v>0</v>
      </c>
      <c r="M831" s="5">
        <v>0</v>
      </c>
      <c r="N831" t="s">
        <v>9</v>
      </c>
      <c r="O831" s="8">
        <v>20.328767123287673</v>
      </c>
      <c r="P831" t="s">
        <v>32</v>
      </c>
      <c r="Q831">
        <v>1</v>
      </c>
      <c r="R831" s="2">
        <v>38356</v>
      </c>
    </row>
    <row r="832" spans="1:18" x14ac:dyDescent="0.3">
      <c r="A832" t="s">
        <v>7</v>
      </c>
      <c r="B832">
        <v>18628657</v>
      </c>
      <c r="C832" t="s">
        <v>8</v>
      </c>
      <c r="D832" s="4">
        <v>45776</v>
      </c>
      <c r="E832" s="11">
        <f t="shared" si="48"/>
        <v>2025</v>
      </c>
      <c r="F832" s="11">
        <f t="shared" si="49"/>
        <v>4</v>
      </c>
      <c r="G832" s="11" t="str">
        <f t="shared" si="50"/>
        <v>202504</v>
      </c>
      <c r="H832" s="4">
        <v>46028</v>
      </c>
      <c r="I832" s="5">
        <v>252</v>
      </c>
      <c r="J832" s="5">
        <v>8.4</v>
      </c>
      <c r="K832" s="5">
        <f t="shared" si="51"/>
        <v>0</v>
      </c>
      <c r="L832" s="5">
        <v>0</v>
      </c>
      <c r="M832" s="5">
        <v>0</v>
      </c>
      <c r="N832" t="s">
        <v>9</v>
      </c>
      <c r="O832" s="8">
        <v>23.383561643835616</v>
      </c>
      <c r="P832" t="s">
        <v>33</v>
      </c>
      <c r="Q832">
        <v>2</v>
      </c>
      <c r="R832" s="2">
        <v>37241</v>
      </c>
    </row>
    <row r="833" spans="1:18" x14ac:dyDescent="0.3">
      <c r="A833" t="s">
        <v>7</v>
      </c>
      <c r="B833">
        <v>18628661</v>
      </c>
      <c r="C833" t="s">
        <v>10</v>
      </c>
      <c r="D833" s="4">
        <v>45776</v>
      </c>
      <c r="E833" s="11">
        <f t="shared" si="48"/>
        <v>2025</v>
      </c>
      <c r="F833" s="11">
        <f t="shared" si="49"/>
        <v>4</v>
      </c>
      <c r="G833" s="11" t="str">
        <f t="shared" si="50"/>
        <v>202504</v>
      </c>
      <c r="H833" s="4">
        <v>45931</v>
      </c>
      <c r="I833" s="5">
        <v>155</v>
      </c>
      <c r="J833" s="5">
        <v>5.166666666666667</v>
      </c>
      <c r="K833" s="5">
        <f t="shared" si="51"/>
        <v>0</v>
      </c>
      <c r="L833" s="5">
        <v>0</v>
      </c>
      <c r="M833" s="5">
        <v>1</v>
      </c>
      <c r="N833" t="s">
        <v>9</v>
      </c>
      <c r="O833" s="8">
        <v>21.495890410958904</v>
      </c>
      <c r="P833" t="s">
        <v>33</v>
      </c>
      <c r="Q833">
        <v>2</v>
      </c>
      <c r="R833" s="2">
        <v>37930</v>
      </c>
    </row>
    <row r="834" spans="1:18" x14ac:dyDescent="0.3">
      <c r="A834" t="s">
        <v>7</v>
      </c>
      <c r="B834">
        <v>18628789</v>
      </c>
      <c r="C834" t="s">
        <v>10</v>
      </c>
      <c r="D834" s="4">
        <v>45776</v>
      </c>
      <c r="E834" s="11">
        <f t="shared" si="48"/>
        <v>2025</v>
      </c>
      <c r="F834" s="11">
        <f t="shared" si="49"/>
        <v>4</v>
      </c>
      <c r="G834" s="11" t="str">
        <f t="shared" si="50"/>
        <v>202504</v>
      </c>
      <c r="H834" s="4">
        <v>45961</v>
      </c>
      <c r="I834" s="5">
        <v>185</v>
      </c>
      <c r="J834" s="5">
        <v>6.166666666666667</v>
      </c>
      <c r="K834" s="5">
        <f t="shared" si="51"/>
        <v>0</v>
      </c>
      <c r="L834" s="5">
        <v>0</v>
      </c>
      <c r="M834" s="5">
        <v>0</v>
      </c>
      <c r="N834" t="s">
        <v>9</v>
      </c>
      <c r="O834" s="8">
        <v>20.805479452054794</v>
      </c>
      <c r="P834" t="s">
        <v>32</v>
      </c>
      <c r="Q834">
        <v>1</v>
      </c>
      <c r="R834" s="2">
        <v>38182</v>
      </c>
    </row>
    <row r="835" spans="1:18" x14ac:dyDescent="0.3">
      <c r="A835" t="s">
        <v>7</v>
      </c>
      <c r="B835">
        <v>18629006</v>
      </c>
      <c r="C835" t="s">
        <v>8</v>
      </c>
      <c r="D835" s="4">
        <v>45776</v>
      </c>
      <c r="E835" s="11">
        <f t="shared" ref="E835:E898" si="52">+YEAR(D835)</f>
        <v>2025</v>
      </c>
      <c r="F835" s="11">
        <f t="shared" ref="F835:F898" si="53">+MONTH(D835)</f>
        <v>4</v>
      </c>
      <c r="G835" s="11" t="str">
        <f t="shared" ref="G835:G898" si="54">+TEXT(D835, "yyymm")</f>
        <v>202504</v>
      </c>
      <c r="H835" s="4">
        <v>45884</v>
      </c>
      <c r="I835" s="5">
        <v>108</v>
      </c>
      <c r="J835" s="5">
        <v>3.6</v>
      </c>
      <c r="K835" s="5">
        <f t="shared" ref="K835:K898" si="55">IF(J835&lt;=1,1,0)</f>
        <v>0</v>
      </c>
      <c r="L835" s="5">
        <v>0</v>
      </c>
      <c r="M835" s="5">
        <v>1</v>
      </c>
      <c r="N835" t="s">
        <v>9</v>
      </c>
      <c r="O835" s="8">
        <v>18.13150684931507</v>
      </c>
      <c r="P835" t="s">
        <v>32</v>
      </c>
      <c r="Q835">
        <v>1</v>
      </c>
      <c r="R835" s="2">
        <v>39158</v>
      </c>
    </row>
    <row r="836" spans="1:18" x14ac:dyDescent="0.3">
      <c r="A836" t="s">
        <v>7</v>
      </c>
      <c r="B836">
        <v>18633717</v>
      </c>
      <c r="C836" t="s">
        <v>10</v>
      </c>
      <c r="D836" s="4">
        <v>45776</v>
      </c>
      <c r="E836" s="11">
        <f t="shared" si="52"/>
        <v>2025</v>
      </c>
      <c r="F836" s="11">
        <f t="shared" si="53"/>
        <v>4</v>
      </c>
      <c r="G836" s="11" t="str">
        <f t="shared" si="54"/>
        <v>202504</v>
      </c>
      <c r="H836" s="4">
        <v>45808</v>
      </c>
      <c r="I836" s="5">
        <v>32</v>
      </c>
      <c r="J836" s="5">
        <v>1.0666666666666667</v>
      </c>
      <c r="K836" s="5">
        <f t="shared" si="55"/>
        <v>0</v>
      </c>
      <c r="L836" s="5">
        <v>1</v>
      </c>
      <c r="M836" s="5">
        <v>1</v>
      </c>
      <c r="N836" t="s">
        <v>9</v>
      </c>
      <c r="O836" s="8">
        <v>23.273972602739725</v>
      </c>
      <c r="P836" t="s">
        <v>33</v>
      </c>
      <c r="Q836">
        <v>2</v>
      </c>
      <c r="R836" s="2">
        <v>37281</v>
      </c>
    </row>
    <row r="837" spans="1:18" x14ac:dyDescent="0.3">
      <c r="A837" t="s">
        <v>7</v>
      </c>
      <c r="B837">
        <v>18633776</v>
      </c>
      <c r="C837" t="s">
        <v>8</v>
      </c>
      <c r="D837" s="4">
        <v>45940</v>
      </c>
      <c r="E837" s="11">
        <f t="shared" si="52"/>
        <v>2025</v>
      </c>
      <c r="F837" s="11">
        <f t="shared" si="53"/>
        <v>10</v>
      </c>
      <c r="G837" s="11" t="str">
        <f t="shared" si="54"/>
        <v>202510</v>
      </c>
      <c r="I837" s="5">
        <v>9999</v>
      </c>
      <c r="J837" s="5">
        <v>333.3</v>
      </c>
      <c r="K837" s="5">
        <f t="shared" si="55"/>
        <v>0</v>
      </c>
      <c r="L837" s="5">
        <v>0</v>
      </c>
      <c r="M837" s="5">
        <v>0</v>
      </c>
      <c r="N837" t="s">
        <v>9</v>
      </c>
      <c r="O837" s="8">
        <v>18.186301369863013</v>
      </c>
      <c r="P837" t="s">
        <v>32</v>
      </c>
      <c r="Q837">
        <v>1</v>
      </c>
      <c r="R837" s="2">
        <v>39302</v>
      </c>
    </row>
    <row r="838" spans="1:18" x14ac:dyDescent="0.3">
      <c r="A838" t="s">
        <v>7</v>
      </c>
      <c r="B838">
        <v>18633801</v>
      </c>
      <c r="C838" t="s">
        <v>8</v>
      </c>
      <c r="D838" s="4">
        <v>45779</v>
      </c>
      <c r="E838" s="11">
        <f t="shared" si="52"/>
        <v>2025</v>
      </c>
      <c r="F838" s="11">
        <f t="shared" si="53"/>
        <v>5</v>
      </c>
      <c r="G838" s="11" t="str">
        <f t="shared" si="54"/>
        <v>202505</v>
      </c>
      <c r="H838" s="4">
        <v>45869</v>
      </c>
      <c r="I838" s="5">
        <v>90</v>
      </c>
      <c r="J838" s="5">
        <v>3</v>
      </c>
      <c r="K838" s="5">
        <f t="shared" si="55"/>
        <v>0</v>
      </c>
      <c r="L838" s="5">
        <v>1</v>
      </c>
      <c r="M838" s="5">
        <v>1</v>
      </c>
      <c r="N838" t="s">
        <v>9</v>
      </c>
      <c r="O838" s="8">
        <v>20.591780821917808</v>
      </c>
      <c r="P838" t="s">
        <v>32</v>
      </c>
      <c r="Q838">
        <v>1</v>
      </c>
      <c r="R838" s="2">
        <v>38263</v>
      </c>
    </row>
    <row r="839" spans="1:18" x14ac:dyDescent="0.3">
      <c r="A839" t="s">
        <v>7</v>
      </c>
      <c r="B839">
        <v>18633844</v>
      </c>
      <c r="C839" t="s">
        <v>8</v>
      </c>
      <c r="D839" s="4">
        <v>45779</v>
      </c>
      <c r="E839" s="11">
        <f t="shared" si="52"/>
        <v>2025</v>
      </c>
      <c r="F839" s="11">
        <f t="shared" si="53"/>
        <v>5</v>
      </c>
      <c r="G839" s="11" t="str">
        <f t="shared" si="54"/>
        <v>202505</v>
      </c>
      <c r="I839" s="5">
        <v>9999</v>
      </c>
      <c r="J839" s="5">
        <v>333.3</v>
      </c>
      <c r="K839" s="5">
        <f t="shared" si="55"/>
        <v>0</v>
      </c>
      <c r="L839" s="5">
        <v>0</v>
      </c>
      <c r="M839" s="5">
        <v>0</v>
      </c>
      <c r="N839" t="s">
        <v>9</v>
      </c>
      <c r="O839" s="8">
        <v>23.906849315068492</v>
      </c>
      <c r="P839" t="s">
        <v>33</v>
      </c>
      <c r="Q839">
        <v>2</v>
      </c>
      <c r="R839" s="2">
        <v>37053</v>
      </c>
    </row>
    <row r="840" spans="1:18" x14ac:dyDescent="0.3">
      <c r="A840" t="s">
        <v>7</v>
      </c>
      <c r="B840">
        <v>18633855</v>
      </c>
      <c r="C840" t="s">
        <v>8</v>
      </c>
      <c r="D840" s="4">
        <v>45780</v>
      </c>
      <c r="E840" s="11">
        <f t="shared" si="52"/>
        <v>2025</v>
      </c>
      <c r="F840" s="11">
        <f t="shared" si="53"/>
        <v>5</v>
      </c>
      <c r="G840" s="11" t="str">
        <f t="shared" si="54"/>
        <v>202505</v>
      </c>
      <c r="H840" s="4">
        <v>45838</v>
      </c>
      <c r="I840" s="5">
        <v>58</v>
      </c>
      <c r="J840" s="5">
        <v>1.9333333333333333</v>
      </c>
      <c r="K840" s="5">
        <f t="shared" si="55"/>
        <v>0</v>
      </c>
      <c r="L840" s="5">
        <v>1</v>
      </c>
      <c r="M840" s="5">
        <v>1</v>
      </c>
      <c r="N840" t="s">
        <v>9</v>
      </c>
      <c r="O840" s="8">
        <v>20.19178082191781</v>
      </c>
      <c r="P840" t="s">
        <v>32</v>
      </c>
      <c r="Q840">
        <v>1</v>
      </c>
      <c r="R840" s="2">
        <v>38410</v>
      </c>
    </row>
    <row r="841" spans="1:18" x14ac:dyDescent="0.3">
      <c r="A841" t="s">
        <v>7</v>
      </c>
      <c r="B841">
        <v>18633856</v>
      </c>
      <c r="C841" t="s">
        <v>10</v>
      </c>
      <c r="D841" s="4">
        <v>45780</v>
      </c>
      <c r="E841" s="11">
        <f t="shared" si="52"/>
        <v>2025</v>
      </c>
      <c r="F841" s="11">
        <f t="shared" si="53"/>
        <v>5</v>
      </c>
      <c r="G841" s="11" t="str">
        <f t="shared" si="54"/>
        <v>202505</v>
      </c>
      <c r="I841" s="5">
        <v>9999</v>
      </c>
      <c r="J841" s="5">
        <v>333.3</v>
      </c>
      <c r="K841" s="5">
        <f t="shared" si="55"/>
        <v>0</v>
      </c>
      <c r="L841" s="5">
        <v>0</v>
      </c>
      <c r="M841" s="5">
        <v>0</v>
      </c>
      <c r="N841" t="s">
        <v>9</v>
      </c>
      <c r="O841" s="8">
        <v>20.641095890410959</v>
      </c>
      <c r="P841" t="s">
        <v>32</v>
      </c>
      <c r="Q841">
        <v>1</v>
      </c>
      <c r="R841" s="2">
        <v>38246</v>
      </c>
    </row>
    <row r="842" spans="1:18" x14ac:dyDescent="0.3">
      <c r="A842" t="s">
        <v>7</v>
      </c>
      <c r="B842">
        <v>18633857</v>
      </c>
      <c r="C842" t="s">
        <v>8</v>
      </c>
      <c r="D842" s="4">
        <v>45780</v>
      </c>
      <c r="E842" s="11">
        <f t="shared" si="52"/>
        <v>2025</v>
      </c>
      <c r="F842" s="11">
        <f t="shared" si="53"/>
        <v>5</v>
      </c>
      <c r="G842" s="11" t="str">
        <f t="shared" si="54"/>
        <v>202505</v>
      </c>
      <c r="H842" s="4">
        <v>45784</v>
      </c>
      <c r="I842" s="5">
        <v>4</v>
      </c>
      <c r="J842" s="5">
        <v>0.13333333333333333</v>
      </c>
      <c r="K842" s="5">
        <f t="shared" si="55"/>
        <v>1</v>
      </c>
      <c r="L842" s="5">
        <v>1</v>
      </c>
      <c r="M842" s="5">
        <v>1</v>
      </c>
      <c r="N842" t="s">
        <v>9</v>
      </c>
      <c r="O842" s="8">
        <v>28.227397260273971</v>
      </c>
      <c r="P842" t="s">
        <v>34</v>
      </c>
      <c r="Q842">
        <v>3</v>
      </c>
      <c r="R842" s="2">
        <v>35477</v>
      </c>
    </row>
    <row r="843" spans="1:18" x14ac:dyDescent="0.3">
      <c r="A843" t="s">
        <v>7</v>
      </c>
      <c r="B843">
        <v>18633858</v>
      </c>
      <c r="C843" t="s">
        <v>10</v>
      </c>
      <c r="D843" s="4">
        <v>45780</v>
      </c>
      <c r="E843" s="11">
        <f t="shared" si="52"/>
        <v>2025</v>
      </c>
      <c r="F843" s="11">
        <f t="shared" si="53"/>
        <v>5</v>
      </c>
      <c r="G843" s="11" t="str">
        <f t="shared" si="54"/>
        <v>202505</v>
      </c>
      <c r="H843" s="4">
        <v>46029</v>
      </c>
      <c r="I843" s="5">
        <v>249</v>
      </c>
      <c r="J843" s="5">
        <v>8.3000000000000007</v>
      </c>
      <c r="K843" s="5">
        <f t="shared" si="55"/>
        <v>0</v>
      </c>
      <c r="L843" s="5">
        <v>0</v>
      </c>
      <c r="M843" s="5">
        <v>0</v>
      </c>
      <c r="N843" t="s">
        <v>9</v>
      </c>
      <c r="O843" s="8">
        <v>19.561643835616437</v>
      </c>
      <c r="P843" t="s">
        <v>32</v>
      </c>
      <c r="Q843">
        <v>1</v>
      </c>
      <c r="R843" s="2">
        <v>38640</v>
      </c>
    </row>
    <row r="844" spans="1:18" x14ac:dyDescent="0.3">
      <c r="A844" t="s">
        <v>7</v>
      </c>
      <c r="B844">
        <v>18633859</v>
      </c>
      <c r="C844" t="s">
        <v>8</v>
      </c>
      <c r="D844" s="4">
        <v>45780</v>
      </c>
      <c r="E844" s="11">
        <f t="shared" si="52"/>
        <v>2025</v>
      </c>
      <c r="F844" s="11">
        <f t="shared" si="53"/>
        <v>5</v>
      </c>
      <c r="G844" s="11" t="str">
        <f t="shared" si="54"/>
        <v>202505</v>
      </c>
      <c r="H844" s="4">
        <v>46084</v>
      </c>
      <c r="I844" s="5">
        <v>304</v>
      </c>
      <c r="J844" s="5">
        <v>10.133333333333333</v>
      </c>
      <c r="K844" s="5">
        <f t="shared" si="55"/>
        <v>0</v>
      </c>
      <c r="L844" s="5">
        <v>0</v>
      </c>
      <c r="M844" s="5">
        <v>0</v>
      </c>
      <c r="N844" t="s">
        <v>9</v>
      </c>
      <c r="O844" s="8">
        <v>19.567123287671233</v>
      </c>
      <c r="P844" t="s">
        <v>32</v>
      </c>
      <c r="Q844">
        <v>1</v>
      </c>
      <c r="R844" s="2">
        <v>38638</v>
      </c>
    </row>
    <row r="845" spans="1:18" x14ac:dyDescent="0.3">
      <c r="A845" t="s">
        <v>7</v>
      </c>
      <c r="B845">
        <v>18633860</v>
      </c>
      <c r="C845" t="s">
        <v>8</v>
      </c>
      <c r="D845" s="4">
        <v>45780</v>
      </c>
      <c r="E845" s="11">
        <f t="shared" si="52"/>
        <v>2025</v>
      </c>
      <c r="F845" s="11">
        <f t="shared" si="53"/>
        <v>5</v>
      </c>
      <c r="G845" s="11" t="str">
        <f t="shared" si="54"/>
        <v>202505</v>
      </c>
      <c r="H845" s="4">
        <v>45816</v>
      </c>
      <c r="I845" s="5">
        <v>36</v>
      </c>
      <c r="J845" s="5">
        <v>1.2</v>
      </c>
      <c r="K845" s="5">
        <f t="shared" si="55"/>
        <v>0</v>
      </c>
      <c r="L845" s="5">
        <v>1</v>
      </c>
      <c r="M845" s="5">
        <v>1</v>
      </c>
      <c r="N845" t="s">
        <v>9</v>
      </c>
      <c r="O845" s="8">
        <v>53.235616438356168</v>
      </c>
      <c r="P845" t="s">
        <v>35</v>
      </c>
      <c r="Q845">
        <v>4</v>
      </c>
      <c r="R845" s="2">
        <v>26349</v>
      </c>
    </row>
    <row r="846" spans="1:18" x14ac:dyDescent="0.3">
      <c r="A846" t="s">
        <v>7</v>
      </c>
      <c r="B846">
        <v>18633929</v>
      </c>
      <c r="C846" t="s">
        <v>8</v>
      </c>
      <c r="D846" s="4">
        <v>45782</v>
      </c>
      <c r="E846" s="11">
        <f t="shared" si="52"/>
        <v>2025</v>
      </c>
      <c r="F846" s="11">
        <f t="shared" si="53"/>
        <v>5</v>
      </c>
      <c r="G846" s="11" t="str">
        <f t="shared" si="54"/>
        <v>202505</v>
      </c>
      <c r="I846" s="5">
        <v>9999</v>
      </c>
      <c r="J846" s="5">
        <v>333.3</v>
      </c>
      <c r="K846" s="5">
        <f t="shared" si="55"/>
        <v>0</v>
      </c>
      <c r="L846" s="5">
        <v>0</v>
      </c>
      <c r="M846" s="5">
        <v>0</v>
      </c>
      <c r="N846" t="s">
        <v>12</v>
      </c>
      <c r="O846" s="8">
        <v>28.271232876712329</v>
      </c>
      <c r="P846" t="s">
        <v>34</v>
      </c>
      <c r="Q846">
        <v>3</v>
      </c>
      <c r="R846" s="2">
        <v>35463</v>
      </c>
    </row>
    <row r="847" spans="1:18" x14ac:dyDescent="0.3">
      <c r="A847" t="s">
        <v>7</v>
      </c>
      <c r="B847">
        <v>18633930</v>
      </c>
      <c r="C847" t="s">
        <v>8</v>
      </c>
      <c r="D847" s="4">
        <v>45782</v>
      </c>
      <c r="E847" s="11">
        <f t="shared" si="52"/>
        <v>2025</v>
      </c>
      <c r="F847" s="11">
        <f t="shared" si="53"/>
        <v>5</v>
      </c>
      <c r="G847" s="11" t="str">
        <f t="shared" si="54"/>
        <v>202505</v>
      </c>
      <c r="H847" s="4">
        <v>45825</v>
      </c>
      <c r="I847" s="5">
        <v>43</v>
      </c>
      <c r="J847" s="5">
        <v>1.4333333333333333</v>
      </c>
      <c r="K847" s="5">
        <f t="shared" si="55"/>
        <v>0</v>
      </c>
      <c r="L847" s="5">
        <v>1</v>
      </c>
      <c r="M847" s="5">
        <v>1</v>
      </c>
      <c r="N847" t="s">
        <v>12</v>
      </c>
      <c r="O847" s="8">
        <v>32.219178082191782</v>
      </c>
      <c r="P847" t="s">
        <v>35</v>
      </c>
      <c r="Q847">
        <v>4</v>
      </c>
      <c r="R847" s="2">
        <v>34022</v>
      </c>
    </row>
    <row r="848" spans="1:18" x14ac:dyDescent="0.3">
      <c r="A848" t="s">
        <v>7</v>
      </c>
      <c r="B848">
        <v>18633958</v>
      </c>
      <c r="C848" t="s">
        <v>8</v>
      </c>
      <c r="D848" s="4">
        <v>45782</v>
      </c>
      <c r="E848" s="11">
        <f t="shared" si="52"/>
        <v>2025</v>
      </c>
      <c r="F848" s="11">
        <f t="shared" si="53"/>
        <v>5</v>
      </c>
      <c r="G848" s="11" t="str">
        <f t="shared" si="54"/>
        <v>202505</v>
      </c>
      <c r="I848" s="5">
        <v>9999</v>
      </c>
      <c r="J848" s="5">
        <v>333.3</v>
      </c>
      <c r="K848" s="5">
        <f t="shared" si="55"/>
        <v>0</v>
      </c>
      <c r="L848" s="5">
        <v>0</v>
      </c>
      <c r="M848" s="5">
        <v>0</v>
      </c>
      <c r="N848" t="s">
        <v>9</v>
      </c>
      <c r="O848" s="8">
        <v>20.731506849315068</v>
      </c>
      <c r="P848" t="s">
        <v>32</v>
      </c>
      <c r="Q848">
        <v>1</v>
      </c>
      <c r="R848" s="2">
        <v>38215</v>
      </c>
    </row>
    <row r="849" spans="1:18" x14ac:dyDescent="0.3">
      <c r="A849" t="s">
        <v>7</v>
      </c>
      <c r="B849">
        <v>18633970</v>
      </c>
      <c r="C849" t="s">
        <v>10</v>
      </c>
      <c r="D849" s="4">
        <v>45782</v>
      </c>
      <c r="E849" s="11">
        <f t="shared" si="52"/>
        <v>2025</v>
      </c>
      <c r="F849" s="11">
        <f t="shared" si="53"/>
        <v>5</v>
      </c>
      <c r="G849" s="11" t="str">
        <f t="shared" si="54"/>
        <v>202505</v>
      </c>
      <c r="H849" s="4">
        <v>46006</v>
      </c>
      <c r="I849" s="5">
        <v>224</v>
      </c>
      <c r="J849" s="5">
        <v>7.4666666666666668</v>
      </c>
      <c r="K849" s="5">
        <f t="shared" si="55"/>
        <v>0</v>
      </c>
      <c r="L849" s="5">
        <v>0</v>
      </c>
      <c r="M849" s="5">
        <v>0</v>
      </c>
      <c r="N849" t="s">
        <v>9</v>
      </c>
      <c r="O849" s="8">
        <v>20.594520547945205</v>
      </c>
      <c r="P849" t="s">
        <v>32</v>
      </c>
      <c r="Q849">
        <v>1</v>
      </c>
      <c r="R849" s="2">
        <v>38265</v>
      </c>
    </row>
    <row r="850" spans="1:18" x14ac:dyDescent="0.3">
      <c r="A850" t="s">
        <v>7</v>
      </c>
      <c r="B850">
        <v>18633971</v>
      </c>
      <c r="C850" t="s">
        <v>8</v>
      </c>
      <c r="D850" s="4">
        <v>45782</v>
      </c>
      <c r="E850" s="11">
        <f t="shared" si="52"/>
        <v>2025</v>
      </c>
      <c r="F850" s="11">
        <f t="shared" si="53"/>
        <v>5</v>
      </c>
      <c r="G850" s="11" t="str">
        <f t="shared" si="54"/>
        <v>202505</v>
      </c>
      <c r="I850" s="5">
        <v>9999</v>
      </c>
      <c r="J850" s="5">
        <v>333.3</v>
      </c>
      <c r="K850" s="5">
        <f t="shared" si="55"/>
        <v>0</v>
      </c>
      <c r="L850" s="5">
        <v>0</v>
      </c>
      <c r="M850" s="5">
        <v>0</v>
      </c>
      <c r="N850" t="s">
        <v>9</v>
      </c>
      <c r="O850" s="8">
        <v>19.336986301369862</v>
      </c>
      <c r="P850" t="s">
        <v>32</v>
      </c>
      <c r="Q850">
        <v>1</v>
      </c>
      <c r="R850" s="2">
        <v>38724</v>
      </c>
    </row>
    <row r="851" spans="1:18" x14ac:dyDescent="0.3">
      <c r="A851" t="s">
        <v>7</v>
      </c>
      <c r="B851">
        <v>18633972</v>
      </c>
      <c r="C851" t="s">
        <v>8</v>
      </c>
      <c r="D851" s="4">
        <v>45782</v>
      </c>
      <c r="E851" s="11">
        <f t="shared" si="52"/>
        <v>2025</v>
      </c>
      <c r="F851" s="11">
        <f t="shared" si="53"/>
        <v>5</v>
      </c>
      <c r="G851" s="11" t="str">
        <f t="shared" si="54"/>
        <v>202505</v>
      </c>
      <c r="I851" s="5">
        <v>9999</v>
      </c>
      <c r="J851" s="5">
        <v>333.3</v>
      </c>
      <c r="K851" s="5">
        <f t="shared" si="55"/>
        <v>0</v>
      </c>
      <c r="L851" s="5">
        <v>0</v>
      </c>
      <c r="M851" s="5">
        <v>0</v>
      </c>
      <c r="N851" t="s">
        <v>9</v>
      </c>
      <c r="O851" s="8">
        <v>20.515068493150686</v>
      </c>
      <c r="P851" t="s">
        <v>32</v>
      </c>
      <c r="Q851">
        <v>1</v>
      </c>
      <c r="R851" s="2">
        <v>38294</v>
      </c>
    </row>
    <row r="852" spans="1:18" x14ac:dyDescent="0.3">
      <c r="A852" t="s">
        <v>7</v>
      </c>
      <c r="B852">
        <v>18633974</v>
      </c>
      <c r="C852" t="s">
        <v>10</v>
      </c>
      <c r="D852" s="4">
        <v>45782</v>
      </c>
      <c r="E852" s="11">
        <f t="shared" si="52"/>
        <v>2025</v>
      </c>
      <c r="F852" s="11">
        <f t="shared" si="53"/>
        <v>5</v>
      </c>
      <c r="G852" s="11" t="str">
        <f t="shared" si="54"/>
        <v>202505</v>
      </c>
      <c r="H852" s="4">
        <v>45808</v>
      </c>
      <c r="I852" s="5">
        <v>26</v>
      </c>
      <c r="J852" s="5">
        <v>0.8666666666666667</v>
      </c>
      <c r="K852" s="5">
        <f t="shared" si="55"/>
        <v>1</v>
      </c>
      <c r="L852" s="5">
        <v>1</v>
      </c>
      <c r="M852" s="5">
        <v>1</v>
      </c>
      <c r="N852" t="s">
        <v>9</v>
      </c>
      <c r="O852" s="8">
        <v>19.947945205479453</v>
      </c>
      <c r="P852" t="s">
        <v>32</v>
      </c>
      <c r="Q852">
        <v>1</v>
      </c>
      <c r="R852" s="2">
        <v>38501</v>
      </c>
    </row>
    <row r="853" spans="1:18" x14ac:dyDescent="0.3">
      <c r="A853" t="s">
        <v>7</v>
      </c>
      <c r="B853">
        <v>18633978</v>
      </c>
      <c r="C853" t="s">
        <v>10</v>
      </c>
      <c r="D853" s="4">
        <v>45782</v>
      </c>
      <c r="E853" s="11">
        <f t="shared" si="52"/>
        <v>2025</v>
      </c>
      <c r="F853" s="11">
        <f t="shared" si="53"/>
        <v>5</v>
      </c>
      <c r="G853" s="11" t="str">
        <f t="shared" si="54"/>
        <v>202505</v>
      </c>
      <c r="H853" s="4">
        <v>46027</v>
      </c>
      <c r="I853" s="5">
        <v>245</v>
      </c>
      <c r="J853" s="5">
        <v>8.1666666666666661</v>
      </c>
      <c r="K853" s="5">
        <f t="shared" si="55"/>
        <v>0</v>
      </c>
      <c r="L853" s="5">
        <v>0</v>
      </c>
      <c r="M853" s="5">
        <v>0</v>
      </c>
      <c r="N853" t="s">
        <v>9</v>
      </c>
      <c r="O853" s="8">
        <v>21.32054794520548</v>
      </c>
      <c r="P853" t="s">
        <v>33</v>
      </c>
      <c r="Q853">
        <v>2</v>
      </c>
      <c r="R853" s="2">
        <v>38000</v>
      </c>
    </row>
    <row r="854" spans="1:18" x14ac:dyDescent="0.3">
      <c r="A854" t="s">
        <v>7</v>
      </c>
      <c r="B854">
        <v>18633979</v>
      </c>
      <c r="C854" t="s">
        <v>10</v>
      </c>
      <c r="D854" s="4">
        <v>45782</v>
      </c>
      <c r="E854" s="11">
        <f t="shared" si="52"/>
        <v>2025</v>
      </c>
      <c r="F854" s="11">
        <f t="shared" si="53"/>
        <v>5</v>
      </c>
      <c r="G854" s="11" t="str">
        <f t="shared" si="54"/>
        <v>202505</v>
      </c>
      <c r="I854" s="5">
        <v>9999</v>
      </c>
      <c r="J854" s="5">
        <v>333.3</v>
      </c>
      <c r="K854" s="5">
        <f t="shared" si="55"/>
        <v>0</v>
      </c>
      <c r="L854" s="5">
        <v>0</v>
      </c>
      <c r="M854" s="5">
        <v>0</v>
      </c>
      <c r="N854" t="s">
        <v>12</v>
      </c>
      <c r="O854" s="8">
        <v>20.758904109589039</v>
      </c>
      <c r="P854" t="s">
        <v>32</v>
      </c>
      <c r="Q854">
        <v>1</v>
      </c>
      <c r="R854" s="2">
        <v>38205</v>
      </c>
    </row>
    <row r="855" spans="1:18" x14ac:dyDescent="0.3">
      <c r="A855" t="s">
        <v>7</v>
      </c>
      <c r="B855">
        <v>18634008</v>
      </c>
      <c r="C855" t="s">
        <v>8</v>
      </c>
      <c r="D855" s="4">
        <v>45782</v>
      </c>
      <c r="E855" s="11">
        <f t="shared" si="52"/>
        <v>2025</v>
      </c>
      <c r="F855" s="11">
        <f t="shared" si="53"/>
        <v>5</v>
      </c>
      <c r="G855" s="11" t="str">
        <f t="shared" si="54"/>
        <v>202505</v>
      </c>
      <c r="H855" s="4">
        <v>45839</v>
      </c>
      <c r="I855" s="5">
        <v>57</v>
      </c>
      <c r="J855" s="5">
        <v>1.9</v>
      </c>
      <c r="K855" s="5">
        <f t="shared" si="55"/>
        <v>0</v>
      </c>
      <c r="L855" s="5">
        <v>1</v>
      </c>
      <c r="M855" s="5">
        <v>1</v>
      </c>
      <c r="N855" t="s">
        <v>9</v>
      </c>
      <c r="O855" s="8">
        <v>31.969863013698632</v>
      </c>
      <c r="P855" t="s">
        <v>35</v>
      </c>
      <c r="Q855">
        <v>4</v>
      </c>
      <c r="R855" s="2">
        <v>34113</v>
      </c>
    </row>
    <row r="856" spans="1:18" x14ac:dyDescent="0.3">
      <c r="A856" t="s">
        <v>11</v>
      </c>
      <c r="B856">
        <v>18634011</v>
      </c>
      <c r="C856" t="s">
        <v>10</v>
      </c>
      <c r="D856" s="4">
        <v>45782</v>
      </c>
      <c r="E856" s="11">
        <f t="shared" si="52"/>
        <v>2025</v>
      </c>
      <c r="F856" s="11">
        <f t="shared" si="53"/>
        <v>5</v>
      </c>
      <c r="G856" s="11" t="str">
        <f t="shared" si="54"/>
        <v>202505</v>
      </c>
      <c r="H856" s="4">
        <v>45839</v>
      </c>
      <c r="I856" s="5">
        <v>57</v>
      </c>
      <c r="J856" s="5">
        <v>1.9</v>
      </c>
      <c r="K856" s="5">
        <f t="shared" si="55"/>
        <v>0</v>
      </c>
      <c r="L856" s="5">
        <v>1</v>
      </c>
      <c r="M856" s="5">
        <v>1</v>
      </c>
      <c r="N856" t="s">
        <v>9</v>
      </c>
      <c r="O856" s="8">
        <v>20.18904109589041</v>
      </c>
      <c r="P856" t="s">
        <v>32</v>
      </c>
      <c r="Q856">
        <v>1</v>
      </c>
      <c r="R856" s="2">
        <v>38413</v>
      </c>
    </row>
    <row r="857" spans="1:18" x14ac:dyDescent="0.3">
      <c r="A857" t="s">
        <v>7</v>
      </c>
      <c r="B857">
        <v>18634012</v>
      </c>
      <c r="C857" t="s">
        <v>8</v>
      </c>
      <c r="D857" s="4">
        <v>45782</v>
      </c>
      <c r="E857" s="11">
        <f t="shared" si="52"/>
        <v>2025</v>
      </c>
      <c r="F857" s="11">
        <f t="shared" si="53"/>
        <v>5</v>
      </c>
      <c r="G857" s="11" t="str">
        <f t="shared" si="54"/>
        <v>202505</v>
      </c>
      <c r="I857" s="5">
        <v>9999</v>
      </c>
      <c r="J857" s="5">
        <v>333.3</v>
      </c>
      <c r="K857" s="5">
        <f t="shared" si="55"/>
        <v>0</v>
      </c>
      <c r="L857" s="5">
        <v>0</v>
      </c>
      <c r="M857" s="5">
        <v>0</v>
      </c>
      <c r="N857" t="s">
        <v>9</v>
      </c>
      <c r="O857" s="8">
        <v>20.238356164383561</v>
      </c>
      <c r="P857" t="s">
        <v>32</v>
      </c>
      <c r="Q857">
        <v>1</v>
      </c>
      <c r="R857" s="2">
        <v>38395</v>
      </c>
    </row>
    <row r="858" spans="1:18" x14ac:dyDescent="0.3">
      <c r="A858" t="s">
        <v>7</v>
      </c>
      <c r="B858">
        <v>18634029</v>
      </c>
      <c r="C858" t="s">
        <v>8</v>
      </c>
      <c r="D858" s="4">
        <v>45782</v>
      </c>
      <c r="E858" s="11">
        <f t="shared" si="52"/>
        <v>2025</v>
      </c>
      <c r="F858" s="11">
        <f t="shared" si="53"/>
        <v>5</v>
      </c>
      <c r="G858" s="11" t="str">
        <f t="shared" si="54"/>
        <v>202505</v>
      </c>
      <c r="H858" s="4">
        <v>46113</v>
      </c>
      <c r="I858" s="5">
        <v>331</v>
      </c>
      <c r="J858" s="5">
        <v>11.033333333333333</v>
      </c>
      <c r="K858" s="5">
        <f t="shared" si="55"/>
        <v>0</v>
      </c>
      <c r="L858" s="5">
        <v>0</v>
      </c>
      <c r="M858" s="5">
        <v>0</v>
      </c>
      <c r="N858" t="s">
        <v>12</v>
      </c>
      <c r="O858" s="8">
        <v>29.476712328767125</v>
      </c>
      <c r="P858" t="s">
        <v>34</v>
      </c>
      <c r="Q858">
        <v>3</v>
      </c>
      <c r="R858" s="2">
        <v>35023</v>
      </c>
    </row>
    <row r="859" spans="1:18" x14ac:dyDescent="0.3">
      <c r="A859" t="s">
        <v>7</v>
      </c>
      <c r="B859">
        <v>18634030</v>
      </c>
      <c r="C859" t="s">
        <v>8</v>
      </c>
      <c r="D859" s="4">
        <v>45782</v>
      </c>
      <c r="E859" s="11">
        <f t="shared" si="52"/>
        <v>2025</v>
      </c>
      <c r="F859" s="11">
        <f t="shared" si="53"/>
        <v>5</v>
      </c>
      <c r="G859" s="11" t="str">
        <f t="shared" si="54"/>
        <v>202505</v>
      </c>
      <c r="H859" s="4">
        <v>46068</v>
      </c>
      <c r="I859" s="5">
        <v>286</v>
      </c>
      <c r="J859" s="5">
        <v>9.5333333333333332</v>
      </c>
      <c r="K859" s="5">
        <f t="shared" si="55"/>
        <v>0</v>
      </c>
      <c r="L859" s="5">
        <v>0</v>
      </c>
      <c r="M859" s="5">
        <v>0</v>
      </c>
      <c r="N859" t="s">
        <v>12</v>
      </c>
      <c r="O859" s="8">
        <v>23.641095890410959</v>
      </c>
      <c r="P859" t="s">
        <v>33</v>
      </c>
      <c r="Q859">
        <v>2</v>
      </c>
      <c r="R859" s="2">
        <v>37153</v>
      </c>
    </row>
    <row r="860" spans="1:18" x14ac:dyDescent="0.3">
      <c r="A860" t="s">
        <v>7</v>
      </c>
      <c r="B860">
        <v>18634032</v>
      </c>
      <c r="C860" t="s">
        <v>8</v>
      </c>
      <c r="D860" s="4">
        <v>45782</v>
      </c>
      <c r="E860" s="11">
        <f t="shared" si="52"/>
        <v>2025</v>
      </c>
      <c r="F860" s="11">
        <f t="shared" si="53"/>
        <v>5</v>
      </c>
      <c r="G860" s="11" t="str">
        <f t="shared" si="54"/>
        <v>202505</v>
      </c>
      <c r="H860" s="4">
        <v>45884</v>
      </c>
      <c r="I860" s="5">
        <v>102</v>
      </c>
      <c r="J860" s="5">
        <v>3.4</v>
      </c>
      <c r="K860" s="5">
        <f t="shared" si="55"/>
        <v>0</v>
      </c>
      <c r="L860" s="5">
        <v>0</v>
      </c>
      <c r="M860" s="5">
        <v>1</v>
      </c>
      <c r="N860" t="s">
        <v>9</v>
      </c>
      <c r="O860" s="8">
        <v>21.032876712328768</v>
      </c>
      <c r="P860" t="s">
        <v>33</v>
      </c>
      <c r="Q860">
        <v>2</v>
      </c>
      <c r="R860" s="2">
        <v>38105</v>
      </c>
    </row>
    <row r="861" spans="1:18" x14ac:dyDescent="0.3">
      <c r="A861" t="s">
        <v>7</v>
      </c>
      <c r="B861">
        <v>18634046</v>
      </c>
      <c r="C861" t="s">
        <v>8</v>
      </c>
      <c r="D861" s="4">
        <v>45782</v>
      </c>
      <c r="E861" s="11">
        <f t="shared" si="52"/>
        <v>2025</v>
      </c>
      <c r="F861" s="11">
        <f t="shared" si="53"/>
        <v>5</v>
      </c>
      <c r="G861" s="11" t="str">
        <f t="shared" si="54"/>
        <v>202505</v>
      </c>
      <c r="H861" s="4">
        <v>45950</v>
      </c>
      <c r="I861" s="5">
        <v>168</v>
      </c>
      <c r="J861" s="5">
        <v>5.6</v>
      </c>
      <c r="K861" s="5">
        <f t="shared" si="55"/>
        <v>0</v>
      </c>
      <c r="L861" s="5">
        <v>0</v>
      </c>
      <c r="M861" s="5">
        <v>1</v>
      </c>
      <c r="N861" t="s">
        <v>9</v>
      </c>
      <c r="O861" s="8">
        <v>31.75068493150685</v>
      </c>
      <c r="P861" t="s">
        <v>35</v>
      </c>
      <c r="Q861">
        <v>4</v>
      </c>
      <c r="R861" s="2">
        <v>34193</v>
      </c>
    </row>
    <row r="862" spans="1:18" x14ac:dyDescent="0.3">
      <c r="A862" t="s">
        <v>7</v>
      </c>
      <c r="B862">
        <v>18634049</v>
      </c>
      <c r="C862" t="s">
        <v>10</v>
      </c>
      <c r="D862" s="4">
        <v>45782</v>
      </c>
      <c r="E862" s="11">
        <f t="shared" si="52"/>
        <v>2025</v>
      </c>
      <c r="F862" s="11">
        <f t="shared" si="53"/>
        <v>5</v>
      </c>
      <c r="G862" s="11" t="str">
        <f t="shared" si="54"/>
        <v>202505</v>
      </c>
      <c r="H862" s="4">
        <v>45992</v>
      </c>
      <c r="I862" s="5">
        <v>210</v>
      </c>
      <c r="J862" s="5">
        <v>7</v>
      </c>
      <c r="K862" s="5">
        <f t="shared" si="55"/>
        <v>0</v>
      </c>
      <c r="L862" s="5">
        <v>0</v>
      </c>
      <c r="M862" s="5">
        <v>0</v>
      </c>
      <c r="N862" t="s">
        <v>12</v>
      </c>
      <c r="O862" s="8">
        <v>20.156164383561645</v>
      </c>
      <c r="P862" t="s">
        <v>32</v>
      </c>
      <c r="Q862">
        <v>1</v>
      </c>
      <c r="R862" s="2">
        <v>38425</v>
      </c>
    </row>
    <row r="863" spans="1:18" x14ac:dyDescent="0.3">
      <c r="A863" t="s">
        <v>7</v>
      </c>
      <c r="B863">
        <v>18634563</v>
      </c>
      <c r="C863" t="s">
        <v>8</v>
      </c>
      <c r="D863" s="4">
        <v>45783</v>
      </c>
      <c r="E863" s="11">
        <f t="shared" si="52"/>
        <v>2025</v>
      </c>
      <c r="F863" s="11">
        <f t="shared" si="53"/>
        <v>5</v>
      </c>
      <c r="G863" s="11" t="str">
        <f t="shared" si="54"/>
        <v>202505</v>
      </c>
      <c r="H863" s="4">
        <v>46086</v>
      </c>
      <c r="I863" s="5">
        <v>303</v>
      </c>
      <c r="J863" s="5">
        <v>10.1</v>
      </c>
      <c r="K863" s="5">
        <f t="shared" si="55"/>
        <v>0</v>
      </c>
      <c r="L863" s="5">
        <v>0</v>
      </c>
      <c r="M863" s="5">
        <v>0</v>
      </c>
      <c r="N863" t="s">
        <v>9</v>
      </c>
      <c r="O863" s="8">
        <v>46.884931506849313</v>
      </c>
      <c r="P863" t="s">
        <v>35</v>
      </c>
      <c r="Q863">
        <v>4</v>
      </c>
      <c r="R863" s="2">
        <v>28670</v>
      </c>
    </row>
    <row r="864" spans="1:18" x14ac:dyDescent="0.3">
      <c r="A864" t="s">
        <v>7</v>
      </c>
      <c r="B864">
        <v>18634640</v>
      </c>
      <c r="C864" t="s">
        <v>8</v>
      </c>
      <c r="D864" s="4">
        <v>45783</v>
      </c>
      <c r="E864" s="11">
        <f t="shared" si="52"/>
        <v>2025</v>
      </c>
      <c r="F864" s="11">
        <f t="shared" si="53"/>
        <v>5</v>
      </c>
      <c r="G864" s="11" t="str">
        <f t="shared" si="54"/>
        <v>202505</v>
      </c>
      <c r="I864" s="5">
        <v>9999</v>
      </c>
      <c r="J864" s="5">
        <v>333.3</v>
      </c>
      <c r="K864" s="5">
        <f t="shared" si="55"/>
        <v>0</v>
      </c>
      <c r="L864" s="5">
        <v>0</v>
      </c>
      <c r="M864" s="5">
        <v>0</v>
      </c>
      <c r="N864" t="s">
        <v>9</v>
      </c>
      <c r="O864" s="8">
        <v>18.904109589041095</v>
      </c>
      <c r="P864" t="s">
        <v>32</v>
      </c>
      <c r="Q864">
        <v>1</v>
      </c>
      <c r="R864" s="2">
        <v>38883</v>
      </c>
    </row>
    <row r="865" spans="1:18" x14ac:dyDescent="0.3">
      <c r="A865" t="s">
        <v>7</v>
      </c>
      <c r="B865">
        <v>18641071</v>
      </c>
      <c r="C865" t="s">
        <v>8</v>
      </c>
      <c r="D865" s="4">
        <v>45784</v>
      </c>
      <c r="E865" s="11">
        <f t="shared" si="52"/>
        <v>2025</v>
      </c>
      <c r="F865" s="11">
        <f t="shared" si="53"/>
        <v>5</v>
      </c>
      <c r="G865" s="11" t="str">
        <f t="shared" si="54"/>
        <v>202505</v>
      </c>
      <c r="H865" s="4">
        <v>45876</v>
      </c>
      <c r="I865" s="5">
        <v>92</v>
      </c>
      <c r="J865" s="5">
        <v>3.0666666666666669</v>
      </c>
      <c r="K865" s="5">
        <f t="shared" si="55"/>
        <v>0</v>
      </c>
      <c r="L865" s="5">
        <v>0</v>
      </c>
      <c r="M865" s="5">
        <v>1</v>
      </c>
      <c r="N865" t="s">
        <v>12</v>
      </c>
      <c r="O865" s="8">
        <v>18.824657534246576</v>
      </c>
      <c r="P865" t="s">
        <v>32</v>
      </c>
      <c r="Q865">
        <v>1</v>
      </c>
      <c r="R865" s="2">
        <v>38913</v>
      </c>
    </row>
    <row r="866" spans="1:18" x14ac:dyDescent="0.3">
      <c r="A866" t="s">
        <v>7</v>
      </c>
      <c r="B866">
        <v>18641394</v>
      </c>
      <c r="C866" t="s">
        <v>8</v>
      </c>
      <c r="D866" s="4">
        <v>45784</v>
      </c>
      <c r="E866" s="11">
        <f t="shared" si="52"/>
        <v>2025</v>
      </c>
      <c r="F866" s="11">
        <f t="shared" si="53"/>
        <v>5</v>
      </c>
      <c r="G866" s="11" t="str">
        <f t="shared" si="54"/>
        <v>202505</v>
      </c>
      <c r="I866" s="5">
        <v>9999</v>
      </c>
      <c r="J866" s="5">
        <v>333.3</v>
      </c>
      <c r="K866" s="5">
        <f t="shared" si="55"/>
        <v>0</v>
      </c>
      <c r="L866" s="5">
        <v>0</v>
      </c>
      <c r="M866" s="5">
        <v>0</v>
      </c>
      <c r="N866" t="s">
        <v>12</v>
      </c>
      <c r="O866" s="8">
        <v>26.052054794520547</v>
      </c>
      <c r="P866" t="s">
        <v>34</v>
      </c>
      <c r="Q866">
        <v>3</v>
      </c>
      <c r="R866" s="2">
        <v>36275</v>
      </c>
    </row>
    <row r="867" spans="1:18" x14ac:dyDescent="0.3">
      <c r="A867" t="s">
        <v>7</v>
      </c>
      <c r="B867">
        <v>18641546</v>
      </c>
      <c r="C867" t="s">
        <v>8</v>
      </c>
      <c r="D867" s="4">
        <v>45784</v>
      </c>
      <c r="E867" s="11">
        <f t="shared" si="52"/>
        <v>2025</v>
      </c>
      <c r="F867" s="11">
        <f t="shared" si="53"/>
        <v>5</v>
      </c>
      <c r="G867" s="11" t="str">
        <f t="shared" si="54"/>
        <v>202505</v>
      </c>
      <c r="H867" s="4">
        <v>45845</v>
      </c>
      <c r="I867" s="5">
        <v>61</v>
      </c>
      <c r="J867" s="5">
        <v>2.0333333333333332</v>
      </c>
      <c r="K867" s="5">
        <f t="shared" si="55"/>
        <v>0</v>
      </c>
      <c r="L867" s="5">
        <v>1</v>
      </c>
      <c r="M867" s="5">
        <v>1</v>
      </c>
      <c r="N867" t="s">
        <v>9</v>
      </c>
      <c r="O867" s="8">
        <v>23.246575342465754</v>
      </c>
      <c r="P867" t="s">
        <v>33</v>
      </c>
      <c r="Q867">
        <v>2</v>
      </c>
      <c r="R867" s="2">
        <v>37299</v>
      </c>
    </row>
    <row r="868" spans="1:18" x14ac:dyDescent="0.3">
      <c r="A868" t="s">
        <v>7</v>
      </c>
      <c r="B868">
        <v>18641709</v>
      </c>
      <c r="C868" t="s">
        <v>8</v>
      </c>
      <c r="D868" s="4">
        <v>45784</v>
      </c>
      <c r="E868" s="11">
        <f t="shared" si="52"/>
        <v>2025</v>
      </c>
      <c r="F868" s="11">
        <f t="shared" si="53"/>
        <v>5</v>
      </c>
      <c r="G868" s="11" t="str">
        <f t="shared" si="54"/>
        <v>202505</v>
      </c>
      <c r="H868" s="4">
        <v>45900</v>
      </c>
      <c r="I868" s="5">
        <v>116</v>
      </c>
      <c r="J868" s="5">
        <v>3.8666666666666667</v>
      </c>
      <c r="K868" s="5">
        <f t="shared" si="55"/>
        <v>0</v>
      </c>
      <c r="L868" s="5">
        <v>0</v>
      </c>
      <c r="M868" s="5">
        <v>1</v>
      </c>
      <c r="N868" t="s">
        <v>9</v>
      </c>
      <c r="O868" s="8">
        <v>18.517808219178082</v>
      </c>
      <c r="P868" t="s">
        <v>32</v>
      </c>
      <c r="Q868">
        <v>1</v>
      </c>
      <c r="R868" s="2">
        <v>39025</v>
      </c>
    </row>
    <row r="869" spans="1:18" x14ac:dyDescent="0.3">
      <c r="A869" t="s">
        <v>7</v>
      </c>
      <c r="B869">
        <v>18641803</v>
      </c>
      <c r="C869" t="s">
        <v>8</v>
      </c>
      <c r="D869" s="4">
        <v>45784</v>
      </c>
      <c r="E869" s="11">
        <f t="shared" si="52"/>
        <v>2025</v>
      </c>
      <c r="F869" s="11">
        <f t="shared" si="53"/>
        <v>5</v>
      </c>
      <c r="G869" s="11" t="str">
        <f t="shared" si="54"/>
        <v>202505</v>
      </c>
      <c r="I869" s="5">
        <v>9999</v>
      </c>
      <c r="J869" s="5">
        <v>333.3</v>
      </c>
      <c r="K869" s="5">
        <f t="shared" si="55"/>
        <v>0</v>
      </c>
      <c r="L869" s="5">
        <v>0</v>
      </c>
      <c r="M869" s="5">
        <v>0</v>
      </c>
      <c r="N869" t="s">
        <v>9</v>
      </c>
      <c r="O869" s="8">
        <v>22.358904109589041</v>
      </c>
      <c r="P869" t="s">
        <v>33</v>
      </c>
      <c r="Q869">
        <v>2</v>
      </c>
      <c r="R869" s="2">
        <v>37623</v>
      </c>
    </row>
    <row r="870" spans="1:18" x14ac:dyDescent="0.3">
      <c r="A870" t="s">
        <v>7</v>
      </c>
      <c r="B870">
        <v>18642081</v>
      </c>
      <c r="C870" t="s">
        <v>10</v>
      </c>
      <c r="D870" s="4">
        <v>45784</v>
      </c>
      <c r="E870" s="11">
        <f t="shared" si="52"/>
        <v>2025</v>
      </c>
      <c r="F870" s="11">
        <f t="shared" si="53"/>
        <v>5</v>
      </c>
      <c r="G870" s="11" t="str">
        <f t="shared" si="54"/>
        <v>202505</v>
      </c>
      <c r="H870" s="4">
        <v>45808</v>
      </c>
      <c r="I870" s="5">
        <v>24</v>
      </c>
      <c r="J870" s="5">
        <v>0.8</v>
      </c>
      <c r="K870" s="5">
        <f t="shared" si="55"/>
        <v>1</v>
      </c>
      <c r="L870" s="5">
        <v>1</v>
      </c>
      <c r="M870" s="5">
        <v>1</v>
      </c>
      <c r="N870" t="s">
        <v>12</v>
      </c>
      <c r="O870" s="8">
        <v>19.487671232876714</v>
      </c>
      <c r="P870" t="s">
        <v>32</v>
      </c>
      <c r="Q870">
        <v>1</v>
      </c>
      <c r="R870" s="2">
        <v>38671</v>
      </c>
    </row>
    <row r="871" spans="1:18" x14ac:dyDescent="0.3">
      <c r="A871" t="s">
        <v>7</v>
      </c>
      <c r="B871">
        <v>18642871</v>
      </c>
      <c r="C871" t="s">
        <v>8</v>
      </c>
      <c r="D871" s="4">
        <v>45784</v>
      </c>
      <c r="E871" s="11">
        <f t="shared" si="52"/>
        <v>2025</v>
      </c>
      <c r="F871" s="11">
        <f t="shared" si="53"/>
        <v>5</v>
      </c>
      <c r="G871" s="11" t="str">
        <f t="shared" si="54"/>
        <v>202505</v>
      </c>
      <c r="H871" s="4">
        <v>46112</v>
      </c>
      <c r="I871" s="5">
        <v>328</v>
      </c>
      <c r="J871" s="5">
        <v>10.933333333333334</v>
      </c>
      <c r="K871" s="5">
        <f t="shared" si="55"/>
        <v>0</v>
      </c>
      <c r="L871" s="5">
        <v>0</v>
      </c>
      <c r="M871" s="5">
        <v>0</v>
      </c>
      <c r="N871" t="s">
        <v>12</v>
      </c>
      <c r="O871" s="8">
        <v>21.038356164383561</v>
      </c>
      <c r="P871" t="s">
        <v>33</v>
      </c>
      <c r="Q871">
        <v>2</v>
      </c>
      <c r="R871" s="2">
        <v>38105</v>
      </c>
    </row>
    <row r="872" spans="1:18" x14ac:dyDescent="0.3">
      <c r="A872" t="s">
        <v>7</v>
      </c>
      <c r="B872">
        <v>18643524</v>
      </c>
      <c r="C872" t="s">
        <v>8</v>
      </c>
      <c r="D872" s="4">
        <v>45964</v>
      </c>
      <c r="E872" s="11">
        <f t="shared" si="52"/>
        <v>2025</v>
      </c>
      <c r="F872" s="11">
        <f t="shared" si="53"/>
        <v>11</v>
      </c>
      <c r="G872" s="11" t="str">
        <f t="shared" si="54"/>
        <v>202511</v>
      </c>
      <c r="H872" s="4">
        <v>45992</v>
      </c>
      <c r="I872" s="5">
        <v>28</v>
      </c>
      <c r="J872" s="5">
        <v>0.93333333333333335</v>
      </c>
      <c r="K872" s="5">
        <f t="shared" si="55"/>
        <v>1</v>
      </c>
      <c r="L872" s="5">
        <v>1</v>
      </c>
      <c r="M872" s="5">
        <v>1</v>
      </c>
      <c r="N872" t="s">
        <v>12</v>
      </c>
      <c r="O872" s="8">
        <v>37.986301369863014</v>
      </c>
      <c r="P872" t="s">
        <v>35</v>
      </c>
      <c r="Q872">
        <v>4</v>
      </c>
      <c r="R872" s="2">
        <v>32099</v>
      </c>
    </row>
    <row r="873" spans="1:18" x14ac:dyDescent="0.3">
      <c r="A873" t="s">
        <v>7</v>
      </c>
      <c r="B873">
        <v>18643582</v>
      </c>
      <c r="C873" t="s">
        <v>8</v>
      </c>
      <c r="D873" s="4">
        <v>45785</v>
      </c>
      <c r="E873" s="11">
        <f t="shared" si="52"/>
        <v>2025</v>
      </c>
      <c r="F873" s="11">
        <f t="shared" si="53"/>
        <v>5</v>
      </c>
      <c r="G873" s="11" t="str">
        <f t="shared" si="54"/>
        <v>202505</v>
      </c>
      <c r="I873" s="5">
        <v>9999</v>
      </c>
      <c r="J873" s="5">
        <v>333.3</v>
      </c>
      <c r="K873" s="5">
        <f t="shared" si="55"/>
        <v>0</v>
      </c>
      <c r="L873" s="5">
        <v>0</v>
      </c>
      <c r="M873" s="5">
        <v>0</v>
      </c>
      <c r="N873" t="s">
        <v>9</v>
      </c>
      <c r="O873" s="8">
        <v>38.257534246575339</v>
      </c>
      <c r="P873" t="s">
        <v>35</v>
      </c>
      <c r="Q873">
        <v>4</v>
      </c>
      <c r="R873" s="2">
        <v>31821</v>
      </c>
    </row>
    <row r="874" spans="1:18" x14ac:dyDescent="0.3">
      <c r="A874" t="s">
        <v>7</v>
      </c>
      <c r="B874">
        <v>18643583</v>
      </c>
      <c r="C874" t="s">
        <v>8</v>
      </c>
      <c r="D874" s="4">
        <v>45785</v>
      </c>
      <c r="E874" s="11">
        <f t="shared" si="52"/>
        <v>2025</v>
      </c>
      <c r="F874" s="11">
        <f t="shared" si="53"/>
        <v>5</v>
      </c>
      <c r="G874" s="11" t="str">
        <f t="shared" si="54"/>
        <v>202505</v>
      </c>
      <c r="H874" s="4">
        <v>46023</v>
      </c>
      <c r="I874" s="5">
        <v>238</v>
      </c>
      <c r="J874" s="5">
        <v>7.9333333333333336</v>
      </c>
      <c r="K874" s="5">
        <f t="shared" si="55"/>
        <v>0</v>
      </c>
      <c r="L874" s="5">
        <v>0</v>
      </c>
      <c r="M874" s="5">
        <v>0</v>
      </c>
      <c r="N874" t="s">
        <v>9</v>
      </c>
      <c r="O874" s="8">
        <v>21.038356164383561</v>
      </c>
      <c r="P874" t="s">
        <v>33</v>
      </c>
      <c r="Q874">
        <v>2</v>
      </c>
      <c r="R874" s="2">
        <v>38106</v>
      </c>
    </row>
    <row r="875" spans="1:18" x14ac:dyDescent="0.3">
      <c r="A875" t="s">
        <v>7</v>
      </c>
      <c r="B875">
        <v>18643584</v>
      </c>
      <c r="C875" t="s">
        <v>8</v>
      </c>
      <c r="D875" s="4">
        <v>45785</v>
      </c>
      <c r="E875" s="11">
        <f t="shared" si="52"/>
        <v>2025</v>
      </c>
      <c r="F875" s="11">
        <f t="shared" si="53"/>
        <v>5</v>
      </c>
      <c r="G875" s="11" t="str">
        <f t="shared" si="54"/>
        <v>202505</v>
      </c>
      <c r="H875" s="4">
        <v>45873</v>
      </c>
      <c r="I875" s="5">
        <v>88</v>
      </c>
      <c r="J875" s="5">
        <v>2.9333333333333331</v>
      </c>
      <c r="K875" s="5">
        <f t="shared" si="55"/>
        <v>0</v>
      </c>
      <c r="L875" s="5">
        <v>1</v>
      </c>
      <c r="M875" s="5">
        <v>1</v>
      </c>
      <c r="N875" t="s">
        <v>9</v>
      </c>
      <c r="O875" s="8">
        <v>18.643835616438356</v>
      </c>
      <c r="P875" t="s">
        <v>32</v>
      </c>
      <c r="Q875">
        <v>1</v>
      </c>
      <c r="R875" s="2">
        <v>38980</v>
      </c>
    </row>
    <row r="876" spans="1:18" x14ac:dyDescent="0.3">
      <c r="A876" t="s">
        <v>7</v>
      </c>
      <c r="B876">
        <v>18643587</v>
      </c>
      <c r="C876" t="s">
        <v>8</v>
      </c>
      <c r="D876" s="4">
        <v>45785</v>
      </c>
      <c r="E876" s="11">
        <f t="shared" si="52"/>
        <v>2025</v>
      </c>
      <c r="F876" s="11">
        <f t="shared" si="53"/>
        <v>5</v>
      </c>
      <c r="G876" s="11" t="str">
        <f t="shared" si="54"/>
        <v>202505</v>
      </c>
      <c r="I876" s="5">
        <v>9999</v>
      </c>
      <c r="J876" s="5">
        <v>333.3</v>
      </c>
      <c r="K876" s="5">
        <f t="shared" si="55"/>
        <v>0</v>
      </c>
      <c r="L876" s="5">
        <v>0</v>
      </c>
      <c r="M876" s="5">
        <v>0</v>
      </c>
      <c r="N876" t="s">
        <v>9</v>
      </c>
      <c r="O876" s="8">
        <v>23.802739726027397</v>
      </c>
      <c r="P876" t="s">
        <v>33</v>
      </c>
      <c r="Q876">
        <v>2</v>
      </c>
      <c r="R876" s="2">
        <v>37097</v>
      </c>
    </row>
    <row r="877" spans="1:18" x14ac:dyDescent="0.3">
      <c r="A877" t="s">
        <v>7</v>
      </c>
      <c r="B877">
        <v>18643595</v>
      </c>
      <c r="C877" t="s">
        <v>10</v>
      </c>
      <c r="D877" s="4">
        <v>45785</v>
      </c>
      <c r="E877" s="11">
        <f t="shared" si="52"/>
        <v>2025</v>
      </c>
      <c r="F877" s="11">
        <f t="shared" si="53"/>
        <v>5</v>
      </c>
      <c r="G877" s="11" t="str">
        <f t="shared" si="54"/>
        <v>202505</v>
      </c>
      <c r="H877" s="4">
        <v>45838</v>
      </c>
      <c r="I877" s="5">
        <v>53</v>
      </c>
      <c r="J877" s="5">
        <v>1.7666666666666666</v>
      </c>
      <c r="K877" s="5">
        <f t="shared" si="55"/>
        <v>0</v>
      </c>
      <c r="L877" s="5">
        <v>1</v>
      </c>
      <c r="M877" s="5">
        <v>1</v>
      </c>
      <c r="N877" t="s">
        <v>9</v>
      </c>
      <c r="O877" s="8">
        <v>18.67945205479452</v>
      </c>
      <c r="P877" t="s">
        <v>32</v>
      </c>
      <c r="Q877">
        <v>1</v>
      </c>
      <c r="R877" s="2">
        <v>38967</v>
      </c>
    </row>
    <row r="878" spans="1:18" x14ac:dyDescent="0.3">
      <c r="A878" t="s">
        <v>7</v>
      </c>
      <c r="B878">
        <v>18643598</v>
      </c>
      <c r="C878" t="s">
        <v>8</v>
      </c>
      <c r="D878" s="4">
        <v>45785</v>
      </c>
      <c r="E878" s="11">
        <f t="shared" si="52"/>
        <v>2025</v>
      </c>
      <c r="F878" s="11">
        <f t="shared" si="53"/>
        <v>5</v>
      </c>
      <c r="G878" s="11" t="str">
        <f t="shared" si="54"/>
        <v>202505</v>
      </c>
      <c r="I878" s="5">
        <v>9999</v>
      </c>
      <c r="J878" s="5">
        <v>333.3</v>
      </c>
      <c r="K878" s="5">
        <f t="shared" si="55"/>
        <v>0</v>
      </c>
      <c r="L878" s="5">
        <v>0</v>
      </c>
      <c r="M878" s="5">
        <v>0</v>
      </c>
      <c r="N878" t="s">
        <v>9</v>
      </c>
      <c r="O878" s="8">
        <v>19.624657534246577</v>
      </c>
      <c r="P878" t="s">
        <v>32</v>
      </c>
      <c r="Q878">
        <v>1</v>
      </c>
      <c r="R878" s="2">
        <v>38622</v>
      </c>
    </row>
    <row r="879" spans="1:18" x14ac:dyDescent="0.3">
      <c r="A879" t="s">
        <v>7</v>
      </c>
      <c r="B879">
        <v>18643599</v>
      </c>
      <c r="C879" t="s">
        <v>10</v>
      </c>
      <c r="D879" s="4">
        <v>45785</v>
      </c>
      <c r="E879" s="11">
        <f t="shared" si="52"/>
        <v>2025</v>
      </c>
      <c r="F879" s="11">
        <f t="shared" si="53"/>
        <v>5</v>
      </c>
      <c r="G879" s="11" t="str">
        <f t="shared" si="54"/>
        <v>202505</v>
      </c>
      <c r="H879" s="4">
        <v>45930</v>
      </c>
      <c r="I879" s="5">
        <v>145</v>
      </c>
      <c r="J879" s="5">
        <v>4.833333333333333</v>
      </c>
      <c r="K879" s="5">
        <f t="shared" si="55"/>
        <v>0</v>
      </c>
      <c r="L879" s="5">
        <v>0</v>
      </c>
      <c r="M879" s="5">
        <v>1</v>
      </c>
      <c r="N879" t="s">
        <v>9</v>
      </c>
      <c r="O879" s="8">
        <v>32.926027397260277</v>
      </c>
      <c r="P879" t="s">
        <v>35</v>
      </c>
      <c r="Q879">
        <v>4</v>
      </c>
      <c r="R879" s="2">
        <v>33767</v>
      </c>
    </row>
    <row r="880" spans="1:18" x14ac:dyDescent="0.3">
      <c r="A880" t="s">
        <v>7</v>
      </c>
      <c r="B880">
        <v>18643603</v>
      </c>
      <c r="C880" t="s">
        <v>8</v>
      </c>
      <c r="D880" s="4">
        <v>45785</v>
      </c>
      <c r="E880" s="11">
        <f t="shared" si="52"/>
        <v>2025</v>
      </c>
      <c r="F880" s="11">
        <f t="shared" si="53"/>
        <v>5</v>
      </c>
      <c r="G880" s="11" t="str">
        <f t="shared" si="54"/>
        <v>202505</v>
      </c>
      <c r="H880" s="4">
        <v>45879</v>
      </c>
      <c r="I880" s="5">
        <v>94</v>
      </c>
      <c r="J880" s="5">
        <v>3.1333333333333333</v>
      </c>
      <c r="K880" s="5">
        <f t="shared" si="55"/>
        <v>0</v>
      </c>
      <c r="L880" s="5">
        <v>0</v>
      </c>
      <c r="M880" s="5">
        <v>1</v>
      </c>
      <c r="N880" t="s">
        <v>9</v>
      </c>
      <c r="O880" s="8">
        <v>21.454794520547946</v>
      </c>
      <c r="P880" t="s">
        <v>33</v>
      </c>
      <c r="Q880">
        <v>2</v>
      </c>
      <c r="R880" s="2">
        <v>37954</v>
      </c>
    </row>
    <row r="881" spans="1:18" x14ac:dyDescent="0.3">
      <c r="A881" t="s">
        <v>7</v>
      </c>
      <c r="B881">
        <v>18643605</v>
      </c>
      <c r="C881" t="s">
        <v>8</v>
      </c>
      <c r="D881" s="4">
        <v>45785</v>
      </c>
      <c r="E881" s="11">
        <f t="shared" si="52"/>
        <v>2025</v>
      </c>
      <c r="F881" s="11">
        <f t="shared" si="53"/>
        <v>5</v>
      </c>
      <c r="G881" s="11" t="str">
        <f t="shared" si="54"/>
        <v>202505</v>
      </c>
      <c r="H881" s="4">
        <v>45968</v>
      </c>
      <c r="I881" s="5">
        <v>183</v>
      </c>
      <c r="J881" s="5">
        <v>6.1</v>
      </c>
      <c r="K881" s="5">
        <f t="shared" si="55"/>
        <v>0</v>
      </c>
      <c r="L881" s="5">
        <v>0</v>
      </c>
      <c r="M881" s="5">
        <v>0</v>
      </c>
      <c r="N881" t="s">
        <v>9</v>
      </c>
      <c r="O881" s="8">
        <v>42.6</v>
      </c>
      <c r="P881" t="s">
        <v>35</v>
      </c>
      <c r="Q881">
        <v>4</v>
      </c>
      <c r="R881" s="2">
        <v>30236</v>
      </c>
    </row>
    <row r="882" spans="1:18" x14ac:dyDescent="0.3">
      <c r="A882" t="s">
        <v>7</v>
      </c>
      <c r="B882">
        <v>18643606</v>
      </c>
      <c r="C882" t="s">
        <v>8</v>
      </c>
      <c r="D882" s="4">
        <v>45785</v>
      </c>
      <c r="E882" s="11">
        <f t="shared" si="52"/>
        <v>2025</v>
      </c>
      <c r="F882" s="11">
        <f t="shared" si="53"/>
        <v>5</v>
      </c>
      <c r="G882" s="11" t="str">
        <f t="shared" si="54"/>
        <v>202505</v>
      </c>
      <c r="I882" s="5">
        <v>9999</v>
      </c>
      <c r="J882" s="5">
        <v>333.3</v>
      </c>
      <c r="K882" s="5">
        <f t="shared" si="55"/>
        <v>0</v>
      </c>
      <c r="L882" s="5">
        <v>0</v>
      </c>
      <c r="M882" s="5">
        <v>0</v>
      </c>
      <c r="N882" t="s">
        <v>9</v>
      </c>
      <c r="O882" s="8">
        <v>18.794520547945204</v>
      </c>
      <c r="P882" t="s">
        <v>32</v>
      </c>
      <c r="Q882">
        <v>1</v>
      </c>
      <c r="R882" s="2">
        <v>38925</v>
      </c>
    </row>
    <row r="883" spans="1:18" x14ac:dyDescent="0.3">
      <c r="A883" t="s">
        <v>7</v>
      </c>
      <c r="B883">
        <v>18643608</v>
      </c>
      <c r="C883" t="s">
        <v>8</v>
      </c>
      <c r="D883" s="4">
        <v>45785</v>
      </c>
      <c r="E883" s="11">
        <f t="shared" si="52"/>
        <v>2025</v>
      </c>
      <c r="F883" s="11">
        <f t="shared" si="53"/>
        <v>5</v>
      </c>
      <c r="G883" s="11" t="str">
        <f t="shared" si="54"/>
        <v>202505</v>
      </c>
      <c r="H883" s="4">
        <v>45786</v>
      </c>
      <c r="I883" s="5">
        <v>1</v>
      </c>
      <c r="J883" s="5">
        <v>3.3333333333333333E-2</v>
      </c>
      <c r="K883" s="5">
        <f t="shared" si="55"/>
        <v>1</v>
      </c>
      <c r="L883" s="5">
        <v>1</v>
      </c>
      <c r="M883" s="5">
        <v>1</v>
      </c>
      <c r="N883" t="s">
        <v>9</v>
      </c>
      <c r="O883" s="8">
        <v>27.882191780821916</v>
      </c>
      <c r="P883" t="s">
        <v>34</v>
      </c>
      <c r="Q883">
        <v>3</v>
      </c>
      <c r="R883" s="2">
        <v>35608</v>
      </c>
    </row>
    <row r="884" spans="1:18" x14ac:dyDescent="0.3">
      <c r="A884" t="s">
        <v>7</v>
      </c>
      <c r="B884">
        <v>18643610</v>
      </c>
      <c r="C884" t="s">
        <v>8</v>
      </c>
      <c r="D884" s="4">
        <v>45785</v>
      </c>
      <c r="E884" s="11">
        <f t="shared" si="52"/>
        <v>2025</v>
      </c>
      <c r="F884" s="11">
        <f t="shared" si="53"/>
        <v>5</v>
      </c>
      <c r="G884" s="11" t="str">
        <f t="shared" si="54"/>
        <v>202505</v>
      </c>
      <c r="H884" s="4">
        <v>46054</v>
      </c>
      <c r="I884" s="5">
        <v>269</v>
      </c>
      <c r="J884" s="5">
        <v>8.9666666666666668</v>
      </c>
      <c r="K884" s="5">
        <f t="shared" si="55"/>
        <v>0</v>
      </c>
      <c r="L884" s="5">
        <v>0</v>
      </c>
      <c r="M884" s="5">
        <v>0</v>
      </c>
      <c r="N884" t="s">
        <v>9</v>
      </c>
      <c r="O884" s="8">
        <v>18.772602739726029</v>
      </c>
      <c r="P884" t="s">
        <v>32</v>
      </c>
      <c r="Q884">
        <v>1</v>
      </c>
      <c r="R884" s="2">
        <v>38933</v>
      </c>
    </row>
    <row r="885" spans="1:18" x14ac:dyDescent="0.3">
      <c r="A885" t="s">
        <v>7</v>
      </c>
      <c r="B885">
        <v>18643613</v>
      </c>
      <c r="C885" t="s">
        <v>8</v>
      </c>
      <c r="D885" s="4">
        <v>45785</v>
      </c>
      <c r="E885" s="11">
        <f t="shared" si="52"/>
        <v>2025</v>
      </c>
      <c r="F885" s="11">
        <f t="shared" si="53"/>
        <v>5</v>
      </c>
      <c r="G885" s="11" t="str">
        <f t="shared" si="54"/>
        <v>202505</v>
      </c>
      <c r="H885" s="4">
        <v>45812</v>
      </c>
      <c r="I885" s="5">
        <v>27</v>
      </c>
      <c r="J885" s="5">
        <v>0.9</v>
      </c>
      <c r="K885" s="5">
        <f t="shared" si="55"/>
        <v>1</v>
      </c>
      <c r="L885" s="5">
        <v>1</v>
      </c>
      <c r="M885" s="5">
        <v>1</v>
      </c>
      <c r="N885" t="s">
        <v>9</v>
      </c>
      <c r="O885" s="8">
        <v>18.8</v>
      </c>
      <c r="P885" t="s">
        <v>32</v>
      </c>
      <c r="Q885">
        <v>1</v>
      </c>
      <c r="R885" s="2">
        <v>38923</v>
      </c>
    </row>
    <row r="886" spans="1:18" x14ac:dyDescent="0.3">
      <c r="A886" t="s">
        <v>7</v>
      </c>
      <c r="B886">
        <v>18643635</v>
      </c>
      <c r="C886" t="s">
        <v>10</v>
      </c>
      <c r="D886" s="4">
        <v>45785</v>
      </c>
      <c r="E886" s="11">
        <f t="shared" si="52"/>
        <v>2025</v>
      </c>
      <c r="F886" s="11">
        <f t="shared" si="53"/>
        <v>5</v>
      </c>
      <c r="G886" s="11" t="str">
        <f t="shared" si="54"/>
        <v>202505</v>
      </c>
      <c r="H886" s="4">
        <v>46010</v>
      </c>
      <c r="I886" s="5">
        <v>225</v>
      </c>
      <c r="J886" s="5">
        <v>7.5</v>
      </c>
      <c r="K886" s="5">
        <f t="shared" si="55"/>
        <v>0</v>
      </c>
      <c r="L886" s="5">
        <v>0</v>
      </c>
      <c r="M886" s="5">
        <v>0</v>
      </c>
      <c r="N886" t="s">
        <v>12</v>
      </c>
      <c r="O886" s="8">
        <v>19.81917808219178</v>
      </c>
      <c r="P886" t="s">
        <v>32</v>
      </c>
      <c r="Q886">
        <v>1</v>
      </c>
      <c r="R886" s="2">
        <v>38551</v>
      </c>
    </row>
    <row r="887" spans="1:18" x14ac:dyDescent="0.3">
      <c r="A887" t="s">
        <v>7</v>
      </c>
      <c r="B887">
        <v>18643637</v>
      </c>
      <c r="C887" t="s">
        <v>8</v>
      </c>
      <c r="D887" s="4">
        <v>45785</v>
      </c>
      <c r="E887" s="11">
        <f t="shared" si="52"/>
        <v>2025</v>
      </c>
      <c r="F887" s="11">
        <f t="shared" si="53"/>
        <v>5</v>
      </c>
      <c r="G887" s="11" t="str">
        <f t="shared" si="54"/>
        <v>202505</v>
      </c>
      <c r="H887" s="4">
        <v>46037</v>
      </c>
      <c r="I887" s="5">
        <v>252</v>
      </c>
      <c r="J887" s="5">
        <v>8.4</v>
      </c>
      <c r="K887" s="5">
        <f t="shared" si="55"/>
        <v>0</v>
      </c>
      <c r="L887" s="5">
        <v>0</v>
      </c>
      <c r="M887" s="5">
        <v>0</v>
      </c>
      <c r="N887" t="s">
        <v>12</v>
      </c>
      <c r="O887" s="8">
        <v>18.591780821917808</v>
      </c>
      <c r="P887" t="s">
        <v>32</v>
      </c>
      <c r="Q887">
        <v>1</v>
      </c>
      <c r="R887" s="2">
        <v>38999</v>
      </c>
    </row>
    <row r="888" spans="1:18" x14ac:dyDescent="0.3">
      <c r="A888" t="s">
        <v>7</v>
      </c>
      <c r="B888">
        <v>18643638</v>
      </c>
      <c r="C888" t="s">
        <v>8</v>
      </c>
      <c r="D888" s="4">
        <v>45785</v>
      </c>
      <c r="E888" s="11">
        <f t="shared" si="52"/>
        <v>2025</v>
      </c>
      <c r="F888" s="11">
        <f t="shared" si="53"/>
        <v>5</v>
      </c>
      <c r="G888" s="11" t="str">
        <f t="shared" si="54"/>
        <v>202505</v>
      </c>
      <c r="H888" s="4">
        <v>45870</v>
      </c>
      <c r="I888" s="5">
        <v>85</v>
      </c>
      <c r="J888" s="5">
        <v>2.8333333333333335</v>
      </c>
      <c r="K888" s="5">
        <f t="shared" si="55"/>
        <v>0</v>
      </c>
      <c r="L888" s="5">
        <v>1</v>
      </c>
      <c r="M888" s="5">
        <v>1</v>
      </c>
      <c r="N888" t="s">
        <v>12</v>
      </c>
      <c r="O888" s="8">
        <v>20.126027397260273</v>
      </c>
      <c r="P888" t="s">
        <v>32</v>
      </c>
      <c r="Q888">
        <v>1</v>
      </c>
      <c r="R888" s="2">
        <v>38439</v>
      </c>
    </row>
    <row r="889" spans="1:18" x14ac:dyDescent="0.3">
      <c r="A889" t="s">
        <v>7</v>
      </c>
      <c r="B889">
        <v>18644813</v>
      </c>
      <c r="C889" t="s">
        <v>8</v>
      </c>
      <c r="D889" s="4">
        <v>45786</v>
      </c>
      <c r="E889" s="11">
        <f t="shared" si="52"/>
        <v>2025</v>
      </c>
      <c r="F889" s="11">
        <f t="shared" si="53"/>
        <v>5</v>
      </c>
      <c r="G889" s="11" t="str">
        <f t="shared" si="54"/>
        <v>202505</v>
      </c>
      <c r="H889" s="4">
        <v>46075</v>
      </c>
      <c r="I889" s="5">
        <v>289</v>
      </c>
      <c r="J889" s="5">
        <v>9.6333333333333329</v>
      </c>
      <c r="K889" s="5">
        <f t="shared" si="55"/>
        <v>0</v>
      </c>
      <c r="L889" s="5">
        <v>0</v>
      </c>
      <c r="M889" s="5">
        <v>0</v>
      </c>
      <c r="N889" t="s">
        <v>9</v>
      </c>
      <c r="O889" s="8">
        <v>24.663013698630138</v>
      </c>
      <c r="P889" t="s">
        <v>33</v>
      </c>
      <c r="Q889">
        <v>2</v>
      </c>
      <c r="R889" s="2">
        <v>36784</v>
      </c>
    </row>
    <row r="890" spans="1:18" x14ac:dyDescent="0.3">
      <c r="A890" t="s">
        <v>7</v>
      </c>
      <c r="B890">
        <v>18644906</v>
      </c>
      <c r="C890" t="s">
        <v>10</v>
      </c>
      <c r="D890" s="4">
        <v>45786</v>
      </c>
      <c r="E890" s="11">
        <f t="shared" si="52"/>
        <v>2025</v>
      </c>
      <c r="F890" s="11">
        <f t="shared" si="53"/>
        <v>5</v>
      </c>
      <c r="G890" s="11" t="str">
        <f t="shared" si="54"/>
        <v>202505</v>
      </c>
      <c r="H890" s="4">
        <v>45961</v>
      </c>
      <c r="I890" s="5">
        <v>175</v>
      </c>
      <c r="J890" s="5">
        <v>5.833333333333333</v>
      </c>
      <c r="K890" s="5">
        <f t="shared" si="55"/>
        <v>0</v>
      </c>
      <c r="L890" s="5">
        <v>0</v>
      </c>
      <c r="M890" s="5">
        <v>1</v>
      </c>
      <c r="N890" t="s">
        <v>9</v>
      </c>
      <c r="O890" s="8">
        <v>24.624657534246577</v>
      </c>
      <c r="P890" t="s">
        <v>33</v>
      </c>
      <c r="Q890">
        <v>2</v>
      </c>
      <c r="R890" s="2">
        <v>36798</v>
      </c>
    </row>
    <row r="891" spans="1:18" x14ac:dyDescent="0.3">
      <c r="A891" t="s">
        <v>7</v>
      </c>
      <c r="B891">
        <v>18644937</v>
      </c>
      <c r="C891" t="s">
        <v>8</v>
      </c>
      <c r="D891" s="4">
        <v>45786</v>
      </c>
      <c r="E891" s="11">
        <f t="shared" si="52"/>
        <v>2025</v>
      </c>
      <c r="F891" s="11">
        <f t="shared" si="53"/>
        <v>5</v>
      </c>
      <c r="G891" s="11" t="str">
        <f t="shared" si="54"/>
        <v>202505</v>
      </c>
      <c r="I891" s="5">
        <v>9999</v>
      </c>
      <c r="J891" s="5">
        <v>333.3</v>
      </c>
      <c r="K891" s="5">
        <f t="shared" si="55"/>
        <v>0</v>
      </c>
      <c r="L891" s="5">
        <v>0</v>
      </c>
      <c r="M891" s="5">
        <v>0</v>
      </c>
      <c r="N891" t="s">
        <v>9</v>
      </c>
      <c r="O891" s="8">
        <v>25.742465753424657</v>
      </c>
      <c r="P891" t="s">
        <v>33</v>
      </c>
      <c r="Q891">
        <v>2</v>
      </c>
      <c r="R891" s="2">
        <v>36390</v>
      </c>
    </row>
    <row r="892" spans="1:18" x14ac:dyDescent="0.3">
      <c r="A892" t="s">
        <v>7</v>
      </c>
      <c r="B892">
        <v>18645108</v>
      </c>
      <c r="C892" t="s">
        <v>8</v>
      </c>
      <c r="D892" s="4">
        <v>45786</v>
      </c>
      <c r="E892" s="11">
        <f t="shared" si="52"/>
        <v>2025</v>
      </c>
      <c r="F892" s="11">
        <f t="shared" si="53"/>
        <v>5</v>
      </c>
      <c r="G892" s="11" t="str">
        <f t="shared" si="54"/>
        <v>202505</v>
      </c>
      <c r="I892" s="5">
        <v>9999</v>
      </c>
      <c r="J892" s="5">
        <v>333.3</v>
      </c>
      <c r="K892" s="5">
        <f t="shared" si="55"/>
        <v>0</v>
      </c>
      <c r="L892" s="5">
        <v>0</v>
      </c>
      <c r="M892" s="5">
        <v>0</v>
      </c>
      <c r="N892" t="s">
        <v>9</v>
      </c>
      <c r="O892" s="8">
        <v>19.706849315068492</v>
      </c>
      <c r="P892" t="s">
        <v>32</v>
      </c>
      <c r="Q892">
        <v>1</v>
      </c>
      <c r="R892" s="2">
        <v>38593</v>
      </c>
    </row>
    <row r="893" spans="1:18" x14ac:dyDescent="0.3">
      <c r="A893" t="s">
        <v>7</v>
      </c>
      <c r="B893">
        <v>18645109</v>
      </c>
      <c r="C893" t="s">
        <v>8</v>
      </c>
      <c r="D893" s="4">
        <v>45786</v>
      </c>
      <c r="E893" s="11">
        <f t="shared" si="52"/>
        <v>2025</v>
      </c>
      <c r="F893" s="11">
        <f t="shared" si="53"/>
        <v>5</v>
      </c>
      <c r="G893" s="11" t="str">
        <f t="shared" si="54"/>
        <v>202505</v>
      </c>
      <c r="I893" s="5">
        <v>9999</v>
      </c>
      <c r="J893" s="5">
        <v>333.3</v>
      </c>
      <c r="K893" s="5">
        <f t="shared" si="55"/>
        <v>0</v>
      </c>
      <c r="L893" s="5">
        <v>0</v>
      </c>
      <c r="M893" s="5">
        <v>0</v>
      </c>
      <c r="N893" t="s">
        <v>9</v>
      </c>
      <c r="O893" s="8">
        <v>29.408219178082192</v>
      </c>
      <c r="P893" t="s">
        <v>34</v>
      </c>
      <c r="Q893">
        <v>3</v>
      </c>
      <c r="R893" s="2">
        <v>35052</v>
      </c>
    </row>
    <row r="894" spans="1:18" x14ac:dyDescent="0.3">
      <c r="A894" t="s">
        <v>7</v>
      </c>
      <c r="B894">
        <v>18645110</v>
      </c>
      <c r="C894" t="s">
        <v>10</v>
      </c>
      <c r="D894" s="4">
        <v>45786</v>
      </c>
      <c r="E894" s="11">
        <f t="shared" si="52"/>
        <v>2025</v>
      </c>
      <c r="F894" s="11">
        <f t="shared" si="53"/>
        <v>5</v>
      </c>
      <c r="G894" s="11" t="str">
        <f t="shared" si="54"/>
        <v>202505</v>
      </c>
      <c r="H894" s="4">
        <v>46054</v>
      </c>
      <c r="I894" s="5">
        <v>268</v>
      </c>
      <c r="J894" s="5">
        <v>8.9333333333333336</v>
      </c>
      <c r="K894" s="5">
        <f t="shared" si="55"/>
        <v>0</v>
      </c>
      <c r="L894" s="5">
        <v>0</v>
      </c>
      <c r="M894" s="5">
        <v>0</v>
      </c>
      <c r="N894" t="s">
        <v>9</v>
      </c>
      <c r="O894" s="8">
        <v>19.394520547945206</v>
      </c>
      <c r="P894" t="s">
        <v>32</v>
      </c>
      <c r="Q894">
        <v>1</v>
      </c>
      <c r="R894" s="2">
        <v>38707</v>
      </c>
    </row>
    <row r="895" spans="1:18" x14ac:dyDescent="0.3">
      <c r="A895" t="s">
        <v>7</v>
      </c>
      <c r="B895">
        <v>18645111</v>
      </c>
      <c r="C895" t="s">
        <v>8</v>
      </c>
      <c r="D895" s="4">
        <v>45786</v>
      </c>
      <c r="E895" s="11">
        <f t="shared" si="52"/>
        <v>2025</v>
      </c>
      <c r="F895" s="11">
        <f t="shared" si="53"/>
        <v>5</v>
      </c>
      <c r="G895" s="11" t="str">
        <f t="shared" si="54"/>
        <v>202505</v>
      </c>
      <c r="H895" s="4">
        <v>45968</v>
      </c>
      <c r="I895" s="5">
        <v>182</v>
      </c>
      <c r="J895" s="5">
        <v>6.0666666666666664</v>
      </c>
      <c r="K895" s="5">
        <f t="shared" si="55"/>
        <v>0</v>
      </c>
      <c r="L895" s="5">
        <v>0</v>
      </c>
      <c r="M895" s="5">
        <v>0</v>
      </c>
      <c r="N895" t="s">
        <v>9</v>
      </c>
      <c r="O895" s="8">
        <v>32.164383561643838</v>
      </c>
      <c r="P895" t="s">
        <v>35</v>
      </c>
      <c r="Q895">
        <v>4</v>
      </c>
      <c r="R895" s="2">
        <v>34046</v>
      </c>
    </row>
    <row r="896" spans="1:18" x14ac:dyDescent="0.3">
      <c r="A896" t="s">
        <v>7</v>
      </c>
      <c r="B896">
        <v>18645112</v>
      </c>
      <c r="C896" t="s">
        <v>8</v>
      </c>
      <c r="D896" s="4">
        <v>45786</v>
      </c>
      <c r="E896" s="11">
        <f t="shared" si="52"/>
        <v>2025</v>
      </c>
      <c r="F896" s="11">
        <f t="shared" si="53"/>
        <v>5</v>
      </c>
      <c r="G896" s="11" t="str">
        <f t="shared" si="54"/>
        <v>202505</v>
      </c>
      <c r="H896" s="4">
        <v>46142</v>
      </c>
      <c r="I896" s="5">
        <v>356</v>
      </c>
      <c r="J896" s="5">
        <v>11.866666666666667</v>
      </c>
      <c r="K896" s="5">
        <f t="shared" si="55"/>
        <v>0</v>
      </c>
      <c r="L896" s="5">
        <v>0</v>
      </c>
      <c r="M896" s="5">
        <v>0</v>
      </c>
      <c r="N896" t="s">
        <v>9</v>
      </c>
      <c r="O896" s="8">
        <v>41.512328767123286</v>
      </c>
      <c r="P896" t="s">
        <v>35</v>
      </c>
      <c r="Q896">
        <v>4</v>
      </c>
      <c r="R896" s="2">
        <v>30634</v>
      </c>
    </row>
    <row r="897" spans="1:18" x14ac:dyDescent="0.3">
      <c r="A897" t="s">
        <v>7</v>
      </c>
      <c r="B897">
        <v>18645308</v>
      </c>
      <c r="C897" t="s">
        <v>8</v>
      </c>
      <c r="D897" s="4">
        <v>45786</v>
      </c>
      <c r="E897" s="11">
        <f t="shared" si="52"/>
        <v>2025</v>
      </c>
      <c r="F897" s="11">
        <f t="shared" si="53"/>
        <v>5</v>
      </c>
      <c r="G897" s="11" t="str">
        <f t="shared" si="54"/>
        <v>202505</v>
      </c>
      <c r="H897" s="4">
        <v>46112</v>
      </c>
      <c r="I897" s="5">
        <v>326</v>
      </c>
      <c r="J897" s="5">
        <v>10.866666666666667</v>
      </c>
      <c r="K897" s="5">
        <f t="shared" si="55"/>
        <v>0</v>
      </c>
      <c r="L897" s="5">
        <v>0</v>
      </c>
      <c r="M897" s="5">
        <v>0</v>
      </c>
      <c r="N897" t="s">
        <v>9</v>
      </c>
      <c r="O897" s="8">
        <v>30.093150684931508</v>
      </c>
      <c r="P897" t="s">
        <v>34</v>
      </c>
      <c r="Q897">
        <v>3</v>
      </c>
      <c r="R897" s="2">
        <v>34802</v>
      </c>
    </row>
    <row r="898" spans="1:18" x14ac:dyDescent="0.3">
      <c r="A898" t="s">
        <v>7</v>
      </c>
      <c r="B898">
        <v>18645354</v>
      </c>
      <c r="C898" t="s">
        <v>8</v>
      </c>
      <c r="D898" s="4">
        <v>45786</v>
      </c>
      <c r="E898" s="11">
        <f t="shared" si="52"/>
        <v>2025</v>
      </c>
      <c r="F898" s="11">
        <f t="shared" si="53"/>
        <v>5</v>
      </c>
      <c r="G898" s="11" t="str">
        <f t="shared" si="54"/>
        <v>202505</v>
      </c>
      <c r="H898" s="4">
        <v>46152</v>
      </c>
      <c r="I898" s="5">
        <v>366</v>
      </c>
      <c r="J898" s="5">
        <v>12.2</v>
      </c>
      <c r="K898" s="5">
        <f t="shared" si="55"/>
        <v>0</v>
      </c>
      <c r="L898" s="5">
        <v>0</v>
      </c>
      <c r="M898" s="5">
        <v>0</v>
      </c>
      <c r="N898" t="s">
        <v>9</v>
      </c>
      <c r="O898" s="8">
        <v>22.512328767123286</v>
      </c>
      <c r="P898" t="s">
        <v>33</v>
      </c>
      <c r="Q898">
        <v>2</v>
      </c>
      <c r="R898" s="2">
        <v>37569</v>
      </c>
    </row>
    <row r="899" spans="1:18" x14ac:dyDescent="0.3">
      <c r="A899" t="s">
        <v>7</v>
      </c>
      <c r="B899">
        <v>18645355</v>
      </c>
      <c r="C899" t="s">
        <v>10</v>
      </c>
      <c r="D899" s="4">
        <v>45786</v>
      </c>
      <c r="E899" s="11">
        <f t="shared" ref="E899:E962" si="56">+YEAR(D899)</f>
        <v>2025</v>
      </c>
      <c r="F899" s="11">
        <f t="shared" ref="F899:F962" si="57">+MONTH(D899)</f>
        <v>5</v>
      </c>
      <c r="G899" s="11" t="str">
        <f t="shared" ref="G899:G962" si="58">+TEXT(D899, "yyymm")</f>
        <v>202505</v>
      </c>
      <c r="I899" s="5">
        <v>9999</v>
      </c>
      <c r="J899" s="5">
        <v>333.3</v>
      </c>
      <c r="K899" s="5">
        <f t="shared" ref="K899:K962" si="59">IF(J899&lt;=1,1,0)</f>
        <v>0</v>
      </c>
      <c r="L899" s="5">
        <v>0</v>
      </c>
      <c r="M899" s="5">
        <v>0</v>
      </c>
      <c r="N899" t="s">
        <v>9</v>
      </c>
      <c r="O899" s="8">
        <v>18.627397260273973</v>
      </c>
      <c r="P899" t="s">
        <v>32</v>
      </c>
      <c r="Q899">
        <v>1</v>
      </c>
      <c r="R899" s="2">
        <v>38987</v>
      </c>
    </row>
    <row r="900" spans="1:18" x14ac:dyDescent="0.3">
      <c r="A900" t="s">
        <v>7</v>
      </c>
      <c r="B900">
        <v>18645386</v>
      </c>
      <c r="C900" t="s">
        <v>10</v>
      </c>
      <c r="D900" s="4">
        <v>45786</v>
      </c>
      <c r="E900" s="11">
        <f t="shared" si="56"/>
        <v>2025</v>
      </c>
      <c r="F900" s="11">
        <f t="shared" si="57"/>
        <v>5</v>
      </c>
      <c r="G900" s="11" t="str">
        <f t="shared" si="58"/>
        <v>202505</v>
      </c>
      <c r="H900" s="4">
        <v>46006</v>
      </c>
      <c r="I900" s="5">
        <v>220</v>
      </c>
      <c r="J900" s="5">
        <v>7.333333333333333</v>
      </c>
      <c r="K900" s="5">
        <f t="shared" si="59"/>
        <v>0</v>
      </c>
      <c r="L900" s="5">
        <v>0</v>
      </c>
      <c r="M900" s="5">
        <v>0</v>
      </c>
      <c r="N900" t="s">
        <v>9</v>
      </c>
      <c r="O900" s="8">
        <v>23.983561643835618</v>
      </c>
      <c r="P900" t="s">
        <v>33</v>
      </c>
      <c r="Q900">
        <v>2</v>
      </c>
      <c r="R900" s="2">
        <v>37032</v>
      </c>
    </row>
    <row r="901" spans="1:18" x14ac:dyDescent="0.3">
      <c r="A901" t="s">
        <v>7</v>
      </c>
      <c r="B901">
        <v>18645417</v>
      </c>
      <c r="C901" t="s">
        <v>8</v>
      </c>
      <c r="D901" s="4">
        <v>45786</v>
      </c>
      <c r="E901" s="11">
        <f t="shared" si="56"/>
        <v>2025</v>
      </c>
      <c r="F901" s="11">
        <f t="shared" si="57"/>
        <v>5</v>
      </c>
      <c r="G901" s="11" t="str">
        <f t="shared" si="58"/>
        <v>202505</v>
      </c>
      <c r="H901" s="4">
        <v>46006</v>
      </c>
      <c r="I901" s="5">
        <v>220</v>
      </c>
      <c r="J901" s="5">
        <v>7.333333333333333</v>
      </c>
      <c r="K901" s="5">
        <f t="shared" si="59"/>
        <v>0</v>
      </c>
      <c r="L901" s="5">
        <v>0</v>
      </c>
      <c r="M901" s="5">
        <v>0</v>
      </c>
      <c r="N901" t="s">
        <v>9</v>
      </c>
      <c r="O901" s="8">
        <v>26.926027397260274</v>
      </c>
      <c r="P901" t="s">
        <v>34</v>
      </c>
      <c r="Q901">
        <v>3</v>
      </c>
      <c r="R901" s="2">
        <v>35958</v>
      </c>
    </row>
    <row r="902" spans="1:18" x14ac:dyDescent="0.3">
      <c r="A902" t="s">
        <v>7</v>
      </c>
      <c r="B902">
        <v>18645479</v>
      </c>
      <c r="C902" t="s">
        <v>8</v>
      </c>
      <c r="D902" s="4">
        <v>45786</v>
      </c>
      <c r="E902" s="11">
        <f t="shared" si="56"/>
        <v>2025</v>
      </c>
      <c r="F902" s="11">
        <f t="shared" si="57"/>
        <v>5</v>
      </c>
      <c r="G902" s="11" t="str">
        <f t="shared" si="58"/>
        <v>202505</v>
      </c>
      <c r="I902" s="5">
        <v>9999</v>
      </c>
      <c r="J902" s="5">
        <v>333.3</v>
      </c>
      <c r="K902" s="5">
        <f t="shared" si="59"/>
        <v>0</v>
      </c>
      <c r="L902" s="5">
        <v>0</v>
      </c>
      <c r="M902" s="5">
        <v>0</v>
      </c>
      <c r="N902" t="s">
        <v>9</v>
      </c>
      <c r="O902" s="8">
        <v>48.06849315068493</v>
      </c>
      <c r="P902" t="s">
        <v>35</v>
      </c>
      <c r="Q902">
        <v>4</v>
      </c>
      <c r="R902" s="2">
        <v>28241</v>
      </c>
    </row>
    <row r="903" spans="1:18" x14ac:dyDescent="0.3">
      <c r="A903" t="s">
        <v>7</v>
      </c>
      <c r="B903">
        <v>18645557</v>
      </c>
      <c r="C903" t="s">
        <v>8</v>
      </c>
      <c r="D903" s="4">
        <v>45786</v>
      </c>
      <c r="E903" s="11">
        <f t="shared" si="56"/>
        <v>2025</v>
      </c>
      <c r="F903" s="11">
        <f t="shared" si="57"/>
        <v>5</v>
      </c>
      <c r="G903" s="11" t="str">
        <f t="shared" si="58"/>
        <v>202505</v>
      </c>
      <c r="I903" s="5">
        <v>9999</v>
      </c>
      <c r="J903" s="5">
        <v>333.3</v>
      </c>
      <c r="K903" s="5">
        <f t="shared" si="59"/>
        <v>0</v>
      </c>
      <c r="L903" s="5">
        <v>0</v>
      </c>
      <c r="M903" s="5">
        <v>0</v>
      </c>
      <c r="N903" t="s">
        <v>9</v>
      </c>
      <c r="O903" s="8">
        <v>21.857534246575341</v>
      </c>
      <c r="P903" t="s">
        <v>33</v>
      </c>
      <c r="Q903">
        <v>2</v>
      </c>
      <c r="R903" s="2">
        <v>37808</v>
      </c>
    </row>
    <row r="904" spans="1:18" x14ac:dyDescent="0.3">
      <c r="A904" t="s">
        <v>7</v>
      </c>
      <c r="B904">
        <v>18645588</v>
      </c>
      <c r="C904" t="s">
        <v>8</v>
      </c>
      <c r="D904" s="4">
        <v>45786</v>
      </c>
      <c r="E904" s="11">
        <f t="shared" si="56"/>
        <v>2025</v>
      </c>
      <c r="F904" s="11">
        <f t="shared" si="57"/>
        <v>5</v>
      </c>
      <c r="G904" s="11" t="str">
        <f t="shared" si="58"/>
        <v>202505</v>
      </c>
      <c r="H904" s="4">
        <v>45888</v>
      </c>
      <c r="I904" s="5">
        <v>102</v>
      </c>
      <c r="J904" s="5">
        <v>3.4</v>
      </c>
      <c r="K904" s="5">
        <f t="shared" si="59"/>
        <v>0</v>
      </c>
      <c r="L904" s="5">
        <v>0</v>
      </c>
      <c r="M904" s="5">
        <v>1</v>
      </c>
      <c r="N904" t="s">
        <v>9</v>
      </c>
      <c r="O904" s="8">
        <v>18.046575342465754</v>
      </c>
      <c r="P904" t="s">
        <v>32</v>
      </c>
      <c r="Q904">
        <v>1</v>
      </c>
      <c r="R904" s="2">
        <v>39199</v>
      </c>
    </row>
    <row r="905" spans="1:18" x14ac:dyDescent="0.3">
      <c r="A905" t="s">
        <v>7</v>
      </c>
      <c r="B905">
        <v>18645589</v>
      </c>
      <c r="C905" t="s">
        <v>8</v>
      </c>
      <c r="D905" s="4">
        <v>45786</v>
      </c>
      <c r="E905" s="11">
        <f t="shared" si="56"/>
        <v>2025</v>
      </c>
      <c r="F905" s="11">
        <f t="shared" si="57"/>
        <v>5</v>
      </c>
      <c r="G905" s="11" t="str">
        <f t="shared" si="58"/>
        <v>202505</v>
      </c>
      <c r="H905" s="4">
        <v>45968</v>
      </c>
      <c r="I905" s="5">
        <v>182</v>
      </c>
      <c r="J905" s="5">
        <v>6.0666666666666664</v>
      </c>
      <c r="K905" s="5">
        <f t="shared" si="59"/>
        <v>0</v>
      </c>
      <c r="L905" s="5">
        <v>0</v>
      </c>
      <c r="M905" s="5">
        <v>0</v>
      </c>
      <c r="N905" t="s">
        <v>9</v>
      </c>
      <c r="O905" s="8">
        <v>19.857534246575341</v>
      </c>
      <c r="P905" t="s">
        <v>32</v>
      </c>
      <c r="Q905">
        <v>1</v>
      </c>
      <c r="R905" s="2">
        <v>38538</v>
      </c>
    </row>
    <row r="906" spans="1:18" x14ac:dyDescent="0.3">
      <c r="A906" t="s">
        <v>11</v>
      </c>
      <c r="B906">
        <v>18646348</v>
      </c>
      <c r="C906" t="s">
        <v>8</v>
      </c>
      <c r="D906" s="4">
        <v>45786</v>
      </c>
      <c r="E906" s="11">
        <f t="shared" si="56"/>
        <v>2025</v>
      </c>
      <c r="F906" s="11">
        <f t="shared" si="57"/>
        <v>5</v>
      </c>
      <c r="G906" s="11" t="str">
        <f t="shared" si="58"/>
        <v>202505</v>
      </c>
      <c r="I906" s="5">
        <v>9999</v>
      </c>
      <c r="J906" s="5">
        <v>333.3</v>
      </c>
      <c r="K906" s="5">
        <f t="shared" si="59"/>
        <v>0</v>
      </c>
      <c r="L906" s="5">
        <v>0</v>
      </c>
      <c r="M906" s="5">
        <v>0</v>
      </c>
      <c r="N906" t="s">
        <v>9</v>
      </c>
      <c r="O906" s="8">
        <v>21.353424657534248</v>
      </c>
      <c r="P906" t="s">
        <v>33</v>
      </c>
      <c r="Q906">
        <v>2</v>
      </c>
      <c r="R906" s="2">
        <v>37992</v>
      </c>
    </row>
    <row r="907" spans="1:18" x14ac:dyDescent="0.3">
      <c r="A907" t="s">
        <v>7</v>
      </c>
      <c r="B907">
        <v>18677260</v>
      </c>
      <c r="C907" t="s">
        <v>8</v>
      </c>
      <c r="D907" s="4">
        <v>45789</v>
      </c>
      <c r="E907" s="11">
        <f t="shared" si="56"/>
        <v>2025</v>
      </c>
      <c r="F907" s="11">
        <f t="shared" si="57"/>
        <v>5</v>
      </c>
      <c r="G907" s="11" t="str">
        <f t="shared" si="58"/>
        <v>202505</v>
      </c>
      <c r="H907" s="4">
        <v>45876</v>
      </c>
      <c r="I907" s="5">
        <v>87</v>
      </c>
      <c r="J907" s="5">
        <v>2.9</v>
      </c>
      <c r="K907" s="5">
        <f t="shared" si="59"/>
        <v>0</v>
      </c>
      <c r="L907" s="5">
        <v>1</v>
      </c>
      <c r="M907" s="5">
        <v>1</v>
      </c>
      <c r="N907" t="s">
        <v>12</v>
      </c>
      <c r="O907" s="8">
        <v>18.92876712328767</v>
      </c>
      <c r="P907" t="s">
        <v>32</v>
      </c>
      <c r="Q907">
        <v>1</v>
      </c>
      <c r="R907" s="2">
        <v>38880</v>
      </c>
    </row>
    <row r="908" spans="1:18" x14ac:dyDescent="0.3">
      <c r="A908" t="s">
        <v>7</v>
      </c>
      <c r="B908">
        <v>18677291</v>
      </c>
      <c r="C908" t="s">
        <v>8</v>
      </c>
      <c r="D908" s="4">
        <v>45789</v>
      </c>
      <c r="E908" s="11">
        <f t="shared" si="56"/>
        <v>2025</v>
      </c>
      <c r="F908" s="11">
        <f t="shared" si="57"/>
        <v>5</v>
      </c>
      <c r="G908" s="11" t="str">
        <f t="shared" si="58"/>
        <v>202505</v>
      </c>
      <c r="H908" s="4">
        <v>45792</v>
      </c>
      <c r="I908" s="5">
        <v>3</v>
      </c>
      <c r="J908" s="5">
        <v>0.1</v>
      </c>
      <c r="K908" s="5">
        <f t="shared" si="59"/>
        <v>1</v>
      </c>
      <c r="L908" s="5">
        <v>1</v>
      </c>
      <c r="M908" s="5">
        <v>1</v>
      </c>
      <c r="N908" t="s">
        <v>12</v>
      </c>
      <c r="O908" s="8">
        <v>34.027397260273972</v>
      </c>
      <c r="P908" t="s">
        <v>35</v>
      </c>
      <c r="Q908">
        <v>4</v>
      </c>
      <c r="R908" s="2">
        <v>33369</v>
      </c>
    </row>
    <row r="909" spans="1:18" x14ac:dyDescent="0.3">
      <c r="A909" t="s">
        <v>7</v>
      </c>
      <c r="B909">
        <v>18677353</v>
      </c>
      <c r="C909" t="s">
        <v>8</v>
      </c>
      <c r="D909" s="4">
        <v>45789</v>
      </c>
      <c r="E909" s="11">
        <f t="shared" si="56"/>
        <v>2025</v>
      </c>
      <c r="F909" s="11">
        <f t="shared" si="57"/>
        <v>5</v>
      </c>
      <c r="G909" s="11" t="str">
        <f t="shared" si="58"/>
        <v>202505</v>
      </c>
      <c r="I909" s="5">
        <v>9999</v>
      </c>
      <c r="J909" s="5">
        <v>333.3</v>
      </c>
      <c r="K909" s="5">
        <f t="shared" si="59"/>
        <v>0</v>
      </c>
      <c r="L909" s="5">
        <v>0</v>
      </c>
      <c r="M909" s="5">
        <v>0</v>
      </c>
      <c r="N909" t="s">
        <v>12</v>
      </c>
      <c r="O909" s="8">
        <v>39.057534246575344</v>
      </c>
      <c r="P909" t="s">
        <v>35</v>
      </c>
      <c r="Q909">
        <v>4</v>
      </c>
      <c r="R909" s="2">
        <v>31533</v>
      </c>
    </row>
    <row r="910" spans="1:18" x14ac:dyDescent="0.3">
      <c r="A910" t="s">
        <v>7</v>
      </c>
      <c r="B910">
        <v>18677385</v>
      </c>
      <c r="C910" t="s">
        <v>8</v>
      </c>
      <c r="D910" s="4">
        <v>45789</v>
      </c>
      <c r="E910" s="11">
        <f t="shared" si="56"/>
        <v>2025</v>
      </c>
      <c r="F910" s="11">
        <f t="shared" si="57"/>
        <v>5</v>
      </c>
      <c r="G910" s="11" t="str">
        <f t="shared" si="58"/>
        <v>202505</v>
      </c>
      <c r="H910" s="4">
        <v>45791</v>
      </c>
      <c r="I910" s="5">
        <v>2</v>
      </c>
      <c r="J910" s="5">
        <v>6.6666666666666666E-2</v>
      </c>
      <c r="K910" s="5">
        <f t="shared" si="59"/>
        <v>1</v>
      </c>
      <c r="L910" s="5">
        <v>1</v>
      </c>
      <c r="M910" s="5">
        <v>1</v>
      </c>
      <c r="N910" t="s">
        <v>9</v>
      </c>
      <c r="O910" s="8">
        <v>25.967123287671232</v>
      </c>
      <c r="P910" t="s">
        <v>33</v>
      </c>
      <c r="Q910">
        <v>2</v>
      </c>
      <c r="R910" s="2">
        <v>36311</v>
      </c>
    </row>
    <row r="911" spans="1:18" x14ac:dyDescent="0.3">
      <c r="A911" t="s">
        <v>7</v>
      </c>
      <c r="B911">
        <v>18677503</v>
      </c>
      <c r="C911" t="s">
        <v>8</v>
      </c>
      <c r="D911" s="4">
        <v>45789</v>
      </c>
      <c r="E911" s="11">
        <f t="shared" si="56"/>
        <v>2025</v>
      </c>
      <c r="F911" s="11">
        <f t="shared" si="57"/>
        <v>5</v>
      </c>
      <c r="G911" s="11" t="str">
        <f t="shared" si="58"/>
        <v>202505</v>
      </c>
      <c r="H911" s="4">
        <v>45870</v>
      </c>
      <c r="I911" s="5">
        <v>81</v>
      </c>
      <c r="J911" s="5">
        <v>2.7</v>
      </c>
      <c r="K911" s="5">
        <f t="shared" si="59"/>
        <v>0</v>
      </c>
      <c r="L911" s="5">
        <v>1</v>
      </c>
      <c r="M911" s="5">
        <v>1</v>
      </c>
      <c r="N911" t="s">
        <v>12</v>
      </c>
      <c r="O911" s="8">
        <v>25.536986301369861</v>
      </c>
      <c r="P911" t="s">
        <v>33</v>
      </c>
      <c r="Q911">
        <v>2</v>
      </c>
      <c r="R911" s="2">
        <v>36468</v>
      </c>
    </row>
    <row r="912" spans="1:18" x14ac:dyDescent="0.3">
      <c r="A912" t="s">
        <v>7</v>
      </c>
      <c r="B912">
        <v>18677871</v>
      </c>
      <c r="C912" t="s">
        <v>8</v>
      </c>
      <c r="D912" s="4">
        <v>45789</v>
      </c>
      <c r="E912" s="11">
        <f t="shared" si="56"/>
        <v>2025</v>
      </c>
      <c r="F912" s="11">
        <f t="shared" si="57"/>
        <v>5</v>
      </c>
      <c r="G912" s="11" t="str">
        <f t="shared" si="58"/>
        <v>202505</v>
      </c>
      <c r="I912" s="5">
        <v>9999</v>
      </c>
      <c r="J912" s="5">
        <v>333.3</v>
      </c>
      <c r="K912" s="5">
        <f t="shared" si="59"/>
        <v>0</v>
      </c>
      <c r="L912" s="5">
        <v>0</v>
      </c>
      <c r="M912" s="5">
        <v>0</v>
      </c>
      <c r="N912" t="s">
        <v>12</v>
      </c>
      <c r="O912" s="8">
        <v>22.150684931506849</v>
      </c>
      <c r="P912" t="s">
        <v>33</v>
      </c>
      <c r="Q912">
        <v>2</v>
      </c>
      <c r="R912" s="2">
        <v>37704</v>
      </c>
    </row>
    <row r="913" spans="1:18" x14ac:dyDescent="0.3">
      <c r="A913" t="s">
        <v>7</v>
      </c>
      <c r="B913">
        <v>18678007</v>
      </c>
      <c r="C913" t="s">
        <v>10</v>
      </c>
      <c r="D913" s="4">
        <v>45790</v>
      </c>
      <c r="E913" s="11">
        <f t="shared" si="56"/>
        <v>2025</v>
      </c>
      <c r="F913" s="11">
        <f t="shared" si="57"/>
        <v>5</v>
      </c>
      <c r="G913" s="11" t="str">
        <f t="shared" si="58"/>
        <v>202505</v>
      </c>
      <c r="H913" s="4">
        <v>45838</v>
      </c>
      <c r="I913" s="5">
        <v>48</v>
      </c>
      <c r="J913" s="5">
        <v>1.6</v>
      </c>
      <c r="K913" s="5">
        <f t="shared" si="59"/>
        <v>0</v>
      </c>
      <c r="L913" s="5">
        <v>1</v>
      </c>
      <c r="M913" s="5">
        <v>1</v>
      </c>
      <c r="N913" t="s">
        <v>9</v>
      </c>
      <c r="O913" s="8">
        <v>22.87123287671233</v>
      </c>
      <c r="P913" t="s">
        <v>33</v>
      </c>
      <c r="Q913">
        <v>2</v>
      </c>
      <c r="R913" s="2">
        <v>37442</v>
      </c>
    </row>
    <row r="914" spans="1:18" x14ac:dyDescent="0.3">
      <c r="A914" t="s">
        <v>7</v>
      </c>
      <c r="B914">
        <v>18678099</v>
      </c>
      <c r="C914" t="s">
        <v>10</v>
      </c>
      <c r="D914" s="4">
        <v>45790</v>
      </c>
      <c r="E914" s="11">
        <f t="shared" si="56"/>
        <v>2025</v>
      </c>
      <c r="F914" s="11">
        <f t="shared" si="57"/>
        <v>5</v>
      </c>
      <c r="G914" s="11" t="str">
        <f t="shared" si="58"/>
        <v>202505</v>
      </c>
      <c r="H914" s="4">
        <v>46112</v>
      </c>
      <c r="I914" s="5">
        <v>322</v>
      </c>
      <c r="J914" s="5">
        <v>10.733333333333333</v>
      </c>
      <c r="K914" s="5">
        <f t="shared" si="59"/>
        <v>0</v>
      </c>
      <c r="L914" s="5">
        <v>0</v>
      </c>
      <c r="M914" s="5">
        <v>0</v>
      </c>
      <c r="N914" t="s">
        <v>9</v>
      </c>
      <c r="O914" s="8">
        <v>18.326027397260273</v>
      </c>
      <c r="P914" t="s">
        <v>32</v>
      </c>
      <c r="Q914">
        <v>1</v>
      </c>
      <c r="R914" s="2">
        <v>39101</v>
      </c>
    </row>
    <row r="915" spans="1:18" x14ac:dyDescent="0.3">
      <c r="A915" t="s">
        <v>7</v>
      </c>
      <c r="B915">
        <v>18678409</v>
      </c>
      <c r="C915" t="s">
        <v>8</v>
      </c>
      <c r="D915" s="4">
        <v>45790</v>
      </c>
      <c r="E915" s="11">
        <f t="shared" si="56"/>
        <v>2025</v>
      </c>
      <c r="F915" s="11">
        <f t="shared" si="57"/>
        <v>5</v>
      </c>
      <c r="G915" s="11" t="str">
        <f t="shared" si="58"/>
        <v>202505</v>
      </c>
      <c r="H915" s="4">
        <v>45808</v>
      </c>
      <c r="I915" s="5">
        <v>18</v>
      </c>
      <c r="J915" s="5">
        <v>0.6</v>
      </c>
      <c r="K915" s="5">
        <f t="shared" si="59"/>
        <v>1</v>
      </c>
      <c r="L915" s="5">
        <v>1</v>
      </c>
      <c r="M915" s="5">
        <v>1</v>
      </c>
      <c r="N915" t="s">
        <v>12</v>
      </c>
      <c r="O915" s="8">
        <v>20.904109589041095</v>
      </c>
      <c r="P915" t="s">
        <v>32</v>
      </c>
      <c r="Q915">
        <v>1</v>
      </c>
      <c r="R915" s="2">
        <v>38160</v>
      </c>
    </row>
    <row r="916" spans="1:18" x14ac:dyDescent="0.3">
      <c r="A916" t="s">
        <v>11</v>
      </c>
      <c r="B916">
        <v>18679978</v>
      </c>
      <c r="C916" t="s">
        <v>10</v>
      </c>
      <c r="D916" s="4">
        <v>45791</v>
      </c>
      <c r="E916" s="11">
        <f t="shared" si="56"/>
        <v>2025</v>
      </c>
      <c r="F916" s="11">
        <f t="shared" si="57"/>
        <v>5</v>
      </c>
      <c r="G916" s="11" t="str">
        <f t="shared" si="58"/>
        <v>202505</v>
      </c>
      <c r="I916" s="5">
        <v>9999</v>
      </c>
      <c r="J916" s="5">
        <v>333.3</v>
      </c>
      <c r="K916" s="5">
        <f t="shared" si="59"/>
        <v>0</v>
      </c>
      <c r="L916" s="5">
        <v>0</v>
      </c>
      <c r="M916" s="5">
        <v>0</v>
      </c>
      <c r="N916" t="s">
        <v>9</v>
      </c>
      <c r="O916" s="8">
        <v>22.758904109589039</v>
      </c>
      <c r="P916" t="s">
        <v>33</v>
      </c>
      <c r="Q916">
        <v>2</v>
      </c>
      <c r="R916" s="2">
        <v>37484</v>
      </c>
    </row>
    <row r="917" spans="1:18" x14ac:dyDescent="0.3">
      <c r="A917" t="s">
        <v>11</v>
      </c>
      <c r="B917">
        <v>18679981</v>
      </c>
      <c r="C917" t="s">
        <v>8</v>
      </c>
      <c r="D917" s="4">
        <v>45791</v>
      </c>
      <c r="E917" s="11">
        <f t="shared" si="56"/>
        <v>2025</v>
      </c>
      <c r="F917" s="11">
        <f t="shared" si="57"/>
        <v>5</v>
      </c>
      <c r="G917" s="11" t="str">
        <f t="shared" si="58"/>
        <v>202505</v>
      </c>
      <c r="H917" s="4">
        <v>46143</v>
      </c>
      <c r="I917" s="5">
        <v>352</v>
      </c>
      <c r="J917" s="5">
        <v>11.733333333333333</v>
      </c>
      <c r="K917" s="5">
        <f t="shared" si="59"/>
        <v>0</v>
      </c>
      <c r="L917" s="5">
        <v>0</v>
      </c>
      <c r="M917" s="5">
        <v>0</v>
      </c>
      <c r="N917" t="s">
        <v>9</v>
      </c>
      <c r="O917" s="8">
        <v>40.265753424657532</v>
      </c>
      <c r="P917" t="s">
        <v>35</v>
      </c>
      <c r="Q917">
        <v>4</v>
      </c>
      <c r="R917" s="2">
        <v>31094</v>
      </c>
    </row>
    <row r="918" spans="1:18" x14ac:dyDescent="0.3">
      <c r="A918" t="s">
        <v>7</v>
      </c>
      <c r="B918">
        <v>18680008</v>
      </c>
      <c r="C918" t="s">
        <v>8</v>
      </c>
      <c r="D918" s="4">
        <v>45791</v>
      </c>
      <c r="E918" s="11">
        <f t="shared" si="56"/>
        <v>2025</v>
      </c>
      <c r="F918" s="11">
        <f t="shared" si="57"/>
        <v>5</v>
      </c>
      <c r="G918" s="11" t="str">
        <f t="shared" si="58"/>
        <v>202505</v>
      </c>
      <c r="H918" s="4">
        <v>45838</v>
      </c>
      <c r="I918" s="5">
        <v>47</v>
      </c>
      <c r="J918" s="5">
        <v>1.5666666666666667</v>
      </c>
      <c r="K918" s="5">
        <f t="shared" si="59"/>
        <v>0</v>
      </c>
      <c r="L918" s="5">
        <v>1</v>
      </c>
      <c r="M918" s="5">
        <v>1</v>
      </c>
      <c r="N918" t="s">
        <v>9</v>
      </c>
      <c r="O918" s="8">
        <v>41.517808219178079</v>
      </c>
      <c r="P918" t="s">
        <v>35</v>
      </c>
      <c r="Q918">
        <v>4</v>
      </c>
      <c r="R918" s="2">
        <v>30637</v>
      </c>
    </row>
    <row r="919" spans="1:18" x14ac:dyDescent="0.3">
      <c r="A919" t="s">
        <v>7</v>
      </c>
      <c r="B919">
        <v>18680009</v>
      </c>
      <c r="C919" t="s">
        <v>10</v>
      </c>
      <c r="D919" s="4">
        <v>45791</v>
      </c>
      <c r="E919" s="11">
        <f t="shared" si="56"/>
        <v>2025</v>
      </c>
      <c r="F919" s="11">
        <f t="shared" si="57"/>
        <v>5</v>
      </c>
      <c r="G919" s="11" t="str">
        <f t="shared" si="58"/>
        <v>202505</v>
      </c>
      <c r="H919" s="4">
        <v>46142</v>
      </c>
      <c r="I919" s="5">
        <v>351</v>
      </c>
      <c r="J919" s="5">
        <v>11.7</v>
      </c>
      <c r="K919" s="5">
        <f t="shared" si="59"/>
        <v>0</v>
      </c>
      <c r="L919" s="5">
        <v>0</v>
      </c>
      <c r="M919" s="5">
        <v>0</v>
      </c>
      <c r="N919" t="s">
        <v>9</v>
      </c>
      <c r="O919" s="8">
        <v>30.901369863013699</v>
      </c>
      <c r="P919" t="s">
        <v>34</v>
      </c>
      <c r="Q919">
        <v>3</v>
      </c>
      <c r="R919" s="2">
        <v>34512</v>
      </c>
    </row>
    <row r="920" spans="1:18" x14ac:dyDescent="0.3">
      <c r="A920" t="s">
        <v>7</v>
      </c>
      <c r="B920">
        <v>18680013</v>
      </c>
      <c r="C920" t="s">
        <v>10</v>
      </c>
      <c r="D920" s="4">
        <v>45791</v>
      </c>
      <c r="E920" s="11">
        <f t="shared" si="56"/>
        <v>2025</v>
      </c>
      <c r="F920" s="11">
        <f t="shared" si="57"/>
        <v>5</v>
      </c>
      <c r="G920" s="11" t="str">
        <f t="shared" si="58"/>
        <v>202505</v>
      </c>
      <c r="H920" s="4">
        <v>45962</v>
      </c>
      <c r="I920" s="5">
        <v>171</v>
      </c>
      <c r="J920" s="5">
        <v>5.7</v>
      </c>
      <c r="K920" s="5">
        <f t="shared" si="59"/>
        <v>0</v>
      </c>
      <c r="L920" s="5">
        <v>0</v>
      </c>
      <c r="M920" s="5">
        <v>1</v>
      </c>
      <c r="N920" t="s">
        <v>9</v>
      </c>
      <c r="O920" s="8">
        <v>22.315068493150687</v>
      </c>
      <c r="P920" t="s">
        <v>33</v>
      </c>
      <c r="Q920">
        <v>2</v>
      </c>
      <c r="R920" s="2">
        <v>37646</v>
      </c>
    </row>
    <row r="921" spans="1:18" x14ac:dyDescent="0.3">
      <c r="A921" t="s">
        <v>7</v>
      </c>
      <c r="B921">
        <v>18680015</v>
      </c>
      <c r="C921" t="s">
        <v>8</v>
      </c>
      <c r="D921" s="4">
        <v>45791</v>
      </c>
      <c r="E921" s="11">
        <f t="shared" si="56"/>
        <v>2025</v>
      </c>
      <c r="F921" s="11">
        <f t="shared" si="57"/>
        <v>5</v>
      </c>
      <c r="G921" s="11" t="str">
        <f t="shared" si="58"/>
        <v>202505</v>
      </c>
      <c r="I921" s="5">
        <v>9999</v>
      </c>
      <c r="J921" s="5">
        <v>333.3</v>
      </c>
      <c r="K921" s="5">
        <f t="shared" si="59"/>
        <v>0</v>
      </c>
      <c r="L921" s="5">
        <v>0</v>
      </c>
      <c r="M921" s="5">
        <v>0</v>
      </c>
      <c r="N921" t="s">
        <v>9</v>
      </c>
      <c r="O921" s="8">
        <v>18.468493150684932</v>
      </c>
      <c r="P921" t="s">
        <v>32</v>
      </c>
      <c r="Q921">
        <v>1</v>
      </c>
      <c r="R921" s="2">
        <v>39050</v>
      </c>
    </row>
    <row r="922" spans="1:18" x14ac:dyDescent="0.3">
      <c r="A922" t="s">
        <v>7</v>
      </c>
      <c r="B922">
        <v>18680016</v>
      </c>
      <c r="C922" t="s">
        <v>8</v>
      </c>
      <c r="D922" s="4">
        <v>45791</v>
      </c>
      <c r="E922" s="11">
        <f t="shared" si="56"/>
        <v>2025</v>
      </c>
      <c r="F922" s="11">
        <f t="shared" si="57"/>
        <v>5</v>
      </c>
      <c r="G922" s="11" t="str">
        <f t="shared" si="58"/>
        <v>202505</v>
      </c>
      <c r="I922" s="5">
        <v>9999</v>
      </c>
      <c r="J922" s="5">
        <v>333.3</v>
      </c>
      <c r="K922" s="5">
        <f t="shared" si="59"/>
        <v>0</v>
      </c>
      <c r="L922" s="5">
        <v>0</v>
      </c>
      <c r="M922" s="5">
        <v>0</v>
      </c>
      <c r="N922" t="s">
        <v>9</v>
      </c>
      <c r="O922" s="8">
        <v>22.435616438356163</v>
      </c>
      <c r="P922" t="s">
        <v>33</v>
      </c>
      <c r="Q922">
        <v>2</v>
      </c>
      <c r="R922" s="2">
        <v>37602</v>
      </c>
    </row>
    <row r="923" spans="1:18" x14ac:dyDescent="0.3">
      <c r="A923" t="s">
        <v>7</v>
      </c>
      <c r="B923">
        <v>18680017</v>
      </c>
      <c r="C923" t="s">
        <v>8</v>
      </c>
      <c r="D923" s="4">
        <v>45791</v>
      </c>
      <c r="E923" s="11">
        <f t="shared" si="56"/>
        <v>2025</v>
      </c>
      <c r="F923" s="11">
        <f t="shared" si="57"/>
        <v>5</v>
      </c>
      <c r="G923" s="11" t="str">
        <f t="shared" si="58"/>
        <v>202505</v>
      </c>
      <c r="H923" s="4">
        <v>46026</v>
      </c>
      <c r="I923" s="5">
        <v>235</v>
      </c>
      <c r="J923" s="5">
        <v>7.833333333333333</v>
      </c>
      <c r="K923" s="5">
        <f t="shared" si="59"/>
        <v>0</v>
      </c>
      <c r="L923" s="5">
        <v>0</v>
      </c>
      <c r="M923" s="5">
        <v>0</v>
      </c>
      <c r="N923" t="s">
        <v>9</v>
      </c>
      <c r="O923" s="8">
        <v>22.342465753424658</v>
      </c>
      <c r="P923" t="s">
        <v>33</v>
      </c>
      <c r="Q923">
        <v>2</v>
      </c>
      <c r="R923" s="2">
        <v>37636</v>
      </c>
    </row>
    <row r="924" spans="1:18" x14ac:dyDescent="0.3">
      <c r="A924" t="s">
        <v>7</v>
      </c>
      <c r="B924">
        <v>18680019</v>
      </c>
      <c r="C924" t="s">
        <v>8</v>
      </c>
      <c r="D924" s="4">
        <v>45791</v>
      </c>
      <c r="E924" s="11">
        <f t="shared" si="56"/>
        <v>2025</v>
      </c>
      <c r="F924" s="11">
        <f t="shared" si="57"/>
        <v>5</v>
      </c>
      <c r="G924" s="11" t="str">
        <f t="shared" si="58"/>
        <v>202505</v>
      </c>
      <c r="H924" s="4">
        <v>46124</v>
      </c>
      <c r="I924" s="5">
        <v>333</v>
      </c>
      <c r="J924" s="5">
        <v>11.1</v>
      </c>
      <c r="K924" s="5">
        <f t="shared" si="59"/>
        <v>0</v>
      </c>
      <c r="L924" s="5">
        <v>0</v>
      </c>
      <c r="M924" s="5">
        <v>0</v>
      </c>
      <c r="N924" t="s">
        <v>9</v>
      </c>
      <c r="O924" s="8">
        <v>20.613698630136987</v>
      </c>
      <c r="P924" t="s">
        <v>32</v>
      </c>
      <c r="Q924">
        <v>1</v>
      </c>
      <c r="R924" s="2">
        <v>38267</v>
      </c>
    </row>
    <row r="925" spans="1:18" x14ac:dyDescent="0.3">
      <c r="A925" t="s">
        <v>7</v>
      </c>
      <c r="B925">
        <v>18680020</v>
      </c>
      <c r="C925" t="s">
        <v>8</v>
      </c>
      <c r="D925" s="4">
        <v>45791</v>
      </c>
      <c r="E925" s="11">
        <f t="shared" si="56"/>
        <v>2025</v>
      </c>
      <c r="F925" s="11">
        <f t="shared" si="57"/>
        <v>5</v>
      </c>
      <c r="G925" s="11" t="str">
        <f t="shared" si="58"/>
        <v>202505</v>
      </c>
      <c r="I925" s="5">
        <v>9999</v>
      </c>
      <c r="J925" s="5">
        <v>333.3</v>
      </c>
      <c r="K925" s="5">
        <f t="shared" si="59"/>
        <v>0</v>
      </c>
      <c r="L925" s="5">
        <v>0</v>
      </c>
      <c r="M925" s="5">
        <v>0</v>
      </c>
      <c r="N925" t="s">
        <v>9</v>
      </c>
      <c r="O925" s="8">
        <v>19.290410958904111</v>
      </c>
      <c r="P925" t="s">
        <v>32</v>
      </c>
      <c r="Q925">
        <v>1</v>
      </c>
      <c r="R925" s="2">
        <v>38750</v>
      </c>
    </row>
    <row r="926" spans="1:18" x14ac:dyDescent="0.3">
      <c r="A926" t="s">
        <v>7</v>
      </c>
      <c r="B926">
        <v>18680021</v>
      </c>
      <c r="C926" t="s">
        <v>8</v>
      </c>
      <c r="D926" s="4">
        <v>45791</v>
      </c>
      <c r="E926" s="11">
        <f t="shared" si="56"/>
        <v>2025</v>
      </c>
      <c r="F926" s="11">
        <f t="shared" si="57"/>
        <v>5</v>
      </c>
      <c r="G926" s="11" t="str">
        <f t="shared" si="58"/>
        <v>202505</v>
      </c>
      <c r="I926" s="5">
        <v>9999</v>
      </c>
      <c r="J926" s="5">
        <v>333.3</v>
      </c>
      <c r="K926" s="5">
        <f t="shared" si="59"/>
        <v>0</v>
      </c>
      <c r="L926" s="5">
        <v>0</v>
      </c>
      <c r="M926" s="5">
        <v>0</v>
      </c>
      <c r="N926" t="s">
        <v>12</v>
      </c>
      <c r="O926" s="8">
        <v>30.145205479452056</v>
      </c>
      <c r="P926" t="s">
        <v>34</v>
      </c>
      <c r="Q926">
        <v>3</v>
      </c>
      <c r="R926" s="2">
        <v>34788</v>
      </c>
    </row>
    <row r="927" spans="1:18" x14ac:dyDescent="0.3">
      <c r="A927" t="s">
        <v>7</v>
      </c>
      <c r="B927">
        <v>18680022</v>
      </c>
      <c r="C927" t="s">
        <v>8</v>
      </c>
      <c r="D927" s="4">
        <v>45791</v>
      </c>
      <c r="E927" s="11">
        <f t="shared" si="56"/>
        <v>2025</v>
      </c>
      <c r="F927" s="11">
        <f t="shared" si="57"/>
        <v>5</v>
      </c>
      <c r="G927" s="11" t="str">
        <f t="shared" si="58"/>
        <v>202505</v>
      </c>
      <c r="H927" s="4">
        <v>46069</v>
      </c>
      <c r="I927" s="5">
        <v>278</v>
      </c>
      <c r="J927" s="5">
        <v>9.2666666666666675</v>
      </c>
      <c r="K927" s="5">
        <f t="shared" si="59"/>
        <v>0</v>
      </c>
      <c r="L927" s="5">
        <v>0</v>
      </c>
      <c r="M927" s="5">
        <v>0</v>
      </c>
      <c r="N927" t="s">
        <v>9</v>
      </c>
      <c r="O927" s="8">
        <v>21.575342465753426</v>
      </c>
      <c r="P927" t="s">
        <v>33</v>
      </c>
      <c r="Q927">
        <v>2</v>
      </c>
      <c r="R927" s="2">
        <v>37916</v>
      </c>
    </row>
    <row r="928" spans="1:18" x14ac:dyDescent="0.3">
      <c r="A928" t="s">
        <v>7</v>
      </c>
      <c r="B928">
        <v>18680027</v>
      </c>
      <c r="C928" t="s">
        <v>8</v>
      </c>
      <c r="D928" s="4">
        <v>45791</v>
      </c>
      <c r="E928" s="11">
        <f t="shared" si="56"/>
        <v>2025</v>
      </c>
      <c r="F928" s="11">
        <f t="shared" si="57"/>
        <v>5</v>
      </c>
      <c r="G928" s="11" t="str">
        <f t="shared" si="58"/>
        <v>202505</v>
      </c>
      <c r="I928" s="5">
        <v>9999</v>
      </c>
      <c r="J928" s="5">
        <v>333.3</v>
      </c>
      <c r="K928" s="5">
        <f t="shared" si="59"/>
        <v>0</v>
      </c>
      <c r="L928" s="5">
        <v>0</v>
      </c>
      <c r="M928" s="5">
        <v>0</v>
      </c>
      <c r="N928" t="s">
        <v>9</v>
      </c>
      <c r="O928" s="8">
        <v>19.517808219178082</v>
      </c>
      <c r="P928" t="s">
        <v>32</v>
      </c>
      <c r="Q928">
        <v>1</v>
      </c>
      <c r="R928" s="2">
        <v>38667</v>
      </c>
    </row>
    <row r="929" spans="1:18" x14ac:dyDescent="0.3">
      <c r="A929" t="s">
        <v>7</v>
      </c>
      <c r="B929">
        <v>18680028</v>
      </c>
      <c r="C929" t="s">
        <v>10</v>
      </c>
      <c r="D929" s="4">
        <v>45791</v>
      </c>
      <c r="E929" s="11">
        <f t="shared" si="56"/>
        <v>2025</v>
      </c>
      <c r="F929" s="11">
        <f t="shared" si="57"/>
        <v>5</v>
      </c>
      <c r="G929" s="11" t="str">
        <f t="shared" si="58"/>
        <v>202505</v>
      </c>
      <c r="H929" s="4">
        <v>45826</v>
      </c>
      <c r="I929" s="5">
        <v>35</v>
      </c>
      <c r="J929" s="5">
        <v>1.1666666666666667</v>
      </c>
      <c r="K929" s="5">
        <f t="shared" si="59"/>
        <v>0</v>
      </c>
      <c r="L929" s="5">
        <v>1</v>
      </c>
      <c r="M929" s="5">
        <v>1</v>
      </c>
      <c r="N929" t="s">
        <v>9</v>
      </c>
      <c r="O929" s="8">
        <v>20.594520547945205</v>
      </c>
      <c r="P929" t="s">
        <v>32</v>
      </c>
      <c r="Q929">
        <v>1</v>
      </c>
      <c r="R929" s="2">
        <v>38274</v>
      </c>
    </row>
    <row r="930" spans="1:18" x14ac:dyDescent="0.3">
      <c r="A930" t="s">
        <v>7</v>
      </c>
      <c r="B930">
        <v>18680029</v>
      </c>
      <c r="C930" t="s">
        <v>8</v>
      </c>
      <c r="D930" s="4">
        <v>45791</v>
      </c>
      <c r="E930" s="11">
        <f t="shared" si="56"/>
        <v>2025</v>
      </c>
      <c r="F930" s="11">
        <f t="shared" si="57"/>
        <v>5</v>
      </c>
      <c r="G930" s="11" t="str">
        <f t="shared" si="58"/>
        <v>202505</v>
      </c>
      <c r="H930" s="4">
        <v>46096</v>
      </c>
      <c r="I930" s="5">
        <v>305</v>
      </c>
      <c r="J930" s="5">
        <v>10.166666666666666</v>
      </c>
      <c r="K930" s="5">
        <f t="shared" si="59"/>
        <v>0</v>
      </c>
      <c r="L930" s="5">
        <v>0</v>
      </c>
      <c r="M930" s="5">
        <v>0</v>
      </c>
      <c r="N930" t="s">
        <v>12</v>
      </c>
      <c r="O930" s="8">
        <v>23.323287671232876</v>
      </c>
      <c r="P930" t="s">
        <v>33</v>
      </c>
      <c r="Q930">
        <v>2</v>
      </c>
      <c r="R930" s="2">
        <v>37278</v>
      </c>
    </row>
    <row r="931" spans="1:18" x14ac:dyDescent="0.3">
      <c r="A931" t="s">
        <v>7</v>
      </c>
      <c r="B931">
        <v>18680030</v>
      </c>
      <c r="C931" t="s">
        <v>8</v>
      </c>
      <c r="D931" s="4">
        <v>45791</v>
      </c>
      <c r="E931" s="11">
        <f t="shared" si="56"/>
        <v>2025</v>
      </c>
      <c r="F931" s="11">
        <f t="shared" si="57"/>
        <v>5</v>
      </c>
      <c r="G931" s="11" t="str">
        <f t="shared" si="58"/>
        <v>202505</v>
      </c>
      <c r="H931" s="4">
        <v>45869</v>
      </c>
      <c r="I931" s="5">
        <v>78</v>
      </c>
      <c r="J931" s="5">
        <v>2.6</v>
      </c>
      <c r="K931" s="5">
        <f t="shared" si="59"/>
        <v>0</v>
      </c>
      <c r="L931" s="5">
        <v>1</v>
      </c>
      <c r="M931" s="5">
        <v>1</v>
      </c>
      <c r="N931" t="s">
        <v>9</v>
      </c>
      <c r="O931" s="8">
        <v>20.106849315068494</v>
      </c>
      <c r="P931" t="s">
        <v>32</v>
      </c>
      <c r="Q931">
        <v>1</v>
      </c>
      <c r="R931" s="2">
        <v>38452</v>
      </c>
    </row>
    <row r="932" spans="1:18" x14ac:dyDescent="0.3">
      <c r="A932" t="s">
        <v>7</v>
      </c>
      <c r="B932">
        <v>18680037</v>
      </c>
      <c r="C932" t="s">
        <v>8</v>
      </c>
      <c r="D932" s="4">
        <v>45791</v>
      </c>
      <c r="E932" s="11">
        <f t="shared" si="56"/>
        <v>2025</v>
      </c>
      <c r="F932" s="11">
        <f t="shared" si="57"/>
        <v>5</v>
      </c>
      <c r="G932" s="11" t="str">
        <f t="shared" si="58"/>
        <v>202505</v>
      </c>
      <c r="I932" s="5">
        <v>9999</v>
      </c>
      <c r="J932" s="5">
        <v>333.3</v>
      </c>
      <c r="K932" s="5">
        <f t="shared" si="59"/>
        <v>0</v>
      </c>
      <c r="L932" s="5">
        <v>0</v>
      </c>
      <c r="M932" s="5">
        <v>0</v>
      </c>
      <c r="N932" t="s">
        <v>9</v>
      </c>
      <c r="O932" s="8">
        <v>34.224657534246575</v>
      </c>
      <c r="P932" t="s">
        <v>35</v>
      </c>
      <c r="Q932">
        <v>4</v>
      </c>
      <c r="R932" s="2">
        <v>33299</v>
      </c>
    </row>
    <row r="933" spans="1:18" x14ac:dyDescent="0.3">
      <c r="A933" t="s">
        <v>7</v>
      </c>
      <c r="B933">
        <v>18680048</v>
      </c>
      <c r="C933" t="s">
        <v>8</v>
      </c>
      <c r="D933" s="4">
        <v>45791</v>
      </c>
      <c r="E933" s="11">
        <f t="shared" si="56"/>
        <v>2025</v>
      </c>
      <c r="F933" s="11">
        <f t="shared" si="57"/>
        <v>5</v>
      </c>
      <c r="G933" s="11" t="str">
        <f t="shared" si="58"/>
        <v>202505</v>
      </c>
      <c r="I933" s="5">
        <v>9999</v>
      </c>
      <c r="J933" s="5">
        <v>333.3</v>
      </c>
      <c r="K933" s="5">
        <f t="shared" si="59"/>
        <v>0</v>
      </c>
      <c r="L933" s="5">
        <v>0</v>
      </c>
      <c r="M933" s="5">
        <v>0</v>
      </c>
      <c r="N933" t="s">
        <v>9</v>
      </c>
      <c r="O933" s="8">
        <v>20.18082191780822</v>
      </c>
      <c r="P933" t="s">
        <v>32</v>
      </c>
      <c r="Q933">
        <v>1</v>
      </c>
      <c r="R933" s="2">
        <v>38425</v>
      </c>
    </row>
    <row r="934" spans="1:18" x14ac:dyDescent="0.3">
      <c r="A934" t="s">
        <v>7</v>
      </c>
      <c r="B934">
        <v>18680051</v>
      </c>
      <c r="C934" t="s">
        <v>8</v>
      </c>
      <c r="D934" s="4">
        <v>45791</v>
      </c>
      <c r="E934" s="11">
        <f t="shared" si="56"/>
        <v>2025</v>
      </c>
      <c r="F934" s="11">
        <f t="shared" si="57"/>
        <v>5</v>
      </c>
      <c r="G934" s="11" t="str">
        <f t="shared" si="58"/>
        <v>202505</v>
      </c>
      <c r="I934" s="5">
        <v>9999</v>
      </c>
      <c r="J934" s="5">
        <v>333.3</v>
      </c>
      <c r="K934" s="5">
        <f t="shared" si="59"/>
        <v>0</v>
      </c>
      <c r="L934" s="5">
        <v>0</v>
      </c>
      <c r="M934" s="5">
        <v>0</v>
      </c>
      <c r="N934" t="s">
        <v>12</v>
      </c>
      <c r="O934" s="8">
        <v>20.769863013698629</v>
      </c>
      <c r="P934" t="s">
        <v>32</v>
      </c>
      <c r="Q934">
        <v>1</v>
      </c>
      <c r="R934" s="2">
        <v>38210</v>
      </c>
    </row>
    <row r="935" spans="1:18" x14ac:dyDescent="0.3">
      <c r="A935" t="s">
        <v>7</v>
      </c>
      <c r="B935">
        <v>18680130</v>
      </c>
      <c r="C935" t="s">
        <v>8</v>
      </c>
      <c r="D935" s="4">
        <v>45791</v>
      </c>
      <c r="E935" s="11">
        <f t="shared" si="56"/>
        <v>2025</v>
      </c>
      <c r="F935" s="11">
        <f t="shared" si="57"/>
        <v>5</v>
      </c>
      <c r="G935" s="11" t="str">
        <f t="shared" si="58"/>
        <v>202505</v>
      </c>
      <c r="H935" s="4">
        <v>45809</v>
      </c>
      <c r="I935" s="5">
        <v>18</v>
      </c>
      <c r="J935" s="5">
        <v>0.6</v>
      </c>
      <c r="K935" s="5">
        <f t="shared" si="59"/>
        <v>1</v>
      </c>
      <c r="L935" s="5">
        <v>1</v>
      </c>
      <c r="M935" s="5">
        <v>1</v>
      </c>
      <c r="N935" t="s">
        <v>12</v>
      </c>
      <c r="O935" s="8">
        <v>20.117808219178084</v>
      </c>
      <c r="P935" t="s">
        <v>32</v>
      </c>
      <c r="Q935">
        <v>1</v>
      </c>
      <c r="R935" s="2">
        <v>38448</v>
      </c>
    </row>
    <row r="936" spans="1:18" x14ac:dyDescent="0.3">
      <c r="A936" t="s">
        <v>7</v>
      </c>
      <c r="B936">
        <v>18680143</v>
      </c>
      <c r="C936" t="s">
        <v>8</v>
      </c>
      <c r="D936" s="4">
        <v>45791</v>
      </c>
      <c r="E936" s="11">
        <f t="shared" si="56"/>
        <v>2025</v>
      </c>
      <c r="F936" s="11">
        <f t="shared" si="57"/>
        <v>5</v>
      </c>
      <c r="G936" s="11" t="str">
        <f t="shared" si="58"/>
        <v>202505</v>
      </c>
      <c r="I936" s="5">
        <v>9999</v>
      </c>
      <c r="J936" s="5">
        <v>333.3</v>
      </c>
      <c r="K936" s="5">
        <f t="shared" si="59"/>
        <v>0</v>
      </c>
      <c r="L936" s="5">
        <v>0</v>
      </c>
      <c r="M936" s="5">
        <v>0</v>
      </c>
      <c r="N936" t="s">
        <v>12</v>
      </c>
      <c r="O936" s="8">
        <v>19.602739726027398</v>
      </c>
      <c r="P936" t="s">
        <v>32</v>
      </c>
      <c r="Q936">
        <v>1</v>
      </c>
      <c r="R936" s="2">
        <v>38636</v>
      </c>
    </row>
    <row r="937" spans="1:18" x14ac:dyDescent="0.3">
      <c r="A937" t="s">
        <v>7</v>
      </c>
      <c r="B937">
        <v>18681896</v>
      </c>
      <c r="C937" t="s">
        <v>10</v>
      </c>
      <c r="D937" s="4">
        <v>45792</v>
      </c>
      <c r="E937" s="11">
        <f t="shared" si="56"/>
        <v>2025</v>
      </c>
      <c r="F937" s="11">
        <f t="shared" si="57"/>
        <v>5</v>
      </c>
      <c r="G937" s="11" t="str">
        <f t="shared" si="58"/>
        <v>202505</v>
      </c>
      <c r="H937" s="4">
        <v>46068</v>
      </c>
      <c r="I937" s="5">
        <v>276</v>
      </c>
      <c r="J937" s="5">
        <v>9.1999999999999993</v>
      </c>
      <c r="K937" s="5">
        <f t="shared" si="59"/>
        <v>0</v>
      </c>
      <c r="L937" s="5">
        <v>0</v>
      </c>
      <c r="M937" s="5">
        <v>0</v>
      </c>
      <c r="N937" t="s">
        <v>9</v>
      </c>
      <c r="O937" s="8">
        <v>18.704109589041096</v>
      </c>
      <c r="P937" t="s">
        <v>32</v>
      </c>
      <c r="Q937">
        <v>1</v>
      </c>
      <c r="R937" s="2">
        <v>38965</v>
      </c>
    </row>
    <row r="938" spans="1:18" x14ac:dyDescent="0.3">
      <c r="A938" t="s">
        <v>7</v>
      </c>
      <c r="B938">
        <v>18681897</v>
      </c>
      <c r="C938" t="s">
        <v>10</v>
      </c>
      <c r="D938" s="4">
        <v>45792</v>
      </c>
      <c r="E938" s="11">
        <f t="shared" si="56"/>
        <v>2025</v>
      </c>
      <c r="F938" s="11">
        <f t="shared" si="57"/>
        <v>5</v>
      </c>
      <c r="G938" s="11" t="str">
        <f t="shared" si="58"/>
        <v>202505</v>
      </c>
      <c r="H938" s="4">
        <v>46112</v>
      </c>
      <c r="I938" s="5">
        <v>320</v>
      </c>
      <c r="J938" s="5">
        <v>10.666666666666666</v>
      </c>
      <c r="K938" s="5">
        <f t="shared" si="59"/>
        <v>0</v>
      </c>
      <c r="L938" s="5">
        <v>0</v>
      </c>
      <c r="M938" s="5">
        <v>0</v>
      </c>
      <c r="N938" t="s">
        <v>9</v>
      </c>
      <c r="O938" s="8">
        <v>18.701369863013699</v>
      </c>
      <c r="P938" t="s">
        <v>32</v>
      </c>
      <c r="Q938">
        <v>1</v>
      </c>
      <c r="R938" s="2">
        <v>38966</v>
      </c>
    </row>
    <row r="939" spans="1:18" x14ac:dyDescent="0.3">
      <c r="A939" t="s">
        <v>7</v>
      </c>
      <c r="B939">
        <v>18681898</v>
      </c>
      <c r="C939" t="s">
        <v>10</v>
      </c>
      <c r="D939" s="4">
        <v>45792</v>
      </c>
      <c r="E939" s="11">
        <f t="shared" si="56"/>
        <v>2025</v>
      </c>
      <c r="F939" s="11">
        <f t="shared" si="57"/>
        <v>5</v>
      </c>
      <c r="G939" s="11" t="str">
        <f t="shared" si="58"/>
        <v>202505</v>
      </c>
      <c r="H939" s="4">
        <v>46012</v>
      </c>
      <c r="I939" s="5">
        <v>220</v>
      </c>
      <c r="J939" s="5">
        <v>7.333333333333333</v>
      </c>
      <c r="K939" s="5">
        <f t="shared" si="59"/>
        <v>0</v>
      </c>
      <c r="L939" s="5">
        <v>0</v>
      </c>
      <c r="M939" s="5">
        <v>0</v>
      </c>
      <c r="N939" t="s">
        <v>9</v>
      </c>
      <c r="O939" s="8">
        <v>19.786301369863015</v>
      </c>
      <c r="P939" t="s">
        <v>32</v>
      </c>
      <c r="Q939">
        <v>1</v>
      </c>
      <c r="R939" s="2">
        <v>38570</v>
      </c>
    </row>
    <row r="940" spans="1:18" x14ac:dyDescent="0.3">
      <c r="A940" t="s">
        <v>7</v>
      </c>
      <c r="B940">
        <v>18685548</v>
      </c>
      <c r="C940" t="s">
        <v>8</v>
      </c>
      <c r="D940" s="4">
        <v>45793</v>
      </c>
      <c r="E940" s="11">
        <f t="shared" si="56"/>
        <v>2025</v>
      </c>
      <c r="F940" s="11">
        <f t="shared" si="57"/>
        <v>5</v>
      </c>
      <c r="G940" s="11" t="str">
        <f t="shared" si="58"/>
        <v>202505</v>
      </c>
      <c r="H940" s="4">
        <v>45809</v>
      </c>
      <c r="I940" s="5">
        <v>16</v>
      </c>
      <c r="J940" s="5">
        <v>0.53333333333333333</v>
      </c>
      <c r="K940" s="5">
        <f t="shared" si="59"/>
        <v>1</v>
      </c>
      <c r="L940" s="5">
        <v>1</v>
      </c>
      <c r="M940" s="5">
        <v>1</v>
      </c>
      <c r="N940" t="s">
        <v>12</v>
      </c>
      <c r="O940" s="8">
        <v>22.219178082191782</v>
      </c>
      <c r="P940" t="s">
        <v>33</v>
      </c>
      <c r="Q940">
        <v>2</v>
      </c>
      <c r="R940" s="2">
        <v>37683</v>
      </c>
    </row>
    <row r="941" spans="1:18" x14ac:dyDescent="0.3">
      <c r="A941" t="s">
        <v>7</v>
      </c>
      <c r="B941">
        <v>18685555</v>
      </c>
      <c r="C941" t="s">
        <v>10</v>
      </c>
      <c r="D941" s="4">
        <v>45793</v>
      </c>
      <c r="E941" s="11">
        <f t="shared" si="56"/>
        <v>2025</v>
      </c>
      <c r="F941" s="11">
        <f t="shared" si="57"/>
        <v>5</v>
      </c>
      <c r="G941" s="11" t="str">
        <f t="shared" si="58"/>
        <v>202505</v>
      </c>
      <c r="H941" s="4">
        <v>45809</v>
      </c>
      <c r="I941" s="5">
        <v>16</v>
      </c>
      <c r="J941" s="5">
        <v>0.53333333333333333</v>
      </c>
      <c r="K941" s="5">
        <f t="shared" si="59"/>
        <v>1</v>
      </c>
      <c r="L941" s="5">
        <v>1</v>
      </c>
      <c r="M941" s="5">
        <v>1</v>
      </c>
      <c r="N941" t="s">
        <v>12</v>
      </c>
      <c r="O941" s="8">
        <v>19.041095890410958</v>
      </c>
      <c r="P941" t="s">
        <v>32</v>
      </c>
      <c r="Q941">
        <v>1</v>
      </c>
      <c r="R941" s="2">
        <v>38843</v>
      </c>
    </row>
    <row r="942" spans="1:18" x14ac:dyDescent="0.3">
      <c r="A942" t="s">
        <v>11</v>
      </c>
      <c r="B942">
        <v>18685598</v>
      </c>
      <c r="C942" t="s">
        <v>10</v>
      </c>
      <c r="D942" s="4">
        <v>45793</v>
      </c>
      <c r="E942" s="11">
        <f t="shared" si="56"/>
        <v>2025</v>
      </c>
      <c r="F942" s="11">
        <f t="shared" si="57"/>
        <v>5</v>
      </c>
      <c r="G942" s="11" t="str">
        <f t="shared" si="58"/>
        <v>202505</v>
      </c>
      <c r="H942" s="4">
        <v>45808</v>
      </c>
      <c r="I942" s="5">
        <v>15</v>
      </c>
      <c r="J942" s="5">
        <v>0.5</v>
      </c>
      <c r="K942" s="5">
        <f t="shared" si="59"/>
        <v>1</v>
      </c>
      <c r="L942" s="5">
        <v>1</v>
      </c>
      <c r="M942" s="5">
        <v>1</v>
      </c>
      <c r="N942" t="s">
        <v>9</v>
      </c>
      <c r="O942" s="8">
        <v>18.164383561643834</v>
      </c>
      <c r="P942" t="s">
        <v>32</v>
      </c>
      <c r="Q942">
        <v>1</v>
      </c>
      <c r="R942" s="2">
        <v>39163</v>
      </c>
    </row>
    <row r="943" spans="1:18" x14ac:dyDescent="0.3">
      <c r="A943" t="s">
        <v>7</v>
      </c>
      <c r="B943">
        <v>18685602</v>
      </c>
      <c r="C943" t="s">
        <v>8</v>
      </c>
      <c r="D943" s="4">
        <v>45793</v>
      </c>
      <c r="E943" s="11">
        <f t="shared" si="56"/>
        <v>2025</v>
      </c>
      <c r="F943" s="11">
        <f t="shared" si="57"/>
        <v>5</v>
      </c>
      <c r="G943" s="11" t="str">
        <f t="shared" si="58"/>
        <v>202505</v>
      </c>
      <c r="I943" s="5">
        <v>9999</v>
      </c>
      <c r="J943" s="5">
        <v>333.3</v>
      </c>
      <c r="K943" s="5">
        <f t="shared" si="59"/>
        <v>0</v>
      </c>
      <c r="L943" s="5">
        <v>0</v>
      </c>
      <c r="M943" s="5">
        <v>0</v>
      </c>
      <c r="N943" t="s">
        <v>9</v>
      </c>
      <c r="O943" s="8">
        <v>20.583561643835615</v>
      </c>
      <c r="P943" t="s">
        <v>32</v>
      </c>
      <c r="Q943">
        <v>1</v>
      </c>
      <c r="R943" s="2">
        <v>38280</v>
      </c>
    </row>
    <row r="944" spans="1:18" x14ac:dyDescent="0.3">
      <c r="A944" t="s">
        <v>7</v>
      </c>
      <c r="B944">
        <v>18685609</v>
      </c>
      <c r="C944" t="s">
        <v>10</v>
      </c>
      <c r="D944" s="4">
        <v>45793</v>
      </c>
      <c r="E944" s="11">
        <f t="shared" si="56"/>
        <v>2025</v>
      </c>
      <c r="F944" s="11">
        <f t="shared" si="57"/>
        <v>5</v>
      </c>
      <c r="G944" s="11" t="str">
        <f t="shared" si="58"/>
        <v>202505</v>
      </c>
      <c r="I944" s="5">
        <v>9999</v>
      </c>
      <c r="J944" s="5">
        <v>333.3</v>
      </c>
      <c r="K944" s="5">
        <f t="shared" si="59"/>
        <v>0</v>
      </c>
      <c r="L944" s="5">
        <v>0</v>
      </c>
      <c r="M944" s="5">
        <v>0</v>
      </c>
      <c r="N944" t="s">
        <v>9</v>
      </c>
      <c r="O944" s="8">
        <v>20.997260273972604</v>
      </c>
      <c r="P944" t="s">
        <v>32</v>
      </c>
      <c r="Q944">
        <v>1</v>
      </c>
      <c r="R944" s="2">
        <v>38129</v>
      </c>
    </row>
    <row r="945" spans="1:18" x14ac:dyDescent="0.3">
      <c r="A945" t="s">
        <v>7</v>
      </c>
      <c r="B945">
        <v>18685617</v>
      </c>
      <c r="C945" t="s">
        <v>8</v>
      </c>
      <c r="D945" s="4">
        <v>45793</v>
      </c>
      <c r="E945" s="11">
        <f t="shared" si="56"/>
        <v>2025</v>
      </c>
      <c r="F945" s="11">
        <f t="shared" si="57"/>
        <v>5</v>
      </c>
      <c r="G945" s="11" t="str">
        <f t="shared" si="58"/>
        <v>202505</v>
      </c>
      <c r="H945" s="4">
        <v>45940</v>
      </c>
      <c r="I945" s="5">
        <v>147</v>
      </c>
      <c r="J945" s="5">
        <v>4.9000000000000004</v>
      </c>
      <c r="K945" s="5">
        <f t="shared" si="59"/>
        <v>0</v>
      </c>
      <c r="L945" s="5">
        <v>0</v>
      </c>
      <c r="M945" s="5">
        <v>1</v>
      </c>
      <c r="N945" t="s">
        <v>9</v>
      </c>
      <c r="O945" s="8">
        <v>19.641095890410959</v>
      </c>
      <c r="P945" t="s">
        <v>32</v>
      </c>
      <c r="Q945">
        <v>1</v>
      </c>
      <c r="R945" s="2">
        <v>38624</v>
      </c>
    </row>
    <row r="946" spans="1:18" x14ac:dyDescent="0.3">
      <c r="A946" t="s">
        <v>7</v>
      </c>
      <c r="B946">
        <v>18685659</v>
      </c>
      <c r="C946" t="s">
        <v>8</v>
      </c>
      <c r="D946" s="4">
        <v>45793</v>
      </c>
      <c r="E946" s="11">
        <f t="shared" si="56"/>
        <v>2025</v>
      </c>
      <c r="F946" s="11">
        <f t="shared" si="57"/>
        <v>5</v>
      </c>
      <c r="G946" s="11" t="str">
        <f t="shared" si="58"/>
        <v>202505</v>
      </c>
      <c r="H946" s="4">
        <v>45900</v>
      </c>
      <c r="I946" s="5">
        <v>107</v>
      </c>
      <c r="J946" s="5">
        <v>3.5666666666666669</v>
      </c>
      <c r="K946" s="5">
        <f t="shared" si="59"/>
        <v>0</v>
      </c>
      <c r="L946" s="5">
        <v>0</v>
      </c>
      <c r="M946" s="5">
        <v>1</v>
      </c>
      <c r="N946" t="s">
        <v>9</v>
      </c>
      <c r="O946" s="8">
        <v>18.720547945205478</v>
      </c>
      <c r="P946" t="s">
        <v>32</v>
      </c>
      <c r="Q946">
        <v>1</v>
      </c>
      <c r="R946" s="2">
        <v>38960</v>
      </c>
    </row>
    <row r="947" spans="1:18" x14ac:dyDescent="0.3">
      <c r="A947" t="s">
        <v>7</v>
      </c>
      <c r="B947">
        <v>18685669</v>
      </c>
      <c r="C947" t="s">
        <v>8</v>
      </c>
      <c r="D947" s="4">
        <v>45793</v>
      </c>
      <c r="E947" s="11">
        <f t="shared" si="56"/>
        <v>2025</v>
      </c>
      <c r="F947" s="11">
        <f t="shared" si="57"/>
        <v>5</v>
      </c>
      <c r="G947" s="11" t="str">
        <f t="shared" si="58"/>
        <v>202505</v>
      </c>
      <c r="I947" s="5">
        <v>9999</v>
      </c>
      <c r="J947" s="5">
        <v>333.3</v>
      </c>
      <c r="K947" s="5">
        <f t="shared" si="59"/>
        <v>0</v>
      </c>
      <c r="L947" s="5">
        <v>0</v>
      </c>
      <c r="M947" s="5">
        <v>0</v>
      </c>
      <c r="N947" t="s">
        <v>9</v>
      </c>
      <c r="O947" s="8">
        <v>25.860273972602741</v>
      </c>
      <c r="P947" t="s">
        <v>33</v>
      </c>
      <c r="Q947">
        <v>2</v>
      </c>
      <c r="R947" s="2">
        <v>36354</v>
      </c>
    </row>
    <row r="948" spans="1:18" x14ac:dyDescent="0.3">
      <c r="A948" t="s">
        <v>7</v>
      </c>
      <c r="B948">
        <v>18685682</v>
      </c>
      <c r="C948" t="s">
        <v>10</v>
      </c>
      <c r="D948" s="4">
        <v>45793</v>
      </c>
      <c r="E948" s="11">
        <f t="shared" si="56"/>
        <v>2025</v>
      </c>
      <c r="F948" s="11">
        <f t="shared" si="57"/>
        <v>5</v>
      </c>
      <c r="G948" s="11" t="str">
        <f t="shared" si="58"/>
        <v>202505</v>
      </c>
      <c r="H948" s="4">
        <v>46069</v>
      </c>
      <c r="I948" s="5">
        <v>276</v>
      </c>
      <c r="J948" s="5">
        <v>9.1999999999999993</v>
      </c>
      <c r="K948" s="5">
        <f t="shared" si="59"/>
        <v>0</v>
      </c>
      <c r="L948" s="5">
        <v>0</v>
      </c>
      <c r="M948" s="5">
        <v>0</v>
      </c>
      <c r="N948" t="s">
        <v>12</v>
      </c>
      <c r="O948" s="8">
        <v>20.827397260273973</v>
      </c>
      <c r="P948" t="s">
        <v>32</v>
      </c>
      <c r="Q948">
        <v>1</v>
      </c>
      <c r="R948" s="2">
        <v>38191</v>
      </c>
    </row>
    <row r="949" spans="1:18" x14ac:dyDescent="0.3">
      <c r="A949" t="s">
        <v>7</v>
      </c>
      <c r="B949">
        <v>18685683</v>
      </c>
      <c r="C949" t="s">
        <v>8</v>
      </c>
      <c r="D949" s="4">
        <v>45793</v>
      </c>
      <c r="E949" s="11">
        <f t="shared" si="56"/>
        <v>2025</v>
      </c>
      <c r="F949" s="11">
        <f t="shared" si="57"/>
        <v>5</v>
      </c>
      <c r="G949" s="11" t="str">
        <f t="shared" si="58"/>
        <v>202505</v>
      </c>
      <c r="H949" s="4">
        <v>46143</v>
      </c>
      <c r="I949" s="5">
        <v>350</v>
      </c>
      <c r="J949" s="5">
        <v>11.666666666666666</v>
      </c>
      <c r="K949" s="5">
        <f t="shared" si="59"/>
        <v>0</v>
      </c>
      <c r="L949" s="5">
        <v>0</v>
      </c>
      <c r="M949" s="5">
        <v>0</v>
      </c>
      <c r="N949" t="s">
        <v>9</v>
      </c>
      <c r="O949" s="8">
        <v>20.531506849315068</v>
      </c>
      <c r="P949" t="s">
        <v>32</v>
      </c>
      <c r="Q949">
        <v>1</v>
      </c>
      <c r="R949" s="2">
        <v>38299</v>
      </c>
    </row>
    <row r="950" spans="1:18" x14ac:dyDescent="0.3">
      <c r="A950" t="s">
        <v>7</v>
      </c>
      <c r="B950">
        <v>18685707</v>
      </c>
      <c r="C950" t="s">
        <v>10</v>
      </c>
      <c r="D950" s="4">
        <v>45793</v>
      </c>
      <c r="E950" s="11">
        <f t="shared" si="56"/>
        <v>2025</v>
      </c>
      <c r="F950" s="11">
        <f t="shared" si="57"/>
        <v>5</v>
      </c>
      <c r="G950" s="11" t="str">
        <f t="shared" si="58"/>
        <v>202505</v>
      </c>
      <c r="H950" s="4">
        <v>46088</v>
      </c>
      <c r="I950" s="5">
        <v>295</v>
      </c>
      <c r="J950" s="5">
        <v>9.8333333333333339</v>
      </c>
      <c r="K950" s="5">
        <f t="shared" si="59"/>
        <v>0</v>
      </c>
      <c r="L950" s="5">
        <v>0</v>
      </c>
      <c r="M950" s="5">
        <v>0</v>
      </c>
      <c r="N950" t="s">
        <v>9</v>
      </c>
      <c r="O950" s="8">
        <v>18.600000000000001</v>
      </c>
      <c r="P950" t="s">
        <v>32</v>
      </c>
      <c r="Q950">
        <v>1</v>
      </c>
      <c r="R950" s="2">
        <v>39004</v>
      </c>
    </row>
    <row r="951" spans="1:18" x14ac:dyDescent="0.3">
      <c r="A951" t="s">
        <v>11</v>
      </c>
      <c r="B951">
        <v>18685709</v>
      </c>
      <c r="C951" t="s">
        <v>8</v>
      </c>
      <c r="D951" s="4">
        <v>45793</v>
      </c>
      <c r="E951" s="11">
        <f t="shared" si="56"/>
        <v>2025</v>
      </c>
      <c r="F951" s="11">
        <f t="shared" si="57"/>
        <v>5</v>
      </c>
      <c r="G951" s="11" t="str">
        <f t="shared" si="58"/>
        <v>202505</v>
      </c>
      <c r="H951" s="4">
        <v>45838</v>
      </c>
      <c r="I951" s="5">
        <v>45</v>
      </c>
      <c r="J951" s="5">
        <v>1.5</v>
      </c>
      <c r="K951" s="5">
        <f t="shared" si="59"/>
        <v>0</v>
      </c>
      <c r="L951" s="5">
        <v>1</v>
      </c>
      <c r="M951" s="5">
        <v>1</v>
      </c>
      <c r="N951" t="s">
        <v>9</v>
      </c>
      <c r="O951" s="8">
        <v>18.490410958904111</v>
      </c>
      <c r="P951" t="s">
        <v>32</v>
      </c>
      <c r="Q951">
        <v>1</v>
      </c>
      <c r="R951" s="2">
        <v>39044</v>
      </c>
    </row>
    <row r="952" spans="1:18" x14ac:dyDescent="0.3">
      <c r="A952" t="s">
        <v>7</v>
      </c>
      <c r="B952">
        <v>18685731</v>
      </c>
      <c r="C952" t="s">
        <v>8</v>
      </c>
      <c r="D952" s="4">
        <v>45793</v>
      </c>
      <c r="E952" s="11">
        <f t="shared" si="56"/>
        <v>2025</v>
      </c>
      <c r="F952" s="11">
        <f t="shared" si="57"/>
        <v>5</v>
      </c>
      <c r="G952" s="11" t="str">
        <f t="shared" si="58"/>
        <v>202505</v>
      </c>
      <c r="H952" s="4">
        <v>45809</v>
      </c>
      <c r="I952" s="5">
        <v>16</v>
      </c>
      <c r="J952" s="5">
        <v>0.53333333333333333</v>
      </c>
      <c r="K952" s="5">
        <f t="shared" si="59"/>
        <v>1</v>
      </c>
      <c r="L952" s="5">
        <v>1</v>
      </c>
      <c r="M952" s="5">
        <v>1</v>
      </c>
      <c r="N952" t="s">
        <v>12</v>
      </c>
      <c r="O952" s="8">
        <v>19.298630136986301</v>
      </c>
      <c r="P952" t="s">
        <v>32</v>
      </c>
      <c r="Q952">
        <v>1</v>
      </c>
      <c r="R952" s="2">
        <v>38749</v>
      </c>
    </row>
    <row r="953" spans="1:18" x14ac:dyDescent="0.3">
      <c r="A953" t="s">
        <v>7</v>
      </c>
      <c r="B953">
        <v>18685732</v>
      </c>
      <c r="C953" t="s">
        <v>8</v>
      </c>
      <c r="D953" s="4">
        <v>45793</v>
      </c>
      <c r="E953" s="11">
        <f t="shared" si="56"/>
        <v>2025</v>
      </c>
      <c r="F953" s="11">
        <f t="shared" si="57"/>
        <v>5</v>
      </c>
      <c r="G953" s="11" t="str">
        <f t="shared" si="58"/>
        <v>202505</v>
      </c>
      <c r="I953" s="5">
        <v>9999</v>
      </c>
      <c r="J953" s="5">
        <v>333.3</v>
      </c>
      <c r="K953" s="5">
        <f t="shared" si="59"/>
        <v>0</v>
      </c>
      <c r="L953" s="5">
        <v>0</v>
      </c>
      <c r="M953" s="5">
        <v>0</v>
      </c>
      <c r="N953" t="s">
        <v>9</v>
      </c>
      <c r="O953" s="8">
        <v>18.095890410958905</v>
      </c>
      <c r="P953" t="s">
        <v>32</v>
      </c>
      <c r="Q953">
        <v>1</v>
      </c>
      <c r="R953" s="2">
        <v>39188</v>
      </c>
    </row>
    <row r="954" spans="1:18" x14ac:dyDescent="0.3">
      <c r="A954" t="s">
        <v>7</v>
      </c>
      <c r="B954">
        <v>18685757</v>
      </c>
      <c r="C954" t="s">
        <v>8</v>
      </c>
      <c r="D954" s="4">
        <v>45793</v>
      </c>
      <c r="E954" s="11">
        <f t="shared" si="56"/>
        <v>2025</v>
      </c>
      <c r="F954" s="11">
        <f t="shared" si="57"/>
        <v>5</v>
      </c>
      <c r="G954" s="11" t="str">
        <f t="shared" si="58"/>
        <v>202505</v>
      </c>
      <c r="H954" s="4">
        <v>45903</v>
      </c>
      <c r="I954" s="5">
        <v>110</v>
      </c>
      <c r="J954" s="5">
        <v>3.6666666666666665</v>
      </c>
      <c r="K954" s="5">
        <f t="shared" si="59"/>
        <v>0</v>
      </c>
      <c r="L954" s="5">
        <v>0</v>
      </c>
      <c r="M954" s="5">
        <v>1</v>
      </c>
      <c r="N954" t="s">
        <v>9</v>
      </c>
      <c r="O954" s="8">
        <v>23.158904109589042</v>
      </c>
      <c r="P954" t="s">
        <v>33</v>
      </c>
      <c r="Q954">
        <v>2</v>
      </c>
      <c r="R954" s="2">
        <v>37340</v>
      </c>
    </row>
    <row r="955" spans="1:18" x14ac:dyDescent="0.3">
      <c r="A955" t="s">
        <v>7</v>
      </c>
      <c r="B955">
        <v>18685767</v>
      </c>
      <c r="C955" t="s">
        <v>10</v>
      </c>
      <c r="D955" s="4">
        <v>45793</v>
      </c>
      <c r="E955" s="11">
        <f t="shared" si="56"/>
        <v>2025</v>
      </c>
      <c r="F955" s="11">
        <f t="shared" si="57"/>
        <v>5</v>
      </c>
      <c r="G955" s="11" t="str">
        <f t="shared" si="58"/>
        <v>202505</v>
      </c>
      <c r="H955" s="4">
        <v>46112</v>
      </c>
      <c r="I955" s="5">
        <v>319</v>
      </c>
      <c r="J955" s="5">
        <v>10.633333333333333</v>
      </c>
      <c r="K955" s="5">
        <f t="shared" si="59"/>
        <v>0</v>
      </c>
      <c r="L955" s="5">
        <v>0</v>
      </c>
      <c r="M955" s="5">
        <v>0</v>
      </c>
      <c r="N955" t="s">
        <v>9</v>
      </c>
      <c r="O955" s="8">
        <v>24.783561643835615</v>
      </c>
      <c r="P955" t="s">
        <v>33</v>
      </c>
      <c r="Q955">
        <v>2</v>
      </c>
      <c r="R955" s="2">
        <v>36747</v>
      </c>
    </row>
    <row r="956" spans="1:18" x14ac:dyDescent="0.3">
      <c r="A956" t="s">
        <v>7</v>
      </c>
      <c r="B956">
        <v>18685771</v>
      </c>
      <c r="C956" t="s">
        <v>8</v>
      </c>
      <c r="D956" s="4">
        <v>45793</v>
      </c>
      <c r="E956" s="11">
        <f t="shared" si="56"/>
        <v>2025</v>
      </c>
      <c r="F956" s="11">
        <f t="shared" si="57"/>
        <v>5</v>
      </c>
      <c r="G956" s="11" t="str">
        <f t="shared" si="58"/>
        <v>202505</v>
      </c>
      <c r="H956" s="4">
        <v>45813</v>
      </c>
      <c r="I956" s="5">
        <v>20</v>
      </c>
      <c r="J956" s="5">
        <v>0.66666666666666663</v>
      </c>
      <c r="K956" s="5">
        <f t="shared" si="59"/>
        <v>1</v>
      </c>
      <c r="L956" s="5">
        <v>1</v>
      </c>
      <c r="M956" s="5">
        <v>1</v>
      </c>
      <c r="N956" t="s">
        <v>9</v>
      </c>
      <c r="O956" s="8">
        <v>20.989041095890411</v>
      </c>
      <c r="P956" t="s">
        <v>32</v>
      </c>
      <c r="Q956">
        <v>1</v>
      </c>
      <c r="R956" s="2">
        <v>38132</v>
      </c>
    </row>
    <row r="957" spans="1:18" x14ac:dyDescent="0.3">
      <c r="A957" t="s">
        <v>7</v>
      </c>
      <c r="B957">
        <v>18685772</v>
      </c>
      <c r="C957" t="s">
        <v>8</v>
      </c>
      <c r="D957" s="4">
        <v>45793</v>
      </c>
      <c r="E957" s="11">
        <f t="shared" si="56"/>
        <v>2025</v>
      </c>
      <c r="F957" s="11">
        <f t="shared" si="57"/>
        <v>5</v>
      </c>
      <c r="G957" s="11" t="str">
        <f t="shared" si="58"/>
        <v>202505</v>
      </c>
      <c r="I957" s="5">
        <v>9999</v>
      </c>
      <c r="J957" s="5">
        <v>333.3</v>
      </c>
      <c r="K957" s="5">
        <f t="shared" si="59"/>
        <v>0</v>
      </c>
      <c r="L957" s="5">
        <v>0</v>
      </c>
      <c r="M957" s="5">
        <v>0</v>
      </c>
      <c r="N957" t="s">
        <v>9</v>
      </c>
      <c r="O957" s="8">
        <v>19.506849315068493</v>
      </c>
      <c r="P957" t="s">
        <v>32</v>
      </c>
      <c r="Q957">
        <v>1</v>
      </c>
      <c r="R957" s="2">
        <v>38673</v>
      </c>
    </row>
    <row r="958" spans="1:18" x14ac:dyDescent="0.3">
      <c r="A958" t="s">
        <v>7</v>
      </c>
      <c r="B958">
        <v>18685791</v>
      </c>
      <c r="C958" t="s">
        <v>10</v>
      </c>
      <c r="D958" s="4">
        <v>45793</v>
      </c>
      <c r="E958" s="11">
        <f t="shared" si="56"/>
        <v>2025</v>
      </c>
      <c r="F958" s="11">
        <f t="shared" si="57"/>
        <v>5</v>
      </c>
      <c r="G958" s="11" t="str">
        <f t="shared" si="58"/>
        <v>202505</v>
      </c>
      <c r="H958" s="4">
        <v>46112</v>
      </c>
      <c r="I958" s="5">
        <v>319</v>
      </c>
      <c r="J958" s="5">
        <v>10.633333333333333</v>
      </c>
      <c r="K958" s="5">
        <f t="shared" si="59"/>
        <v>0</v>
      </c>
      <c r="L958" s="5">
        <v>0</v>
      </c>
      <c r="M958" s="5">
        <v>0</v>
      </c>
      <c r="N958" t="s">
        <v>9</v>
      </c>
      <c r="O958" s="8">
        <v>23.945205479452056</v>
      </c>
      <c r="P958" t="s">
        <v>33</v>
      </c>
      <c r="Q958">
        <v>2</v>
      </c>
      <c r="R958" s="2">
        <v>37053</v>
      </c>
    </row>
    <row r="959" spans="1:18" x14ac:dyDescent="0.3">
      <c r="A959" t="s">
        <v>7</v>
      </c>
      <c r="B959">
        <v>18685837</v>
      </c>
      <c r="C959" t="s">
        <v>8</v>
      </c>
      <c r="D959" s="4">
        <v>45793</v>
      </c>
      <c r="E959" s="11">
        <f t="shared" si="56"/>
        <v>2025</v>
      </c>
      <c r="F959" s="11">
        <f t="shared" si="57"/>
        <v>5</v>
      </c>
      <c r="G959" s="11" t="str">
        <f t="shared" si="58"/>
        <v>202505</v>
      </c>
      <c r="H959" s="4">
        <v>46033</v>
      </c>
      <c r="I959" s="5">
        <v>240</v>
      </c>
      <c r="J959" s="5">
        <v>8</v>
      </c>
      <c r="K959" s="5">
        <f t="shared" si="59"/>
        <v>0</v>
      </c>
      <c r="L959" s="5">
        <v>0</v>
      </c>
      <c r="M959" s="5">
        <v>0</v>
      </c>
      <c r="N959" t="s">
        <v>9</v>
      </c>
      <c r="O959" s="8">
        <v>20.2</v>
      </c>
      <c r="P959" t="s">
        <v>32</v>
      </c>
      <c r="Q959">
        <v>1</v>
      </c>
      <c r="R959" s="2">
        <v>38420</v>
      </c>
    </row>
    <row r="960" spans="1:18" x14ac:dyDescent="0.3">
      <c r="A960" t="s">
        <v>7</v>
      </c>
      <c r="B960">
        <v>18685935</v>
      </c>
      <c r="C960" t="s">
        <v>8</v>
      </c>
      <c r="D960" s="4">
        <v>45793</v>
      </c>
      <c r="E960" s="11">
        <f t="shared" si="56"/>
        <v>2025</v>
      </c>
      <c r="F960" s="11">
        <f t="shared" si="57"/>
        <v>5</v>
      </c>
      <c r="G960" s="11" t="str">
        <f t="shared" si="58"/>
        <v>202505</v>
      </c>
      <c r="H960" s="4">
        <v>45793</v>
      </c>
      <c r="I960" s="5">
        <v>0</v>
      </c>
      <c r="J960" s="5">
        <v>0</v>
      </c>
      <c r="K960" s="5">
        <f t="shared" si="59"/>
        <v>1</v>
      </c>
      <c r="L960" s="5">
        <v>1</v>
      </c>
      <c r="M960" s="5">
        <v>1</v>
      </c>
      <c r="N960" t="s">
        <v>9</v>
      </c>
      <c r="O960" s="8">
        <v>19.660273972602738</v>
      </c>
      <c r="P960" t="s">
        <v>32</v>
      </c>
      <c r="Q960">
        <v>1</v>
      </c>
      <c r="R960" s="2">
        <v>38617</v>
      </c>
    </row>
    <row r="961" spans="1:18" x14ac:dyDescent="0.3">
      <c r="A961" t="s">
        <v>7</v>
      </c>
      <c r="B961">
        <v>18691354</v>
      </c>
      <c r="C961" t="s">
        <v>8</v>
      </c>
      <c r="D961" s="4">
        <v>45796</v>
      </c>
      <c r="E961" s="11">
        <f t="shared" si="56"/>
        <v>2025</v>
      </c>
      <c r="F961" s="11">
        <f t="shared" si="57"/>
        <v>5</v>
      </c>
      <c r="G961" s="11" t="str">
        <f t="shared" si="58"/>
        <v>202505</v>
      </c>
      <c r="H961" s="4">
        <v>45884</v>
      </c>
      <c r="I961" s="5">
        <v>88</v>
      </c>
      <c r="J961" s="5">
        <v>2.9333333333333331</v>
      </c>
      <c r="K961" s="5">
        <f t="shared" si="59"/>
        <v>0</v>
      </c>
      <c r="L961" s="5">
        <v>1</v>
      </c>
      <c r="M961" s="5">
        <v>1</v>
      </c>
      <c r="N961" t="s">
        <v>9</v>
      </c>
      <c r="O961" s="8">
        <v>19.964383561643835</v>
      </c>
      <c r="P961" t="s">
        <v>32</v>
      </c>
      <c r="Q961">
        <v>1</v>
      </c>
      <c r="R961" s="2">
        <v>38509</v>
      </c>
    </row>
    <row r="962" spans="1:18" x14ac:dyDescent="0.3">
      <c r="A962" t="s">
        <v>11</v>
      </c>
      <c r="B962">
        <v>18691374</v>
      </c>
      <c r="C962" t="s">
        <v>8</v>
      </c>
      <c r="D962" s="4">
        <v>45796</v>
      </c>
      <c r="E962" s="11">
        <f t="shared" si="56"/>
        <v>2025</v>
      </c>
      <c r="F962" s="11">
        <f t="shared" si="57"/>
        <v>5</v>
      </c>
      <c r="G962" s="11" t="str">
        <f t="shared" si="58"/>
        <v>202505</v>
      </c>
      <c r="H962" s="4">
        <v>46063</v>
      </c>
      <c r="I962" s="5">
        <v>267</v>
      </c>
      <c r="J962" s="5">
        <v>8.9</v>
      </c>
      <c r="K962" s="5">
        <f t="shared" si="59"/>
        <v>0</v>
      </c>
      <c r="L962" s="5">
        <v>0</v>
      </c>
      <c r="M962" s="5">
        <v>0</v>
      </c>
      <c r="N962" t="s">
        <v>9</v>
      </c>
      <c r="O962" s="8">
        <v>19.605479452054794</v>
      </c>
      <c r="P962" t="s">
        <v>32</v>
      </c>
      <c r="Q962">
        <v>1</v>
      </c>
      <c r="R962" s="2">
        <v>38640</v>
      </c>
    </row>
    <row r="963" spans="1:18" x14ac:dyDescent="0.3">
      <c r="A963" t="s">
        <v>7</v>
      </c>
      <c r="B963">
        <v>18691405</v>
      </c>
      <c r="C963" t="s">
        <v>8</v>
      </c>
      <c r="D963" s="4">
        <v>45796</v>
      </c>
      <c r="E963" s="11">
        <f t="shared" ref="E963:E1026" si="60">+YEAR(D963)</f>
        <v>2025</v>
      </c>
      <c r="F963" s="11">
        <f t="shared" ref="F963:F1026" si="61">+MONTH(D963)</f>
        <v>5</v>
      </c>
      <c r="G963" s="11" t="str">
        <f t="shared" ref="G963:G1026" si="62">+TEXT(D963, "yyymm")</f>
        <v>202505</v>
      </c>
      <c r="H963" s="4">
        <v>45869</v>
      </c>
      <c r="I963" s="5">
        <v>73</v>
      </c>
      <c r="J963" s="5">
        <v>2.4333333333333331</v>
      </c>
      <c r="K963" s="5">
        <f t="shared" ref="K963:K1026" si="63">IF(J963&lt;=1,1,0)</f>
        <v>0</v>
      </c>
      <c r="L963" s="5">
        <v>1</v>
      </c>
      <c r="M963" s="5">
        <v>1</v>
      </c>
      <c r="N963" t="s">
        <v>9</v>
      </c>
      <c r="O963" s="8">
        <v>20.942465753424656</v>
      </c>
      <c r="P963" t="s">
        <v>32</v>
      </c>
      <c r="Q963">
        <v>1</v>
      </c>
      <c r="R963" s="2">
        <v>38152</v>
      </c>
    </row>
    <row r="964" spans="1:18" x14ac:dyDescent="0.3">
      <c r="A964" t="s">
        <v>7</v>
      </c>
      <c r="B964">
        <v>18691413</v>
      </c>
      <c r="C964" t="s">
        <v>8</v>
      </c>
      <c r="D964" s="4">
        <v>45796</v>
      </c>
      <c r="E964" s="11">
        <f t="shared" si="60"/>
        <v>2025</v>
      </c>
      <c r="F964" s="11">
        <f t="shared" si="61"/>
        <v>5</v>
      </c>
      <c r="G964" s="11" t="str">
        <f t="shared" si="62"/>
        <v>202505</v>
      </c>
      <c r="H964" s="4">
        <v>45823</v>
      </c>
      <c r="I964" s="5">
        <v>27</v>
      </c>
      <c r="J964" s="5">
        <v>0.9</v>
      </c>
      <c r="K964" s="5">
        <f t="shared" si="63"/>
        <v>1</v>
      </c>
      <c r="L964" s="5">
        <v>1</v>
      </c>
      <c r="M964" s="5">
        <v>1</v>
      </c>
      <c r="N964" t="s">
        <v>9</v>
      </c>
      <c r="O964" s="8">
        <v>26.18904109589041</v>
      </c>
      <c r="P964" t="s">
        <v>34</v>
      </c>
      <c r="Q964">
        <v>3</v>
      </c>
      <c r="R964" s="2">
        <v>36237</v>
      </c>
    </row>
    <row r="965" spans="1:18" x14ac:dyDescent="0.3">
      <c r="A965" t="s">
        <v>7</v>
      </c>
      <c r="B965">
        <v>18691414</v>
      </c>
      <c r="C965" t="s">
        <v>8</v>
      </c>
      <c r="D965" s="4">
        <v>45796</v>
      </c>
      <c r="E965" s="11">
        <f t="shared" si="60"/>
        <v>2025</v>
      </c>
      <c r="F965" s="11">
        <f t="shared" si="61"/>
        <v>5</v>
      </c>
      <c r="G965" s="11" t="str">
        <f t="shared" si="62"/>
        <v>202505</v>
      </c>
      <c r="H965" s="4">
        <v>45942</v>
      </c>
      <c r="I965" s="5">
        <v>146</v>
      </c>
      <c r="J965" s="5">
        <v>4.8666666666666663</v>
      </c>
      <c r="K965" s="5">
        <f t="shared" si="63"/>
        <v>0</v>
      </c>
      <c r="L965" s="5">
        <v>0</v>
      </c>
      <c r="M965" s="5">
        <v>1</v>
      </c>
      <c r="N965" t="s">
        <v>9</v>
      </c>
      <c r="O965" s="8">
        <v>23.567123287671233</v>
      </c>
      <c r="P965" t="s">
        <v>33</v>
      </c>
      <c r="Q965">
        <v>2</v>
      </c>
      <c r="R965" s="2">
        <v>37194</v>
      </c>
    </row>
    <row r="966" spans="1:18" x14ac:dyDescent="0.3">
      <c r="A966" t="s">
        <v>7</v>
      </c>
      <c r="B966">
        <v>18691474</v>
      </c>
      <c r="C966" t="s">
        <v>8</v>
      </c>
      <c r="D966" s="4">
        <v>45796</v>
      </c>
      <c r="E966" s="11">
        <f t="shared" si="60"/>
        <v>2025</v>
      </c>
      <c r="F966" s="11">
        <f t="shared" si="61"/>
        <v>5</v>
      </c>
      <c r="G966" s="11" t="str">
        <f t="shared" si="62"/>
        <v>202505</v>
      </c>
      <c r="H966" s="4">
        <v>45809</v>
      </c>
      <c r="I966" s="5">
        <v>13</v>
      </c>
      <c r="J966" s="5">
        <v>0.43333333333333335</v>
      </c>
      <c r="K966" s="5">
        <f t="shared" si="63"/>
        <v>1</v>
      </c>
      <c r="L966" s="5">
        <v>1</v>
      </c>
      <c r="M966" s="5">
        <v>1</v>
      </c>
      <c r="N966" t="s">
        <v>9</v>
      </c>
      <c r="O966" s="8">
        <v>26.843835616438355</v>
      </c>
      <c r="P966" t="s">
        <v>34</v>
      </c>
      <c r="Q966">
        <v>3</v>
      </c>
      <c r="R966" s="2">
        <v>35998</v>
      </c>
    </row>
    <row r="967" spans="1:18" x14ac:dyDescent="0.3">
      <c r="A967" t="s">
        <v>7</v>
      </c>
      <c r="B967">
        <v>18691475</v>
      </c>
      <c r="C967" t="s">
        <v>10</v>
      </c>
      <c r="D967" s="4">
        <v>45796</v>
      </c>
      <c r="E967" s="11">
        <f t="shared" si="60"/>
        <v>2025</v>
      </c>
      <c r="F967" s="11">
        <f t="shared" si="61"/>
        <v>5</v>
      </c>
      <c r="G967" s="11" t="str">
        <f t="shared" si="62"/>
        <v>202505</v>
      </c>
      <c r="H967" s="4">
        <v>46022</v>
      </c>
      <c r="I967" s="5">
        <v>226</v>
      </c>
      <c r="J967" s="5">
        <v>7.5333333333333332</v>
      </c>
      <c r="K967" s="5">
        <f t="shared" si="63"/>
        <v>0</v>
      </c>
      <c r="L967" s="5">
        <v>0</v>
      </c>
      <c r="M967" s="5">
        <v>0</v>
      </c>
      <c r="N967" t="s">
        <v>9</v>
      </c>
      <c r="O967" s="8">
        <v>18.706849315068492</v>
      </c>
      <c r="P967" t="s">
        <v>32</v>
      </c>
      <c r="Q967">
        <v>1</v>
      </c>
      <c r="R967" s="2">
        <v>38968</v>
      </c>
    </row>
    <row r="968" spans="1:18" x14ac:dyDescent="0.3">
      <c r="A968" t="s">
        <v>7</v>
      </c>
      <c r="B968">
        <v>18691759</v>
      </c>
      <c r="C968" t="s">
        <v>8</v>
      </c>
      <c r="D968" s="4">
        <v>46100</v>
      </c>
      <c r="E968" s="11">
        <f t="shared" si="60"/>
        <v>2026</v>
      </c>
      <c r="F968" s="11">
        <f t="shared" si="61"/>
        <v>3</v>
      </c>
      <c r="G968" s="11" t="str">
        <f t="shared" si="62"/>
        <v>202603</v>
      </c>
      <c r="H968" s="4">
        <v>46113</v>
      </c>
      <c r="I968" s="5">
        <v>13</v>
      </c>
      <c r="J968" s="5">
        <v>0.43333333333333335</v>
      </c>
      <c r="K968" s="5">
        <f t="shared" si="63"/>
        <v>1</v>
      </c>
      <c r="L968" s="5">
        <v>1</v>
      </c>
      <c r="M968" s="5">
        <v>1</v>
      </c>
      <c r="N968" t="s">
        <v>12</v>
      </c>
      <c r="O968" s="8">
        <v>24.958904109589042</v>
      </c>
      <c r="P968" t="s">
        <v>33</v>
      </c>
      <c r="Q968">
        <v>2</v>
      </c>
      <c r="R968" s="2">
        <v>36990</v>
      </c>
    </row>
    <row r="969" spans="1:18" x14ac:dyDescent="0.3">
      <c r="A969" t="s">
        <v>7</v>
      </c>
      <c r="B969">
        <v>18693250</v>
      </c>
      <c r="C969" t="s">
        <v>8</v>
      </c>
      <c r="D969" s="4">
        <v>45797</v>
      </c>
      <c r="E969" s="11">
        <f t="shared" si="60"/>
        <v>2025</v>
      </c>
      <c r="F969" s="11">
        <f t="shared" si="61"/>
        <v>5</v>
      </c>
      <c r="G969" s="11" t="str">
        <f t="shared" si="62"/>
        <v>202505</v>
      </c>
      <c r="I969" s="5">
        <v>9999</v>
      </c>
      <c r="J969" s="5">
        <v>333.3</v>
      </c>
      <c r="K969" s="5">
        <f t="shared" si="63"/>
        <v>0</v>
      </c>
      <c r="L969" s="5">
        <v>0</v>
      </c>
      <c r="M969" s="5">
        <v>0</v>
      </c>
      <c r="N969" t="s">
        <v>12</v>
      </c>
      <c r="O969" s="8">
        <v>26.326027397260273</v>
      </c>
      <c r="P969" t="s">
        <v>34</v>
      </c>
      <c r="Q969">
        <v>3</v>
      </c>
      <c r="R969" s="2">
        <v>36188</v>
      </c>
    </row>
    <row r="970" spans="1:18" x14ac:dyDescent="0.3">
      <c r="A970" t="s">
        <v>7</v>
      </c>
      <c r="B970">
        <v>18693270</v>
      </c>
      <c r="C970" t="s">
        <v>8</v>
      </c>
      <c r="D970" s="4">
        <v>45797</v>
      </c>
      <c r="E970" s="11">
        <f t="shared" si="60"/>
        <v>2025</v>
      </c>
      <c r="F970" s="11">
        <f t="shared" si="61"/>
        <v>5</v>
      </c>
      <c r="G970" s="11" t="str">
        <f t="shared" si="62"/>
        <v>202505</v>
      </c>
      <c r="I970" s="5">
        <v>9999</v>
      </c>
      <c r="J970" s="5">
        <v>333.3</v>
      </c>
      <c r="K970" s="5">
        <f t="shared" si="63"/>
        <v>0</v>
      </c>
      <c r="L970" s="5">
        <v>0</v>
      </c>
      <c r="M970" s="5">
        <v>0</v>
      </c>
      <c r="N970" t="s">
        <v>9</v>
      </c>
      <c r="O970" s="8">
        <v>18.830136986301369</v>
      </c>
      <c r="P970" t="s">
        <v>32</v>
      </c>
      <c r="Q970">
        <v>1</v>
      </c>
      <c r="R970" s="2">
        <v>38924</v>
      </c>
    </row>
    <row r="971" spans="1:18" x14ac:dyDescent="0.3">
      <c r="A971" t="s">
        <v>7</v>
      </c>
      <c r="B971">
        <v>18693316</v>
      </c>
      <c r="C971" t="s">
        <v>10</v>
      </c>
      <c r="D971" s="4">
        <v>45797</v>
      </c>
      <c r="E971" s="11">
        <f t="shared" si="60"/>
        <v>2025</v>
      </c>
      <c r="F971" s="11">
        <f t="shared" si="61"/>
        <v>5</v>
      </c>
      <c r="G971" s="11" t="str">
        <f t="shared" si="62"/>
        <v>202505</v>
      </c>
      <c r="I971" s="5">
        <v>9999</v>
      </c>
      <c r="J971" s="5">
        <v>333.3</v>
      </c>
      <c r="K971" s="5">
        <f t="shared" si="63"/>
        <v>0</v>
      </c>
      <c r="L971" s="5">
        <v>0</v>
      </c>
      <c r="M971" s="5">
        <v>0</v>
      </c>
      <c r="N971" t="s">
        <v>9</v>
      </c>
      <c r="O971" s="8">
        <v>19.194520547945206</v>
      </c>
      <c r="P971" t="s">
        <v>32</v>
      </c>
      <c r="Q971">
        <v>1</v>
      </c>
      <c r="R971" s="2">
        <v>38791</v>
      </c>
    </row>
    <row r="972" spans="1:18" x14ac:dyDescent="0.3">
      <c r="A972" t="s">
        <v>7</v>
      </c>
      <c r="B972">
        <v>18693329</v>
      </c>
      <c r="C972" t="s">
        <v>8</v>
      </c>
      <c r="D972" s="4">
        <v>45797</v>
      </c>
      <c r="E972" s="11">
        <f t="shared" si="60"/>
        <v>2025</v>
      </c>
      <c r="F972" s="11">
        <f t="shared" si="61"/>
        <v>5</v>
      </c>
      <c r="G972" s="11" t="str">
        <f t="shared" si="62"/>
        <v>202505</v>
      </c>
      <c r="I972" s="5">
        <v>9999</v>
      </c>
      <c r="J972" s="5">
        <v>333.3</v>
      </c>
      <c r="K972" s="5">
        <f t="shared" si="63"/>
        <v>0</v>
      </c>
      <c r="L972" s="5">
        <v>0</v>
      </c>
      <c r="M972" s="5">
        <v>0</v>
      </c>
      <c r="N972" t="s">
        <v>9</v>
      </c>
      <c r="O972" s="8">
        <v>30.556164383561644</v>
      </c>
      <c r="P972" t="s">
        <v>34</v>
      </c>
      <c r="Q972">
        <v>3</v>
      </c>
      <c r="R972" s="2">
        <v>34644</v>
      </c>
    </row>
    <row r="973" spans="1:18" x14ac:dyDescent="0.3">
      <c r="A973" t="s">
        <v>7</v>
      </c>
      <c r="B973">
        <v>18693366</v>
      </c>
      <c r="C973" t="s">
        <v>10</v>
      </c>
      <c r="D973" s="4">
        <v>45797</v>
      </c>
      <c r="E973" s="11">
        <f t="shared" si="60"/>
        <v>2025</v>
      </c>
      <c r="F973" s="11">
        <f t="shared" si="61"/>
        <v>5</v>
      </c>
      <c r="G973" s="11" t="str">
        <f t="shared" si="62"/>
        <v>202505</v>
      </c>
      <c r="I973" s="5">
        <v>9999</v>
      </c>
      <c r="J973" s="5">
        <v>333.3</v>
      </c>
      <c r="K973" s="5">
        <f t="shared" si="63"/>
        <v>0</v>
      </c>
      <c r="L973" s="5">
        <v>0</v>
      </c>
      <c r="M973" s="5">
        <v>0</v>
      </c>
      <c r="N973" t="s">
        <v>9</v>
      </c>
      <c r="O973" s="8">
        <v>23.375342465753423</v>
      </c>
      <c r="P973" t="s">
        <v>33</v>
      </c>
      <c r="Q973">
        <v>2</v>
      </c>
      <c r="R973" s="2">
        <v>37265</v>
      </c>
    </row>
    <row r="974" spans="1:18" x14ac:dyDescent="0.3">
      <c r="A974" t="s">
        <v>7</v>
      </c>
      <c r="B974">
        <v>18693373</v>
      </c>
      <c r="C974" t="s">
        <v>10</v>
      </c>
      <c r="D974" s="4">
        <v>45797</v>
      </c>
      <c r="E974" s="11">
        <f t="shared" si="60"/>
        <v>2025</v>
      </c>
      <c r="F974" s="11">
        <f t="shared" si="61"/>
        <v>5</v>
      </c>
      <c r="G974" s="11" t="str">
        <f t="shared" si="62"/>
        <v>202505</v>
      </c>
      <c r="I974" s="5">
        <v>9999</v>
      </c>
      <c r="J974" s="5">
        <v>333.3</v>
      </c>
      <c r="K974" s="5">
        <f t="shared" si="63"/>
        <v>0</v>
      </c>
      <c r="L974" s="5">
        <v>0</v>
      </c>
      <c r="M974" s="5">
        <v>0</v>
      </c>
      <c r="N974" t="s">
        <v>9</v>
      </c>
      <c r="O974" s="8">
        <v>23.17808219178082</v>
      </c>
      <c r="P974" t="s">
        <v>33</v>
      </c>
      <c r="Q974">
        <v>2</v>
      </c>
      <c r="R974" s="2">
        <v>37337</v>
      </c>
    </row>
    <row r="975" spans="1:18" x14ac:dyDescent="0.3">
      <c r="A975" t="s">
        <v>7</v>
      </c>
      <c r="B975">
        <v>18693838</v>
      </c>
      <c r="C975" t="s">
        <v>8</v>
      </c>
      <c r="D975" s="4">
        <v>45797</v>
      </c>
      <c r="E975" s="11">
        <f t="shared" si="60"/>
        <v>2025</v>
      </c>
      <c r="F975" s="11">
        <f t="shared" si="61"/>
        <v>5</v>
      </c>
      <c r="G975" s="11" t="str">
        <f t="shared" si="62"/>
        <v>202505</v>
      </c>
      <c r="H975" s="4">
        <v>46022</v>
      </c>
      <c r="I975" s="5">
        <v>225</v>
      </c>
      <c r="J975" s="5">
        <v>7.5</v>
      </c>
      <c r="K975" s="5">
        <f t="shared" si="63"/>
        <v>0</v>
      </c>
      <c r="L975" s="5">
        <v>0</v>
      </c>
      <c r="M975" s="5">
        <v>0</v>
      </c>
      <c r="N975" t="s">
        <v>9</v>
      </c>
      <c r="O975" s="8">
        <v>20.720547945205478</v>
      </c>
      <c r="P975" t="s">
        <v>32</v>
      </c>
      <c r="Q975">
        <v>1</v>
      </c>
      <c r="R975" s="2">
        <v>38234</v>
      </c>
    </row>
    <row r="976" spans="1:18" x14ac:dyDescent="0.3">
      <c r="A976" t="s">
        <v>7</v>
      </c>
      <c r="B976">
        <v>18696732</v>
      </c>
      <c r="C976" t="s">
        <v>10</v>
      </c>
      <c r="D976" s="4">
        <v>45798</v>
      </c>
      <c r="E976" s="11">
        <f t="shared" si="60"/>
        <v>2025</v>
      </c>
      <c r="F976" s="11">
        <f t="shared" si="61"/>
        <v>5</v>
      </c>
      <c r="G976" s="11" t="str">
        <f t="shared" si="62"/>
        <v>202505</v>
      </c>
      <c r="I976" s="5">
        <v>9999</v>
      </c>
      <c r="J976" s="5">
        <v>333.3</v>
      </c>
      <c r="K976" s="5">
        <f t="shared" si="63"/>
        <v>0</v>
      </c>
      <c r="L976" s="5">
        <v>0</v>
      </c>
      <c r="M976" s="5">
        <v>0</v>
      </c>
      <c r="N976" t="s">
        <v>9</v>
      </c>
      <c r="O976" s="8">
        <v>20.054794520547944</v>
      </c>
      <c r="P976" t="s">
        <v>32</v>
      </c>
      <c r="Q976">
        <v>1</v>
      </c>
      <c r="R976" s="2">
        <v>38478</v>
      </c>
    </row>
    <row r="977" spans="1:18" x14ac:dyDescent="0.3">
      <c r="A977" t="s">
        <v>7</v>
      </c>
      <c r="B977">
        <v>18696734</v>
      </c>
      <c r="C977" t="s">
        <v>10</v>
      </c>
      <c r="D977" s="4">
        <v>45798</v>
      </c>
      <c r="E977" s="11">
        <f t="shared" si="60"/>
        <v>2025</v>
      </c>
      <c r="F977" s="11">
        <f t="shared" si="61"/>
        <v>5</v>
      </c>
      <c r="G977" s="11" t="str">
        <f t="shared" si="62"/>
        <v>202505</v>
      </c>
      <c r="I977" s="5">
        <v>9999</v>
      </c>
      <c r="J977" s="5">
        <v>333.3</v>
      </c>
      <c r="K977" s="5">
        <f t="shared" si="63"/>
        <v>0</v>
      </c>
      <c r="L977" s="5">
        <v>0</v>
      </c>
      <c r="M977" s="5">
        <v>0</v>
      </c>
      <c r="N977" t="s">
        <v>9</v>
      </c>
      <c r="O977" s="8">
        <v>18.394520547945206</v>
      </c>
      <c r="P977" t="s">
        <v>32</v>
      </c>
      <c r="Q977">
        <v>1</v>
      </c>
      <c r="R977" s="2">
        <v>39084</v>
      </c>
    </row>
    <row r="978" spans="1:18" x14ac:dyDescent="0.3">
      <c r="A978" t="s">
        <v>7</v>
      </c>
      <c r="B978">
        <v>18696795</v>
      </c>
      <c r="C978" t="s">
        <v>8</v>
      </c>
      <c r="D978" s="4">
        <v>45798</v>
      </c>
      <c r="E978" s="11">
        <f t="shared" si="60"/>
        <v>2025</v>
      </c>
      <c r="F978" s="11">
        <f t="shared" si="61"/>
        <v>5</v>
      </c>
      <c r="G978" s="11" t="str">
        <f t="shared" si="62"/>
        <v>202505</v>
      </c>
      <c r="H978" s="4">
        <v>46049</v>
      </c>
      <c r="I978" s="5">
        <v>251</v>
      </c>
      <c r="J978" s="5">
        <v>8.3666666666666671</v>
      </c>
      <c r="K978" s="5">
        <f t="shared" si="63"/>
        <v>0</v>
      </c>
      <c r="L978" s="5">
        <v>0</v>
      </c>
      <c r="M978" s="5">
        <v>0</v>
      </c>
      <c r="N978" t="s">
        <v>12</v>
      </c>
      <c r="O978" s="8">
        <v>22.238356164383561</v>
      </c>
      <c r="P978" t="s">
        <v>33</v>
      </c>
      <c r="Q978">
        <v>2</v>
      </c>
      <c r="R978" s="2">
        <v>37681</v>
      </c>
    </row>
    <row r="979" spans="1:18" x14ac:dyDescent="0.3">
      <c r="A979" t="s">
        <v>7</v>
      </c>
      <c r="B979">
        <v>18696846</v>
      </c>
      <c r="C979" t="s">
        <v>10</v>
      </c>
      <c r="D979" s="4">
        <v>45798</v>
      </c>
      <c r="E979" s="11">
        <f t="shared" si="60"/>
        <v>2025</v>
      </c>
      <c r="F979" s="11">
        <f t="shared" si="61"/>
        <v>5</v>
      </c>
      <c r="G979" s="11" t="str">
        <f t="shared" si="62"/>
        <v>202505</v>
      </c>
      <c r="I979" s="5">
        <v>9999</v>
      </c>
      <c r="J979" s="5">
        <v>333.3</v>
      </c>
      <c r="K979" s="5">
        <f t="shared" si="63"/>
        <v>0</v>
      </c>
      <c r="L979" s="5">
        <v>0</v>
      </c>
      <c r="M979" s="5">
        <v>0</v>
      </c>
      <c r="N979" t="s">
        <v>9</v>
      </c>
      <c r="O979" s="8">
        <v>21.336986301369862</v>
      </c>
      <c r="P979" t="s">
        <v>33</v>
      </c>
      <c r="Q979">
        <v>2</v>
      </c>
      <c r="R979" s="2">
        <v>38010</v>
      </c>
    </row>
    <row r="980" spans="1:18" x14ac:dyDescent="0.3">
      <c r="A980" t="s">
        <v>7</v>
      </c>
      <c r="B980">
        <v>18696995</v>
      </c>
      <c r="C980" t="s">
        <v>8</v>
      </c>
      <c r="D980" s="4">
        <v>45798</v>
      </c>
      <c r="E980" s="11">
        <f t="shared" si="60"/>
        <v>2025</v>
      </c>
      <c r="F980" s="11">
        <f t="shared" si="61"/>
        <v>5</v>
      </c>
      <c r="G980" s="11" t="str">
        <f t="shared" si="62"/>
        <v>202505</v>
      </c>
      <c r="I980" s="5">
        <v>9999</v>
      </c>
      <c r="J980" s="5">
        <v>333.3</v>
      </c>
      <c r="K980" s="5">
        <f t="shared" si="63"/>
        <v>0</v>
      </c>
      <c r="L980" s="5">
        <v>0</v>
      </c>
      <c r="M980" s="5">
        <v>0</v>
      </c>
      <c r="N980" t="s">
        <v>12</v>
      </c>
      <c r="O980" s="8">
        <v>22.92876712328767</v>
      </c>
      <c r="P980" t="s">
        <v>33</v>
      </c>
      <c r="Q980">
        <v>2</v>
      </c>
      <c r="R980" s="2">
        <v>37429</v>
      </c>
    </row>
    <row r="981" spans="1:18" x14ac:dyDescent="0.3">
      <c r="A981" t="s">
        <v>7</v>
      </c>
      <c r="B981">
        <v>18696996</v>
      </c>
      <c r="C981" t="s">
        <v>8</v>
      </c>
      <c r="D981" s="4">
        <v>45798</v>
      </c>
      <c r="E981" s="11">
        <f t="shared" si="60"/>
        <v>2025</v>
      </c>
      <c r="F981" s="11">
        <f t="shared" si="61"/>
        <v>5</v>
      </c>
      <c r="G981" s="11" t="str">
        <f t="shared" si="62"/>
        <v>202505</v>
      </c>
      <c r="H981" s="4">
        <v>45904</v>
      </c>
      <c r="I981" s="5">
        <v>106</v>
      </c>
      <c r="J981" s="5">
        <v>3.5333333333333332</v>
      </c>
      <c r="K981" s="5">
        <f t="shared" si="63"/>
        <v>0</v>
      </c>
      <c r="L981" s="5">
        <v>0</v>
      </c>
      <c r="M981" s="5">
        <v>1</v>
      </c>
      <c r="N981" t="s">
        <v>12</v>
      </c>
      <c r="O981" s="8">
        <v>23.358904109589041</v>
      </c>
      <c r="P981" t="s">
        <v>33</v>
      </c>
      <c r="Q981">
        <v>2</v>
      </c>
      <c r="R981" s="2">
        <v>37272</v>
      </c>
    </row>
    <row r="982" spans="1:18" x14ac:dyDescent="0.3">
      <c r="A982" t="s">
        <v>7</v>
      </c>
      <c r="B982">
        <v>18697018</v>
      </c>
      <c r="C982" t="s">
        <v>10</v>
      </c>
      <c r="D982" s="4">
        <v>45798</v>
      </c>
      <c r="E982" s="11">
        <f t="shared" si="60"/>
        <v>2025</v>
      </c>
      <c r="F982" s="11">
        <f t="shared" si="61"/>
        <v>5</v>
      </c>
      <c r="G982" s="11" t="str">
        <f t="shared" si="62"/>
        <v>202505</v>
      </c>
      <c r="H982" s="4">
        <v>45810</v>
      </c>
      <c r="I982" s="5">
        <v>12</v>
      </c>
      <c r="J982" s="5">
        <v>0.4</v>
      </c>
      <c r="K982" s="5">
        <f t="shared" si="63"/>
        <v>1</v>
      </c>
      <c r="L982" s="5">
        <v>1</v>
      </c>
      <c r="M982" s="5">
        <v>1</v>
      </c>
      <c r="N982" t="s">
        <v>9</v>
      </c>
      <c r="O982" s="8">
        <v>24.06027397260274</v>
      </c>
      <c r="P982" t="s">
        <v>33</v>
      </c>
      <c r="Q982">
        <v>2</v>
      </c>
      <c r="R982" s="2">
        <v>37016</v>
      </c>
    </row>
    <row r="983" spans="1:18" x14ac:dyDescent="0.3">
      <c r="A983" t="s">
        <v>7</v>
      </c>
      <c r="B983">
        <v>18697034</v>
      </c>
      <c r="C983" t="s">
        <v>10</v>
      </c>
      <c r="D983" s="4">
        <v>45798</v>
      </c>
      <c r="E983" s="11">
        <f t="shared" si="60"/>
        <v>2025</v>
      </c>
      <c r="F983" s="11">
        <f t="shared" si="61"/>
        <v>5</v>
      </c>
      <c r="G983" s="11" t="str">
        <f t="shared" si="62"/>
        <v>202505</v>
      </c>
      <c r="H983" s="4">
        <v>46022</v>
      </c>
      <c r="I983" s="5">
        <v>224</v>
      </c>
      <c r="J983" s="5">
        <v>7.4666666666666668</v>
      </c>
      <c r="K983" s="5">
        <f t="shared" si="63"/>
        <v>0</v>
      </c>
      <c r="L983" s="5">
        <v>0</v>
      </c>
      <c r="M983" s="5">
        <v>0</v>
      </c>
      <c r="N983" t="s">
        <v>12</v>
      </c>
      <c r="O983" s="8">
        <v>23.989041095890411</v>
      </c>
      <c r="P983" t="s">
        <v>33</v>
      </c>
      <c r="Q983">
        <v>2</v>
      </c>
      <c r="R983" s="2">
        <v>37042</v>
      </c>
    </row>
    <row r="984" spans="1:18" x14ac:dyDescent="0.3">
      <c r="A984" t="s">
        <v>7</v>
      </c>
      <c r="B984">
        <v>18697515</v>
      </c>
      <c r="C984" t="s">
        <v>10</v>
      </c>
      <c r="D984" s="4">
        <v>45798</v>
      </c>
      <c r="E984" s="11">
        <f t="shared" si="60"/>
        <v>2025</v>
      </c>
      <c r="F984" s="11">
        <f t="shared" si="61"/>
        <v>5</v>
      </c>
      <c r="G984" s="11" t="str">
        <f t="shared" si="62"/>
        <v>202505</v>
      </c>
      <c r="I984" s="5">
        <v>9999</v>
      </c>
      <c r="J984" s="5">
        <v>333.3</v>
      </c>
      <c r="K984" s="5">
        <f t="shared" si="63"/>
        <v>0</v>
      </c>
      <c r="L984" s="5">
        <v>0</v>
      </c>
      <c r="M984" s="5">
        <v>0</v>
      </c>
      <c r="N984" t="s">
        <v>12</v>
      </c>
      <c r="O984" s="8">
        <v>19.890410958904109</v>
      </c>
      <c r="P984" t="s">
        <v>32</v>
      </c>
      <c r="Q984">
        <v>1</v>
      </c>
      <c r="R984" s="2">
        <v>38538</v>
      </c>
    </row>
    <row r="985" spans="1:18" x14ac:dyDescent="0.3">
      <c r="A985" t="s">
        <v>7</v>
      </c>
      <c r="B985">
        <v>18700169</v>
      </c>
      <c r="C985" t="s">
        <v>8</v>
      </c>
      <c r="D985" s="4">
        <v>45799</v>
      </c>
      <c r="E985" s="11">
        <f t="shared" si="60"/>
        <v>2025</v>
      </c>
      <c r="F985" s="11">
        <f t="shared" si="61"/>
        <v>5</v>
      </c>
      <c r="G985" s="11" t="str">
        <f t="shared" si="62"/>
        <v>202505</v>
      </c>
      <c r="I985" s="5">
        <v>9999</v>
      </c>
      <c r="J985" s="5">
        <v>333.3</v>
      </c>
      <c r="K985" s="5">
        <f t="shared" si="63"/>
        <v>0</v>
      </c>
      <c r="L985" s="5">
        <v>0</v>
      </c>
      <c r="M985" s="5">
        <v>0</v>
      </c>
      <c r="N985" t="s">
        <v>12</v>
      </c>
      <c r="O985" s="8">
        <v>18.942465753424656</v>
      </c>
      <c r="P985" t="s">
        <v>32</v>
      </c>
      <c r="Q985">
        <v>1</v>
      </c>
      <c r="R985" s="2">
        <v>38885</v>
      </c>
    </row>
    <row r="986" spans="1:18" x14ac:dyDescent="0.3">
      <c r="A986" t="s">
        <v>7</v>
      </c>
      <c r="B986">
        <v>18700171</v>
      </c>
      <c r="C986" t="s">
        <v>8</v>
      </c>
      <c r="D986" s="4">
        <v>45799</v>
      </c>
      <c r="E986" s="11">
        <f t="shared" si="60"/>
        <v>2025</v>
      </c>
      <c r="F986" s="11">
        <f t="shared" si="61"/>
        <v>5</v>
      </c>
      <c r="G986" s="11" t="str">
        <f t="shared" si="62"/>
        <v>202505</v>
      </c>
      <c r="H986" s="4">
        <v>46022</v>
      </c>
      <c r="I986" s="5">
        <v>223</v>
      </c>
      <c r="J986" s="5">
        <v>7.4333333333333336</v>
      </c>
      <c r="K986" s="5">
        <f t="shared" si="63"/>
        <v>0</v>
      </c>
      <c r="L986" s="5">
        <v>0</v>
      </c>
      <c r="M986" s="5">
        <v>0</v>
      </c>
      <c r="N986" t="s">
        <v>12</v>
      </c>
      <c r="O986" s="8">
        <v>27.32054794520548</v>
      </c>
      <c r="P986" t="s">
        <v>34</v>
      </c>
      <c r="Q986">
        <v>3</v>
      </c>
      <c r="R986" s="2">
        <v>35827</v>
      </c>
    </row>
    <row r="987" spans="1:18" x14ac:dyDescent="0.3">
      <c r="A987" t="s">
        <v>7</v>
      </c>
      <c r="B987">
        <v>18700186</v>
      </c>
      <c r="C987" t="s">
        <v>10</v>
      </c>
      <c r="D987" s="4">
        <v>45799</v>
      </c>
      <c r="E987" s="11">
        <f t="shared" si="60"/>
        <v>2025</v>
      </c>
      <c r="F987" s="11">
        <f t="shared" si="61"/>
        <v>5</v>
      </c>
      <c r="G987" s="11" t="str">
        <f t="shared" si="62"/>
        <v>202505</v>
      </c>
      <c r="I987" s="5">
        <v>9999</v>
      </c>
      <c r="J987" s="5">
        <v>333.3</v>
      </c>
      <c r="K987" s="5">
        <f t="shared" si="63"/>
        <v>0</v>
      </c>
      <c r="L987" s="5">
        <v>0</v>
      </c>
      <c r="M987" s="5">
        <v>0</v>
      </c>
      <c r="N987" t="s">
        <v>12</v>
      </c>
      <c r="O987" s="8">
        <v>19.572602739726026</v>
      </c>
      <c r="P987" t="s">
        <v>32</v>
      </c>
      <c r="Q987">
        <v>1</v>
      </c>
      <c r="R987" s="2">
        <v>38655</v>
      </c>
    </row>
    <row r="988" spans="1:18" x14ac:dyDescent="0.3">
      <c r="A988" t="s">
        <v>7</v>
      </c>
      <c r="B988">
        <v>18700314</v>
      </c>
      <c r="C988" t="s">
        <v>8</v>
      </c>
      <c r="D988" s="4">
        <v>45799</v>
      </c>
      <c r="E988" s="11">
        <f t="shared" si="60"/>
        <v>2025</v>
      </c>
      <c r="F988" s="11">
        <f t="shared" si="61"/>
        <v>5</v>
      </c>
      <c r="G988" s="11" t="str">
        <f t="shared" si="62"/>
        <v>202505</v>
      </c>
      <c r="H988" s="4">
        <v>45914</v>
      </c>
      <c r="I988" s="5">
        <v>115</v>
      </c>
      <c r="J988" s="5">
        <v>3.8333333333333335</v>
      </c>
      <c r="K988" s="5">
        <f t="shared" si="63"/>
        <v>0</v>
      </c>
      <c r="L988" s="5">
        <v>0</v>
      </c>
      <c r="M988" s="5">
        <v>1</v>
      </c>
      <c r="N988" t="s">
        <v>9</v>
      </c>
      <c r="O988" s="8">
        <v>21.098630136986301</v>
      </c>
      <c r="P988" t="s">
        <v>33</v>
      </c>
      <c r="Q988">
        <v>2</v>
      </c>
      <c r="R988" s="2">
        <v>38098</v>
      </c>
    </row>
    <row r="989" spans="1:18" x14ac:dyDescent="0.3">
      <c r="A989" t="s">
        <v>7</v>
      </c>
      <c r="B989">
        <v>18700333</v>
      </c>
      <c r="C989" t="s">
        <v>8</v>
      </c>
      <c r="D989" s="4">
        <v>45799</v>
      </c>
      <c r="E989" s="11">
        <f t="shared" si="60"/>
        <v>2025</v>
      </c>
      <c r="F989" s="11">
        <f t="shared" si="61"/>
        <v>5</v>
      </c>
      <c r="G989" s="11" t="str">
        <f t="shared" si="62"/>
        <v>202505</v>
      </c>
      <c r="H989" s="4">
        <v>46028</v>
      </c>
      <c r="I989" s="5">
        <v>229</v>
      </c>
      <c r="J989" s="5">
        <v>7.6333333333333337</v>
      </c>
      <c r="K989" s="5">
        <f t="shared" si="63"/>
        <v>0</v>
      </c>
      <c r="L989" s="5">
        <v>0</v>
      </c>
      <c r="M989" s="5">
        <v>0</v>
      </c>
      <c r="N989" t="s">
        <v>9</v>
      </c>
      <c r="O989" s="8">
        <v>24.986301369863014</v>
      </c>
      <c r="P989" t="s">
        <v>33</v>
      </c>
      <c r="Q989">
        <v>2</v>
      </c>
      <c r="R989" s="2">
        <v>36679</v>
      </c>
    </row>
    <row r="990" spans="1:18" x14ac:dyDescent="0.3">
      <c r="A990" t="s">
        <v>7</v>
      </c>
      <c r="B990">
        <v>18700365</v>
      </c>
      <c r="C990" t="s">
        <v>8</v>
      </c>
      <c r="D990" s="4">
        <v>45799</v>
      </c>
      <c r="E990" s="11">
        <f t="shared" si="60"/>
        <v>2025</v>
      </c>
      <c r="F990" s="11">
        <f t="shared" si="61"/>
        <v>5</v>
      </c>
      <c r="G990" s="11" t="str">
        <f t="shared" si="62"/>
        <v>202505</v>
      </c>
      <c r="H990" s="4">
        <v>46098</v>
      </c>
      <c r="I990" s="5">
        <v>299</v>
      </c>
      <c r="J990" s="5">
        <v>9.9666666666666668</v>
      </c>
      <c r="K990" s="5">
        <f t="shared" si="63"/>
        <v>0</v>
      </c>
      <c r="L990" s="5">
        <v>0</v>
      </c>
      <c r="M990" s="5">
        <v>0</v>
      </c>
      <c r="N990" t="s">
        <v>9</v>
      </c>
      <c r="O990" s="8">
        <v>45.961643835616435</v>
      </c>
      <c r="P990" t="s">
        <v>35</v>
      </c>
      <c r="Q990">
        <v>4</v>
      </c>
      <c r="R990" s="2">
        <v>29023</v>
      </c>
    </row>
    <row r="991" spans="1:18" x14ac:dyDescent="0.3">
      <c r="A991" t="s">
        <v>7</v>
      </c>
      <c r="B991">
        <v>18704473</v>
      </c>
      <c r="C991" t="s">
        <v>8</v>
      </c>
      <c r="D991" s="4">
        <v>45800</v>
      </c>
      <c r="E991" s="11">
        <f t="shared" si="60"/>
        <v>2025</v>
      </c>
      <c r="F991" s="11">
        <f t="shared" si="61"/>
        <v>5</v>
      </c>
      <c r="G991" s="11" t="str">
        <f t="shared" si="62"/>
        <v>202505</v>
      </c>
      <c r="H991" s="4">
        <v>46053</v>
      </c>
      <c r="I991" s="5">
        <v>253</v>
      </c>
      <c r="J991" s="5">
        <v>8.4333333333333336</v>
      </c>
      <c r="K991" s="5">
        <f t="shared" si="63"/>
        <v>0</v>
      </c>
      <c r="L991" s="5">
        <v>0</v>
      </c>
      <c r="M991" s="5">
        <v>0</v>
      </c>
      <c r="N991" t="s">
        <v>12</v>
      </c>
      <c r="O991" s="8">
        <v>19.342465753424658</v>
      </c>
      <c r="P991" t="s">
        <v>32</v>
      </c>
      <c r="Q991">
        <v>1</v>
      </c>
      <c r="R991" s="2">
        <v>38740</v>
      </c>
    </row>
    <row r="992" spans="1:18" x14ac:dyDescent="0.3">
      <c r="A992" t="s">
        <v>7</v>
      </c>
      <c r="B992">
        <v>18704543</v>
      </c>
      <c r="C992" t="s">
        <v>10</v>
      </c>
      <c r="D992" s="4">
        <v>45800</v>
      </c>
      <c r="E992" s="11">
        <f t="shared" si="60"/>
        <v>2025</v>
      </c>
      <c r="F992" s="11">
        <f t="shared" si="61"/>
        <v>5</v>
      </c>
      <c r="G992" s="11" t="str">
        <f t="shared" si="62"/>
        <v>202505</v>
      </c>
      <c r="I992" s="5">
        <v>9999</v>
      </c>
      <c r="J992" s="5">
        <v>333.3</v>
      </c>
      <c r="K992" s="5">
        <f t="shared" si="63"/>
        <v>0</v>
      </c>
      <c r="L992" s="5">
        <v>0</v>
      </c>
      <c r="M992" s="5">
        <v>0</v>
      </c>
      <c r="N992" t="s">
        <v>12</v>
      </c>
      <c r="O992" s="8">
        <v>18.136986301369863</v>
      </c>
      <c r="P992" t="s">
        <v>32</v>
      </c>
      <c r="Q992">
        <v>1</v>
      </c>
      <c r="R992" s="2">
        <v>39180</v>
      </c>
    </row>
    <row r="993" spans="1:18" x14ac:dyDescent="0.3">
      <c r="A993" t="s">
        <v>7</v>
      </c>
      <c r="B993">
        <v>18704544</v>
      </c>
      <c r="C993" t="s">
        <v>8</v>
      </c>
      <c r="D993" s="4">
        <v>45800</v>
      </c>
      <c r="E993" s="11">
        <f t="shared" si="60"/>
        <v>2025</v>
      </c>
      <c r="F993" s="11">
        <f t="shared" si="61"/>
        <v>5</v>
      </c>
      <c r="G993" s="11" t="str">
        <f t="shared" si="62"/>
        <v>202505</v>
      </c>
      <c r="H993" s="4">
        <v>46081</v>
      </c>
      <c r="I993" s="5">
        <v>281</v>
      </c>
      <c r="J993" s="5">
        <v>9.3666666666666671</v>
      </c>
      <c r="K993" s="5">
        <f t="shared" si="63"/>
        <v>0</v>
      </c>
      <c r="L993" s="5">
        <v>0</v>
      </c>
      <c r="M993" s="5">
        <v>0</v>
      </c>
      <c r="N993" t="s">
        <v>9</v>
      </c>
      <c r="O993" s="8">
        <v>21.046575342465754</v>
      </c>
      <c r="P993" t="s">
        <v>33</v>
      </c>
      <c r="Q993">
        <v>2</v>
      </c>
      <c r="R993" s="2">
        <v>38118</v>
      </c>
    </row>
    <row r="994" spans="1:18" x14ac:dyDescent="0.3">
      <c r="A994" t="s">
        <v>7</v>
      </c>
      <c r="B994">
        <v>18704561</v>
      </c>
      <c r="C994" t="s">
        <v>10</v>
      </c>
      <c r="D994" s="4">
        <v>45800</v>
      </c>
      <c r="E994" s="11">
        <f t="shared" si="60"/>
        <v>2025</v>
      </c>
      <c r="F994" s="11">
        <f t="shared" si="61"/>
        <v>5</v>
      </c>
      <c r="G994" s="11" t="str">
        <f t="shared" si="62"/>
        <v>202505</v>
      </c>
      <c r="H994" s="4">
        <v>45961</v>
      </c>
      <c r="I994" s="5">
        <v>161</v>
      </c>
      <c r="J994" s="5">
        <v>5.3666666666666663</v>
      </c>
      <c r="K994" s="5">
        <f t="shared" si="63"/>
        <v>0</v>
      </c>
      <c r="L994" s="5">
        <v>0</v>
      </c>
      <c r="M994" s="5">
        <v>1</v>
      </c>
      <c r="N994" t="s">
        <v>9</v>
      </c>
      <c r="O994" s="8">
        <v>22.084931506849315</v>
      </c>
      <c r="P994" t="s">
        <v>33</v>
      </c>
      <c r="Q994">
        <v>2</v>
      </c>
      <c r="R994" s="2">
        <v>37739</v>
      </c>
    </row>
    <row r="995" spans="1:18" x14ac:dyDescent="0.3">
      <c r="A995" t="s">
        <v>7</v>
      </c>
      <c r="B995">
        <v>18704592</v>
      </c>
      <c r="C995" t="s">
        <v>8</v>
      </c>
      <c r="D995" s="4">
        <v>45800</v>
      </c>
      <c r="E995" s="11">
        <f t="shared" si="60"/>
        <v>2025</v>
      </c>
      <c r="F995" s="11">
        <f t="shared" si="61"/>
        <v>5</v>
      </c>
      <c r="G995" s="11" t="str">
        <f t="shared" si="62"/>
        <v>202505</v>
      </c>
      <c r="H995" s="4">
        <v>45930</v>
      </c>
      <c r="I995" s="5">
        <v>130</v>
      </c>
      <c r="J995" s="5">
        <v>4.333333333333333</v>
      </c>
      <c r="K995" s="5">
        <f t="shared" si="63"/>
        <v>0</v>
      </c>
      <c r="L995" s="5">
        <v>0</v>
      </c>
      <c r="M995" s="5">
        <v>1</v>
      </c>
      <c r="N995" t="s">
        <v>9</v>
      </c>
      <c r="O995" s="8">
        <v>19.934246575342467</v>
      </c>
      <c r="P995" t="s">
        <v>32</v>
      </c>
      <c r="Q995">
        <v>1</v>
      </c>
      <c r="R995" s="2">
        <v>38524</v>
      </c>
    </row>
    <row r="996" spans="1:18" x14ac:dyDescent="0.3">
      <c r="A996" t="s">
        <v>7</v>
      </c>
      <c r="B996">
        <v>18704593</v>
      </c>
      <c r="C996" t="s">
        <v>8</v>
      </c>
      <c r="D996" s="4">
        <v>45800</v>
      </c>
      <c r="E996" s="11">
        <f t="shared" si="60"/>
        <v>2025</v>
      </c>
      <c r="F996" s="11">
        <f t="shared" si="61"/>
        <v>5</v>
      </c>
      <c r="G996" s="11" t="str">
        <f t="shared" si="62"/>
        <v>202505</v>
      </c>
      <c r="H996" s="4">
        <v>46053</v>
      </c>
      <c r="I996" s="5">
        <v>253</v>
      </c>
      <c r="J996" s="5">
        <v>8.4333333333333336</v>
      </c>
      <c r="K996" s="5">
        <f t="shared" si="63"/>
        <v>0</v>
      </c>
      <c r="L996" s="5">
        <v>0</v>
      </c>
      <c r="M996" s="5">
        <v>0</v>
      </c>
      <c r="N996" t="s">
        <v>9</v>
      </c>
      <c r="O996" s="8">
        <v>19.890410958904109</v>
      </c>
      <c r="P996" t="s">
        <v>32</v>
      </c>
      <c r="Q996">
        <v>1</v>
      </c>
      <c r="R996" s="2">
        <v>38540</v>
      </c>
    </row>
    <row r="997" spans="1:18" x14ac:dyDescent="0.3">
      <c r="A997" t="s">
        <v>7</v>
      </c>
      <c r="B997">
        <v>18704602</v>
      </c>
      <c r="C997" t="s">
        <v>8</v>
      </c>
      <c r="D997" s="4">
        <v>45800</v>
      </c>
      <c r="E997" s="11">
        <f t="shared" si="60"/>
        <v>2025</v>
      </c>
      <c r="F997" s="11">
        <f t="shared" si="61"/>
        <v>5</v>
      </c>
      <c r="G997" s="11" t="str">
        <f t="shared" si="62"/>
        <v>202505</v>
      </c>
      <c r="H997" s="4">
        <v>46147</v>
      </c>
      <c r="I997" s="5">
        <v>347</v>
      </c>
      <c r="J997" s="5">
        <v>11.566666666666666</v>
      </c>
      <c r="K997" s="5">
        <f t="shared" si="63"/>
        <v>0</v>
      </c>
      <c r="L997" s="5">
        <v>0</v>
      </c>
      <c r="M997" s="5">
        <v>0</v>
      </c>
      <c r="N997" t="s">
        <v>9</v>
      </c>
      <c r="O997" s="8">
        <v>21.295890410958904</v>
      </c>
      <c r="P997" t="s">
        <v>33</v>
      </c>
      <c r="Q997">
        <v>2</v>
      </c>
      <c r="R997" s="2">
        <v>38027</v>
      </c>
    </row>
    <row r="998" spans="1:18" x14ac:dyDescent="0.3">
      <c r="A998" t="s">
        <v>7</v>
      </c>
      <c r="B998">
        <v>18704640</v>
      </c>
      <c r="C998" t="s">
        <v>8</v>
      </c>
      <c r="D998" s="4">
        <v>45800</v>
      </c>
      <c r="E998" s="11">
        <f t="shared" si="60"/>
        <v>2025</v>
      </c>
      <c r="F998" s="11">
        <f t="shared" si="61"/>
        <v>5</v>
      </c>
      <c r="G998" s="11" t="str">
        <f t="shared" si="62"/>
        <v>202505</v>
      </c>
      <c r="I998" s="5">
        <v>9999</v>
      </c>
      <c r="J998" s="5">
        <v>333.3</v>
      </c>
      <c r="K998" s="5">
        <f t="shared" si="63"/>
        <v>0</v>
      </c>
      <c r="L998" s="5">
        <v>0</v>
      </c>
      <c r="M998" s="5">
        <v>0</v>
      </c>
      <c r="N998" t="s">
        <v>12</v>
      </c>
      <c r="O998" s="8">
        <v>18.147945205479452</v>
      </c>
      <c r="P998" t="s">
        <v>32</v>
      </c>
      <c r="Q998">
        <v>1</v>
      </c>
      <c r="R998" s="2">
        <v>39176</v>
      </c>
    </row>
    <row r="999" spans="1:18" x14ac:dyDescent="0.3">
      <c r="A999" t="s">
        <v>7</v>
      </c>
      <c r="B999">
        <v>18704695</v>
      </c>
      <c r="C999" t="s">
        <v>10</v>
      </c>
      <c r="D999" s="4">
        <v>45800</v>
      </c>
      <c r="E999" s="11">
        <f t="shared" si="60"/>
        <v>2025</v>
      </c>
      <c r="F999" s="11">
        <f t="shared" si="61"/>
        <v>5</v>
      </c>
      <c r="G999" s="11" t="str">
        <f t="shared" si="62"/>
        <v>202505</v>
      </c>
      <c r="I999" s="5">
        <v>9999</v>
      </c>
      <c r="J999" s="5">
        <v>333.3</v>
      </c>
      <c r="K999" s="5">
        <f t="shared" si="63"/>
        <v>0</v>
      </c>
      <c r="L999" s="5">
        <v>0</v>
      </c>
      <c r="M999" s="5">
        <v>0</v>
      </c>
      <c r="N999" t="s">
        <v>12</v>
      </c>
      <c r="O999" s="8">
        <v>22.824657534246576</v>
      </c>
      <c r="P999" t="s">
        <v>33</v>
      </c>
      <c r="Q999">
        <v>2</v>
      </c>
      <c r="R999" s="2">
        <v>37469</v>
      </c>
    </row>
    <row r="1000" spans="1:18" x14ac:dyDescent="0.3">
      <c r="A1000" t="s">
        <v>7</v>
      </c>
      <c r="B1000">
        <v>18705013</v>
      </c>
      <c r="C1000" t="s">
        <v>10</v>
      </c>
      <c r="D1000" s="4">
        <v>46055</v>
      </c>
      <c r="E1000" s="11">
        <f t="shared" si="60"/>
        <v>2026</v>
      </c>
      <c r="F1000" s="11">
        <f t="shared" si="61"/>
        <v>2</v>
      </c>
      <c r="G1000" s="11" t="str">
        <f t="shared" si="62"/>
        <v>202602</v>
      </c>
      <c r="I1000" s="5">
        <v>9999</v>
      </c>
      <c r="J1000" s="5">
        <v>333.3</v>
      </c>
      <c r="K1000" s="5">
        <f t="shared" si="63"/>
        <v>0</v>
      </c>
      <c r="L1000" s="5">
        <v>0</v>
      </c>
      <c r="M1000" s="5">
        <v>0</v>
      </c>
      <c r="N1000" t="s">
        <v>12</v>
      </c>
      <c r="O1000" s="8">
        <v>31.216438356164385</v>
      </c>
      <c r="P1000" t="s">
        <v>35</v>
      </c>
      <c r="Q1000">
        <v>4</v>
      </c>
      <c r="R1000" s="2">
        <v>34661</v>
      </c>
    </row>
    <row r="1001" spans="1:18" x14ac:dyDescent="0.3">
      <c r="A1001" t="s">
        <v>7</v>
      </c>
      <c r="B1001">
        <v>18705017</v>
      </c>
      <c r="C1001" t="s">
        <v>10</v>
      </c>
      <c r="D1001" s="4">
        <v>45800</v>
      </c>
      <c r="E1001" s="11">
        <f t="shared" si="60"/>
        <v>2025</v>
      </c>
      <c r="F1001" s="11">
        <f t="shared" si="61"/>
        <v>5</v>
      </c>
      <c r="G1001" s="11" t="str">
        <f t="shared" si="62"/>
        <v>202505</v>
      </c>
      <c r="H1001" s="4">
        <v>46033</v>
      </c>
      <c r="I1001" s="5">
        <v>233</v>
      </c>
      <c r="J1001" s="5">
        <v>7.7666666666666666</v>
      </c>
      <c r="K1001" s="5">
        <f t="shared" si="63"/>
        <v>0</v>
      </c>
      <c r="L1001" s="5">
        <v>0</v>
      </c>
      <c r="M1001" s="5">
        <v>0</v>
      </c>
      <c r="N1001" t="s">
        <v>12</v>
      </c>
      <c r="O1001" s="8">
        <v>18.046575342465754</v>
      </c>
      <c r="P1001" t="s">
        <v>32</v>
      </c>
      <c r="Q1001">
        <v>1</v>
      </c>
      <c r="R1001" s="2">
        <v>39213</v>
      </c>
    </row>
    <row r="1002" spans="1:18" x14ac:dyDescent="0.3">
      <c r="A1002" t="s">
        <v>7</v>
      </c>
      <c r="B1002">
        <v>18710150</v>
      </c>
      <c r="C1002" t="s">
        <v>10</v>
      </c>
      <c r="D1002" s="4">
        <v>45803</v>
      </c>
      <c r="E1002" s="11">
        <f t="shared" si="60"/>
        <v>2025</v>
      </c>
      <c r="F1002" s="11">
        <f t="shared" si="61"/>
        <v>5</v>
      </c>
      <c r="G1002" s="11" t="str">
        <f t="shared" si="62"/>
        <v>202505</v>
      </c>
      <c r="I1002" s="5">
        <v>9999</v>
      </c>
      <c r="J1002" s="5">
        <v>333.3</v>
      </c>
      <c r="K1002" s="5">
        <f t="shared" si="63"/>
        <v>0</v>
      </c>
      <c r="L1002" s="5">
        <v>0</v>
      </c>
      <c r="M1002" s="5">
        <v>0</v>
      </c>
      <c r="N1002" t="s">
        <v>9</v>
      </c>
      <c r="O1002" s="8">
        <v>18.989041095890411</v>
      </c>
      <c r="P1002" t="s">
        <v>32</v>
      </c>
      <c r="Q1002">
        <v>1</v>
      </c>
      <c r="R1002" s="2">
        <v>38872</v>
      </c>
    </row>
    <row r="1003" spans="1:18" x14ac:dyDescent="0.3">
      <c r="A1003" t="s">
        <v>7</v>
      </c>
      <c r="B1003">
        <v>18710238</v>
      </c>
      <c r="C1003" t="s">
        <v>10</v>
      </c>
      <c r="D1003" s="4">
        <v>45803</v>
      </c>
      <c r="E1003" s="11">
        <f t="shared" si="60"/>
        <v>2025</v>
      </c>
      <c r="F1003" s="11">
        <f t="shared" si="61"/>
        <v>5</v>
      </c>
      <c r="G1003" s="11" t="str">
        <f t="shared" si="62"/>
        <v>202505</v>
      </c>
      <c r="I1003" s="5">
        <v>9999</v>
      </c>
      <c r="J1003" s="5">
        <v>333.3</v>
      </c>
      <c r="K1003" s="5">
        <f t="shared" si="63"/>
        <v>0</v>
      </c>
      <c r="L1003" s="5">
        <v>0</v>
      </c>
      <c r="M1003" s="5">
        <v>0</v>
      </c>
      <c r="N1003" t="s">
        <v>12</v>
      </c>
      <c r="O1003" s="8">
        <v>19.290410958904111</v>
      </c>
      <c r="P1003" t="s">
        <v>32</v>
      </c>
      <c r="Q1003">
        <v>1</v>
      </c>
      <c r="R1003" s="2">
        <v>38762</v>
      </c>
    </row>
    <row r="1004" spans="1:18" x14ac:dyDescent="0.3">
      <c r="A1004" t="s">
        <v>7</v>
      </c>
      <c r="B1004">
        <v>18710244</v>
      </c>
      <c r="C1004" t="s">
        <v>8</v>
      </c>
      <c r="D1004" s="4">
        <v>45803</v>
      </c>
      <c r="E1004" s="11">
        <f t="shared" si="60"/>
        <v>2025</v>
      </c>
      <c r="F1004" s="11">
        <f t="shared" si="61"/>
        <v>5</v>
      </c>
      <c r="G1004" s="11" t="str">
        <f t="shared" si="62"/>
        <v>202505</v>
      </c>
      <c r="I1004" s="5">
        <v>9999</v>
      </c>
      <c r="J1004" s="5">
        <v>333.3</v>
      </c>
      <c r="K1004" s="5">
        <f t="shared" si="63"/>
        <v>0</v>
      </c>
      <c r="L1004" s="5">
        <v>0</v>
      </c>
      <c r="M1004" s="5">
        <v>0</v>
      </c>
      <c r="N1004" t="s">
        <v>12</v>
      </c>
      <c r="O1004" s="8">
        <v>20.402739726027399</v>
      </c>
      <c r="P1004" t="s">
        <v>32</v>
      </c>
      <c r="Q1004">
        <v>1</v>
      </c>
      <c r="R1004" s="2">
        <v>38356</v>
      </c>
    </row>
    <row r="1005" spans="1:18" x14ac:dyDescent="0.3">
      <c r="A1005" t="s">
        <v>7</v>
      </c>
      <c r="B1005">
        <v>18711448</v>
      </c>
      <c r="C1005" t="s">
        <v>10</v>
      </c>
      <c r="D1005" s="4">
        <v>45804</v>
      </c>
      <c r="E1005" s="11">
        <f t="shared" si="60"/>
        <v>2025</v>
      </c>
      <c r="F1005" s="11">
        <f t="shared" si="61"/>
        <v>5</v>
      </c>
      <c r="G1005" s="11" t="str">
        <f t="shared" si="62"/>
        <v>202505</v>
      </c>
      <c r="I1005" s="5">
        <v>9999</v>
      </c>
      <c r="J1005" s="5">
        <v>333.3</v>
      </c>
      <c r="K1005" s="5">
        <f t="shared" si="63"/>
        <v>0</v>
      </c>
      <c r="L1005" s="5">
        <v>0</v>
      </c>
      <c r="M1005" s="5">
        <v>0</v>
      </c>
      <c r="N1005" t="s">
        <v>9</v>
      </c>
      <c r="O1005" s="8">
        <v>32.939726027397263</v>
      </c>
      <c r="P1005" t="s">
        <v>35</v>
      </c>
      <c r="Q1005">
        <v>4</v>
      </c>
      <c r="R1005" s="2">
        <v>33781</v>
      </c>
    </row>
    <row r="1006" spans="1:18" x14ac:dyDescent="0.3">
      <c r="A1006" t="s">
        <v>7</v>
      </c>
      <c r="B1006">
        <v>18711487</v>
      </c>
      <c r="C1006" t="s">
        <v>8</v>
      </c>
      <c r="D1006" s="4">
        <v>45804</v>
      </c>
      <c r="E1006" s="11">
        <f t="shared" si="60"/>
        <v>2025</v>
      </c>
      <c r="F1006" s="11">
        <f t="shared" si="61"/>
        <v>5</v>
      </c>
      <c r="G1006" s="11" t="str">
        <f t="shared" si="62"/>
        <v>202505</v>
      </c>
      <c r="I1006" s="5">
        <v>9999</v>
      </c>
      <c r="J1006" s="5">
        <v>333.3</v>
      </c>
      <c r="K1006" s="5">
        <f t="shared" si="63"/>
        <v>0</v>
      </c>
      <c r="L1006" s="5">
        <v>0</v>
      </c>
      <c r="M1006" s="5">
        <v>0</v>
      </c>
      <c r="N1006" t="s">
        <v>9</v>
      </c>
      <c r="O1006" s="8">
        <v>27.290410958904111</v>
      </c>
      <c r="P1006" t="s">
        <v>34</v>
      </c>
      <c r="Q1006">
        <v>3</v>
      </c>
      <c r="R1006" s="2">
        <v>35843</v>
      </c>
    </row>
    <row r="1007" spans="1:18" x14ac:dyDescent="0.3">
      <c r="A1007" t="s">
        <v>7</v>
      </c>
      <c r="B1007">
        <v>18711502</v>
      </c>
      <c r="C1007" t="s">
        <v>8</v>
      </c>
      <c r="D1007" s="4">
        <v>45804</v>
      </c>
      <c r="E1007" s="11">
        <f t="shared" si="60"/>
        <v>2025</v>
      </c>
      <c r="F1007" s="11">
        <f t="shared" si="61"/>
        <v>5</v>
      </c>
      <c r="G1007" s="11" t="str">
        <f t="shared" si="62"/>
        <v>202505</v>
      </c>
      <c r="I1007" s="5">
        <v>9999</v>
      </c>
      <c r="J1007" s="5">
        <v>333.3</v>
      </c>
      <c r="K1007" s="5">
        <f t="shared" si="63"/>
        <v>0</v>
      </c>
      <c r="L1007" s="5">
        <v>0</v>
      </c>
      <c r="M1007" s="5">
        <v>0</v>
      </c>
      <c r="N1007" t="s">
        <v>9</v>
      </c>
      <c r="O1007" s="8">
        <v>20.254794520547946</v>
      </c>
      <c r="P1007" t="s">
        <v>32</v>
      </c>
      <c r="Q1007">
        <v>1</v>
      </c>
      <c r="R1007" s="2">
        <v>38411</v>
      </c>
    </row>
    <row r="1008" spans="1:18" x14ac:dyDescent="0.3">
      <c r="A1008" t="s">
        <v>7</v>
      </c>
      <c r="B1008">
        <v>18711560</v>
      </c>
      <c r="C1008" t="s">
        <v>8</v>
      </c>
      <c r="D1008" s="4">
        <v>45804</v>
      </c>
      <c r="E1008" s="11">
        <f t="shared" si="60"/>
        <v>2025</v>
      </c>
      <c r="F1008" s="11">
        <f t="shared" si="61"/>
        <v>5</v>
      </c>
      <c r="G1008" s="11" t="str">
        <f t="shared" si="62"/>
        <v>202505</v>
      </c>
      <c r="H1008" s="4">
        <v>46097</v>
      </c>
      <c r="I1008" s="5">
        <v>293</v>
      </c>
      <c r="J1008" s="5">
        <v>9.7666666666666675</v>
      </c>
      <c r="K1008" s="5">
        <f t="shared" si="63"/>
        <v>0</v>
      </c>
      <c r="L1008" s="5">
        <v>0</v>
      </c>
      <c r="M1008" s="5">
        <v>0</v>
      </c>
      <c r="N1008" t="s">
        <v>9</v>
      </c>
      <c r="O1008" s="8">
        <v>20.860273972602741</v>
      </c>
      <c r="P1008" t="s">
        <v>32</v>
      </c>
      <c r="Q1008">
        <v>1</v>
      </c>
      <c r="R1008" s="2">
        <v>38190</v>
      </c>
    </row>
    <row r="1009" spans="1:18" x14ac:dyDescent="0.3">
      <c r="A1009" t="s">
        <v>7</v>
      </c>
      <c r="B1009">
        <v>18711568</v>
      </c>
      <c r="C1009" t="s">
        <v>8</v>
      </c>
      <c r="D1009" s="4">
        <v>45804</v>
      </c>
      <c r="E1009" s="11">
        <f t="shared" si="60"/>
        <v>2025</v>
      </c>
      <c r="F1009" s="11">
        <f t="shared" si="61"/>
        <v>5</v>
      </c>
      <c r="G1009" s="11" t="str">
        <f t="shared" si="62"/>
        <v>202505</v>
      </c>
      <c r="H1009" s="4">
        <v>45826</v>
      </c>
      <c r="I1009" s="5">
        <v>22</v>
      </c>
      <c r="J1009" s="5">
        <v>0.73333333333333328</v>
      </c>
      <c r="K1009" s="5">
        <f t="shared" si="63"/>
        <v>1</v>
      </c>
      <c r="L1009" s="5">
        <v>1</v>
      </c>
      <c r="M1009" s="5">
        <v>1</v>
      </c>
      <c r="N1009" t="s">
        <v>9</v>
      </c>
      <c r="O1009" s="8">
        <v>34.372602739726027</v>
      </c>
      <c r="P1009" t="s">
        <v>35</v>
      </c>
      <c r="Q1009">
        <v>4</v>
      </c>
      <c r="R1009" s="2">
        <v>33258</v>
      </c>
    </row>
    <row r="1010" spans="1:18" x14ac:dyDescent="0.3">
      <c r="A1010" t="s">
        <v>7</v>
      </c>
      <c r="B1010">
        <v>18711569</v>
      </c>
      <c r="C1010" t="s">
        <v>8</v>
      </c>
      <c r="D1010" s="4">
        <v>45804</v>
      </c>
      <c r="E1010" s="11">
        <f t="shared" si="60"/>
        <v>2025</v>
      </c>
      <c r="F1010" s="11">
        <f t="shared" si="61"/>
        <v>5</v>
      </c>
      <c r="G1010" s="11" t="str">
        <f t="shared" si="62"/>
        <v>202505</v>
      </c>
      <c r="H1010" s="4">
        <v>45839</v>
      </c>
      <c r="I1010" s="5">
        <v>35</v>
      </c>
      <c r="J1010" s="5">
        <v>1.1666666666666667</v>
      </c>
      <c r="K1010" s="5">
        <f t="shared" si="63"/>
        <v>0</v>
      </c>
      <c r="L1010" s="5">
        <v>1</v>
      </c>
      <c r="M1010" s="5">
        <v>1</v>
      </c>
      <c r="N1010" t="s">
        <v>9</v>
      </c>
      <c r="O1010" s="8">
        <v>18.082191780821919</v>
      </c>
      <c r="P1010" t="s">
        <v>32</v>
      </c>
      <c r="Q1010">
        <v>1</v>
      </c>
      <c r="R1010" s="2">
        <v>39204</v>
      </c>
    </row>
    <row r="1011" spans="1:18" x14ac:dyDescent="0.3">
      <c r="A1011" t="s">
        <v>7</v>
      </c>
      <c r="B1011">
        <v>18711596</v>
      </c>
      <c r="C1011" t="s">
        <v>10</v>
      </c>
      <c r="D1011" s="4">
        <v>45804</v>
      </c>
      <c r="E1011" s="11">
        <f t="shared" si="60"/>
        <v>2025</v>
      </c>
      <c r="F1011" s="11">
        <f t="shared" si="61"/>
        <v>5</v>
      </c>
      <c r="G1011" s="11" t="str">
        <f t="shared" si="62"/>
        <v>202505</v>
      </c>
      <c r="I1011" s="5">
        <v>9999</v>
      </c>
      <c r="J1011" s="5">
        <v>333.3</v>
      </c>
      <c r="K1011" s="5">
        <f t="shared" si="63"/>
        <v>0</v>
      </c>
      <c r="L1011" s="5">
        <v>0</v>
      </c>
      <c r="M1011" s="5">
        <v>0</v>
      </c>
      <c r="N1011" t="s">
        <v>9</v>
      </c>
      <c r="O1011" s="8">
        <v>19.794520547945204</v>
      </c>
      <c r="P1011" t="s">
        <v>32</v>
      </c>
      <c r="Q1011">
        <v>1</v>
      </c>
      <c r="R1011" s="2">
        <v>38579</v>
      </c>
    </row>
    <row r="1012" spans="1:18" x14ac:dyDescent="0.3">
      <c r="A1012" t="s">
        <v>7</v>
      </c>
      <c r="B1012">
        <v>18711622</v>
      </c>
      <c r="C1012" t="s">
        <v>8</v>
      </c>
      <c r="D1012" s="4">
        <v>45804</v>
      </c>
      <c r="E1012" s="11">
        <f t="shared" si="60"/>
        <v>2025</v>
      </c>
      <c r="F1012" s="11">
        <f t="shared" si="61"/>
        <v>5</v>
      </c>
      <c r="G1012" s="11" t="str">
        <f t="shared" si="62"/>
        <v>202505</v>
      </c>
      <c r="H1012" s="4">
        <v>45917</v>
      </c>
      <c r="I1012" s="5">
        <v>113</v>
      </c>
      <c r="J1012" s="5">
        <v>3.7666666666666666</v>
      </c>
      <c r="K1012" s="5">
        <f t="shared" si="63"/>
        <v>0</v>
      </c>
      <c r="L1012" s="5">
        <v>0</v>
      </c>
      <c r="M1012" s="5">
        <v>1</v>
      </c>
      <c r="N1012" t="s">
        <v>9</v>
      </c>
      <c r="O1012" s="8">
        <v>19.600000000000001</v>
      </c>
      <c r="P1012" t="s">
        <v>32</v>
      </c>
      <c r="Q1012">
        <v>1</v>
      </c>
      <c r="R1012" s="2">
        <v>38650</v>
      </c>
    </row>
    <row r="1013" spans="1:18" x14ac:dyDescent="0.3">
      <c r="A1013" t="s">
        <v>7</v>
      </c>
      <c r="B1013">
        <v>18711629</v>
      </c>
      <c r="C1013" t="s">
        <v>10</v>
      </c>
      <c r="D1013" s="4">
        <v>45804</v>
      </c>
      <c r="E1013" s="11">
        <f t="shared" si="60"/>
        <v>2025</v>
      </c>
      <c r="F1013" s="11">
        <f t="shared" si="61"/>
        <v>5</v>
      </c>
      <c r="G1013" s="11" t="str">
        <f t="shared" si="62"/>
        <v>202505</v>
      </c>
      <c r="H1013" s="4">
        <v>45930</v>
      </c>
      <c r="I1013" s="5">
        <v>126</v>
      </c>
      <c r="J1013" s="5">
        <v>4.2</v>
      </c>
      <c r="K1013" s="5">
        <f t="shared" si="63"/>
        <v>0</v>
      </c>
      <c r="L1013" s="5">
        <v>0</v>
      </c>
      <c r="M1013" s="5">
        <v>1</v>
      </c>
      <c r="N1013" t="s">
        <v>9</v>
      </c>
      <c r="O1013" s="8">
        <v>21.961643835616439</v>
      </c>
      <c r="P1013" t="s">
        <v>33</v>
      </c>
      <c r="Q1013">
        <v>2</v>
      </c>
      <c r="R1013" s="2">
        <v>37788</v>
      </c>
    </row>
    <row r="1014" spans="1:18" x14ac:dyDescent="0.3">
      <c r="A1014" t="s">
        <v>7</v>
      </c>
      <c r="B1014">
        <v>18711654</v>
      </c>
      <c r="C1014" t="s">
        <v>10</v>
      </c>
      <c r="D1014" s="4">
        <v>45804</v>
      </c>
      <c r="E1014" s="11">
        <f t="shared" si="60"/>
        <v>2025</v>
      </c>
      <c r="F1014" s="11">
        <f t="shared" si="61"/>
        <v>5</v>
      </c>
      <c r="G1014" s="11" t="str">
        <f t="shared" si="62"/>
        <v>202505</v>
      </c>
      <c r="H1014" s="4">
        <v>45818</v>
      </c>
      <c r="I1014" s="5">
        <v>14</v>
      </c>
      <c r="J1014" s="5">
        <v>0.46666666666666667</v>
      </c>
      <c r="K1014" s="5">
        <f t="shared" si="63"/>
        <v>1</v>
      </c>
      <c r="L1014" s="5">
        <v>1</v>
      </c>
      <c r="M1014" s="5">
        <v>1</v>
      </c>
      <c r="N1014" t="s">
        <v>9</v>
      </c>
      <c r="O1014" s="8">
        <v>23.339726027397262</v>
      </c>
      <c r="P1014" t="s">
        <v>33</v>
      </c>
      <c r="Q1014">
        <v>2</v>
      </c>
      <c r="R1014" s="2">
        <v>37285</v>
      </c>
    </row>
    <row r="1015" spans="1:18" x14ac:dyDescent="0.3">
      <c r="A1015" t="s">
        <v>7</v>
      </c>
      <c r="B1015">
        <v>18711685</v>
      </c>
      <c r="C1015" t="s">
        <v>8</v>
      </c>
      <c r="D1015" s="4">
        <v>45804</v>
      </c>
      <c r="E1015" s="11">
        <f t="shared" si="60"/>
        <v>2025</v>
      </c>
      <c r="F1015" s="11">
        <f t="shared" si="61"/>
        <v>5</v>
      </c>
      <c r="G1015" s="11" t="str">
        <f t="shared" si="62"/>
        <v>202505</v>
      </c>
      <c r="H1015" s="4">
        <v>46081</v>
      </c>
      <c r="I1015" s="5">
        <v>277</v>
      </c>
      <c r="J1015" s="5">
        <v>9.2333333333333325</v>
      </c>
      <c r="K1015" s="5">
        <f t="shared" si="63"/>
        <v>0</v>
      </c>
      <c r="L1015" s="5">
        <v>0</v>
      </c>
      <c r="M1015" s="5">
        <v>0</v>
      </c>
      <c r="N1015" t="s">
        <v>9</v>
      </c>
      <c r="O1015" s="8">
        <v>20.860273972602741</v>
      </c>
      <c r="P1015" t="s">
        <v>32</v>
      </c>
      <c r="Q1015">
        <v>1</v>
      </c>
      <c r="R1015" s="2">
        <v>38190</v>
      </c>
    </row>
    <row r="1016" spans="1:18" x14ac:dyDescent="0.3">
      <c r="A1016" t="s">
        <v>7</v>
      </c>
      <c r="B1016">
        <v>18711686</v>
      </c>
      <c r="C1016" t="s">
        <v>8</v>
      </c>
      <c r="D1016" s="4">
        <v>45804</v>
      </c>
      <c r="E1016" s="11">
        <f t="shared" si="60"/>
        <v>2025</v>
      </c>
      <c r="F1016" s="11">
        <f t="shared" si="61"/>
        <v>5</v>
      </c>
      <c r="G1016" s="11" t="str">
        <f t="shared" si="62"/>
        <v>202505</v>
      </c>
      <c r="H1016" s="4">
        <v>45822</v>
      </c>
      <c r="I1016" s="5">
        <v>18</v>
      </c>
      <c r="J1016" s="5">
        <v>0.6</v>
      </c>
      <c r="K1016" s="5">
        <f t="shared" si="63"/>
        <v>1</v>
      </c>
      <c r="L1016" s="5">
        <v>1</v>
      </c>
      <c r="M1016" s="5">
        <v>1</v>
      </c>
      <c r="N1016" t="s">
        <v>9</v>
      </c>
      <c r="O1016" s="8">
        <v>21.512328767123286</v>
      </c>
      <c r="P1016" t="s">
        <v>33</v>
      </c>
      <c r="Q1016">
        <v>2</v>
      </c>
      <c r="R1016" s="2">
        <v>37952</v>
      </c>
    </row>
    <row r="1017" spans="1:18" x14ac:dyDescent="0.3">
      <c r="A1017" t="s">
        <v>7</v>
      </c>
      <c r="B1017">
        <v>18711705</v>
      </c>
      <c r="C1017" t="s">
        <v>8</v>
      </c>
      <c r="D1017" s="4">
        <v>45804</v>
      </c>
      <c r="E1017" s="11">
        <f t="shared" si="60"/>
        <v>2025</v>
      </c>
      <c r="F1017" s="11">
        <f t="shared" si="61"/>
        <v>5</v>
      </c>
      <c r="G1017" s="11" t="str">
        <f t="shared" si="62"/>
        <v>202505</v>
      </c>
      <c r="H1017" s="4">
        <v>45945</v>
      </c>
      <c r="I1017" s="5">
        <v>141</v>
      </c>
      <c r="J1017" s="5">
        <v>4.7</v>
      </c>
      <c r="K1017" s="5">
        <f t="shared" si="63"/>
        <v>0</v>
      </c>
      <c r="L1017" s="5">
        <v>0</v>
      </c>
      <c r="M1017" s="5">
        <v>1</v>
      </c>
      <c r="N1017" t="s">
        <v>9</v>
      </c>
      <c r="O1017" s="8">
        <v>27.454794520547946</v>
      </c>
      <c r="P1017" t="s">
        <v>34</v>
      </c>
      <c r="Q1017">
        <v>3</v>
      </c>
      <c r="R1017" s="2">
        <v>35783</v>
      </c>
    </row>
    <row r="1018" spans="1:18" x14ac:dyDescent="0.3">
      <c r="A1018" t="s">
        <v>7</v>
      </c>
      <c r="B1018">
        <v>18711706</v>
      </c>
      <c r="C1018" t="s">
        <v>8</v>
      </c>
      <c r="D1018" s="4">
        <v>45804</v>
      </c>
      <c r="E1018" s="11">
        <f t="shared" si="60"/>
        <v>2025</v>
      </c>
      <c r="F1018" s="11">
        <f t="shared" si="61"/>
        <v>5</v>
      </c>
      <c r="G1018" s="11" t="str">
        <f t="shared" si="62"/>
        <v>202505</v>
      </c>
      <c r="H1018" s="4">
        <v>45870</v>
      </c>
      <c r="I1018" s="5">
        <v>66</v>
      </c>
      <c r="J1018" s="5">
        <v>2.2000000000000002</v>
      </c>
      <c r="K1018" s="5">
        <f t="shared" si="63"/>
        <v>0</v>
      </c>
      <c r="L1018" s="5">
        <v>1</v>
      </c>
      <c r="M1018" s="5">
        <v>1</v>
      </c>
      <c r="N1018" t="s">
        <v>9</v>
      </c>
      <c r="O1018" s="8">
        <v>21.156164383561645</v>
      </c>
      <c r="P1018" t="s">
        <v>33</v>
      </c>
      <c r="Q1018">
        <v>2</v>
      </c>
      <c r="R1018" s="2">
        <v>38082</v>
      </c>
    </row>
    <row r="1019" spans="1:18" x14ac:dyDescent="0.3">
      <c r="A1019" t="s">
        <v>7</v>
      </c>
      <c r="B1019">
        <v>18711707</v>
      </c>
      <c r="C1019" t="s">
        <v>8</v>
      </c>
      <c r="D1019" s="4">
        <v>45804</v>
      </c>
      <c r="E1019" s="11">
        <f t="shared" si="60"/>
        <v>2025</v>
      </c>
      <c r="F1019" s="11">
        <f t="shared" si="61"/>
        <v>5</v>
      </c>
      <c r="G1019" s="11" t="str">
        <f t="shared" si="62"/>
        <v>202505</v>
      </c>
      <c r="H1019" s="4">
        <v>45930</v>
      </c>
      <c r="I1019" s="5">
        <v>126</v>
      </c>
      <c r="J1019" s="5">
        <v>4.2</v>
      </c>
      <c r="K1019" s="5">
        <f t="shared" si="63"/>
        <v>0</v>
      </c>
      <c r="L1019" s="5">
        <v>0</v>
      </c>
      <c r="M1019" s="5">
        <v>1</v>
      </c>
      <c r="N1019" t="s">
        <v>9</v>
      </c>
      <c r="O1019" s="8">
        <v>19.652054794520549</v>
      </c>
      <c r="P1019" t="s">
        <v>32</v>
      </c>
      <c r="Q1019">
        <v>1</v>
      </c>
      <c r="R1019" s="2">
        <v>38631</v>
      </c>
    </row>
    <row r="1020" spans="1:18" x14ac:dyDescent="0.3">
      <c r="A1020" t="s">
        <v>11</v>
      </c>
      <c r="B1020">
        <v>18711708</v>
      </c>
      <c r="C1020" t="s">
        <v>8</v>
      </c>
      <c r="D1020" s="4">
        <v>45804</v>
      </c>
      <c r="E1020" s="11">
        <f t="shared" si="60"/>
        <v>2025</v>
      </c>
      <c r="F1020" s="11">
        <f t="shared" si="61"/>
        <v>5</v>
      </c>
      <c r="G1020" s="11" t="str">
        <f t="shared" si="62"/>
        <v>202505</v>
      </c>
      <c r="H1020" s="4">
        <v>46022</v>
      </c>
      <c r="I1020" s="5">
        <v>218</v>
      </c>
      <c r="J1020" s="5">
        <v>7.2666666666666666</v>
      </c>
      <c r="K1020" s="5">
        <f t="shared" si="63"/>
        <v>0</v>
      </c>
      <c r="L1020" s="5">
        <v>0</v>
      </c>
      <c r="M1020" s="5">
        <v>0</v>
      </c>
      <c r="N1020" t="s">
        <v>9</v>
      </c>
      <c r="O1020" s="8">
        <v>21.073972602739726</v>
      </c>
      <c r="P1020" t="s">
        <v>33</v>
      </c>
      <c r="Q1020">
        <v>2</v>
      </c>
      <c r="R1020" s="2">
        <v>38112</v>
      </c>
    </row>
    <row r="1021" spans="1:18" x14ac:dyDescent="0.3">
      <c r="A1021" t="s">
        <v>7</v>
      </c>
      <c r="B1021">
        <v>18715266</v>
      </c>
      <c r="C1021" t="s">
        <v>8</v>
      </c>
      <c r="D1021" s="4">
        <v>45805</v>
      </c>
      <c r="E1021" s="11">
        <f t="shared" si="60"/>
        <v>2025</v>
      </c>
      <c r="F1021" s="11">
        <f t="shared" si="61"/>
        <v>5</v>
      </c>
      <c r="G1021" s="11" t="str">
        <f t="shared" si="62"/>
        <v>202505</v>
      </c>
      <c r="I1021" s="5">
        <v>9999</v>
      </c>
      <c r="J1021" s="5">
        <v>333.3</v>
      </c>
      <c r="K1021" s="5">
        <f t="shared" si="63"/>
        <v>0</v>
      </c>
      <c r="L1021" s="5">
        <v>0</v>
      </c>
      <c r="M1021" s="5">
        <v>0</v>
      </c>
      <c r="N1021" t="s">
        <v>12</v>
      </c>
      <c r="O1021" s="8">
        <v>24.778082191780822</v>
      </c>
      <c r="P1021" t="s">
        <v>33</v>
      </c>
      <c r="Q1021">
        <v>2</v>
      </c>
      <c r="R1021" s="2">
        <v>36761</v>
      </c>
    </row>
    <row r="1022" spans="1:18" x14ac:dyDescent="0.3">
      <c r="A1022" t="s">
        <v>7</v>
      </c>
      <c r="B1022">
        <v>18715294</v>
      </c>
      <c r="C1022" t="s">
        <v>8</v>
      </c>
      <c r="D1022" s="4">
        <v>45805</v>
      </c>
      <c r="E1022" s="11">
        <f t="shared" si="60"/>
        <v>2025</v>
      </c>
      <c r="F1022" s="11">
        <f t="shared" si="61"/>
        <v>5</v>
      </c>
      <c r="G1022" s="11" t="str">
        <f t="shared" si="62"/>
        <v>202505</v>
      </c>
      <c r="H1022" s="4">
        <v>45946</v>
      </c>
      <c r="I1022" s="5">
        <v>141</v>
      </c>
      <c r="J1022" s="5">
        <v>4.7</v>
      </c>
      <c r="K1022" s="5">
        <f t="shared" si="63"/>
        <v>0</v>
      </c>
      <c r="L1022" s="5">
        <v>0</v>
      </c>
      <c r="M1022" s="5">
        <v>1</v>
      </c>
      <c r="N1022" t="s">
        <v>12</v>
      </c>
      <c r="O1022" s="8">
        <v>21.632876712328766</v>
      </c>
      <c r="P1022" t="s">
        <v>33</v>
      </c>
      <c r="Q1022">
        <v>2</v>
      </c>
      <c r="R1022" s="2">
        <v>37909</v>
      </c>
    </row>
    <row r="1023" spans="1:18" x14ac:dyDescent="0.3">
      <c r="A1023" t="s">
        <v>7</v>
      </c>
      <c r="B1023">
        <v>18715310</v>
      </c>
      <c r="C1023" t="s">
        <v>8</v>
      </c>
      <c r="D1023" s="4">
        <v>45805</v>
      </c>
      <c r="E1023" s="11">
        <f t="shared" si="60"/>
        <v>2025</v>
      </c>
      <c r="F1023" s="11">
        <f t="shared" si="61"/>
        <v>5</v>
      </c>
      <c r="G1023" s="11" t="str">
        <f t="shared" si="62"/>
        <v>202505</v>
      </c>
      <c r="H1023" s="4">
        <v>45903</v>
      </c>
      <c r="I1023" s="5">
        <v>98</v>
      </c>
      <c r="J1023" s="5">
        <v>3.2666666666666666</v>
      </c>
      <c r="K1023" s="5">
        <f t="shared" si="63"/>
        <v>0</v>
      </c>
      <c r="L1023" s="5">
        <v>0</v>
      </c>
      <c r="M1023" s="5">
        <v>1</v>
      </c>
      <c r="N1023" t="s">
        <v>12</v>
      </c>
      <c r="O1023" s="8">
        <v>23.043835616438358</v>
      </c>
      <c r="P1023" t="s">
        <v>33</v>
      </c>
      <c r="Q1023">
        <v>2</v>
      </c>
      <c r="R1023" s="2">
        <v>37394</v>
      </c>
    </row>
    <row r="1024" spans="1:18" x14ac:dyDescent="0.3">
      <c r="A1024" t="s">
        <v>7</v>
      </c>
      <c r="B1024">
        <v>18715384</v>
      </c>
      <c r="C1024" t="s">
        <v>10</v>
      </c>
      <c r="D1024" s="4">
        <v>45805</v>
      </c>
      <c r="E1024" s="11">
        <f t="shared" si="60"/>
        <v>2025</v>
      </c>
      <c r="F1024" s="11">
        <f t="shared" si="61"/>
        <v>5</v>
      </c>
      <c r="G1024" s="11" t="str">
        <f t="shared" si="62"/>
        <v>202505</v>
      </c>
      <c r="H1024" s="4">
        <v>46006</v>
      </c>
      <c r="I1024" s="5">
        <v>201</v>
      </c>
      <c r="J1024" s="5">
        <v>6.7</v>
      </c>
      <c r="K1024" s="5">
        <f t="shared" si="63"/>
        <v>0</v>
      </c>
      <c r="L1024" s="5">
        <v>0</v>
      </c>
      <c r="M1024" s="5">
        <v>0</v>
      </c>
      <c r="N1024" t="s">
        <v>9</v>
      </c>
      <c r="O1024" s="8">
        <v>21.358904109589041</v>
      </c>
      <c r="P1024" t="s">
        <v>33</v>
      </c>
      <c r="Q1024">
        <v>2</v>
      </c>
      <c r="R1024" s="2">
        <v>38009</v>
      </c>
    </row>
    <row r="1025" spans="1:18" x14ac:dyDescent="0.3">
      <c r="A1025" t="s">
        <v>7</v>
      </c>
      <c r="B1025">
        <v>18715490</v>
      </c>
      <c r="C1025" t="s">
        <v>10</v>
      </c>
      <c r="D1025" s="4">
        <v>45805</v>
      </c>
      <c r="E1025" s="11">
        <f t="shared" si="60"/>
        <v>2025</v>
      </c>
      <c r="F1025" s="11">
        <f t="shared" si="61"/>
        <v>5</v>
      </c>
      <c r="G1025" s="11" t="str">
        <f t="shared" si="62"/>
        <v>202505</v>
      </c>
      <c r="H1025" s="4">
        <v>45931</v>
      </c>
      <c r="I1025" s="5">
        <v>126</v>
      </c>
      <c r="J1025" s="5">
        <v>4.2</v>
      </c>
      <c r="K1025" s="5">
        <f t="shared" si="63"/>
        <v>0</v>
      </c>
      <c r="L1025" s="5">
        <v>0</v>
      </c>
      <c r="M1025" s="5">
        <v>1</v>
      </c>
      <c r="N1025" t="s">
        <v>9</v>
      </c>
      <c r="O1025" s="8">
        <v>21.394520547945206</v>
      </c>
      <c r="P1025" t="s">
        <v>33</v>
      </c>
      <c r="Q1025">
        <v>2</v>
      </c>
      <c r="R1025" s="2">
        <v>37996</v>
      </c>
    </row>
    <row r="1026" spans="1:18" x14ac:dyDescent="0.3">
      <c r="A1026" t="s">
        <v>7</v>
      </c>
      <c r="B1026">
        <v>18717947</v>
      </c>
      <c r="C1026" t="s">
        <v>8</v>
      </c>
      <c r="D1026" s="4">
        <v>45806</v>
      </c>
      <c r="E1026" s="11">
        <f t="shared" si="60"/>
        <v>2025</v>
      </c>
      <c r="F1026" s="11">
        <f t="shared" si="61"/>
        <v>5</v>
      </c>
      <c r="G1026" s="11" t="str">
        <f t="shared" si="62"/>
        <v>202505</v>
      </c>
      <c r="I1026" s="5">
        <v>9999</v>
      </c>
      <c r="J1026" s="5">
        <v>333.3</v>
      </c>
      <c r="K1026" s="5">
        <f t="shared" si="63"/>
        <v>0</v>
      </c>
      <c r="L1026" s="5">
        <v>0</v>
      </c>
      <c r="M1026" s="5">
        <v>0</v>
      </c>
      <c r="N1026" t="s">
        <v>9</v>
      </c>
      <c r="O1026" s="8">
        <v>22.413698630136988</v>
      </c>
      <c r="P1026" t="s">
        <v>33</v>
      </c>
      <c r="Q1026">
        <v>2</v>
      </c>
      <c r="R1026" s="2">
        <v>37625</v>
      </c>
    </row>
    <row r="1027" spans="1:18" x14ac:dyDescent="0.3">
      <c r="A1027" t="s">
        <v>7</v>
      </c>
      <c r="B1027">
        <v>18717951</v>
      </c>
      <c r="C1027" t="s">
        <v>8</v>
      </c>
      <c r="D1027" s="4">
        <v>45806</v>
      </c>
      <c r="E1027" s="11">
        <f t="shared" ref="E1027:E1090" si="64">+YEAR(D1027)</f>
        <v>2025</v>
      </c>
      <c r="F1027" s="11">
        <f t="shared" ref="F1027:F1090" si="65">+MONTH(D1027)</f>
        <v>5</v>
      </c>
      <c r="G1027" s="11" t="str">
        <f t="shared" ref="G1027:G1090" si="66">+TEXT(D1027, "yyymm")</f>
        <v>202505</v>
      </c>
      <c r="H1027" s="4">
        <v>45942</v>
      </c>
      <c r="I1027" s="5">
        <v>136</v>
      </c>
      <c r="J1027" s="5">
        <v>4.5333333333333332</v>
      </c>
      <c r="K1027" s="5">
        <f t="shared" ref="K1027:K1090" si="67">IF(J1027&lt;=1,1,0)</f>
        <v>0</v>
      </c>
      <c r="L1027" s="5">
        <v>0</v>
      </c>
      <c r="M1027" s="5">
        <v>1</v>
      </c>
      <c r="N1027" t="s">
        <v>9</v>
      </c>
      <c r="O1027" s="8">
        <v>43.684931506849317</v>
      </c>
      <c r="P1027" t="s">
        <v>35</v>
      </c>
      <c r="Q1027">
        <v>4</v>
      </c>
      <c r="R1027" s="2">
        <v>29861</v>
      </c>
    </row>
    <row r="1028" spans="1:18" x14ac:dyDescent="0.3">
      <c r="A1028" t="s">
        <v>7</v>
      </c>
      <c r="B1028">
        <v>18717952</v>
      </c>
      <c r="C1028" t="s">
        <v>8</v>
      </c>
      <c r="D1028" s="4">
        <v>45806</v>
      </c>
      <c r="E1028" s="11">
        <f t="shared" si="64"/>
        <v>2025</v>
      </c>
      <c r="F1028" s="11">
        <f t="shared" si="65"/>
        <v>5</v>
      </c>
      <c r="G1028" s="11" t="str">
        <f t="shared" si="66"/>
        <v>202505</v>
      </c>
      <c r="H1028" s="4">
        <v>45965</v>
      </c>
      <c r="I1028" s="5">
        <v>159</v>
      </c>
      <c r="J1028" s="5">
        <v>5.3</v>
      </c>
      <c r="K1028" s="5">
        <f t="shared" si="67"/>
        <v>0</v>
      </c>
      <c r="L1028" s="5">
        <v>0</v>
      </c>
      <c r="M1028" s="5">
        <v>1</v>
      </c>
      <c r="N1028" t="s">
        <v>9</v>
      </c>
      <c r="O1028" s="8">
        <v>29.065753424657533</v>
      </c>
      <c r="P1028" t="s">
        <v>34</v>
      </c>
      <c r="Q1028">
        <v>3</v>
      </c>
      <c r="R1028" s="2">
        <v>35197</v>
      </c>
    </row>
    <row r="1029" spans="1:18" x14ac:dyDescent="0.3">
      <c r="A1029" t="s">
        <v>7</v>
      </c>
      <c r="B1029">
        <v>18717966</v>
      </c>
      <c r="C1029" t="s">
        <v>8</v>
      </c>
      <c r="D1029" s="4">
        <v>45806</v>
      </c>
      <c r="E1029" s="11">
        <f t="shared" si="64"/>
        <v>2025</v>
      </c>
      <c r="F1029" s="11">
        <f t="shared" si="65"/>
        <v>5</v>
      </c>
      <c r="G1029" s="11" t="str">
        <f t="shared" si="66"/>
        <v>202505</v>
      </c>
      <c r="H1029" s="4">
        <v>46022</v>
      </c>
      <c r="I1029" s="5">
        <v>216</v>
      </c>
      <c r="J1029" s="5">
        <v>7.2</v>
      </c>
      <c r="K1029" s="5">
        <f t="shared" si="67"/>
        <v>0</v>
      </c>
      <c r="L1029" s="5">
        <v>0</v>
      </c>
      <c r="M1029" s="5">
        <v>0</v>
      </c>
      <c r="N1029" t="s">
        <v>9</v>
      </c>
      <c r="O1029" s="8">
        <v>18.112328767123287</v>
      </c>
      <c r="P1029" t="s">
        <v>32</v>
      </c>
      <c r="Q1029">
        <v>1</v>
      </c>
      <c r="R1029" s="2">
        <v>39195</v>
      </c>
    </row>
    <row r="1030" spans="1:18" x14ac:dyDescent="0.3">
      <c r="A1030" t="s">
        <v>7</v>
      </c>
      <c r="B1030">
        <v>18717987</v>
      </c>
      <c r="C1030" t="s">
        <v>8</v>
      </c>
      <c r="D1030" s="4">
        <v>45806</v>
      </c>
      <c r="E1030" s="11">
        <f t="shared" si="64"/>
        <v>2025</v>
      </c>
      <c r="F1030" s="11">
        <f t="shared" si="65"/>
        <v>5</v>
      </c>
      <c r="G1030" s="11" t="str">
        <f t="shared" si="66"/>
        <v>202505</v>
      </c>
      <c r="H1030" s="4">
        <v>46173</v>
      </c>
      <c r="I1030" s="5">
        <v>367</v>
      </c>
      <c r="J1030" s="5">
        <v>12.233333333333333</v>
      </c>
      <c r="K1030" s="5">
        <f t="shared" si="67"/>
        <v>0</v>
      </c>
      <c r="L1030" s="5">
        <v>0</v>
      </c>
      <c r="M1030" s="5">
        <v>0</v>
      </c>
      <c r="N1030" t="s">
        <v>9</v>
      </c>
      <c r="O1030" s="8">
        <v>35.923287671232877</v>
      </c>
      <c r="P1030" t="s">
        <v>35</v>
      </c>
      <c r="Q1030">
        <v>4</v>
      </c>
      <c r="R1030" s="2">
        <v>32694</v>
      </c>
    </row>
    <row r="1031" spans="1:18" x14ac:dyDescent="0.3">
      <c r="A1031" t="s">
        <v>7</v>
      </c>
      <c r="B1031">
        <v>18717994</v>
      </c>
      <c r="C1031" t="s">
        <v>8</v>
      </c>
      <c r="D1031" s="4">
        <v>45806</v>
      </c>
      <c r="E1031" s="11">
        <f t="shared" si="64"/>
        <v>2025</v>
      </c>
      <c r="F1031" s="11">
        <f t="shared" si="65"/>
        <v>5</v>
      </c>
      <c r="G1031" s="11" t="str">
        <f t="shared" si="66"/>
        <v>202505</v>
      </c>
      <c r="H1031" s="4">
        <v>45901</v>
      </c>
      <c r="I1031" s="5">
        <v>95</v>
      </c>
      <c r="J1031" s="5">
        <v>3.1666666666666665</v>
      </c>
      <c r="K1031" s="5">
        <f t="shared" si="67"/>
        <v>0</v>
      </c>
      <c r="L1031" s="5">
        <v>0</v>
      </c>
      <c r="M1031" s="5">
        <v>1</v>
      </c>
      <c r="N1031" t="s">
        <v>9</v>
      </c>
      <c r="O1031" s="8">
        <v>18.334246575342465</v>
      </c>
      <c r="P1031" t="s">
        <v>32</v>
      </c>
      <c r="Q1031">
        <v>1</v>
      </c>
      <c r="R1031" s="2">
        <v>39114</v>
      </c>
    </row>
    <row r="1032" spans="1:18" x14ac:dyDescent="0.3">
      <c r="A1032" t="s">
        <v>7</v>
      </c>
      <c r="B1032">
        <v>18718026</v>
      </c>
      <c r="C1032" t="s">
        <v>8</v>
      </c>
      <c r="D1032" s="4">
        <v>45806</v>
      </c>
      <c r="E1032" s="11">
        <f t="shared" si="64"/>
        <v>2025</v>
      </c>
      <c r="F1032" s="11">
        <f t="shared" si="65"/>
        <v>5</v>
      </c>
      <c r="G1032" s="11" t="str">
        <f t="shared" si="66"/>
        <v>202505</v>
      </c>
      <c r="H1032" s="4">
        <v>45880</v>
      </c>
      <c r="I1032" s="5">
        <v>74</v>
      </c>
      <c r="J1032" s="5">
        <v>2.4666666666666668</v>
      </c>
      <c r="K1032" s="5">
        <f t="shared" si="67"/>
        <v>0</v>
      </c>
      <c r="L1032" s="5">
        <v>1</v>
      </c>
      <c r="M1032" s="5">
        <v>1</v>
      </c>
      <c r="N1032" t="s">
        <v>9</v>
      </c>
      <c r="O1032" s="8">
        <v>34.846575342465755</v>
      </c>
      <c r="P1032" t="s">
        <v>35</v>
      </c>
      <c r="Q1032">
        <v>4</v>
      </c>
      <c r="R1032" s="2">
        <v>33087</v>
      </c>
    </row>
    <row r="1033" spans="1:18" x14ac:dyDescent="0.3">
      <c r="A1033" t="s">
        <v>7</v>
      </c>
      <c r="B1033">
        <v>18718040</v>
      </c>
      <c r="C1033" t="s">
        <v>8</v>
      </c>
      <c r="D1033" s="4">
        <v>45806</v>
      </c>
      <c r="E1033" s="11">
        <f t="shared" si="64"/>
        <v>2025</v>
      </c>
      <c r="F1033" s="11">
        <f t="shared" si="65"/>
        <v>5</v>
      </c>
      <c r="G1033" s="11" t="str">
        <f t="shared" si="66"/>
        <v>202505</v>
      </c>
      <c r="H1033" s="4">
        <v>46053</v>
      </c>
      <c r="I1033" s="5">
        <v>247</v>
      </c>
      <c r="J1033" s="5">
        <v>8.2333333333333325</v>
      </c>
      <c r="K1033" s="5">
        <f t="shared" si="67"/>
        <v>0</v>
      </c>
      <c r="L1033" s="5">
        <v>0</v>
      </c>
      <c r="M1033" s="5">
        <v>0</v>
      </c>
      <c r="N1033" t="s">
        <v>9</v>
      </c>
      <c r="O1033" s="8">
        <v>19.682191780821917</v>
      </c>
      <c r="P1033" t="s">
        <v>32</v>
      </c>
      <c r="Q1033">
        <v>1</v>
      </c>
      <c r="R1033" s="2">
        <v>38622</v>
      </c>
    </row>
    <row r="1034" spans="1:18" x14ac:dyDescent="0.3">
      <c r="A1034" t="s">
        <v>7</v>
      </c>
      <c r="B1034">
        <v>18718151</v>
      </c>
      <c r="C1034" t="s">
        <v>10</v>
      </c>
      <c r="D1034" s="4">
        <v>45806</v>
      </c>
      <c r="E1034" s="11">
        <f t="shared" si="64"/>
        <v>2025</v>
      </c>
      <c r="F1034" s="11">
        <f t="shared" si="65"/>
        <v>5</v>
      </c>
      <c r="G1034" s="11" t="str">
        <f t="shared" si="66"/>
        <v>202505</v>
      </c>
      <c r="H1034" s="4">
        <v>46022</v>
      </c>
      <c r="I1034" s="5">
        <v>216</v>
      </c>
      <c r="J1034" s="5">
        <v>7.2</v>
      </c>
      <c r="K1034" s="5">
        <f t="shared" si="67"/>
        <v>0</v>
      </c>
      <c r="L1034" s="5">
        <v>0</v>
      </c>
      <c r="M1034" s="5">
        <v>0</v>
      </c>
      <c r="N1034" t="s">
        <v>9</v>
      </c>
      <c r="O1034" s="8">
        <v>21.06027397260274</v>
      </c>
      <c r="P1034" t="s">
        <v>33</v>
      </c>
      <c r="Q1034">
        <v>2</v>
      </c>
      <c r="R1034" s="2">
        <v>38119</v>
      </c>
    </row>
    <row r="1035" spans="1:18" x14ac:dyDescent="0.3">
      <c r="A1035" t="s">
        <v>11</v>
      </c>
      <c r="B1035">
        <v>18720165</v>
      </c>
      <c r="C1035" t="s">
        <v>8</v>
      </c>
      <c r="D1035" s="4">
        <v>45807</v>
      </c>
      <c r="E1035" s="11">
        <f t="shared" si="64"/>
        <v>2025</v>
      </c>
      <c r="F1035" s="11">
        <f t="shared" si="65"/>
        <v>5</v>
      </c>
      <c r="G1035" s="11" t="str">
        <f t="shared" si="66"/>
        <v>202505</v>
      </c>
      <c r="H1035" s="4">
        <v>45848</v>
      </c>
      <c r="I1035" s="5">
        <v>41</v>
      </c>
      <c r="J1035" s="5">
        <v>1.3666666666666667</v>
      </c>
      <c r="K1035" s="5">
        <f t="shared" si="67"/>
        <v>0</v>
      </c>
      <c r="L1035" s="5">
        <v>1</v>
      </c>
      <c r="M1035" s="5">
        <v>1</v>
      </c>
      <c r="N1035" t="s">
        <v>9</v>
      </c>
      <c r="O1035" s="8">
        <v>28.493150684931507</v>
      </c>
      <c r="P1035" t="s">
        <v>34</v>
      </c>
      <c r="Q1035">
        <v>3</v>
      </c>
      <c r="R1035" s="2">
        <v>35407</v>
      </c>
    </row>
    <row r="1036" spans="1:18" x14ac:dyDescent="0.3">
      <c r="A1036" t="s">
        <v>7</v>
      </c>
      <c r="B1036">
        <v>18720170</v>
      </c>
      <c r="C1036" t="s">
        <v>8</v>
      </c>
      <c r="D1036" s="4">
        <v>45807</v>
      </c>
      <c r="E1036" s="11">
        <f t="shared" si="64"/>
        <v>2025</v>
      </c>
      <c r="F1036" s="11">
        <f t="shared" si="65"/>
        <v>5</v>
      </c>
      <c r="G1036" s="11" t="str">
        <f t="shared" si="66"/>
        <v>202505</v>
      </c>
      <c r="H1036" s="4">
        <v>45901</v>
      </c>
      <c r="I1036" s="5">
        <v>94</v>
      </c>
      <c r="J1036" s="5">
        <v>3.1333333333333333</v>
      </c>
      <c r="K1036" s="5">
        <f t="shared" si="67"/>
        <v>0</v>
      </c>
      <c r="L1036" s="5">
        <v>0</v>
      </c>
      <c r="M1036" s="5">
        <v>1</v>
      </c>
      <c r="N1036" t="s">
        <v>9</v>
      </c>
      <c r="O1036" s="8">
        <v>23.4</v>
      </c>
      <c r="P1036" t="s">
        <v>33</v>
      </c>
      <c r="Q1036">
        <v>2</v>
      </c>
      <c r="R1036" s="2">
        <v>37266</v>
      </c>
    </row>
    <row r="1037" spans="1:18" x14ac:dyDescent="0.3">
      <c r="A1037" t="s">
        <v>7</v>
      </c>
      <c r="B1037">
        <v>18724803</v>
      </c>
      <c r="C1037" t="s">
        <v>8</v>
      </c>
      <c r="D1037" s="4">
        <v>45810</v>
      </c>
      <c r="E1037" s="11">
        <f t="shared" si="64"/>
        <v>2025</v>
      </c>
      <c r="F1037" s="11">
        <f t="shared" si="65"/>
        <v>6</v>
      </c>
      <c r="G1037" s="11" t="str">
        <f t="shared" si="66"/>
        <v>202506</v>
      </c>
      <c r="I1037" s="5">
        <v>9999</v>
      </c>
      <c r="J1037" s="5">
        <v>333.3</v>
      </c>
      <c r="K1037" s="5">
        <f t="shared" si="67"/>
        <v>0</v>
      </c>
      <c r="L1037" s="5">
        <v>0</v>
      </c>
      <c r="M1037" s="5">
        <v>0</v>
      </c>
      <c r="N1037" t="s">
        <v>12</v>
      </c>
      <c r="O1037" s="8">
        <v>26.473972602739725</v>
      </c>
      <c r="P1037" t="s">
        <v>34</v>
      </c>
      <c r="Q1037">
        <v>3</v>
      </c>
      <c r="R1037" s="2">
        <v>36147</v>
      </c>
    </row>
    <row r="1038" spans="1:18" x14ac:dyDescent="0.3">
      <c r="A1038" t="s">
        <v>7</v>
      </c>
      <c r="B1038">
        <v>18724860</v>
      </c>
      <c r="C1038" t="s">
        <v>8</v>
      </c>
      <c r="D1038" s="4">
        <v>45810</v>
      </c>
      <c r="E1038" s="11">
        <f t="shared" si="64"/>
        <v>2025</v>
      </c>
      <c r="F1038" s="11">
        <f t="shared" si="65"/>
        <v>6</v>
      </c>
      <c r="G1038" s="11" t="str">
        <f t="shared" si="66"/>
        <v>202506</v>
      </c>
      <c r="H1038" s="4">
        <v>45817</v>
      </c>
      <c r="I1038" s="5">
        <v>7</v>
      </c>
      <c r="J1038" s="5">
        <v>0.23333333333333334</v>
      </c>
      <c r="K1038" s="5">
        <f t="shared" si="67"/>
        <v>1</v>
      </c>
      <c r="L1038" s="5">
        <v>1</v>
      </c>
      <c r="M1038" s="5">
        <v>1</v>
      </c>
      <c r="N1038" t="s">
        <v>12</v>
      </c>
      <c r="O1038" s="8">
        <v>24.975342465753425</v>
      </c>
      <c r="P1038" t="s">
        <v>33</v>
      </c>
      <c r="Q1038">
        <v>2</v>
      </c>
      <c r="R1038" s="2">
        <v>36694</v>
      </c>
    </row>
    <row r="1039" spans="1:18" x14ac:dyDescent="0.3">
      <c r="A1039" t="s">
        <v>7</v>
      </c>
      <c r="B1039">
        <v>18725007</v>
      </c>
      <c r="C1039" t="s">
        <v>8</v>
      </c>
      <c r="D1039" s="4">
        <v>45917</v>
      </c>
      <c r="E1039" s="11">
        <f t="shared" si="64"/>
        <v>2025</v>
      </c>
      <c r="F1039" s="11">
        <f t="shared" si="65"/>
        <v>9</v>
      </c>
      <c r="G1039" s="11" t="str">
        <f t="shared" si="66"/>
        <v>202509</v>
      </c>
      <c r="I1039" s="5">
        <v>9999</v>
      </c>
      <c r="J1039" s="5">
        <v>333.3</v>
      </c>
      <c r="K1039" s="5">
        <f t="shared" si="67"/>
        <v>0</v>
      </c>
      <c r="L1039" s="5">
        <v>0</v>
      </c>
      <c r="M1039" s="5">
        <v>0</v>
      </c>
      <c r="N1039" t="s">
        <v>12</v>
      </c>
      <c r="O1039" s="8">
        <v>22.210958904109589</v>
      </c>
      <c r="P1039" t="s">
        <v>33</v>
      </c>
      <c r="Q1039">
        <v>2</v>
      </c>
      <c r="R1039" s="2">
        <v>37810</v>
      </c>
    </row>
    <row r="1040" spans="1:18" x14ac:dyDescent="0.3">
      <c r="A1040" t="s">
        <v>7</v>
      </c>
      <c r="B1040">
        <v>18725261</v>
      </c>
      <c r="C1040" t="s">
        <v>8</v>
      </c>
      <c r="D1040" s="4">
        <v>45810</v>
      </c>
      <c r="E1040" s="11">
        <f t="shared" si="64"/>
        <v>2025</v>
      </c>
      <c r="F1040" s="11">
        <f t="shared" si="65"/>
        <v>6</v>
      </c>
      <c r="G1040" s="11" t="str">
        <f t="shared" si="66"/>
        <v>202506</v>
      </c>
      <c r="H1040" s="4">
        <v>46113</v>
      </c>
      <c r="I1040" s="5">
        <v>303</v>
      </c>
      <c r="J1040" s="5">
        <v>10.1</v>
      </c>
      <c r="K1040" s="5">
        <f t="shared" si="67"/>
        <v>0</v>
      </c>
      <c r="L1040" s="5">
        <v>0</v>
      </c>
      <c r="M1040" s="5">
        <v>0</v>
      </c>
      <c r="N1040" t="s">
        <v>12</v>
      </c>
      <c r="O1040" s="8">
        <v>19.621917808219177</v>
      </c>
      <c r="P1040" t="s">
        <v>32</v>
      </c>
      <c r="Q1040">
        <v>1</v>
      </c>
      <c r="R1040" s="2">
        <v>38648</v>
      </c>
    </row>
    <row r="1041" spans="1:18" x14ac:dyDescent="0.3">
      <c r="A1041" t="s">
        <v>7</v>
      </c>
      <c r="B1041">
        <v>18725262</v>
      </c>
      <c r="C1041" t="s">
        <v>8</v>
      </c>
      <c r="D1041" s="4">
        <v>45810</v>
      </c>
      <c r="E1041" s="11">
        <f t="shared" si="64"/>
        <v>2025</v>
      </c>
      <c r="F1041" s="11">
        <f t="shared" si="65"/>
        <v>6</v>
      </c>
      <c r="G1041" s="11" t="str">
        <f t="shared" si="66"/>
        <v>202506</v>
      </c>
      <c r="H1041" s="4">
        <v>45935</v>
      </c>
      <c r="I1041" s="5">
        <v>125</v>
      </c>
      <c r="J1041" s="5">
        <v>4.166666666666667</v>
      </c>
      <c r="K1041" s="5">
        <f t="shared" si="67"/>
        <v>0</v>
      </c>
      <c r="L1041" s="5">
        <v>0</v>
      </c>
      <c r="M1041" s="5">
        <v>1</v>
      </c>
      <c r="N1041" t="s">
        <v>12</v>
      </c>
      <c r="O1041" s="8">
        <v>20.36986301369863</v>
      </c>
      <c r="P1041" t="s">
        <v>32</v>
      </c>
      <c r="Q1041">
        <v>1</v>
      </c>
      <c r="R1041" s="2">
        <v>38375</v>
      </c>
    </row>
    <row r="1042" spans="1:18" x14ac:dyDescent="0.3">
      <c r="A1042" t="s">
        <v>7</v>
      </c>
      <c r="B1042">
        <v>18727900</v>
      </c>
      <c r="C1042" t="s">
        <v>8</v>
      </c>
      <c r="D1042" s="4">
        <v>45811</v>
      </c>
      <c r="E1042" s="11">
        <f t="shared" si="64"/>
        <v>2025</v>
      </c>
      <c r="F1042" s="11">
        <f t="shared" si="65"/>
        <v>6</v>
      </c>
      <c r="G1042" s="11" t="str">
        <f t="shared" si="66"/>
        <v>202506</v>
      </c>
      <c r="H1042" s="4">
        <v>45838</v>
      </c>
      <c r="I1042" s="5">
        <v>27</v>
      </c>
      <c r="J1042" s="5">
        <v>0.9</v>
      </c>
      <c r="K1042" s="5">
        <f t="shared" si="67"/>
        <v>1</v>
      </c>
      <c r="L1042" s="5">
        <v>1</v>
      </c>
      <c r="M1042" s="5">
        <v>1</v>
      </c>
      <c r="N1042" t="s">
        <v>12</v>
      </c>
      <c r="O1042" s="8">
        <v>42.487671232876714</v>
      </c>
      <c r="P1042" t="s">
        <v>35</v>
      </c>
      <c r="Q1042">
        <v>4</v>
      </c>
      <c r="R1042" s="2">
        <v>30303</v>
      </c>
    </row>
    <row r="1043" spans="1:18" x14ac:dyDescent="0.3">
      <c r="A1043" t="s">
        <v>7</v>
      </c>
      <c r="B1043">
        <v>18727901</v>
      </c>
      <c r="C1043" t="s">
        <v>8</v>
      </c>
      <c r="D1043" s="4">
        <v>45811</v>
      </c>
      <c r="E1043" s="11">
        <f t="shared" si="64"/>
        <v>2025</v>
      </c>
      <c r="F1043" s="11">
        <f t="shared" si="65"/>
        <v>6</v>
      </c>
      <c r="G1043" s="11" t="str">
        <f t="shared" si="66"/>
        <v>202506</v>
      </c>
      <c r="I1043" s="5">
        <v>9999</v>
      </c>
      <c r="J1043" s="5">
        <v>333.3</v>
      </c>
      <c r="K1043" s="5">
        <f t="shared" si="67"/>
        <v>0</v>
      </c>
      <c r="L1043" s="5">
        <v>0</v>
      </c>
      <c r="M1043" s="5">
        <v>0</v>
      </c>
      <c r="N1043" t="s">
        <v>12</v>
      </c>
      <c r="O1043" s="8">
        <v>27.909589041095892</v>
      </c>
      <c r="P1043" t="s">
        <v>34</v>
      </c>
      <c r="Q1043">
        <v>3</v>
      </c>
      <c r="R1043" s="2">
        <v>35624</v>
      </c>
    </row>
    <row r="1044" spans="1:18" x14ac:dyDescent="0.3">
      <c r="A1044" t="s">
        <v>7</v>
      </c>
      <c r="B1044">
        <v>18727947</v>
      </c>
      <c r="C1044" t="s">
        <v>8</v>
      </c>
      <c r="D1044" s="4">
        <v>45811</v>
      </c>
      <c r="E1044" s="11">
        <f t="shared" si="64"/>
        <v>2025</v>
      </c>
      <c r="F1044" s="11">
        <f t="shared" si="65"/>
        <v>6</v>
      </c>
      <c r="G1044" s="11" t="str">
        <f t="shared" si="66"/>
        <v>202506</v>
      </c>
      <c r="H1044" s="4">
        <v>45908</v>
      </c>
      <c r="I1044" s="5">
        <v>97</v>
      </c>
      <c r="J1044" s="5">
        <v>3.2333333333333334</v>
      </c>
      <c r="K1044" s="5">
        <f t="shared" si="67"/>
        <v>0</v>
      </c>
      <c r="L1044" s="5">
        <v>0</v>
      </c>
      <c r="M1044" s="5">
        <v>1</v>
      </c>
      <c r="N1044" t="s">
        <v>12</v>
      </c>
      <c r="O1044" s="8">
        <v>22.030136986301368</v>
      </c>
      <c r="P1044" t="s">
        <v>33</v>
      </c>
      <c r="Q1044">
        <v>2</v>
      </c>
      <c r="R1044" s="2">
        <v>37770</v>
      </c>
    </row>
    <row r="1045" spans="1:18" x14ac:dyDescent="0.3">
      <c r="A1045" t="s">
        <v>7</v>
      </c>
      <c r="B1045">
        <v>18728098</v>
      </c>
      <c r="C1045" t="s">
        <v>8</v>
      </c>
      <c r="D1045" s="4">
        <v>45811</v>
      </c>
      <c r="E1045" s="11">
        <f t="shared" si="64"/>
        <v>2025</v>
      </c>
      <c r="F1045" s="11">
        <f t="shared" si="65"/>
        <v>6</v>
      </c>
      <c r="G1045" s="11" t="str">
        <f t="shared" si="66"/>
        <v>202506</v>
      </c>
      <c r="H1045" s="4">
        <v>46021</v>
      </c>
      <c r="I1045" s="5">
        <v>210</v>
      </c>
      <c r="J1045" s="5">
        <v>7</v>
      </c>
      <c r="K1045" s="5">
        <f t="shared" si="67"/>
        <v>0</v>
      </c>
      <c r="L1045" s="5">
        <v>0</v>
      </c>
      <c r="M1045" s="5">
        <v>0</v>
      </c>
      <c r="N1045" t="s">
        <v>9</v>
      </c>
      <c r="O1045" s="8">
        <v>20.046575342465754</v>
      </c>
      <c r="P1045" t="s">
        <v>32</v>
      </c>
      <c r="Q1045">
        <v>1</v>
      </c>
      <c r="R1045" s="2">
        <v>38494</v>
      </c>
    </row>
    <row r="1046" spans="1:18" x14ac:dyDescent="0.3">
      <c r="A1046" t="s">
        <v>7</v>
      </c>
      <c r="B1046">
        <v>18728100</v>
      </c>
      <c r="C1046" t="s">
        <v>8</v>
      </c>
      <c r="D1046" s="4">
        <v>45811</v>
      </c>
      <c r="E1046" s="11">
        <f t="shared" si="64"/>
        <v>2025</v>
      </c>
      <c r="F1046" s="11">
        <f t="shared" si="65"/>
        <v>6</v>
      </c>
      <c r="G1046" s="11" t="str">
        <f t="shared" si="66"/>
        <v>202506</v>
      </c>
      <c r="H1046" s="4">
        <v>45884</v>
      </c>
      <c r="I1046" s="5">
        <v>73</v>
      </c>
      <c r="J1046" s="5">
        <v>2.4333333333333331</v>
      </c>
      <c r="K1046" s="5">
        <f t="shared" si="67"/>
        <v>0</v>
      </c>
      <c r="L1046" s="5">
        <v>1</v>
      </c>
      <c r="M1046" s="5">
        <v>1</v>
      </c>
      <c r="N1046" t="s">
        <v>9</v>
      </c>
      <c r="O1046" s="8">
        <v>18.734246575342464</v>
      </c>
      <c r="P1046" t="s">
        <v>32</v>
      </c>
      <c r="Q1046">
        <v>1</v>
      </c>
      <c r="R1046" s="2">
        <v>38973</v>
      </c>
    </row>
    <row r="1047" spans="1:18" x14ac:dyDescent="0.3">
      <c r="A1047" t="s">
        <v>7</v>
      </c>
      <c r="B1047">
        <v>18728120</v>
      </c>
      <c r="C1047" t="s">
        <v>10</v>
      </c>
      <c r="D1047" s="4">
        <v>45811</v>
      </c>
      <c r="E1047" s="11">
        <f t="shared" si="64"/>
        <v>2025</v>
      </c>
      <c r="F1047" s="11">
        <f t="shared" si="65"/>
        <v>6</v>
      </c>
      <c r="G1047" s="11" t="str">
        <f t="shared" si="66"/>
        <v>202506</v>
      </c>
      <c r="H1047" s="4">
        <v>45903</v>
      </c>
      <c r="I1047" s="5">
        <v>92</v>
      </c>
      <c r="J1047" s="5">
        <v>3.0666666666666669</v>
      </c>
      <c r="K1047" s="5">
        <f t="shared" si="67"/>
        <v>0</v>
      </c>
      <c r="L1047" s="5">
        <v>0</v>
      </c>
      <c r="M1047" s="5">
        <v>1</v>
      </c>
      <c r="N1047" t="s">
        <v>9</v>
      </c>
      <c r="O1047" s="8">
        <v>19.82191780821918</v>
      </c>
      <c r="P1047" t="s">
        <v>32</v>
      </c>
      <c r="Q1047">
        <v>1</v>
      </c>
      <c r="R1047" s="2">
        <v>38576</v>
      </c>
    </row>
    <row r="1048" spans="1:18" x14ac:dyDescent="0.3">
      <c r="A1048" t="s">
        <v>7</v>
      </c>
      <c r="B1048">
        <v>18728127</v>
      </c>
      <c r="C1048" t="s">
        <v>8</v>
      </c>
      <c r="D1048" s="4">
        <v>45811</v>
      </c>
      <c r="E1048" s="11">
        <f t="shared" si="64"/>
        <v>2025</v>
      </c>
      <c r="F1048" s="11">
        <f t="shared" si="65"/>
        <v>6</v>
      </c>
      <c r="G1048" s="11" t="str">
        <f t="shared" si="66"/>
        <v>202506</v>
      </c>
      <c r="H1048" s="4">
        <v>45838</v>
      </c>
      <c r="I1048" s="5">
        <v>27</v>
      </c>
      <c r="J1048" s="5">
        <v>0.9</v>
      </c>
      <c r="K1048" s="5">
        <f t="shared" si="67"/>
        <v>1</v>
      </c>
      <c r="L1048" s="5">
        <v>1</v>
      </c>
      <c r="M1048" s="5">
        <v>1</v>
      </c>
      <c r="N1048" t="s">
        <v>9</v>
      </c>
      <c r="O1048" s="8">
        <v>21.304109589041097</v>
      </c>
      <c r="P1048" t="s">
        <v>33</v>
      </c>
      <c r="Q1048">
        <v>2</v>
      </c>
      <c r="R1048" s="2">
        <v>38035</v>
      </c>
    </row>
    <row r="1049" spans="1:18" x14ac:dyDescent="0.3">
      <c r="A1049" t="s">
        <v>7</v>
      </c>
      <c r="B1049">
        <v>18728152</v>
      </c>
      <c r="C1049" t="s">
        <v>8</v>
      </c>
      <c r="D1049" s="4">
        <v>45811</v>
      </c>
      <c r="E1049" s="11">
        <f t="shared" si="64"/>
        <v>2025</v>
      </c>
      <c r="F1049" s="11">
        <f t="shared" si="65"/>
        <v>6</v>
      </c>
      <c r="G1049" s="11" t="str">
        <f t="shared" si="66"/>
        <v>202506</v>
      </c>
      <c r="H1049" s="4">
        <v>46069</v>
      </c>
      <c r="I1049" s="5">
        <v>258</v>
      </c>
      <c r="J1049" s="5">
        <v>8.6</v>
      </c>
      <c r="K1049" s="5">
        <f t="shared" si="67"/>
        <v>0</v>
      </c>
      <c r="L1049" s="5">
        <v>0</v>
      </c>
      <c r="M1049" s="5">
        <v>0</v>
      </c>
      <c r="N1049" t="s">
        <v>9</v>
      </c>
      <c r="O1049" s="8">
        <v>20.857534246575341</v>
      </c>
      <c r="P1049" t="s">
        <v>32</v>
      </c>
      <c r="Q1049">
        <v>1</v>
      </c>
      <c r="R1049" s="2">
        <v>38198</v>
      </c>
    </row>
    <row r="1050" spans="1:18" x14ac:dyDescent="0.3">
      <c r="A1050" t="s">
        <v>7</v>
      </c>
      <c r="B1050">
        <v>18728153</v>
      </c>
      <c r="C1050" t="s">
        <v>8</v>
      </c>
      <c r="D1050" s="4">
        <v>45811</v>
      </c>
      <c r="E1050" s="11">
        <f t="shared" si="64"/>
        <v>2025</v>
      </c>
      <c r="F1050" s="11">
        <f t="shared" si="65"/>
        <v>6</v>
      </c>
      <c r="G1050" s="11" t="str">
        <f t="shared" si="66"/>
        <v>202506</v>
      </c>
      <c r="H1050" s="4">
        <v>45943</v>
      </c>
      <c r="I1050" s="5">
        <v>132</v>
      </c>
      <c r="J1050" s="5">
        <v>4.4000000000000004</v>
      </c>
      <c r="K1050" s="5">
        <f t="shared" si="67"/>
        <v>0</v>
      </c>
      <c r="L1050" s="5">
        <v>0</v>
      </c>
      <c r="M1050" s="5">
        <v>1</v>
      </c>
      <c r="N1050" t="s">
        <v>9</v>
      </c>
      <c r="O1050" s="8">
        <v>20.484931506849314</v>
      </c>
      <c r="P1050" t="s">
        <v>32</v>
      </c>
      <c r="Q1050">
        <v>1</v>
      </c>
      <c r="R1050" s="2">
        <v>38334</v>
      </c>
    </row>
    <row r="1051" spans="1:18" x14ac:dyDescent="0.3">
      <c r="A1051" t="s">
        <v>7</v>
      </c>
      <c r="B1051">
        <v>18728686</v>
      </c>
      <c r="C1051" t="s">
        <v>10</v>
      </c>
      <c r="D1051" s="4">
        <v>45811</v>
      </c>
      <c r="E1051" s="11">
        <f t="shared" si="64"/>
        <v>2025</v>
      </c>
      <c r="F1051" s="11">
        <f t="shared" si="65"/>
        <v>6</v>
      </c>
      <c r="G1051" s="11" t="str">
        <f t="shared" si="66"/>
        <v>202506</v>
      </c>
      <c r="H1051" s="4">
        <v>45917</v>
      </c>
      <c r="I1051" s="5">
        <v>106</v>
      </c>
      <c r="J1051" s="5">
        <v>3.5333333333333332</v>
      </c>
      <c r="K1051" s="5">
        <f t="shared" si="67"/>
        <v>0</v>
      </c>
      <c r="L1051" s="5">
        <v>0</v>
      </c>
      <c r="M1051" s="5">
        <v>1</v>
      </c>
      <c r="N1051" t="s">
        <v>12</v>
      </c>
      <c r="O1051" s="8">
        <v>21.002739726027396</v>
      </c>
      <c r="P1051" t="s">
        <v>33</v>
      </c>
      <c r="Q1051">
        <v>2</v>
      </c>
      <c r="R1051" s="2">
        <v>38145</v>
      </c>
    </row>
    <row r="1052" spans="1:18" x14ac:dyDescent="0.3">
      <c r="A1052" t="s">
        <v>7</v>
      </c>
      <c r="B1052">
        <v>18730203</v>
      </c>
      <c r="C1052" t="s">
        <v>8</v>
      </c>
      <c r="D1052" s="4">
        <v>45812</v>
      </c>
      <c r="E1052" s="11">
        <f t="shared" si="64"/>
        <v>2025</v>
      </c>
      <c r="F1052" s="11">
        <f t="shared" si="65"/>
        <v>6</v>
      </c>
      <c r="G1052" s="11" t="str">
        <f t="shared" si="66"/>
        <v>202506</v>
      </c>
      <c r="H1052" s="4">
        <v>45872</v>
      </c>
      <c r="I1052" s="5">
        <v>60</v>
      </c>
      <c r="J1052" s="5">
        <v>2</v>
      </c>
      <c r="K1052" s="5">
        <f t="shared" si="67"/>
        <v>0</v>
      </c>
      <c r="L1052" s="5">
        <v>1</v>
      </c>
      <c r="M1052" s="5">
        <v>1</v>
      </c>
      <c r="N1052" t="s">
        <v>9</v>
      </c>
      <c r="O1052" s="8">
        <v>20.827397260273973</v>
      </c>
      <c r="P1052" t="s">
        <v>32</v>
      </c>
      <c r="Q1052">
        <v>1</v>
      </c>
      <c r="R1052" s="2">
        <v>38210</v>
      </c>
    </row>
    <row r="1053" spans="1:18" x14ac:dyDescent="0.3">
      <c r="A1053" t="s">
        <v>7</v>
      </c>
      <c r="B1053">
        <v>18730232</v>
      </c>
      <c r="C1053" t="s">
        <v>8</v>
      </c>
      <c r="D1053" s="4">
        <v>45812</v>
      </c>
      <c r="E1053" s="11">
        <f t="shared" si="64"/>
        <v>2025</v>
      </c>
      <c r="F1053" s="11">
        <f t="shared" si="65"/>
        <v>6</v>
      </c>
      <c r="G1053" s="11" t="str">
        <f t="shared" si="66"/>
        <v>202506</v>
      </c>
      <c r="H1053" s="4">
        <v>46081</v>
      </c>
      <c r="I1053" s="5">
        <v>269</v>
      </c>
      <c r="J1053" s="5">
        <v>8.9666666666666668</v>
      </c>
      <c r="K1053" s="5">
        <f t="shared" si="67"/>
        <v>0</v>
      </c>
      <c r="L1053" s="5">
        <v>0</v>
      </c>
      <c r="M1053" s="5">
        <v>0</v>
      </c>
      <c r="N1053" t="s">
        <v>12</v>
      </c>
      <c r="O1053" s="8">
        <v>25.487671232876714</v>
      </c>
      <c r="P1053" t="s">
        <v>33</v>
      </c>
      <c r="Q1053">
        <v>2</v>
      </c>
      <c r="R1053" s="2">
        <v>36509</v>
      </c>
    </row>
    <row r="1054" spans="1:18" x14ac:dyDescent="0.3">
      <c r="A1054" t="s">
        <v>7</v>
      </c>
      <c r="B1054">
        <v>18730237</v>
      </c>
      <c r="C1054" t="s">
        <v>8</v>
      </c>
      <c r="D1054" s="4">
        <v>45812</v>
      </c>
      <c r="E1054" s="11">
        <f t="shared" si="64"/>
        <v>2025</v>
      </c>
      <c r="F1054" s="11">
        <f t="shared" si="65"/>
        <v>6</v>
      </c>
      <c r="G1054" s="11" t="str">
        <f t="shared" si="66"/>
        <v>202506</v>
      </c>
      <c r="H1054" s="4">
        <v>45842</v>
      </c>
      <c r="I1054" s="5">
        <v>30</v>
      </c>
      <c r="J1054" s="5">
        <v>1</v>
      </c>
      <c r="K1054" s="5">
        <f t="shared" si="67"/>
        <v>1</v>
      </c>
      <c r="L1054" s="5">
        <v>1</v>
      </c>
      <c r="M1054" s="5">
        <v>1</v>
      </c>
      <c r="N1054" t="s">
        <v>12</v>
      </c>
      <c r="O1054" s="8">
        <v>25.123287671232877</v>
      </c>
      <c r="P1054" t="s">
        <v>33</v>
      </c>
      <c r="Q1054">
        <v>2</v>
      </c>
      <c r="R1054" s="2">
        <v>36642</v>
      </c>
    </row>
    <row r="1055" spans="1:18" x14ac:dyDescent="0.3">
      <c r="A1055" t="s">
        <v>11</v>
      </c>
      <c r="B1055">
        <v>18730243</v>
      </c>
      <c r="C1055" t="s">
        <v>8</v>
      </c>
      <c r="D1055" s="4">
        <v>45812</v>
      </c>
      <c r="E1055" s="11">
        <f t="shared" si="64"/>
        <v>2025</v>
      </c>
      <c r="F1055" s="11">
        <f t="shared" si="65"/>
        <v>6</v>
      </c>
      <c r="G1055" s="11" t="str">
        <f t="shared" si="66"/>
        <v>202506</v>
      </c>
      <c r="H1055" s="4">
        <v>46022</v>
      </c>
      <c r="I1055" s="5">
        <v>210</v>
      </c>
      <c r="J1055" s="5">
        <v>7</v>
      </c>
      <c r="K1055" s="5">
        <f t="shared" si="67"/>
        <v>0</v>
      </c>
      <c r="L1055" s="5">
        <v>0</v>
      </c>
      <c r="M1055" s="5">
        <v>0</v>
      </c>
      <c r="N1055" t="s">
        <v>9</v>
      </c>
      <c r="O1055" s="8">
        <v>32.19178082191781</v>
      </c>
      <c r="P1055" t="s">
        <v>35</v>
      </c>
      <c r="Q1055">
        <v>4</v>
      </c>
      <c r="R1055" s="2">
        <v>34062</v>
      </c>
    </row>
    <row r="1056" spans="1:18" x14ac:dyDescent="0.3">
      <c r="A1056" t="s">
        <v>7</v>
      </c>
      <c r="B1056">
        <v>18730244</v>
      </c>
      <c r="C1056" t="s">
        <v>10</v>
      </c>
      <c r="D1056" s="4">
        <v>45812</v>
      </c>
      <c r="E1056" s="11">
        <f t="shared" si="64"/>
        <v>2025</v>
      </c>
      <c r="F1056" s="11">
        <f t="shared" si="65"/>
        <v>6</v>
      </c>
      <c r="G1056" s="11" t="str">
        <f t="shared" si="66"/>
        <v>202506</v>
      </c>
      <c r="I1056" s="5">
        <v>9999</v>
      </c>
      <c r="J1056" s="5">
        <v>333.3</v>
      </c>
      <c r="K1056" s="5">
        <f t="shared" si="67"/>
        <v>0</v>
      </c>
      <c r="L1056" s="5">
        <v>0</v>
      </c>
      <c r="M1056" s="5">
        <v>0</v>
      </c>
      <c r="N1056" t="s">
        <v>12</v>
      </c>
      <c r="O1056" s="8">
        <v>22.950684931506849</v>
      </c>
      <c r="P1056" t="s">
        <v>33</v>
      </c>
      <c r="Q1056">
        <v>2</v>
      </c>
      <c r="R1056" s="2">
        <v>37435</v>
      </c>
    </row>
    <row r="1057" spans="1:18" x14ac:dyDescent="0.3">
      <c r="A1057" t="s">
        <v>7</v>
      </c>
      <c r="B1057">
        <v>18730256</v>
      </c>
      <c r="C1057" t="s">
        <v>8</v>
      </c>
      <c r="D1057" s="4">
        <v>45812</v>
      </c>
      <c r="E1057" s="11">
        <f t="shared" si="64"/>
        <v>2025</v>
      </c>
      <c r="F1057" s="11">
        <f t="shared" si="65"/>
        <v>6</v>
      </c>
      <c r="G1057" s="11" t="str">
        <f t="shared" si="66"/>
        <v>202506</v>
      </c>
      <c r="I1057" s="5">
        <v>9999</v>
      </c>
      <c r="J1057" s="5">
        <v>333.3</v>
      </c>
      <c r="K1057" s="5">
        <f t="shared" si="67"/>
        <v>0</v>
      </c>
      <c r="L1057" s="5">
        <v>0</v>
      </c>
      <c r="M1057" s="5">
        <v>0</v>
      </c>
      <c r="N1057" t="s">
        <v>9</v>
      </c>
      <c r="O1057" s="8">
        <v>19.723287671232878</v>
      </c>
      <c r="P1057" t="s">
        <v>32</v>
      </c>
      <c r="Q1057">
        <v>1</v>
      </c>
      <c r="R1057" s="2">
        <v>38613</v>
      </c>
    </row>
    <row r="1058" spans="1:18" x14ac:dyDescent="0.3">
      <c r="A1058" t="s">
        <v>7</v>
      </c>
      <c r="B1058">
        <v>18730257</v>
      </c>
      <c r="C1058" t="s">
        <v>8</v>
      </c>
      <c r="D1058" s="4">
        <v>45812</v>
      </c>
      <c r="E1058" s="11">
        <f t="shared" si="64"/>
        <v>2025</v>
      </c>
      <c r="F1058" s="11">
        <f t="shared" si="65"/>
        <v>6</v>
      </c>
      <c r="G1058" s="11" t="str">
        <f t="shared" si="66"/>
        <v>202506</v>
      </c>
      <c r="I1058" s="5">
        <v>9999</v>
      </c>
      <c r="J1058" s="5">
        <v>333.3</v>
      </c>
      <c r="K1058" s="5">
        <f t="shared" si="67"/>
        <v>0</v>
      </c>
      <c r="L1058" s="5">
        <v>0</v>
      </c>
      <c r="M1058" s="5">
        <v>0</v>
      </c>
      <c r="N1058" t="s">
        <v>9</v>
      </c>
      <c r="O1058" s="8">
        <v>26.153424657534245</v>
      </c>
      <c r="P1058" t="s">
        <v>34</v>
      </c>
      <c r="Q1058">
        <v>3</v>
      </c>
      <c r="R1058" s="2">
        <v>36266</v>
      </c>
    </row>
    <row r="1059" spans="1:18" x14ac:dyDescent="0.3">
      <c r="A1059" t="s">
        <v>7</v>
      </c>
      <c r="B1059">
        <v>18730258</v>
      </c>
      <c r="C1059" t="s">
        <v>8</v>
      </c>
      <c r="D1059" s="4">
        <v>45812</v>
      </c>
      <c r="E1059" s="11">
        <f t="shared" si="64"/>
        <v>2025</v>
      </c>
      <c r="F1059" s="11">
        <f t="shared" si="65"/>
        <v>6</v>
      </c>
      <c r="G1059" s="11" t="str">
        <f t="shared" si="66"/>
        <v>202506</v>
      </c>
      <c r="H1059" s="4">
        <v>45994</v>
      </c>
      <c r="I1059" s="5">
        <v>182</v>
      </c>
      <c r="J1059" s="5">
        <v>6.0666666666666664</v>
      </c>
      <c r="K1059" s="5">
        <f t="shared" si="67"/>
        <v>0</v>
      </c>
      <c r="L1059" s="5">
        <v>0</v>
      </c>
      <c r="M1059" s="5">
        <v>0</v>
      </c>
      <c r="N1059" t="s">
        <v>9</v>
      </c>
      <c r="O1059" s="8">
        <v>20.758904109589039</v>
      </c>
      <c r="P1059" t="s">
        <v>32</v>
      </c>
      <c r="Q1059">
        <v>1</v>
      </c>
      <c r="R1059" s="2">
        <v>38235</v>
      </c>
    </row>
    <row r="1060" spans="1:18" x14ac:dyDescent="0.3">
      <c r="A1060" t="s">
        <v>7</v>
      </c>
      <c r="B1060">
        <v>18730302</v>
      </c>
      <c r="C1060" t="s">
        <v>8</v>
      </c>
      <c r="D1060" s="4">
        <v>45812</v>
      </c>
      <c r="E1060" s="11">
        <f t="shared" si="64"/>
        <v>2025</v>
      </c>
      <c r="F1060" s="11">
        <f t="shared" si="65"/>
        <v>6</v>
      </c>
      <c r="G1060" s="11" t="str">
        <f t="shared" si="66"/>
        <v>202506</v>
      </c>
      <c r="H1060" s="4">
        <v>46053</v>
      </c>
      <c r="I1060" s="5">
        <v>241</v>
      </c>
      <c r="J1060" s="5">
        <v>8.0333333333333332</v>
      </c>
      <c r="K1060" s="5">
        <f t="shared" si="67"/>
        <v>0</v>
      </c>
      <c r="L1060" s="5">
        <v>0</v>
      </c>
      <c r="M1060" s="5">
        <v>0</v>
      </c>
      <c r="N1060" t="s">
        <v>12</v>
      </c>
      <c r="O1060" s="8">
        <v>20.210958904109589</v>
      </c>
      <c r="P1060" t="s">
        <v>32</v>
      </c>
      <c r="Q1060">
        <v>1</v>
      </c>
      <c r="R1060" s="2">
        <v>38435</v>
      </c>
    </row>
    <row r="1061" spans="1:18" x14ac:dyDescent="0.3">
      <c r="A1061" t="s">
        <v>7</v>
      </c>
      <c r="B1061">
        <v>18730382</v>
      </c>
      <c r="C1061" t="s">
        <v>8</v>
      </c>
      <c r="D1061" s="4">
        <v>45812</v>
      </c>
      <c r="E1061" s="11">
        <f t="shared" si="64"/>
        <v>2025</v>
      </c>
      <c r="F1061" s="11">
        <f t="shared" si="65"/>
        <v>6</v>
      </c>
      <c r="G1061" s="11" t="str">
        <f t="shared" si="66"/>
        <v>202506</v>
      </c>
      <c r="I1061" s="5">
        <v>9999</v>
      </c>
      <c r="J1061" s="5">
        <v>333.3</v>
      </c>
      <c r="K1061" s="5">
        <f t="shared" si="67"/>
        <v>0</v>
      </c>
      <c r="L1061" s="5">
        <v>0</v>
      </c>
      <c r="M1061" s="5">
        <v>0</v>
      </c>
      <c r="N1061" t="s">
        <v>12</v>
      </c>
      <c r="O1061" s="8">
        <v>20.052054794520547</v>
      </c>
      <c r="P1061" t="s">
        <v>32</v>
      </c>
      <c r="Q1061">
        <v>1</v>
      </c>
      <c r="R1061" s="2">
        <v>38493</v>
      </c>
    </row>
    <row r="1062" spans="1:18" x14ac:dyDescent="0.3">
      <c r="A1062" t="s">
        <v>7</v>
      </c>
      <c r="B1062">
        <v>18732518</v>
      </c>
      <c r="C1062" t="s">
        <v>10</v>
      </c>
      <c r="D1062" s="4">
        <v>45813</v>
      </c>
      <c r="E1062" s="11">
        <f t="shared" si="64"/>
        <v>2025</v>
      </c>
      <c r="F1062" s="11">
        <f t="shared" si="65"/>
        <v>6</v>
      </c>
      <c r="G1062" s="11" t="str">
        <f t="shared" si="66"/>
        <v>202506</v>
      </c>
      <c r="H1062" s="4">
        <v>46156</v>
      </c>
      <c r="I1062" s="5">
        <v>343</v>
      </c>
      <c r="J1062" s="5">
        <v>11.433333333333334</v>
      </c>
      <c r="K1062" s="5">
        <f t="shared" si="67"/>
        <v>0</v>
      </c>
      <c r="L1062" s="5">
        <v>0</v>
      </c>
      <c r="M1062" s="5">
        <v>0</v>
      </c>
      <c r="N1062" t="s">
        <v>12</v>
      </c>
      <c r="O1062" s="8">
        <v>18.378082191780823</v>
      </c>
      <c r="P1062" t="s">
        <v>32</v>
      </c>
      <c r="Q1062">
        <v>1</v>
      </c>
      <c r="R1062" s="2">
        <v>39105</v>
      </c>
    </row>
    <row r="1063" spans="1:18" x14ac:dyDescent="0.3">
      <c r="A1063" t="s">
        <v>7</v>
      </c>
      <c r="B1063">
        <v>18732519</v>
      </c>
      <c r="C1063" t="s">
        <v>8</v>
      </c>
      <c r="D1063" s="4">
        <v>45813</v>
      </c>
      <c r="E1063" s="11">
        <f t="shared" si="64"/>
        <v>2025</v>
      </c>
      <c r="F1063" s="11">
        <f t="shared" si="65"/>
        <v>6</v>
      </c>
      <c r="G1063" s="11" t="str">
        <f t="shared" si="66"/>
        <v>202506</v>
      </c>
      <c r="I1063" s="5">
        <v>9999</v>
      </c>
      <c r="J1063" s="5">
        <v>333.3</v>
      </c>
      <c r="K1063" s="5">
        <f t="shared" si="67"/>
        <v>0</v>
      </c>
      <c r="L1063" s="5">
        <v>0</v>
      </c>
      <c r="M1063" s="5">
        <v>0</v>
      </c>
      <c r="N1063" t="s">
        <v>12</v>
      </c>
      <c r="O1063" s="8">
        <v>24.969863013698632</v>
      </c>
      <c r="P1063" t="s">
        <v>33</v>
      </c>
      <c r="Q1063">
        <v>2</v>
      </c>
      <c r="R1063" s="2">
        <v>36699</v>
      </c>
    </row>
    <row r="1064" spans="1:18" x14ac:dyDescent="0.3">
      <c r="A1064" t="s">
        <v>7</v>
      </c>
      <c r="B1064">
        <v>18734246</v>
      </c>
      <c r="C1064" t="s">
        <v>8</v>
      </c>
      <c r="D1064" s="4">
        <v>45814</v>
      </c>
      <c r="E1064" s="11">
        <f t="shared" si="64"/>
        <v>2025</v>
      </c>
      <c r="F1064" s="11">
        <f t="shared" si="65"/>
        <v>6</v>
      </c>
      <c r="G1064" s="11" t="str">
        <f t="shared" si="66"/>
        <v>202506</v>
      </c>
      <c r="I1064" s="5">
        <v>9999</v>
      </c>
      <c r="J1064" s="5">
        <v>333.3</v>
      </c>
      <c r="K1064" s="5">
        <f t="shared" si="67"/>
        <v>0</v>
      </c>
      <c r="L1064" s="5">
        <v>0</v>
      </c>
      <c r="M1064" s="5">
        <v>0</v>
      </c>
      <c r="N1064" t="s">
        <v>12</v>
      </c>
      <c r="O1064" s="8">
        <v>26.632876712328766</v>
      </c>
      <c r="P1064" t="s">
        <v>34</v>
      </c>
      <c r="Q1064">
        <v>3</v>
      </c>
      <c r="R1064" s="2">
        <v>36093</v>
      </c>
    </row>
    <row r="1065" spans="1:18" x14ac:dyDescent="0.3">
      <c r="A1065" t="s">
        <v>7</v>
      </c>
      <c r="B1065">
        <v>18734297</v>
      </c>
      <c r="C1065" t="s">
        <v>10</v>
      </c>
      <c r="D1065" s="4">
        <v>45814</v>
      </c>
      <c r="E1065" s="11">
        <f t="shared" si="64"/>
        <v>2025</v>
      </c>
      <c r="F1065" s="11">
        <f t="shared" si="65"/>
        <v>6</v>
      </c>
      <c r="G1065" s="11" t="str">
        <f t="shared" si="66"/>
        <v>202506</v>
      </c>
      <c r="H1065" s="4">
        <v>45931</v>
      </c>
      <c r="I1065" s="5">
        <v>117</v>
      </c>
      <c r="J1065" s="5">
        <v>3.9</v>
      </c>
      <c r="K1065" s="5">
        <f t="shared" si="67"/>
        <v>0</v>
      </c>
      <c r="L1065" s="5">
        <v>0</v>
      </c>
      <c r="M1065" s="5">
        <v>1</v>
      </c>
      <c r="N1065" t="s">
        <v>9</v>
      </c>
      <c r="O1065" s="8">
        <v>20.980821917808218</v>
      </c>
      <c r="P1065" t="s">
        <v>32</v>
      </c>
      <c r="Q1065">
        <v>1</v>
      </c>
      <c r="R1065" s="2">
        <v>38156</v>
      </c>
    </row>
    <row r="1066" spans="1:18" x14ac:dyDescent="0.3">
      <c r="A1066" t="s">
        <v>7</v>
      </c>
      <c r="B1066">
        <v>18740938</v>
      </c>
      <c r="C1066" t="s">
        <v>8</v>
      </c>
      <c r="D1066" s="4">
        <v>45817</v>
      </c>
      <c r="E1066" s="11">
        <f t="shared" si="64"/>
        <v>2025</v>
      </c>
      <c r="F1066" s="11">
        <f t="shared" si="65"/>
        <v>6</v>
      </c>
      <c r="G1066" s="11" t="str">
        <f t="shared" si="66"/>
        <v>202506</v>
      </c>
      <c r="I1066" s="5">
        <v>9999</v>
      </c>
      <c r="J1066" s="5">
        <v>333.3</v>
      </c>
      <c r="K1066" s="5">
        <f t="shared" si="67"/>
        <v>0</v>
      </c>
      <c r="L1066" s="5">
        <v>0</v>
      </c>
      <c r="M1066" s="5">
        <v>0</v>
      </c>
      <c r="N1066" t="s">
        <v>12</v>
      </c>
      <c r="O1066" s="8">
        <v>20.736986301369864</v>
      </c>
      <c r="P1066" t="s">
        <v>32</v>
      </c>
      <c r="Q1066">
        <v>1</v>
      </c>
      <c r="R1066" s="2">
        <v>38248</v>
      </c>
    </row>
    <row r="1067" spans="1:18" x14ac:dyDescent="0.3">
      <c r="A1067" t="s">
        <v>7</v>
      </c>
      <c r="B1067">
        <v>18741133</v>
      </c>
      <c r="C1067" t="s">
        <v>10</v>
      </c>
      <c r="D1067" s="4">
        <v>45817</v>
      </c>
      <c r="E1067" s="11">
        <f t="shared" si="64"/>
        <v>2025</v>
      </c>
      <c r="F1067" s="11">
        <f t="shared" si="65"/>
        <v>6</v>
      </c>
      <c r="G1067" s="11" t="str">
        <f t="shared" si="66"/>
        <v>202506</v>
      </c>
      <c r="H1067" s="4">
        <v>45949</v>
      </c>
      <c r="I1067" s="5">
        <v>132</v>
      </c>
      <c r="J1067" s="5">
        <v>4.4000000000000004</v>
      </c>
      <c r="K1067" s="5">
        <f t="shared" si="67"/>
        <v>0</v>
      </c>
      <c r="L1067" s="5">
        <v>0</v>
      </c>
      <c r="M1067" s="5">
        <v>1</v>
      </c>
      <c r="N1067" t="s">
        <v>9</v>
      </c>
      <c r="O1067" s="8">
        <v>18.087671232876712</v>
      </c>
      <c r="P1067" t="s">
        <v>32</v>
      </c>
      <c r="Q1067">
        <v>1</v>
      </c>
      <c r="R1067" s="2">
        <v>39215</v>
      </c>
    </row>
    <row r="1068" spans="1:18" x14ac:dyDescent="0.3">
      <c r="A1068" t="s">
        <v>7</v>
      </c>
      <c r="B1068">
        <v>18741135</v>
      </c>
      <c r="C1068" t="s">
        <v>10</v>
      </c>
      <c r="D1068" s="4">
        <v>45817</v>
      </c>
      <c r="E1068" s="11">
        <f t="shared" si="64"/>
        <v>2025</v>
      </c>
      <c r="F1068" s="11">
        <f t="shared" si="65"/>
        <v>6</v>
      </c>
      <c r="G1068" s="11" t="str">
        <f t="shared" si="66"/>
        <v>202506</v>
      </c>
      <c r="I1068" s="5">
        <v>9999</v>
      </c>
      <c r="J1068" s="5">
        <v>333.3</v>
      </c>
      <c r="K1068" s="5">
        <f t="shared" si="67"/>
        <v>0</v>
      </c>
      <c r="L1068" s="5">
        <v>0</v>
      </c>
      <c r="M1068" s="5">
        <v>0</v>
      </c>
      <c r="N1068" t="s">
        <v>9</v>
      </c>
      <c r="O1068" s="8">
        <v>18.164383561643834</v>
      </c>
      <c r="P1068" t="s">
        <v>32</v>
      </c>
      <c r="Q1068">
        <v>1</v>
      </c>
      <c r="R1068" s="2">
        <v>39187</v>
      </c>
    </row>
    <row r="1069" spans="1:18" x14ac:dyDescent="0.3">
      <c r="A1069" t="s">
        <v>7</v>
      </c>
      <c r="B1069">
        <v>18742018</v>
      </c>
      <c r="C1069" t="s">
        <v>8</v>
      </c>
      <c r="D1069" s="4">
        <v>45817</v>
      </c>
      <c r="E1069" s="11">
        <f t="shared" si="64"/>
        <v>2025</v>
      </c>
      <c r="F1069" s="11">
        <f t="shared" si="65"/>
        <v>6</v>
      </c>
      <c r="G1069" s="11" t="str">
        <f t="shared" si="66"/>
        <v>202506</v>
      </c>
      <c r="I1069" s="5">
        <v>9999</v>
      </c>
      <c r="J1069" s="5">
        <v>333.3</v>
      </c>
      <c r="K1069" s="5">
        <f t="shared" si="67"/>
        <v>0</v>
      </c>
      <c r="L1069" s="5">
        <v>0</v>
      </c>
      <c r="M1069" s="5">
        <v>0</v>
      </c>
      <c r="N1069" t="s">
        <v>12</v>
      </c>
      <c r="O1069" s="8">
        <v>19.041095890410958</v>
      </c>
      <c r="P1069" t="s">
        <v>32</v>
      </c>
      <c r="Q1069">
        <v>1</v>
      </c>
      <c r="R1069" s="2">
        <v>38867</v>
      </c>
    </row>
    <row r="1070" spans="1:18" x14ac:dyDescent="0.3">
      <c r="A1070" t="s">
        <v>7</v>
      </c>
      <c r="B1070">
        <v>18743476</v>
      </c>
      <c r="C1070" t="s">
        <v>8</v>
      </c>
      <c r="D1070" s="4">
        <v>45818</v>
      </c>
      <c r="E1070" s="11">
        <f t="shared" si="64"/>
        <v>2025</v>
      </c>
      <c r="F1070" s="11">
        <f t="shared" si="65"/>
        <v>6</v>
      </c>
      <c r="G1070" s="11" t="str">
        <f t="shared" si="66"/>
        <v>202506</v>
      </c>
      <c r="H1070" s="4">
        <v>46058</v>
      </c>
      <c r="I1070" s="5">
        <v>240</v>
      </c>
      <c r="J1070" s="5">
        <v>8</v>
      </c>
      <c r="K1070" s="5">
        <f t="shared" si="67"/>
        <v>0</v>
      </c>
      <c r="L1070" s="5">
        <v>0</v>
      </c>
      <c r="M1070" s="5">
        <v>0</v>
      </c>
      <c r="N1070" t="s">
        <v>12</v>
      </c>
      <c r="O1070" s="8">
        <v>27.775342465753425</v>
      </c>
      <c r="P1070" t="s">
        <v>34</v>
      </c>
      <c r="Q1070">
        <v>3</v>
      </c>
      <c r="R1070" s="2">
        <v>35680</v>
      </c>
    </row>
    <row r="1071" spans="1:18" x14ac:dyDescent="0.3">
      <c r="A1071" t="s">
        <v>7</v>
      </c>
      <c r="B1071">
        <v>18748567</v>
      </c>
      <c r="C1071" t="s">
        <v>8</v>
      </c>
      <c r="D1071" s="4">
        <v>45820</v>
      </c>
      <c r="E1071" s="11">
        <f t="shared" si="64"/>
        <v>2025</v>
      </c>
      <c r="F1071" s="11">
        <f t="shared" si="65"/>
        <v>6</v>
      </c>
      <c r="G1071" s="11" t="str">
        <f t="shared" si="66"/>
        <v>202506</v>
      </c>
      <c r="H1071" s="4">
        <v>46113</v>
      </c>
      <c r="I1071" s="5">
        <v>293</v>
      </c>
      <c r="J1071" s="5">
        <v>9.7666666666666675</v>
      </c>
      <c r="K1071" s="5">
        <f t="shared" si="67"/>
        <v>0</v>
      </c>
      <c r="L1071" s="5">
        <v>0</v>
      </c>
      <c r="M1071" s="5">
        <v>0</v>
      </c>
      <c r="N1071" t="s">
        <v>12</v>
      </c>
      <c r="O1071" s="8">
        <v>20.632876712328766</v>
      </c>
      <c r="P1071" t="s">
        <v>32</v>
      </c>
      <c r="Q1071">
        <v>1</v>
      </c>
      <c r="R1071" s="2">
        <v>38289</v>
      </c>
    </row>
    <row r="1072" spans="1:18" x14ac:dyDescent="0.3">
      <c r="A1072" t="s">
        <v>7</v>
      </c>
      <c r="B1072">
        <v>18750470</v>
      </c>
      <c r="C1072" t="s">
        <v>8</v>
      </c>
      <c r="D1072" s="4">
        <v>45821</v>
      </c>
      <c r="E1072" s="11">
        <f t="shared" si="64"/>
        <v>2025</v>
      </c>
      <c r="F1072" s="11">
        <f t="shared" si="65"/>
        <v>6</v>
      </c>
      <c r="G1072" s="11" t="str">
        <f t="shared" si="66"/>
        <v>202506</v>
      </c>
      <c r="I1072" s="5">
        <v>9999</v>
      </c>
      <c r="J1072" s="5">
        <v>333.3</v>
      </c>
      <c r="K1072" s="5">
        <f t="shared" si="67"/>
        <v>0</v>
      </c>
      <c r="L1072" s="5">
        <v>0</v>
      </c>
      <c r="M1072" s="5">
        <v>0</v>
      </c>
      <c r="N1072" t="s">
        <v>12</v>
      </c>
      <c r="O1072" s="8">
        <v>19.553424657534247</v>
      </c>
      <c r="P1072" t="s">
        <v>32</v>
      </c>
      <c r="Q1072">
        <v>1</v>
      </c>
      <c r="R1072" s="2">
        <v>38684</v>
      </c>
    </row>
    <row r="1073" spans="1:18" x14ac:dyDescent="0.3">
      <c r="A1073" t="s">
        <v>7</v>
      </c>
      <c r="B1073">
        <v>18757220</v>
      </c>
      <c r="C1073" t="s">
        <v>8</v>
      </c>
      <c r="D1073" s="4">
        <v>46153</v>
      </c>
      <c r="E1073" s="11">
        <f t="shared" si="64"/>
        <v>2026</v>
      </c>
      <c r="F1073" s="11">
        <f t="shared" si="65"/>
        <v>5</v>
      </c>
      <c r="G1073" s="11" t="str">
        <f t="shared" si="66"/>
        <v>202605</v>
      </c>
      <c r="I1073" s="5">
        <v>9999</v>
      </c>
      <c r="J1073" s="5">
        <v>333.3</v>
      </c>
      <c r="K1073" s="5">
        <f t="shared" si="67"/>
        <v>0</v>
      </c>
      <c r="L1073" s="5">
        <v>0</v>
      </c>
      <c r="M1073" s="5">
        <v>0</v>
      </c>
      <c r="N1073" t="s">
        <v>12</v>
      </c>
      <c r="O1073" s="8">
        <v>21.534246575342465</v>
      </c>
      <c r="P1073" t="s">
        <v>33</v>
      </c>
      <c r="Q1073">
        <v>2</v>
      </c>
      <c r="R1073" s="2">
        <v>38293</v>
      </c>
    </row>
    <row r="1074" spans="1:18" x14ac:dyDescent="0.3">
      <c r="A1074" t="s">
        <v>7</v>
      </c>
      <c r="B1074">
        <v>18764109</v>
      </c>
      <c r="C1074" t="s">
        <v>8</v>
      </c>
      <c r="D1074" s="4">
        <v>45825</v>
      </c>
      <c r="E1074" s="11">
        <f t="shared" si="64"/>
        <v>2025</v>
      </c>
      <c r="F1074" s="11">
        <f t="shared" si="65"/>
        <v>6</v>
      </c>
      <c r="G1074" s="11" t="str">
        <f t="shared" si="66"/>
        <v>202506</v>
      </c>
      <c r="H1074" s="4">
        <v>45884</v>
      </c>
      <c r="I1074" s="5">
        <v>59</v>
      </c>
      <c r="J1074" s="5">
        <v>1.9666666666666666</v>
      </c>
      <c r="K1074" s="5">
        <f t="shared" si="67"/>
        <v>0</v>
      </c>
      <c r="L1074" s="5">
        <v>1</v>
      </c>
      <c r="M1074" s="5">
        <v>1</v>
      </c>
      <c r="N1074" t="s">
        <v>12</v>
      </c>
      <c r="O1074" s="8">
        <v>18.405479452054795</v>
      </c>
      <c r="P1074" t="s">
        <v>32</v>
      </c>
      <c r="Q1074">
        <v>1</v>
      </c>
      <c r="R1074" s="2">
        <v>39107</v>
      </c>
    </row>
    <row r="1075" spans="1:18" x14ac:dyDescent="0.3">
      <c r="A1075" t="s">
        <v>7</v>
      </c>
      <c r="B1075">
        <v>18764732</v>
      </c>
      <c r="C1075" t="s">
        <v>10</v>
      </c>
      <c r="D1075" s="4">
        <v>45853</v>
      </c>
      <c r="E1075" s="11">
        <f t="shared" si="64"/>
        <v>2025</v>
      </c>
      <c r="F1075" s="11">
        <f t="shared" si="65"/>
        <v>7</v>
      </c>
      <c r="G1075" s="11" t="str">
        <f t="shared" si="66"/>
        <v>202507</v>
      </c>
      <c r="I1075" s="5">
        <v>9999</v>
      </c>
      <c r="J1075" s="5">
        <v>333.3</v>
      </c>
      <c r="K1075" s="5">
        <f t="shared" si="67"/>
        <v>0</v>
      </c>
      <c r="L1075" s="5">
        <v>0</v>
      </c>
      <c r="M1075" s="5">
        <v>0</v>
      </c>
      <c r="N1075" t="s">
        <v>9</v>
      </c>
      <c r="O1075" s="8">
        <v>19.616438356164384</v>
      </c>
      <c r="P1075" t="s">
        <v>32</v>
      </c>
      <c r="Q1075">
        <v>1</v>
      </c>
      <c r="R1075" s="2">
        <v>38693</v>
      </c>
    </row>
    <row r="1076" spans="1:18" x14ac:dyDescent="0.3">
      <c r="A1076" t="s">
        <v>7</v>
      </c>
      <c r="B1076">
        <v>18774154</v>
      </c>
      <c r="C1076" t="s">
        <v>8</v>
      </c>
      <c r="D1076" s="4">
        <v>45826</v>
      </c>
      <c r="E1076" s="11">
        <f t="shared" si="64"/>
        <v>2025</v>
      </c>
      <c r="F1076" s="11">
        <f t="shared" si="65"/>
        <v>6</v>
      </c>
      <c r="G1076" s="11" t="str">
        <f t="shared" si="66"/>
        <v>202506</v>
      </c>
      <c r="H1076" s="4">
        <v>45839</v>
      </c>
      <c r="I1076" s="5">
        <v>13</v>
      </c>
      <c r="J1076" s="5">
        <v>0.43333333333333335</v>
      </c>
      <c r="K1076" s="5">
        <f t="shared" si="67"/>
        <v>1</v>
      </c>
      <c r="L1076" s="5">
        <v>1</v>
      </c>
      <c r="M1076" s="5">
        <v>1</v>
      </c>
      <c r="N1076" t="s">
        <v>9</v>
      </c>
      <c r="O1076" s="8">
        <v>36.821917808219176</v>
      </c>
      <c r="P1076" t="s">
        <v>35</v>
      </c>
      <c r="Q1076">
        <v>4</v>
      </c>
      <c r="R1076" s="2">
        <v>32386</v>
      </c>
    </row>
    <row r="1077" spans="1:18" x14ac:dyDescent="0.3">
      <c r="A1077" t="s">
        <v>7</v>
      </c>
      <c r="B1077">
        <v>18778161</v>
      </c>
      <c r="C1077" t="s">
        <v>10</v>
      </c>
      <c r="D1077" s="4">
        <v>45827</v>
      </c>
      <c r="E1077" s="11">
        <f t="shared" si="64"/>
        <v>2025</v>
      </c>
      <c r="F1077" s="11">
        <f t="shared" si="65"/>
        <v>6</v>
      </c>
      <c r="G1077" s="11" t="str">
        <f t="shared" si="66"/>
        <v>202506</v>
      </c>
      <c r="H1077" s="4">
        <v>45979</v>
      </c>
      <c r="I1077" s="5">
        <v>152</v>
      </c>
      <c r="J1077" s="5">
        <v>5.0666666666666664</v>
      </c>
      <c r="K1077" s="5">
        <f t="shared" si="67"/>
        <v>0</v>
      </c>
      <c r="L1077" s="5">
        <v>0</v>
      </c>
      <c r="M1077" s="5">
        <v>1</v>
      </c>
      <c r="N1077" t="s">
        <v>9</v>
      </c>
      <c r="O1077" s="8">
        <v>19.364383561643837</v>
      </c>
      <c r="P1077" t="s">
        <v>32</v>
      </c>
      <c r="Q1077">
        <v>1</v>
      </c>
      <c r="R1077" s="2">
        <v>38759</v>
      </c>
    </row>
    <row r="1078" spans="1:18" x14ac:dyDescent="0.3">
      <c r="A1078" t="s">
        <v>7</v>
      </c>
      <c r="B1078">
        <v>18785883</v>
      </c>
      <c r="C1078" t="s">
        <v>8</v>
      </c>
      <c r="D1078" s="4">
        <v>45992</v>
      </c>
      <c r="E1078" s="11">
        <f t="shared" si="64"/>
        <v>2025</v>
      </c>
      <c r="F1078" s="11">
        <f t="shared" si="65"/>
        <v>12</v>
      </c>
      <c r="G1078" s="11" t="str">
        <f t="shared" si="66"/>
        <v>202512</v>
      </c>
      <c r="H1078" s="4">
        <v>46155</v>
      </c>
      <c r="I1078" s="5">
        <v>163</v>
      </c>
      <c r="J1078" s="5">
        <v>5.4333333333333336</v>
      </c>
      <c r="K1078" s="5">
        <f t="shared" si="67"/>
        <v>0</v>
      </c>
      <c r="L1078" s="5">
        <v>0</v>
      </c>
      <c r="M1078" s="5">
        <v>1</v>
      </c>
      <c r="N1078" t="s">
        <v>12</v>
      </c>
      <c r="O1078" s="8">
        <v>20.978082191780821</v>
      </c>
      <c r="P1078" t="s">
        <v>32</v>
      </c>
      <c r="Q1078">
        <v>1</v>
      </c>
      <c r="R1078" s="2">
        <v>38335</v>
      </c>
    </row>
    <row r="1079" spans="1:18" x14ac:dyDescent="0.3">
      <c r="A1079" t="s">
        <v>7</v>
      </c>
      <c r="B1079">
        <v>18787470</v>
      </c>
      <c r="C1079" t="s">
        <v>8</v>
      </c>
      <c r="D1079" s="4">
        <v>45832</v>
      </c>
      <c r="E1079" s="11">
        <f t="shared" si="64"/>
        <v>2025</v>
      </c>
      <c r="F1079" s="11">
        <f t="shared" si="65"/>
        <v>6</v>
      </c>
      <c r="G1079" s="11" t="str">
        <f t="shared" si="66"/>
        <v>202506</v>
      </c>
      <c r="H1079" s="4">
        <v>45839</v>
      </c>
      <c r="I1079" s="5">
        <v>7</v>
      </c>
      <c r="J1079" s="5">
        <v>0.23333333333333334</v>
      </c>
      <c r="K1079" s="5">
        <f t="shared" si="67"/>
        <v>1</v>
      </c>
      <c r="L1079" s="5">
        <v>1</v>
      </c>
      <c r="M1079" s="5">
        <v>1</v>
      </c>
      <c r="N1079" t="s">
        <v>12</v>
      </c>
      <c r="O1079" s="8">
        <v>22.167123287671235</v>
      </c>
      <c r="P1079" t="s">
        <v>33</v>
      </c>
      <c r="Q1079">
        <v>2</v>
      </c>
      <c r="R1079" s="2">
        <v>37741</v>
      </c>
    </row>
    <row r="1080" spans="1:18" x14ac:dyDescent="0.3">
      <c r="A1080" t="s">
        <v>7</v>
      </c>
      <c r="B1080">
        <v>18787548</v>
      </c>
      <c r="C1080" t="s">
        <v>8</v>
      </c>
      <c r="D1080" s="4">
        <v>45832</v>
      </c>
      <c r="E1080" s="11">
        <f t="shared" si="64"/>
        <v>2025</v>
      </c>
      <c r="F1080" s="11">
        <f t="shared" si="65"/>
        <v>6</v>
      </c>
      <c r="G1080" s="11" t="str">
        <f t="shared" si="66"/>
        <v>202506</v>
      </c>
      <c r="H1080" s="4">
        <v>45870</v>
      </c>
      <c r="I1080" s="5">
        <v>38</v>
      </c>
      <c r="J1080" s="5">
        <v>1.2666666666666666</v>
      </c>
      <c r="K1080" s="5">
        <f t="shared" si="67"/>
        <v>0</v>
      </c>
      <c r="L1080" s="5">
        <v>1</v>
      </c>
      <c r="M1080" s="5">
        <v>1</v>
      </c>
      <c r="N1080" t="s">
        <v>9</v>
      </c>
      <c r="O1080" s="8">
        <v>30.895890410958906</v>
      </c>
      <c r="P1080" t="s">
        <v>34</v>
      </c>
      <c r="Q1080">
        <v>3</v>
      </c>
      <c r="R1080" s="2">
        <v>34555</v>
      </c>
    </row>
    <row r="1081" spans="1:18" x14ac:dyDescent="0.3">
      <c r="A1081" t="s">
        <v>7</v>
      </c>
      <c r="B1081">
        <v>18787707</v>
      </c>
      <c r="C1081" t="s">
        <v>10</v>
      </c>
      <c r="D1081" s="4">
        <v>45832</v>
      </c>
      <c r="E1081" s="11">
        <f t="shared" si="64"/>
        <v>2025</v>
      </c>
      <c r="F1081" s="11">
        <f t="shared" si="65"/>
        <v>6</v>
      </c>
      <c r="G1081" s="11" t="str">
        <f t="shared" si="66"/>
        <v>202506</v>
      </c>
      <c r="I1081" s="5">
        <v>9999</v>
      </c>
      <c r="J1081" s="5">
        <v>333.3</v>
      </c>
      <c r="K1081" s="5">
        <f t="shared" si="67"/>
        <v>0</v>
      </c>
      <c r="L1081" s="5">
        <v>0</v>
      </c>
      <c r="M1081" s="5">
        <v>0</v>
      </c>
      <c r="N1081" t="s">
        <v>9</v>
      </c>
      <c r="O1081" s="8">
        <v>20.301369863013697</v>
      </c>
      <c r="P1081" t="s">
        <v>32</v>
      </c>
      <c r="Q1081">
        <v>1</v>
      </c>
      <c r="R1081" s="2">
        <v>38422</v>
      </c>
    </row>
    <row r="1082" spans="1:18" x14ac:dyDescent="0.3">
      <c r="A1082" t="s">
        <v>7</v>
      </c>
      <c r="B1082">
        <v>18789310</v>
      </c>
      <c r="C1082" t="s">
        <v>10</v>
      </c>
      <c r="D1082" s="4">
        <v>45833</v>
      </c>
      <c r="E1082" s="11">
        <f t="shared" si="64"/>
        <v>2025</v>
      </c>
      <c r="F1082" s="11">
        <f t="shared" si="65"/>
        <v>6</v>
      </c>
      <c r="G1082" s="11" t="str">
        <f t="shared" si="66"/>
        <v>202506</v>
      </c>
      <c r="H1082" s="4">
        <v>46009</v>
      </c>
      <c r="I1082" s="5">
        <v>176</v>
      </c>
      <c r="J1082" s="5">
        <v>5.8666666666666663</v>
      </c>
      <c r="K1082" s="5">
        <f t="shared" si="67"/>
        <v>0</v>
      </c>
      <c r="L1082" s="5">
        <v>0</v>
      </c>
      <c r="M1082" s="5">
        <v>1</v>
      </c>
      <c r="N1082" t="s">
        <v>9</v>
      </c>
      <c r="O1082" s="8">
        <v>18.421917808219177</v>
      </c>
      <c r="P1082" t="s">
        <v>32</v>
      </c>
      <c r="Q1082">
        <v>1</v>
      </c>
      <c r="R1082" s="2">
        <v>39109</v>
      </c>
    </row>
    <row r="1083" spans="1:18" x14ac:dyDescent="0.3">
      <c r="A1083" t="s">
        <v>7</v>
      </c>
      <c r="B1083">
        <v>18789311</v>
      </c>
      <c r="C1083" t="s">
        <v>8</v>
      </c>
      <c r="D1083" s="4">
        <v>45833</v>
      </c>
      <c r="E1083" s="11">
        <f t="shared" si="64"/>
        <v>2025</v>
      </c>
      <c r="F1083" s="11">
        <f t="shared" si="65"/>
        <v>6</v>
      </c>
      <c r="G1083" s="11" t="str">
        <f t="shared" si="66"/>
        <v>202506</v>
      </c>
      <c r="H1083" s="4">
        <v>45869</v>
      </c>
      <c r="I1083" s="5">
        <v>36</v>
      </c>
      <c r="J1083" s="5">
        <v>1.2</v>
      </c>
      <c r="K1083" s="5">
        <f t="shared" si="67"/>
        <v>0</v>
      </c>
      <c r="L1083" s="5">
        <v>1</v>
      </c>
      <c r="M1083" s="5">
        <v>1</v>
      </c>
      <c r="N1083" t="s">
        <v>9</v>
      </c>
      <c r="O1083" s="8">
        <v>41.6</v>
      </c>
      <c r="P1083" t="s">
        <v>35</v>
      </c>
      <c r="Q1083">
        <v>4</v>
      </c>
      <c r="R1083" s="2">
        <v>30649</v>
      </c>
    </row>
    <row r="1084" spans="1:18" x14ac:dyDescent="0.3">
      <c r="A1084" t="s">
        <v>7</v>
      </c>
      <c r="B1084">
        <v>18789316</v>
      </c>
      <c r="C1084" t="s">
        <v>8</v>
      </c>
      <c r="D1084" s="4">
        <v>45833</v>
      </c>
      <c r="E1084" s="11">
        <f t="shared" si="64"/>
        <v>2025</v>
      </c>
      <c r="F1084" s="11">
        <f t="shared" si="65"/>
        <v>6</v>
      </c>
      <c r="G1084" s="11" t="str">
        <f t="shared" si="66"/>
        <v>202506</v>
      </c>
      <c r="H1084" s="4">
        <v>45976</v>
      </c>
      <c r="I1084" s="5">
        <v>143</v>
      </c>
      <c r="J1084" s="5">
        <v>4.7666666666666666</v>
      </c>
      <c r="K1084" s="5">
        <f t="shared" si="67"/>
        <v>0</v>
      </c>
      <c r="L1084" s="5">
        <v>0</v>
      </c>
      <c r="M1084" s="5">
        <v>1</v>
      </c>
      <c r="N1084" t="s">
        <v>9</v>
      </c>
      <c r="O1084" s="8">
        <v>26.43013698630137</v>
      </c>
      <c r="P1084" t="s">
        <v>34</v>
      </c>
      <c r="Q1084">
        <v>3</v>
      </c>
      <c r="R1084" s="2">
        <v>36186</v>
      </c>
    </row>
    <row r="1085" spans="1:18" x14ac:dyDescent="0.3">
      <c r="A1085" t="s">
        <v>7</v>
      </c>
      <c r="B1085">
        <v>18789329</v>
      </c>
      <c r="C1085" t="s">
        <v>10</v>
      </c>
      <c r="D1085" s="4">
        <v>45833</v>
      </c>
      <c r="E1085" s="11">
        <f t="shared" si="64"/>
        <v>2025</v>
      </c>
      <c r="F1085" s="11">
        <f t="shared" si="65"/>
        <v>6</v>
      </c>
      <c r="G1085" s="11" t="str">
        <f t="shared" si="66"/>
        <v>202506</v>
      </c>
      <c r="I1085" s="5">
        <v>9999</v>
      </c>
      <c r="J1085" s="5">
        <v>333.3</v>
      </c>
      <c r="K1085" s="5">
        <f t="shared" si="67"/>
        <v>0</v>
      </c>
      <c r="L1085" s="5">
        <v>0</v>
      </c>
      <c r="M1085" s="5">
        <v>0</v>
      </c>
      <c r="N1085" t="s">
        <v>9</v>
      </c>
      <c r="O1085" s="8">
        <v>19.873972602739727</v>
      </c>
      <c r="P1085" t="s">
        <v>32</v>
      </c>
      <c r="Q1085">
        <v>1</v>
      </c>
      <c r="R1085" s="2">
        <v>38579</v>
      </c>
    </row>
    <row r="1086" spans="1:18" x14ac:dyDescent="0.3">
      <c r="A1086" t="s">
        <v>7</v>
      </c>
      <c r="B1086">
        <v>18789330</v>
      </c>
      <c r="C1086" t="s">
        <v>8</v>
      </c>
      <c r="D1086" s="4">
        <v>45833</v>
      </c>
      <c r="E1086" s="11">
        <f t="shared" si="64"/>
        <v>2025</v>
      </c>
      <c r="F1086" s="11">
        <f t="shared" si="65"/>
        <v>6</v>
      </c>
      <c r="G1086" s="11" t="str">
        <f t="shared" si="66"/>
        <v>202506</v>
      </c>
      <c r="H1086" s="4">
        <v>45903</v>
      </c>
      <c r="I1086" s="5">
        <v>70</v>
      </c>
      <c r="J1086" s="5">
        <v>2.3333333333333335</v>
      </c>
      <c r="K1086" s="5">
        <f t="shared" si="67"/>
        <v>0</v>
      </c>
      <c r="L1086" s="5">
        <v>1</v>
      </c>
      <c r="M1086" s="5">
        <v>1</v>
      </c>
      <c r="N1086" t="s">
        <v>9</v>
      </c>
      <c r="O1086" s="8">
        <v>19.641095890410959</v>
      </c>
      <c r="P1086" t="s">
        <v>32</v>
      </c>
      <c r="Q1086">
        <v>1</v>
      </c>
      <c r="R1086" s="2">
        <v>38664</v>
      </c>
    </row>
    <row r="1087" spans="1:18" x14ac:dyDescent="0.3">
      <c r="A1087" t="s">
        <v>7</v>
      </c>
      <c r="B1087">
        <v>18789356</v>
      </c>
      <c r="C1087" t="s">
        <v>8</v>
      </c>
      <c r="D1087" s="4">
        <v>45833</v>
      </c>
      <c r="E1087" s="11">
        <f t="shared" si="64"/>
        <v>2025</v>
      </c>
      <c r="F1087" s="11">
        <f t="shared" si="65"/>
        <v>6</v>
      </c>
      <c r="G1087" s="11" t="str">
        <f t="shared" si="66"/>
        <v>202506</v>
      </c>
      <c r="H1087" s="4">
        <v>45991</v>
      </c>
      <c r="I1087" s="5">
        <v>158</v>
      </c>
      <c r="J1087" s="5">
        <v>5.2666666666666666</v>
      </c>
      <c r="K1087" s="5">
        <f t="shared" si="67"/>
        <v>0</v>
      </c>
      <c r="L1087" s="5">
        <v>0</v>
      </c>
      <c r="M1087" s="5">
        <v>1</v>
      </c>
      <c r="N1087" t="s">
        <v>9</v>
      </c>
      <c r="O1087" s="8">
        <v>27.545205479452054</v>
      </c>
      <c r="P1087" t="s">
        <v>34</v>
      </c>
      <c r="Q1087">
        <v>3</v>
      </c>
      <c r="R1087" s="2">
        <v>35779</v>
      </c>
    </row>
    <row r="1088" spans="1:18" x14ac:dyDescent="0.3">
      <c r="A1088" t="s">
        <v>7</v>
      </c>
      <c r="B1088">
        <v>18800365</v>
      </c>
      <c r="C1088" t="s">
        <v>8</v>
      </c>
      <c r="D1088" s="4">
        <v>45839</v>
      </c>
      <c r="E1088" s="11">
        <f t="shared" si="64"/>
        <v>2025</v>
      </c>
      <c r="F1088" s="11">
        <f t="shared" si="65"/>
        <v>7</v>
      </c>
      <c r="G1088" s="11" t="str">
        <f t="shared" si="66"/>
        <v>202507</v>
      </c>
      <c r="I1088" s="5">
        <v>9999</v>
      </c>
      <c r="J1088" s="5">
        <v>333.3</v>
      </c>
      <c r="K1088" s="5">
        <f t="shared" si="67"/>
        <v>0</v>
      </c>
      <c r="L1088" s="5">
        <v>0</v>
      </c>
      <c r="M1088" s="5">
        <v>0</v>
      </c>
      <c r="N1088" t="s">
        <v>9</v>
      </c>
      <c r="O1088" s="8">
        <v>25.169863013698631</v>
      </c>
      <c r="P1088" t="s">
        <v>33</v>
      </c>
      <c r="Q1088">
        <v>2</v>
      </c>
      <c r="R1088" s="2">
        <v>36652</v>
      </c>
    </row>
    <row r="1089" spans="1:18" x14ac:dyDescent="0.3">
      <c r="A1089" t="s">
        <v>7</v>
      </c>
      <c r="B1089">
        <v>18800378</v>
      </c>
      <c r="C1089" t="s">
        <v>8</v>
      </c>
      <c r="D1089" s="4">
        <v>45839</v>
      </c>
      <c r="E1089" s="11">
        <f t="shared" si="64"/>
        <v>2025</v>
      </c>
      <c r="F1089" s="11">
        <f t="shared" si="65"/>
        <v>7</v>
      </c>
      <c r="G1089" s="11" t="str">
        <f t="shared" si="66"/>
        <v>202507</v>
      </c>
      <c r="H1089" s="4">
        <v>46112</v>
      </c>
      <c r="I1089" s="5">
        <v>273</v>
      </c>
      <c r="J1089" s="5">
        <v>9.1</v>
      </c>
      <c r="K1089" s="5">
        <f t="shared" si="67"/>
        <v>0</v>
      </c>
      <c r="L1089" s="5">
        <v>0</v>
      </c>
      <c r="M1089" s="5">
        <v>0</v>
      </c>
      <c r="N1089" t="s">
        <v>9</v>
      </c>
      <c r="O1089" s="8">
        <v>24.534246575342465</v>
      </c>
      <c r="P1089" t="s">
        <v>33</v>
      </c>
      <c r="Q1089">
        <v>2</v>
      </c>
      <c r="R1089" s="2">
        <v>36884</v>
      </c>
    </row>
    <row r="1090" spans="1:18" x14ac:dyDescent="0.3">
      <c r="A1090" t="s">
        <v>7</v>
      </c>
      <c r="B1090">
        <v>18800386</v>
      </c>
      <c r="C1090" t="s">
        <v>10</v>
      </c>
      <c r="D1090" s="4">
        <v>45839</v>
      </c>
      <c r="E1090" s="11">
        <f t="shared" si="64"/>
        <v>2025</v>
      </c>
      <c r="F1090" s="11">
        <f t="shared" si="65"/>
        <v>7</v>
      </c>
      <c r="G1090" s="11" t="str">
        <f t="shared" si="66"/>
        <v>202507</v>
      </c>
      <c r="H1090" s="4">
        <v>45901</v>
      </c>
      <c r="I1090" s="5">
        <v>62</v>
      </c>
      <c r="J1090" s="5">
        <v>2.0666666666666669</v>
      </c>
      <c r="K1090" s="5">
        <f t="shared" si="67"/>
        <v>0</v>
      </c>
      <c r="L1090" s="5">
        <v>1</v>
      </c>
      <c r="M1090" s="5">
        <v>1</v>
      </c>
      <c r="N1090" t="s">
        <v>9</v>
      </c>
      <c r="O1090" s="8">
        <v>18.534246575342465</v>
      </c>
      <c r="P1090" t="s">
        <v>32</v>
      </c>
      <c r="Q1090">
        <v>1</v>
      </c>
      <c r="R1090" s="2">
        <v>39074</v>
      </c>
    </row>
    <row r="1091" spans="1:18" x14ac:dyDescent="0.3">
      <c r="A1091" t="s">
        <v>7</v>
      </c>
      <c r="B1091">
        <v>18800387</v>
      </c>
      <c r="C1091" t="s">
        <v>10</v>
      </c>
      <c r="D1091" s="4">
        <v>45839</v>
      </c>
      <c r="E1091" s="11">
        <f t="shared" ref="E1091:E1154" si="68">+YEAR(D1091)</f>
        <v>2025</v>
      </c>
      <c r="F1091" s="11">
        <f t="shared" ref="F1091:F1154" si="69">+MONTH(D1091)</f>
        <v>7</v>
      </c>
      <c r="G1091" s="11" t="str">
        <f t="shared" ref="G1091:G1154" si="70">+TEXT(D1091, "yyymm")</f>
        <v>202507</v>
      </c>
      <c r="H1091" s="4">
        <v>45870</v>
      </c>
      <c r="I1091" s="5">
        <v>31</v>
      </c>
      <c r="J1091" s="5">
        <v>1.0333333333333334</v>
      </c>
      <c r="K1091" s="5">
        <f t="shared" ref="K1091:K1154" si="71">IF(J1091&lt;=1,1,0)</f>
        <v>0</v>
      </c>
      <c r="L1091" s="5">
        <v>1</v>
      </c>
      <c r="M1091" s="5">
        <v>1</v>
      </c>
      <c r="N1091" t="s">
        <v>9</v>
      </c>
      <c r="O1091" s="8">
        <v>21.671232876712327</v>
      </c>
      <c r="P1091" t="s">
        <v>33</v>
      </c>
      <c r="Q1091">
        <v>2</v>
      </c>
      <c r="R1091" s="2">
        <v>37929</v>
      </c>
    </row>
    <row r="1092" spans="1:18" x14ac:dyDescent="0.3">
      <c r="A1092" t="s">
        <v>7</v>
      </c>
      <c r="B1092">
        <v>18800397</v>
      </c>
      <c r="C1092" t="s">
        <v>8</v>
      </c>
      <c r="D1092" s="4">
        <v>45839</v>
      </c>
      <c r="E1092" s="11">
        <f t="shared" si="68"/>
        <v>2025</v>
      </c>
      <c r="F1092" s="11">
        <f t="shared" si="69"/>
        <v>7</v>
      </c>
      <c r="G1092" s="11" t="str">
        <f t="shared" si="70"/>
        <v>202507</v>
      </c>
      <c r="H1092" s="4">
        <v>45873</v>
      </c>
      <c r="I1092" s="5">
        <v>34</v>
      </c>
      <c r="J1092" s="5">
        <v>1.1333333333333333</v>
      </c>
      <c r="K1092" s="5">
        <f t="shared" si="71"/>
        <v>0</v>
      </c>
      <c r="L1092" s="5">
        <v>1</v>
      </c>
      <c r="M1092" s="5">
        <v>1</v>
      </c>
      <c r="N1092" t="s">
        <v>9</v>
      </c>
      <c r="O1092" s="8">
        <v>32.134246575342466</v>
      </c>
      <c r="P1092" t="s">
        <v>35</v>
      </c>
      <c r="Q1092">
        <v>4</v>
      </c>
      <c r="R1092" s="2">
        <v>34110</v>
      </c>
    </row>
    <row r="1093" spans="1:18" x14ac:dyDescent="0.3">
      <c r="A1093" t="s">
        <v>7</v>
      </c>
      <c r="B1093">
        <v>18800404</v>
      </c>
      <c r="C1093" t="s">
        <v>10</v>
      </c>
      <c r="D1093" s="4">
        <v>45839</v>
      </c>
      <c r="E1093" s="11">
        <f t="shared" si="68"/>
        <v>2025</v>
      </c>
      <c r="F1093" s="11">
        <f t="shared" si="69"/>
        <v>7</v>
      </c>
      <c r="G1093" s="11" t="str">
        <f t="shared" si="70"/>
        <v>202507</v>
      </c>
      <c r="H1093" s="4">
        <v>46006</v>
      </c>
      <c r="I1093" s="5">
        <v>167</v>
      </c>
      <c r="J1093" s="5">
        <v>5.5666666666666664</v>
      </c>
      <c r="K1093" s="5">
        <f t="shared" si="71"/>
        <v>0</v>
      </c>
      <c r="L1093" s="5">
        <v>0</v>
      </c>
      <c r="M1093" s="5">
        <v>1</v>
      </c>
      <c r="N1093" t="s">
        <v>9</v>
      </c>
      <c r="O1093" s="8">
        <v>20.331506849315069</v>
      </c>
      <c r="P1093" t="s">
        <v>32</v>
      </c>
      <c r="Q1093">
        <v>1</v>
      </c>
      <c r="R1093" s="2">
        <v>38418</v>
      </c>
    </row>
    <row r="1094" spans="1:18" x14ac:dyDescent="0.3">
      <c r="A1094" t="s">
        <v>7</v>
      </c>
      <c r="B1094">
        <v>18800411</v>
      </c>
      <c r="C1094" t="s">
        <v>8</v>
      </c>
      <c r="D1094" s="4">
        <v>45839</v>
      </c>
      <c r="E1094" s="11">
        <f t="shared" si="68"/>
        <v>2025</v>
      </c>
      <c r="F1094" s="11">
        <f t="shared" si="69"/>
        <v>7</v>
      </c>
      <c r="G1094" s="11" t="str">
        <f t="shared" si="70"/>
        <v>202507</v>
      </c>
      <c r="H1094" s="4">
        <v>45934</v>
      </c>
      <c r="I1094" s="5">
        <v>95</v>
      </c>
      <c r="J1094" s="5">
        <v>3.1666666666666665</v>
      </c>
      <c r="K1094" s="5">
        <f t="shared" si="71"/>
        <v>0</v>
      </c>
      <c r="L1094" s="5">
        <v>0</v>
      </c>
      <c r="M1094" s="5">
        <v>1</v>
      </c>
      <c r="N1094" t="s">
        <v>9</v>
      </c>
      <c r="O1094" s="8">
        <v>25.205479452054796</v>
      </c>
      <c r="P1094" t="s">
        <v>33</v>
      </c>
      <c r="Q1094">
        <v>2</v>
      </c>
      <c r="R1094" s="2">
        <v>36639</v>
      </c>
    </row>
    <row r="1095" spans="1:18" x14ac:dyDescent="0.3">
      <c r="A1095" t="s">
        <v>7</v>
      </c>
      <c r="B1095">
        <v>18800418</v>
      </c>
      <c r="C1095" t="s">
        <v>8</v>
      </c>
      <c r="D1095" s="4">
        <v>45839</v>
      </c>
      <c r="E1095" s="11">
        <f t="shared" si="68"/>
        <v>2025</v>
      </c>
      <c r="F1095" s="11">
        <f t="shared" si="69"/>
        <v>7</v>
      </c>
      <c r="G1095" s="11" t="str">
        <f t="shared" si="70"/>
        <v>202507</v>
      </c>
      <c r="H1095" s="4">
        <v>46022</v>
      </c>
      <c r="I1095" s="5">
        <v>183</v>
      </c>
      <c r="J1095" s="5">
        <v>6.1</v>
      </c>
      <c r="K1095" s="5">
        <f t="shared" si="71"/>
        <v>0</v>
      </c>
      <c r="L1095" s="5">
        <v>0</v>
      </c>
      <c r="M1095" s="5">
        <v>0</v>
      </c>
      <c r="N1095" t="s">
        <v>12</v>
      </c>
      <c r="O1095" s="8">
        <v>26.093150684931508</v>
      </c>
      <c r="P1095" t="s">
        <v>34</v>
      </c>
      <c r="Q1095">
        <v>3</v>
      </c>
      <c r="R1095" s="2">
        <v>36315</v>
      </c>
    </row>
    <row r="1096" spans="1:18" x14ac:dyDescent="0.3">
      <c r="A1096" t="s">
        <v>7</v>
      </c>
      <c r="B1096">
        <v>18800433</v>
      </c>
      <c r="C1096" t="s">
        <v>8</v>
      </c>
      <c r="D1096" s="4">
        <v>45839</v>
      </c>
      <c r="E1096" s="11">
        <f t="shared" si="68"/>
        <v>2025</v>
      </c>
      <c r="F1096" s="11">
        <f t="shared" si="69"/>
        <v>7</v>
      </c>
      <c r="G1096" s="11" t="str">
        <f t="shared" si="70"/>
        <v>202507</v>
      </c>
      <c r="H1096" s="4">
        <v>46053</v>
      </c>
      <c r="I1096" s="5">
        <v>214</v>
      </c>
      <c r="J1096" s="5">
        <v>7.1333333333333337</v>
      </c>
      <c r="K1096" s="5">
        <f t="shared" si="71"/>
        <v>0</v>
      </c>
      <c r="L1096" s="5">
        <v>0</v>
      </c>
      <c r="M1096" s="5">
        <v>0</v>
      </c>
      <c r="N1096" t="s">
        <v>9</v>
      </c>
      <c r="O1096" s="8">
        <v>21.36986301369863</v>
      </c>
      <c r="P1096" t="s">
        <v>33</v>
      </c>
      <c r="Q1096">
        <v>2</v>
      </c>
      <c r="R1096" s="2">
        <v>38039</v>
      </c>
    </row>
    <row r="1097" spans="1:18" x14ac:dyDescent="0.3">
      <c r="A1097" t="s">
        <v>7</v>
      </c>
      <c r="B1097">
        <v>18803400</v>
      </c>
      <c r="C1097" t="s">
        <v>8</v>
      </c>
      <c r="D1097" s="4">
        <v>45839</v>
      </c>
      <c r="E1097" s="11">
        <f t="shared" si="68"/>
        <v>2025</v>
      </c>
      <c r="F1097" s="11">
        <f t="shared" si="69"/>
        <v>7</v>
      </c>
      <c r="G1097" s="11" t="str">
        <f t="shared" si="70"/>
        <v>202507</v>
      </c>
      <c r="I1097" s="5">
        <v>9999</v>
      </c>
      <c r="J1097" s="5">
        <v>333.3</v>
      </c>
      <c r="K1097" s="5">
        <f t="shared" si="71"/>
        <v>0</v>
      </c>
      <c r="L1097" s="5">
        <v>0</v>
      </c>
      <c r="M1097" s="5">
        <v>0</v>
      </c>
      <c r="N1097" t="s">
        <v>9</v>
      </c>
      <c r="O1097" s="8">
        <v>21.290410958904111</v>
      </c>
      <c r="P1097" t="s">
        <v>33</v>
      </c>
      <c r="Q1097">
        <v>2</v>
      </c>
      <c r="R1097" s="2">
        <v>38068</v>
      </c>
    </row>
    <row r="1098" spans="1:18" x14ac:dyDescent="0.3">
      <c r="A1098" t="s">
        <v>7</v>
      </c>
      <c r="B1098">
        <v>18803465</v>
      </c>
      <c r="C1098" t="s">
        <v>10</v>
      </c>
      <c r="D1098" s="4">
        <v>45839</v>
      </c>
      <c r="E1098" s="11">
        <f t="shared" si="68"/>
        <v>2025</v>
      </c>
      <c r="F1098" s="11">
        <f t="shared" si="69"/>
        <v>7</v>
      </c>
      <c r="G1098" s="11" t="str">
        <f t="shared" si="70"/>
        <v>202507</v>
      </c>
      <c r="H1098" s="4">
        <v>45886</v>
      </c>
      <c r="I1098" s="5">
        <v>47</v>
      </c>
      <c r="J1098" s="5">
        <v>1.5666666666666667</v>
      </c>
      <c r="K1098" s="5">
        <f t="shared" si="71"/>
        <v>0</v>
      </c>
      <c r="L1098" s="5">
        <v>1</v>
      </c>
      <c r="M1098" s="5">
        <v>1</v>
      </c>
      <c r="N1098" t="s">
        <v>9</v>
      </c>
      <c r="O1098" s="8">
        <v>21.86849315068493</v>
      </c>
      <c r="P1098" t="s">
        <v>33</v>
      </c>
      <c r="Q1098">
        <v>2</v>
      </c>
      <c r="R1098" s="2">
        <v>37857</v>
      </c>
    </row>
    <row r="1099" spans="1:18" x14ac:dyDescent="0.3">
      <c r="A1099" t="s">
        <v>7</v>
      </c>
      <c r="B1099">
        <v>18806921</v>
      </c>
      <c r="C1099" t="s">
        <v>8</v>
      </c>
      <c r="D1099" s="4">
        <v>45841</v>
      </c>
      <c r="E1099" s="11">
        <f t="shared" si="68"/>
        <v>2025</v>
      </c>
      <c r="F1099" s="11">
        <f t="shared" si="69"/>
        <v>7</v>
      </c>
      <c r="G1099" s="11" t="str">
        <f t="shared" si="70"/>
        <v>202507</v>
      </c>
      <c r="H1099" s="4">
        <v>45853</v>
      </c>
      <c r="I1099" s="5">
        <v>12</v>
      </c>
      <c r="J1099" s="5">
        <v>0.4</v>
      </c>
      <c r="K1099" s="5">
        <f t="shared" si="71"/>
        <v>1</v>
      </c>
      <c r="L1099" s="5">
        <v>1</v>
      </c>
      <c r="M1099" s="5">
        <v>1</v>
      </c>
      <c r="N1099" t="s">
        <v>12</v>
      </c>
      <c r="O1099" s="8">
        <v>23.736986301369864</v>
      </c>
      <c r="P1099" t="s">
        <v>33</v>
      </c>
      <c r="Q1099">
        <v>2</v>
      </c>
      <c r="R1099" s="2">
        <v>37177</v>
      </c>
    </row>
    <row r="1100" spans="1:18" x14ac:dyDescent="0.3">
      <c r="A1100" t="s">
        <v>7</v>
      </c>
      <c r="B1100">
        <v>18807061</v>
      </c>
      <c r="C1100" t="s">
        <v>10</v>
      </c>
      <c r="D1100" s="4">
        <v>45841</v>
      </c>
      <c r="E1100" s="11">
        <f t="shared" si="68"/>
        <v>2025</v>
      </c>
      <c r="F1100" s="11">
        <f t="shared" si="69"/>
        <v>7</v>
      </c>
      <c r="G1100" s="11" t="str">
        <f t="shared" si="70"/>
        <v>202507</v>
      </c>
      <c r="I1100" s="5">
        <v>9999</v>
      </c>
      <c r="J1100" s="5">
        <v>333.3</v>
      </c>
      <c r="K1100" s="5">
        <f t="shared" si="71"/>
        <v>0</v>
      </c>
      <c r="L1100" s="5">
        <v>0</v>
      </c>
      <c r="M1100" s="5">
        <v>0</v>
      </c>
      <c r="N1100" t="s">
        <v>9</v>
      </c>
      <c r="O1100" s="8">
        <v>24.731506849315068</v>
      </c>
      <c r="P1100" t="s">
        <v>33</v>
      </c>
      <c r="Q1100">
        <v>2</v>
      </c>
      <c r="R1100" s="2">
        <v>36814</v>
      </c>
    </row>
    <row r="1101" spans="1:18" x14ac:dyDescent="0.3">
      <c r="A1101" t="s">
        <v>7</v>
      </c>
      <c r="B1101">
        <v>18807109</v>
      </c>
      <c r="C1101" t="s">
        <v>10</v>
      </c>
      <c r="D1101" s="4">
        <v>45841</v>
      </c>
      <c r="E1101" s="11">
        <f t="shared" si="68"/>
        <v>2025</v>
      </c>
      <c r="F1101" s="11">
        <f t="shared" si="69"/>
        <v>7</v>
      </c>
      <c r="G1101" s="11" t="str">
        <f t="shared" si="70"/>
        <v>202507</v>
      </c>
      <c r="I1101" s="5">
        <v>9999</v>
      </c>
      <c r="J1101" s="5">
        <v>333.3</v>
      </c>
      <c r="K1101" s="5">
        <f t="shared" si="71"/>
        <v>0</v>
      </c>
      <c r="L1101" s="5">
        <v>0</v>
      </c>
      <c r="M1101" s="5">
        <v>0</v>
      </c>
      <c r="N1101" t="s">
        <v>9</v>
      </c>
      <c r="O1101" s="8">
        <v>18.624657534246577</v>
      </c>
      <c r="P1101" t="s">
        <v>32</v>
      </c>
      <c r="Q1101">
        <v>1</v>
      </c>
      <c r="R1101" s="2">
        <v>39043</v>
      </c>
    </row>
    <row r="1102" spans="1:18" x14ac:dyDescent="0.3">
      <c r="A1102" t="s">
        <v>7</v>
      </c>
      <c r="B1102">
        <v>18807126</v>
      </c>
      <c r="C1102" t="s">
        <v>10</v>
      </c>
      <c r="D1102" s="4">
        <v>45841</v>
      </c>
      <c r="E1102" s="11">
        <f t="shared" si="68"/>
        <v>2025</v>
      </c>
      <c r="F1102" s="11">
        <f t="shared" si="69"/>
        <v>7</v>
      </c>
      <c r="G1102" s="11" t="str">
        <f t="shared" si="70"/>
        <v>202507</v>
      </c>
      <c r="H1102" s="4">
        <v>45945</v>
      </c>
      <c r="I1102" s="5">
        <v>104</v>
      </c>
      <c r="J1102" s="5">
        <v>3.4666666666666668</v>
      </c>
      <c r="K1102" s="5">
        <f t="shared" si="71"/>
        <v>0</v>
      </c>
      <c r="L1102" s="5">
        <v>0</v>
      </c>
      <c r="M1102" s="5">
        <v>1</v>
      </c>
      <c r="N1102" t="s">
        <v>9</v>
      </c>
      <c r="O1102" s="8">
        <v>18.315068493150687</v>
      </c>
      <c r="P1102" t="s">
        <v>32</v>
      </c>
      <c r="Q1102">
        <v>1</v>
      </c>
      <c r="R1102" s="2">
        <v>39156</v>
      </c>
    </row>
    <row r="1103" spans="1:18" x14ac:dyDescent="0.3">
      <c r="A1103" t="s">
        <v>7</v>
      </c>
      <c r="B1103">
        <v>18807464</v>
      </c>
      <c r="C1103" t="s">
        <v>10</v>
      </c>
      <c r="D1103" s="4">
        <v>45841</v>
      </c>
      <c r="E1103" s="11">
        <f t="shared" si="68"/>
        <v>2025</v>
      </c>
      <c r="F1103" s="11">
        <f t="shared" si="69"/>
        <v>7</v>
      </c>
      <c r="G1103" s="11" t="str">
        <f t="shared" si="70"/>
        <v>202507</v>
      </c>
      <c r="H1103" s="4">
        <v>46022</v>
      </c>
      <c r="I1103" s="5">
        <v>181</v>
      </c>
      <c r="J1103" s="5">
        <v>6.0333333333333332</v>
      </c>
      <c r="K1103" s="5">
        <f t="shared" si="71"/>
        <v>0</v>
      </c>
      <c r="L1103" s="5">
        <v>0</v>
      </c>
      <c r="M1103" s="5">
        <v>0</v>
      </c>
      <c r="N1103" t="s">
        <v>9</v>
      </c>
      <c r="O1103" s="8">
        <v>20.032876712328768</v>
      </c>
      <c r="P1103" t="s">
        <v>32</v>
      </c>
      <c r="Q1103">
        <v>1</v>
      </c>
      <c r="R1103" s="2">
        <v>38529</v>
      </c>
    </row>
    <row r="1104" spans="1:18" x14ac:dyDescent="0.3">
      <c r="A1104" t="s">
        <v>7</v>
      </c>
      <c r="B1104">
        <v>18808564</v>
      </c>
      <c r="C1104" t="s">
        <v>8</v>
      </c>
      <c r="D1104" s="4">
        <v>45841</v>
      </c>
      <c r="E1104" s="11">
        <f t="shared" si="68"/>
        <v>2025</v>
      </c>
      <c r="F1104" s="11">
        <f t="shared" si="69"/>
        <v>7</v>
      </c>
      <c r="G1104" s="11" t="str">
        <f t="shared" si="70"/>
        <v>202507</v>
      </c>
      <c r="H1104" s="4">
        <v>46081</v>
      </c>
      <c r="I1104" s="5">
        <v>240</v>
      </c>
      <c r="J1104" s="5">
        <v>8</v>
      </c>
      <c r="K1104" s="5">
        <f t="shared" si="71"/>
        <v>0</v>
      </c>
      <c r="L1104" s="5">
        <v>0</v>
      </c>
      <c r="M1104" s="5">
        <v>0</v>
      </c>
      <c r="N1104" t="s">
        <v>9</v>
      </c>
      <c r="O1104" s="8">
        <v>19.953424657534246</v>
      </c>
      <c r="P1104" t="s">
        <v>32</v>
      </c>
      <c r="Q1104">
        <v>1</v>
      </c>
      <c r="R1104" s="2">
        <v>38558</v>
      </c>
    </row>
    <row r="1105" spans="1:18" x14ac:dyDescent="0.3">
      <c r="A1105" t="s">
        <v>7</v>
      </c>
      <c r="B1105">
        <v>18808694</v>
      </c>
      <c r="C1105" t="s">
        <v>8</v>
      </c>
      <c r="D1105" s="4">
        <v>45841</v>
      </c>
      <c r="E1105" s="11">
        <f t="shared" si="68"/>
        <v>2025</v>
      </c>
      <c r="F1105" s="11">
        <f t="shared" si="69"/>
        <v>7</v>
      </c>
      <c r="G1105" s="11" t="str">
        <f t="shared" si="70"/>
        <v>202507</v>
      </c>
      <c r="H1105" s="4">
        <v>46147</v>
      </c>
      <c r="I1105" s="5">
        <v>306</v>
      </c>
      <c r="J1105" s="5">
        <v>10.199999999999999</v>
      </c>
      <c r="K1105" s="5">
        <f t="shared" si="71"/>
        <v>0</v>
      </c>
      <c r="L1105" s="5">
        <v>0</v>
      </c>
      <c r="M1105" s="5">
        <v>0</v>
      </c>
      <c r="N1105" t="s">
        <v>12</v>
      </c>
      <c r="O1105" s="8">
        <v>18.17808219178082</v>
      </c>
      <c r="P1105" t="s">
        <v>32</v>
      </c>
      <c r="Q1105">
        <v>1</v>
      </c>
      <c r="R1105" s="2">
        <v>39206</v>
      </c>
    </row>
    <row r="1106" spans="1:18" x14ac:dyDescent="0.3">
      <c r="A1106" t="s">
        <v>7</v>
      </c>
      <c r="B1106">
        <v>18808908</v>
      </c>
      <c r="C1106" t="s">
        <v>10</v>
      </c>
      <c r="D1106" s="4">
        <v>45841</v>
      </c>
      <c r="E1106" s="11">
        <f t="shared" si="68"/>
        <v>2025</v>
      </c>
      <c r="F1106" s="11">
        <f t="shared" si="69"/>
        <v>7</v>
      </c>
      <c r="G1106" s="11" t="str">
        <f t="shared" si="70"/>
        <v>202507</v>
      </c>
      <c r="I1106" s="5">
        <v>9999</v>
      </c>
      <c r="J1106" s="5">
        <v>333.3</v>
      </c>
      <c r="K1106" s="5">
        <f t="shared" si="71"/>
        <v>0</v>
      </c>
      <c r="L1106" s="5">
        <v>0</v>
      </c>
      <c r="M1106" s="5">
        <v>0</v>
      </c>
      <c r="N1106" t="s">
        <v>12</v>
      </c>
      <c r="O1106" s="8">
        <v>20.227397260273971</v>
      </c>
      <c r="P1106" t="s">
        <v>32</v>
      </c>
      <c r="Q1106">
        <v>1</v>
      </c>
      <c r="R1106" s="2">
        <v>38458</v>
      </c>
    </row>
    <row r="1107" spans="1:18" x14ac:dyDescent="0.3">
      <c r="A1107" t="s">
        <v>7</v>
      </c>
      <c r="B1107">
        <v>18808909</v>
      </c>
      <c r="C1107" t="s">
        <v>8</v>
      </c>
      <c r="D1107" s="4">
        <v>45841</v>
      </c>
      <c r="E1107" s="11">
        <f t="shared" si="68"/>
        <v>2025</v>
      </c>
      <c r="F1107" s="11">
        <f t="shared" si="69"/>
        <v>7</v>
      </c>
      <c r="G1107" s="11" t="str">
        <f t="shared" si="70"/>
        <v>202507</v>
      </c>
      <c r="H1107" s="4">
        <v>45869</v>
      </c>
      <c r="I1107" s="5">
        <v>28</v>
      </c>
      <c r="J1107" s="5">
        <v>0.93333333333333335</v>
      </c>
      <c r="K1107" s="5">
        <f t="shared" si="71"/>
        <v>1</v>
      </c>
      <c r="L1107" s="5">
        <v>1</v>
      </c>
      <c r="M1107" s="5">
        <v>1</v>
      </c>
      <c r="N1107" t="s">
        <v>12</v>
      </c>
      <c r="O1107" s="8">
        <v>25.75068493150685</v>
      </c>
      <c r="P1107" t="s">
        <v>33</v>
      </c>
      <c r="Q1107">
        <v>2</v>
      </c>
      <c r="R1107" s="2">
        <v>36442</v>
      </c>
    </row>
    <row r="1108" spans="1:18" x14ac:dyDescent="0.3">
      <c r="A1108" t="s">
        <v>7</v>
      </c>
      <c r="B1108">
        <v>18812768</v>
      </c>
      <c r="C1108" t="s">
        <v>8</v>
      </c>
      <c r="D1108" s="4">
        <v>45842</v>
      </c>
      <c r="E1108" s="11">
        <f t="shared" si="68"/>
        <v>2025</v>
      </c>
      <c r="F1108" s="11">
        <f t="shared" si="69"/>
        <v>7</v>
      </c>
      <c r="G1108" s="11" t="str">
        <f t="shared" si="70"/>
        <v>202507</v>
      </c>
      <c r="I1108" s="5">
        <v>9999</v>
      </c>
      <c r="J1108" s="5">
        <v>333.3</v>
      </c>
      <c r="K1108" s="5">
        <f t="shared" si="71"/>
        <v>0</v>
      </c>
      <c r="L1108" s="5">
        <v>0</v>
      </c>
      <c r="M1108" s="5">
        <v>0</v>
      </c>
      <c r="N1108" t="s">
        <v>9</v>
      </c>
      <c r="O1108" s="8">
        <v>36.035616438356165</v>
      </c>
      <c r="P1108" t="s">
        <v>35</v>
      </c>
      <c r="Q1108">
        <v>4</v>
      </c>
      <c r="R1108" s="2">
        <v>32689</v>
      </c>
    </row>
    <row r="1109" spans="1:18" x14ac:dyDescent="0.3">
      <c r="A1109" t="s">
        <v>7</v>
      </c>
      <c r="B1109">
        <v>18812800</v>
      </c>
      <c r="C1109" t="s">
        <v>10</v>
      </c>
      <c r="D1109" s="4">
        <v>45842</v>
      </c>
      <c r="E1109" s="11">
        <f t="shared" si="68"/>
        <v>2025</v>
      </c>
      <c r="F1109" s="11">
        <f t="shared" si="69"/>
        <v>7</v>
      </c>
      <c r="G1109" s="11" t="str">
        <f t="shared" si="70"/>
        <v>202507</v>
      </c>
      <c r="I1109" s="5">
        <v>9999</v>
      </c>
      <c r="J1109" s="5">
        <v>333.3</v>
      </c>
      <c r="K1109" s="5">
        <f t="shared" si="71"/>
        <v>0</v>
      </c>
      <c r="L1109" s="5">
        <v>0</v>
      </c>
      <c r="M1109" s="5">
        <v>0</v>
      </c>
      <c r="N1109" t="s">
        <v>12</v>
      </c>
      <c r="O1109" s="8">
        <v>18.13150684931507</v>
      </c>
      <c r="P1109" t="s">
        <v>32</v>
      </c>
      <c r="Q1109">
        <v>1</v>
      </c>
      <c r="R1109" s="2">
        <v>39224</v>
      </c>
    </row>
    <row r="1110" spans="1:18" x14ac:dyDescent="0.3">
      <c r="A1110" t="s">
        <v>7</v>
      </c>
      <c r="B1110">
        <v>18812801</v>
      </c>
      <c r="C1110" t="s">
        <v>8</v>
      </c>
      <c r="D1110" s="4">
        <v>45842</v>
      </c>
      <c r="E1110" s="11">
        <f t="shared" si="68"/>
        <v>2025</v>
      </c>
      <c r="F1110" s="11">
        <f t="shared" si="69"/>
        <v>7</v>
      </c>
      <c r="G1110" s="11" t="str">
        <f t="shared" si="70"/>
        <v>202507</v>
      </c>
      <c r="H1110" s="4">
        <v>46142</v>
      </c>
      <c r="I1110" s="5">
        <v>300</v>
      </c>
      <c r="J1110" s="5">
        <v>10</v>
      </c>
      <c r="K1110" s="5">
        <f t="shared" si="71"/>
        <v>0</v>
      </c>
      <c r="L1110" s="5">
        <v>0</v>
      </c>
      <c r="M1110" s="5">
        <v>0</v>
      </c>
      <c r="N1110" t="s">
        <v>12</v>
      </c>
      <c r="O1110" s="8">
        <v>22.712328767123289</v>
      </c>
      <c r="P1110" t="s">
        <v>33</v>
      </c>
      <c r="Q1110">
        <v>2</v>
      </c>
      <c r="R1110" s="2">
        <v>37552</v>
      </c>
    </row>
    <row r="1111" spans="1:18" x14ac:dyDescent="0.3">
      <c r="A1111" t="s">
        <v>11</v>
      </c>
      <c r="B1111">
        <v>18812805</v>
      </c>
      <c r="C1111" t="s">
        <v>8</v>
      </c>
      <c r="D1111" s="4">
        <v>45842</v>
      </c>
      <c r="E1111" s="11">
        <f t="shared" si="68"/>
        <v>2025</v>
      </c>
      <c r="F1111" s="11">
        <f t="shared" si="69"/>
        <v>7</v>
      </c>
      <c r="G1111" s="11" t="str">
        <f t="shared" si="70"/>
        <v>202507</v>
      </c>
      <c r="H1111" s="4">
        <v>45961</v>
      </c>
      <c r="I1111" s="5">
        <v>119</v>
      </c>
      <c r="J1111" s="5">
        <v>3.9666666666666668</v>
      </c>
      <c r="K1111" s="5">
        <f t="shared" si="71"/>
        <v>0</v>
      </c>
      <c r="L1111" s="5">
        <v>0</v>
      </c>
      <c r="M1111" s="5">
        <v>1</v>
      </c>
      <c r="N1111" t="s">
        <v>9</v>
      </c>
      <c r="O1111" s="8">
        <v>20.797260273972604</v>
      </c>
      <c r="P1111" t="s">
        <v>32</v>
      </c>
      <c r="Q1111">
        <v>1</v>
      </c>
      <c r="R1111" s="2">
        <v>38251</v>
      </c>
    </row>
    <row r="1112" spans="1:18" x14ac:dyDescent="0.3">
      <c r="A1112" t="s">
        <v>7</v>
      </c>
      <c r="B1112">
        <v>18812813</v>
      </c>
      <c r="C1112" t="s">
        <v>8</v>
      </c>
      <c r="D1112" s="4">
        <v>45842</v>
      </c>
      <c r="E1112" s="11">
        <f t="shared" si="68"/>
        <v>2025</v>
      </c>
      <c r="F1112" s="11">
        <f t="shared" si="69"/>
        <v>7</v>
      </c>
      <c r="G1112" s="11" t="str">
        <f t="shared" si="70"/>
        <v>202507</v>
      </c>
      <c r="H1112" s="4">
        <v>45900</v>
      </c>
      <c r="I1112" s="5">
        <v>58</v>
      </c>
      <c r="J1112" s="5">
        <v>1.9333333333333333</v>
      </c>
      <c r="K1112" s="5">
        <f t="shared" si="71"/>
        <v>0</v>
      </c>
      <c r="L1112" s="5">
        <v>1</v>
      </c>
      <c r="M1112" s="5">
        <v>1</v>
      </c>
      <c r="N1112" t="s">
        <v>9</v>
      </c>
      <c r="O1112" s="8">
        <v>20.882191780821916</v>
      </c>
      <c r="P1112" t="s">
        <v>32</v>
      </c>
      <c r="Q1112">
        <v>1</v>
      </c>
      <c r="R1112" s="2">
        <v>38220</v>
      </c>
    </row>
    <row r="1113" spans="1:18" x14ac:dyDescent="0.3">
      <c r="A1113" t="s">
        <v>7</v>
      </c>
      <c r="B1113">
        <v>18812829</v>
      </c>
      <c r="C1113" t="s">
        <v>10</v>
      </c>
      <c r="D1113" s="4">
        <v>45842</v>
      </c>
      <c r="E1113" s="11">
        <f t="shared" si="68"/>
        <v>2025</v>
      </c>
      <c r="F1113" s="11">
        <f t="shared" si="69"/>
        <v>7</v>
      </c>
      <c r="G1113" s="11" t="str">
        <f t="shared" si="70"/>
        <v>202507</v>
      </c>
      <c r="H1113" s="4">
        <v>46081</v>
      </c>
      <c r="I1113" s="5">
        <v>239</v>
      </c>
      <c r="J1113" s="5">
        <v>7.9666666666666668</v>
      </c>
      <c r="K1113" s="5">
        <f t="shared" si="71"/>
        <v>0</v>
      </c>
      <c r="L1113" s="5">
        <v>0</v>
      </c>
      <c r="M1113" s="5">
        <v>0</v>
      </c>
      <c r="N1113" t="s">
        <v>9</v>
      </c>
      <c r="O1113" s="8">
        <v>36.084931506849315</v>
      </c>
      <c r="P1113" t="s">
        <v>35</v>
      </c>
      <c r="Q1113">
        <v>4</v>
      </c>
      <c r="R1113" s="2">
        <v>32671</v>
      </c>
    </row>
    <row r="1114" spans="1:18" x14ac:dyDescent="0.3">
      <c r="A1114" t="s">
        <v>7</v>
      </c>
      <c r="B1114">
        <v>18812873</v>
      </c>
      <c r="C1114" t="s">
        <v>8</v>
      </c>
      <c r="D1114" s="4">
        <v>45842</v>
      </c>
      <c r="E1114" s="11">
        <f t="shared" si="68"/>
        <v>2025</v>
      </c>
      <c r="F1114" s="11">
        <f t="shared" si="69"/>
        <v>7</v>
      </c>
      <c r="G1114" s="11" t="str">
        <f t="shared" si="70"/>
        <v>202507</v>
      </c>
      <c r="H1114" s="4">
        <v>46068</v>
      </c>
      <c r="I1114" s="5">
        <v>226</v>
      </c>
      <c r="J1114" s="5">
        <v>7.5333333333333332</v>
      </c>
      <c r="K1114" s="5">
        <f t="shared" si="71"/>
        <v>0</v>
      </c>
      <c r="L1114" s="5">
        <v>0</v>
      </c>
      <c r="M1114" s="5">
        <v>0</v>
      </c>
      <c r="N1114" t="s">
        <v>9</v>
      </c>
      <c r="O1114" s="8">
        <v>21.213698630136985</v>
      </c>
      <c r="P1114" t="s">
        <v>33</v>
      </c>
      <c r="Q1114">
        <v>2</v>
      </c>
      <c r="R1114" s="2">
        <v>38099</v>
      </c>
    </row>
    <row r="1115" spans="1:18" x14ac:dyDescent="0.3">
      <c r="A1115" t="s">
        <v>7</v>
      </c>
      <c r="B1115">
        <v>18812874</v>
      </c>
      <c r="C1115" t="s">
        <v>10</v>
      </c>
      <c r="D1115" s="4">
        <v>45842</v>
      </c>
      <c r="E1115" s="11">
        <f t="shared" si="68"/>
        <v>2025</v>
      </c>
      <c r="F1115" s="11">
        <f t="shared" si="69"/>
        <v>7</v>
      </c>
      <c r="G1115" s="11" t="str">
        <f t="shared" si="70"/>
        <v>202507</v>
      </c>
      <c r="H1115" s="4">
        <v>45961</v>
      </c>
      <c r="I1115" s="5">
        <v>119</v>
      </c>
      <c r="J1115" s="5">
        <v>3.9666666666666668</v>
      </c>
      <c r="K1115" s="5">
        <f t="shared" si="71"/>
        <v>0</v>
      </c>
      <c r="L1115" s="5">
        <v>0</v>
      </c>
      <c r="M1115" s="5">
        <v>1</v>
      </c>
      <c r="N1115" t="s">
        <v>9</v>
      </c>
      <c r="O1115" s="8">
        <v>19.024657534246575</v>
      </c>
      <c r="P1115" t="s">
        <v>32</v>
      </c>
      <c r="Q1115">
        <v>1</v>
      </c>
      <c r="R1115" s="2">
        <v>38898</v>
      </c>
    </row>
    <row r="1116" spans="1:18" x14ac:dyDescent="0.3">
      <c r="A1116" t="s">
        <v>7</v>
      </c>
      <c r="B1116">
        <v>18812875</v>
      </c>
      <c r="C1116" t="s">
        <v>8</v>
      </c>
      <c r="D1116" s="4">
        <v>45842</v>
      </c>
      <c r="E1116" s="11">
        <f t="shared" si="68"/>
        <v>2025</v>
      </c>
      <c r="F1116" s="11">
        <f t="shared" si="69"/>
        <v>7</v>
      </c>
      <c r="G1116" s="11" t="str">
        <f t="shared" si="70"/>
        <v>202507</v>
      </c>
      <c r="H1116" s="4">
        <v>45870</v>
      </c>
      <c r="I1116" s="5">
        <v>28</v>
      </c>
      <c r="J1116" s="5">
        <v>0.93333333333333335</v>
      </c>
      <c r="K1116" s="5">
        <f t="shared" si="71"/>
        <v>1</v>
      </c>
      <c r="L1116" s="5">
        <v>1</v>
      </c>
      <c r="M1116" s="5">
        <v>1</v>
      </c>
      <c r="N1116" t="s">
        <v>9</v>
      </c>
      <c r="O1116" s="8">
        <v>18.882191780821916</v>
      </c>
      <c r="P1116" t="s">
        <v>32</v>
      </c>
      <c r="Q1116">
        <v>1</v>
      </c>
      <c r="R1116" s="2">
        <v>38950</v>
      </c>
    </row>
    <row r="1117" spans="1:18" x14ac:dyDescent="0.3">
      <c r="A1117" t="s">
        <v>7</v>
      </c>
      <c r="B1117">
        <v>18812920</v>
      </c>
      <c r="C1117" t="s">
        <v>8</v>
      </c>
      <c r="D1117" s="4">
        <v>45842</v>
      </c>
      <c r="E1117" s="11">
        <f t="shared" si="68"/>
        <v>2025</v>
      </c>
      <c r="F1117" s="11">
        <f t="shared" si="69"/>
        <v>7</v>
      </c>
      <c r="G1117" s="11" t="str">
        <f t="shared" si="70"/>
        <v>202507</v>
      </c>
      <c r="I1117" s="5">
        <v>9999</v>
      </c>
      <c r="J1117" s="5">
        <v>333.3</v>
      </c>
      <c r="K1117" s="5">
        <f t="shared" si="71"/>
        <v>0</v>
      </c>
      <c r="L1117" s="5">
        <v>0</v>
      </c>
      <c r="M1117" s="5">
        <v>0</v>
      </c>
      <c r="N1117" t="s">
        <v>9</v>
      </c>
      <c r="O1117" s="8">
        <v>47.936986301369863</v>
      </c>
      <c r="P1117" t="s">
        <v>35</v>
      </c>
      <c r="Q1117">
        <v>4</v>
      </c>
      <c r="R1117" s="2">
        <v>28345</v>
      </c>
    </row>
    <row r="1118" spans="1:18" x14ac:dyDescent="0.3">
      <c r="A1118" t="s">
        <v>11</v>
      </c>
      <c r="B1118">
        <v>18812924</v>
      </c>
      <c r="C1118" t="s">
        <v>8</v>
      </c>
      <c r="D1118" s="4">
        <v>45842</v>
      </c>
      <c r="E1118" s="11">
        <f t="shared" si="68"/>
        <v>2025</v>
      </c>
      <c r="F1118" s="11">
        <f t="shared" si="69"/>
        <v>7</v>
      </c>
      <c r="G1118" s="11" t="str">
        <f t="shared" si="70"/>
        <v>202507</v>
      </c>
      <c r="I1118" s="5">
        <v>9999</v>
      </c>
      <c r="J1118" s="5">
        <v>333.3</v>
      </c>
      <c r="K1118" s="5">
        <f t="shared" si="71"/>
        <v>0</v>
      </c>
      <c r="L1118" s="5">
        <v>0</v>
      </c>
      <c r="M1118" s="5">
        <v>0</v>
      </c>
      <c r="N1118" t="s">
        <v>9</v>
      </c>
      <c r="O1118" s="8">
        <v>20.158904109589042</v>
      </c>
      <c r="P1118" t="s">
        <v>32</v>
      </c>
      <c r="Q1118">
        <v>1</v>
      </c>
      <c r="R1118" s="2">
        <v>38484</v>
      </c>
    </row>
    <row r="1119" spans="1:18" x14ac:dyDescent="0.3">
      <c r="A1119" t="s">
        <v>7</v>
      </c>
      <c r="B1119">
        <v>18812931</v>
      </c>
      <c r="C1119" t="s">
        <v>8</v>
      </c>
      <c r="D1119" s="4">
        <v>45842</v>
      </c>
      <c r="E1119" s="11">
        <f t="shared" si="68"/>
        <v>2025</v>
      </c>
      <c r="F1119" s="11">
        <f t="shared" si="69"/>
        <v>7</v>
      </c>
      <c r="G1119" s="11" t="str">
        <f t="shared" si="70"/>
        <v>202507</v>
      </c>
      <c r="H1119" s="4">
        <v>46022</v>
      </c>
      <c r="I1119" s="5">
        <v>180</v>
      </c>
      <c r="J1119" s="5">
        <v>6</v>
      </c>
      <c r="K1119" s="5">
        <f t="shared" si="71"/>
        <v>0</v>
      </c>
      <c r="L1119" s="5">
        <v>0</v>
      </c>
      <c r="M1119" s="5">
        <v>1</v>
      </c>
      <c r="N1119" t="s">
        <v>9</v>
      </c>
      <c r="O1119" s="8">
        <v>22.076712328767123</v>
      </c>
      <c r="P1119" t="s">
        <v>33</v>
      </c>
      <c r="Q1119">
        <v>2</v>
      </c>
      <c r="R1119" s="2">
        <v>37784</v>
      </c>
    </row>
    <row r="1120" spans="1:18" x14ac:dyDescent="0.3">
      <c r="A1120" t="s">
        <v>7</v>
      </c>
      <c r="B1120">
        <v>18812932</v>
      </c>
      <c r="C1120" t="s">
        <v>10</v>
      </c>
      <c r="D1120" s="4">
        <v>45842</v>
      </c>
      <c r="E1120" s="11">
        <f t="shared" si="68"/>
        <v>2025</v>
      </c>
      <c r="F1120" s="11">
        <f t="shared" si="69"/>
        <v>7</v>
      </c>
      <c r="G1120" s="11" t="str">
        <f t="shared" si="70"/>
        <v>202507</v>
      </c>
      <c r="H1120" s="4">
        <v>46173</v>
      </c>
      <c r="I1120" s="5">
        <v>331</v>
      </c>
      <c r="J1120" s="5">
        <v>11.033333333333333</v>
      </c>
      <c r="K1120" s="5">
        <f t="shared" si="71"/>
        <v>0</v>
      </c>
      <c r="L1120" s="5">
        <v>0</v>
      </c>
      <c r="M1120" s="5">
        <v>0</v>
      </c>
      <c r="N1120" t="s">
        <v>9</v>
      </c>
      <c r="O1120" s="8">
        <v>18.687671232876713</v>
      </c>
      <c r="P1120" t="s">
        <v>32</v>
      </c>
      <c r="Q1120">
        <v>1</v>
      </c>
      <c r="R1120" s="2">
        <v>39021</v>
      </c>
    </row>
    <row r="1121" spans="1:18" x14ac:dyDescent="0.3">
      <c r="A1121" t="s">
        <v>7</v>
      </c>
      <c r="B1121">
        <v>18812936</v>
      </c>
      <c r="C1121" t="s">
        <v>8</v>
      </c>
      <c r="D1121" s="4">
        <v>45842</v>
      </c>
      <c r="E1121" s="11">
        <f t="shared" si="68"/>
        <v>2025</v>
      </c>
      <c r="F1121" s="11">
        <f t="shared" si="69"/>
        <v>7</v>
      </c>
      <c r="G1121" s="11" t="str">
        <f t="shared" si="70"/>
        <v>202507</v>
      </c>
      <c r="I1121" s="5">
        <v>9999</v>
      </c>
      <c r="J1121" s="5">
        <v>333.3</v>
      </c>
      <c r="K1121" s="5">
        <f t="shared" si="71"/>
        <v>0</v>
      </c>
      <c r="L1121" s="5">
        <v>0</v>
      </c>
      <c r="M1121" s="5">
        <v>0</v>
      </c>
      <c r="N1121" t="s">
        <v>9</v>
      </c>
      <c r="O1121" s="8">
        <v>22.534246575342465</v>
      </c>
      <c r="P1121" t="s">
        <v>33</v>
      </c>
      <c r="Q1121">
        <v>2</v>
      </c>
      <c r="R1121" s="2">
        <v>37617</v>
      </c>
    </row>
    <row r="1122" spans="1:18" x14ac:dyDescent="0.3">
      <c r="A1122" t="s">
        <v>7</v>
      </c>
      <c r="B1122">
        <v>18813182</v>
      </c>
      <c r="C1122" t="s">
        <v>10</v>
      </c>
      <c r="D1122" s="4">
        <v>45842</v>
      </c>
      <c r="E1122" s="11">
        <f t="shared" si="68"/>
        <v>2025</v>
      </c>
      <c r="F1122" s="11">
        <f t="shared" si="69"/>
        <v>7</v>
      </c>
      <c r="G1122" s="11" t="str">
        <f t="shared" si="70"/>
        <v>202507</v>
      </c>
      <c r="I1122" s="5">
        <v>9999</v>
      </c>
      <c r="J1122" s="5">
        <v>333.3</v>
      </c>
      <c r="K1122" s="5">
        <f t="shared" si="71"/>
        <v>0</v>
      </c>
      <c r="L1122" s="5">
        <v>0</v>
      </c>
      <c r="M1122" s="5">
        <v>0</v>
      </c>
      <c r="N1122" t="s">
        <v>12</v>
      </c>
      <c r="O1122" s="8">
        <v>21.5013698630137</v>
      </c>
      <c r="P1122" t="s">
        <v>33</v>
      </c>
      <c r="Q1122">
        <v>2</v>
      </c>
      <c r="R1122" s="2">
        <v>37994</v>
      </c>
    </row>
    <row r="1123" spans="1:18" x14ac:dyDescent="0.3">
      <c r="A1123" t="s">
        <v>7</v>
      </c>
      <c r="B1123">
        <v>18818842</v>
      </c>
      <c r="C1123" t="s">
        <v>8</v>
      </c>
      <c r="D1123" s="4">
        <v>45845</v>
      </c>
      <c r="E1123" s="11">
        <f t="shared" si="68"/>
        <v>2025</v>
      </c>
      <c r="F1123" s="11">
        <f t="shared" si="69"/>
        <v>7</v>
      </c>
      <c r="G1123" s="11" t="str">
        <f t="shared" si="70"/>
        <v>202507</v>
      </c>
      <c r="H1123" s="4">
        <v>46012</v>
      </c>
      <c r="I1123" s="5">
        <v>167</v>
      </c>
      <c r="J1123" s="5">
        <v>5.5666666666666664</v>
      </c>
      <c r="K1123" s="5">
        <f t="shared" si="71"/>
        <v>0</v>
      </c>
      <c r="L1123" s="5">
        <v>0</v>
      </c>
      <c r="M1123" s="5">
        <v>1</v>
      </c>
      <c r="N1123" t="s">
        <v>9</v>
      </c>
      <c r="O1123" s="8">
        <v>18.150684931506849</v>
      </c>
      <c r="P1123" t="s">
        <v>32</v>
      </c>
      <c r="Q1123">
        <v>1</v>
      </c>
      <c r="R1123" s="2">
        <v>39220</v>
      </c>
    </row>
    <row r="1124" spans="1:18" x14ac:dyDescent="0.3">
      <c r="A1124" t="s">
        <v>7</v>
      </c>
      <c r="B1124">
        <v>18818892</v>
      </c>
      <c r="C1124" t="s">
        <v>8</v>
      </c>
      <c r="D1124" s="4">
        <v>45845</v>
      </c>
      <c r="E1124" s="11">
        <f t="shared" si="68"/>
        <v>2025</v>
      </c>
      <c r="F1124" s="11">
        <f t="shared" si="69"/>
        <v>7</v>
      </c>
      <c r="G1124" s="11" t="str">
        <f t="shared" si="70"/>
        <v>202507</v>
      </c>
      <c r="H1124" s="4">
        <v>46173</v>
      </c>
      <c r="I1124" s="5">
        <v>328</v>
      </c>
      <c r="J1124" s="5">
        <v>10.933333333333334</v>
      </c>
      <c r="K1124" s="5">
        <f t="shared" si="71"/>
        <v>0</v>
      </c>
      <c r="L1124" s="5">
        <v>0</v>
      </c>
      <c r="M1124" s="5">
        <v>0</v>
      </c>
      <c r="N1124" t="s">
        <v>12</v>
      </c>
      <c r="O1124" s="8">
        <v>20.405479452054795</v>
      </c>
      <c r="P1124" t="s">
        <v>32</v>
      </c>
      <c r="Q1124">
        <v>1</v>
      </c>
      <c r="R1124" s="2">
        <v>38397</v>
      </c>
    </row>
    <row r="1125" spans="1:18" x14ac:dyDescent="0.3">
      <c r="A1125" t="s">
        <v>7</v>
      </c>
      <c r="B1125">
        <v>18819022</v>
      </c>
      <c r="C1125" t="s">
        <v>8</v>
      </c>
      <c r="D1125" s="4">
        <v>45845</v>
      </c>
      <c r="E1125" s="11">
        <f t="shared" si="68"/>
        <v>2025</v>
      </c>
      <c r="F1125" s="11">
        <f t="shared" si="69"/>
        <v>7</v>
      </c>
      <c r="G1125" s="11" t="str">
        <f t="shared" si="70"/>
        <v>202507</v>
      </c>
      <c r="I1125" s="5">
        <v>9999</v>
      </c>
      <c r="J1125" s="5">
        <v>333.3</v>
      </c>
      <c r="K1125" s="5">
        <f t="shared" si="71"/>
        <v>0</v>
      </c>
      <c r="L1125" s="5">
        <v>0</v>
      </c>
      <c r="M1125" s="5">
        <v>0</v>
      </c>
      <c r="N1125" t="s">
        <v>9</v>
      </c>
      <c r="O1125" s="8">
        <v>20.254794520547946</v>
      </c>
      <c r="P1125" t="s">
        <v>32</v>
      </c>
      <c r="Q1125">
        <v>1</v>
      </c>
      <c r="R1125" s="2">
        <v>38452</v>
      </c>
    </row>
    <row r="1126" spans="1:18" x14ac:dyDescent="0.3">
      <c r="A1126" t="s">
        <v>7</v>
      </c>
      <c r="B1126">
        <v>18819936</v>
      </c>
      <c r="C1126" t="s">
        <v>8</v>
      </c>
      <c r="D1126" s="4">
        <v>45845</v>
      </c>
      <c r="E1126" s="11">
        <f t="shared" si="68"/>
        <v>2025</v>
      </c>
      <c r="F1126" s="11">
        <f t="shared" si="69"/>
        <v>7</v>
      </c>
      <c r="G1126" s="11" t="str">
        <f t="shared" si="70"/>
        <v>202507</v>
      </c>
      <c r="I1126" s="5">
        <v>9999</v>
      </c>
      <c r="J1126" s="5">
        <v>333.3</v>
      </c>
      <c r="K1126" s="5">
        <f t="shared" si="71"/>
        <v>0</v>
      </c>
      <c r="L1126" s="5">
        <v>0</v>
      </c>
      <c r="M1126" s="5">
        <v>0</v>
      </c>
      <c r="N1126" t="s">
        <v>9</v>
      </c>
      <c r="O1126" s="8">
        <v>20.564383561643837</v>
      </c>
      <c r="P1126" t="s">
        <v>32</v>
      </c>
      <c r="Q1126">
        <v>1</v>
      </c>
      <c r="R1126" s="2">
        <v>38339</v>
      </c>
    </row>
    <row r="1127" spans="1:18" x14ac:dyDescent="0.3">
      <c r="A1127" t="s">
        <v>7</v>
      </c>
      <c r="B1127">
        <v>18827061</v>
      </c>
      <c r="C1127" t="s">
        <v>8</v>
      </c>
      <c r="D1127" s="4">
        <v>45846</v>
      </c>
      <c r="E1127" s="11">
        <f t="shared" si="68"/>
        <v>2025</v>
      </c>
      <c r="F1127" s="11">
        <f t="shared" si="69"/>
        <v>7</v>
      </c>
      <c r="G1127" s="11" t="str">
        <f t="shared" si="70"/>
        <v>202507</v>
      </c>
      <c r="I1127" s="5">
        <v>9999</v>
      </c>
      <c r="J1127" s="5">
        <v>333.3</v>
      </c>
      <c r="K1127" s="5">
        <f t="shared" si="71"/>
        <v>0</v>
      </c>
      <c r="L1127" s="5">
        <v>0</v>
      </c>
      <c r="M1127" s="5">
        <v>0</v>
      </c>
      <c r="N1127" t="s">
        <v>12</v>
      </c>
      <c r="O1127" s="8">
        <v>25.123287671232877</v>
      </c>
      <c r="P1127" t="s">
        <v>33</v>
      </c>
      <c r="Q1127">
        <v>2</v>
      </c>
      <c r="R1127" s="2">
        <v>36676</v>
      </c>
    </row>
    <row r="1128" spans="1:18" x14ac:dyDescent="0.3">
      <c r="A1128" t="s">
        <v>7</v>
      </c>
      <c r="B1128">
        <v>18827334</v>
      </c>
      <c r="C1128" t="s">
        <v>8</v>
      </c>
      <c r="D1128" s="4">
        <v>45846</v>
      </c>
      <c r="E1128" s="11">
        <f t="shared" si="68"/>
        <v>2025</v>
      </c>
      <c r="F1128" s="11">
        <f t="shared" si="69"/>
        <v>7</v>
      </c>
      <c r="G1128" s="11" t="str">
        <f t="shared" si="70"/>
        <v>202507</v>
      </c>
      <c r="H1128" s="4">
        <v>45887</v>
      </c>
      <c r="I1128" s="5">
        <v>41</v>
      </c>
      <c r="J1128" s="5">
        <v>1.3666666666666667</v>
      </c>
      <c r="K1128" s="5">
        <f t="shared" si="71"/>
        <v>0</v>
      </c>
      <c r="L1128" s="5">
        <v>1</v>
      </c>
      <c r="M1128" s="5">
        <v>1</v>
      </c>
      <c r="N1128" t="s">
        <v>9</v>
      </c>
      <c r="O1128" s="8">
        <v>19.536986301369861</v>
      </c>
      <c r="P1128" t="s">
        <v>32</v>
      </c>
      <c r="Q1128">
        <v>1</v>
      </c>
      <c r="R1128" s="2">
        <v>38715</v>
      </c>
    </row>
    <row r="1129" spans="1:18" x14ac:dyDescent="0.3">
      <c r="A1129" t="s">
        <v>7</v>
      </c>
      <c r="B1129">
        <v>18833642</v>
      </c>
      <c r="C1129" t="s">
        <v>10</v>
      </c>
      <c r="D1129" s="4">
        <v>45847</v>
      </c>
      <c r="E1129" s="11">
        <f t="shared" si="68"/>
        <v>2025</v>
      </c>
      <c r="F1129" s="11">
        <f t="shared" si="69"/>
        <v>7</v>
      </c>
      <c r="G1129" s="11" t="str">
        <f t="shared" si="70"/>
        <v>202507</v>
      </c>
      <c r="I1129" s="5">
        <v>9999</v>
      </c>
      <c r="J1129" s="5">
        <v>333.3</v>
      </c>
      <c r="K1129" s="5">
        <f t="shared" si="71"/>
        <v>0</v>
      </c>
      <c r="L1129" s="5">
        <v>0</v>
      </c>
      <c r="M1129" s="5">
        <v>0</v>
      </c>
      <c r="N1129" t="s">
        <v>12</v>
      </c>
      <c r="O1129" s="8">
        <v>18.452054794520549</v>
      </c>
      <c r="P1129" t="s">
        <v>32</v>
      </c>
      <c r="Q1129">
        <v>1</v>
      </c>
      <c r="R1129" s="2">
        <v>39112</v>
      </c>
    </row>
    <row r="1130" spans="1:18" x14ac:dyDescent="0.3">
      <c r="A1130" t="s">
        <v>7</v>
      </c>
      <c r="B1130">
        <v>18833709</v>
      </c>
      <c r="C1130" t="s">
        <v>8</v>
      </c>
      <c r="D1130" s="4">
        <v>45847</v>
      </c>
      <c r="E1130" s="11">
        <f t="shared" si="68"/>
        <v>2025</v>
      </c>
      <c r="F1130" s="11">
        <f t="shared" si="69"/>
        <v>7</v>
      </c>
      <c r="G1130" s="11" t="str">
        <f t="shared" si="70"/>
        <v>202507</v>
      </c>
      <c r="I1130" s="5">
        <v>9999</v>
      </c>
      <c r="J1130" s="5">
        <v>333.3</v>
      </c>
      <c r="K1130" s="5">
        <f t="shared" si="71"/>
        <v>0</v>
      </c>
      <c r="L1130" s="5">
        <v>0</v>
      </c>
      <c r="M1130" s="5">
        <v>0</v>
      </c>
      <c r="N1130" t="s">
        <v>12</v>
      </c>
      <c r="O1130" s="8">
        <v>30.835616438356166</v>
      </c>
      <c r="P1130" t="s">
        <v>34</v>
      </c>
      <c r="Q1130">
        <v>3</v>
      </c>
      <c r="R1130" s="2">
        <v>34592</v>
      </c>
    </row>
    <row r="1131" spans="1:18" x14ac:dyDescent="0.3">
      <c r="A1131" t="s">
        <v>7</v>
      </c>
      <c r="B1131">
        <v>18833846</v>
      </c>
      <c r="C1131" t="s">
        <v>8</v>
      </c>
      <c r="D1131" s="4">
        <v>45847</v>
      </c>
      <c r="E1131" s="11">
        <f t="shared" si="68"/>
        <v>2025</v>
      </c>
      <c r="F1131" s="11">
        <f t="shared" si="69"/>
        <v>7</v>
      </c>
      <c r="G1131" s="11" t="str">
        <f t="shared" si="70"/>
        <v>202507</v>
      </c>
      <c r="H1131" s="4">
        <v>46142</v>
      </c>
      <c r="I1131" s="5">
        <v>295</v>
      </c>
      <c r="J1131" s="5">
        <v>9.8333333333333339</v>
      </c>
      <c r="K1131" s="5">
        <f t="shared" si="71"/>
        <v>0</v>
      </c>
      <c r="L1131" s="5">
        <v>0</v>
      </c>
      <c r="M1131" s="5">
        <v>0</v>
      </c>
      <c r="N1131" t="s">
        <v>9</v>
      </c>
      <c r="O1131" s="8">
        <v>22.61917808219178</v>
      </c>
      <c r="P1131" t="s">
        <v>33</v>
      </c>
      <c r="Q1131">
        <v>2</v>
      </c>
      <c r="R1131" s="2">
        <v>37591</v>
      </c>
    </row>
    <row r="1132" spans="1:18" x14ac:dyDescent="0.3">
      <c r="A1132" t="s">
        <v>11</v>
      </c>
      <c r="B1132">
        <v>18834430</v>
      </c>
      <c r="C1132" t="s">
        <v>8</v>
      </c>
      <c r="D1132" s="4">
        <v>45847</v>
      </c>
      <c r="E1132" s="11">
        <f t="shared" si="68"/>
        <v>2025</v>
      </c>
      <c r="F1132" s="11">
        <f t="shared" si="69"/>
        <v>7</v>
      </c>
      <c r="G1132" s="11" t="str">
        <f t="shared" si="70"/>
        <v>202507</v>
      </c>
      <c r="H1132" s="4">
        <v>45950</v>
      </c>
      <c r="I1132" s="5">
        <v>103</v>
      </c>
      <c r="J1132" s="5">
        <v>3.4333333333333331</v>
      </c>
      <c r="K1132" s="5">
        <f t="shared" si="71"/>
        <v>0</v>
      </c>
      <c r="L1132" s="5">
        <v>0</v>
      </c>
      <c r="M1132" s="5">
        <v>1</v>
      </c>
      <c r="N1132" t="s">
        <v>9</v>
      </c>
      <c r="O1132" s="8">
        <v>18.528767123287672</v>
      </c>
      <c r="P1132" t="s">
        <v>32</v>
      </c>
      <c r="Q1132">
        <v>1</v>
      </c>
      <c r="R1132" s="2">
        <v>39084</v>
      </c>
    </row>
    <row r="1133" spans="1:18" x14ac:dyDescent="0.3">
      <c r="A1133" t="s">
        <v>7</v>
      </c>
      <c r="B1133">
        <v>18834431</v>
      </c>
      <c r="C1133" t="s">
        <v>8</v>
      </c>
      <c r="D1133" s="4">
        <v>45847</v>
      </c>
      <c r="E1133" s="11">
        <f t="shared" si="68"/>
        <v>2025</v>
      </c>
      <c r="F1133" s="11">
        <f t="shared" si="69"/>
        <v>7</v>
      </c>
      <c r="G1133" s="11" t="str">
        <f t="shared" si="70"/>
        <v>202507</v>
      </c>
      <c r="H1133" s="4">
        <v>45912</v>
      </c>
      <c r="I1133" s="5">
        <v>65</v>
      </c>
      <c r="J1133" s="5">
        <v>2.1666666666666665</v>
      </c>
      <c r="K1133" s="5">
        <f t="shared" si="71"/>
        <v>0</v>
      </c>
      <c r="L1133" s="5">
        <v>1</v>
      </c>
      <c r="M1133" s="5">
        <v>1</v>
      </c>
      <c r="N1133" t="s">
        <v>9</v>
      </c>
      <c r="O1133" s="8">
        <v>21.476712328767125</v>
      </c>
      <c r="P1133" t="s">
        <v>33</v>
      </c>
      <c r="Q1133">
        <v>2</v>
      </c>
      <c r="R1133" s="2">
        <v>38008</v>
      </c>
    </row>
    <row r="1134" spans="1:18" x14ac:dyDescent="0.3">
      <c r="A1134" t="s">
        <v>7</v>
      </c>
      <c r="B1134">
        <v>18836214</v>
      </c>
      <c r="C1134" t="s">
        <v>8</v>
      </c>
      <c r="D1134" s="4">
        <v>45848</v>
      </c>
      <c r="E1134" s="11">
        <f t="shared" si="68"/>
        <v>2025</v>
      </c>
      <c r="F1134" s="11">
        <f t="shared" si="69"/>
        <v>7</v>
      </c>
      <c r="G1134" s="11" t="str">
        <f t="shared" si="70"/>
        <v>202507</v>
      </c>
      <c r="H1134" s="4">
        <v>45870</v>
      </c>
      <c r="I1134" s="5">
        <v>22</v>
      </c>
      <c r="J1134" s="5">
        <v>0.73333333333333328</v>
      </c>
      <c r="K1134" s="5">
        <f t="shared" si="71"/>
        <v>1</v>
      </c>
      <c r="L1134" s="5">
        <v>1</v>
      </c>
      <c r="M1134" s="5">
        <v>1</v>
      </c>
      <c r="N1134" t="s">
        <v>9</v>
      </c>
      <c r="O1134" s="8">
        <v>19.084931506849315</v>
      </c>
      <c r="P1134" t="s">
        <v>32</v>
      </c>
      <c r="Q1134">
        <v>1</v>
      </c>
      <c r="R1134" s="2">
        <v>38882</v>
      </c>
    </row>
    <row r="1135" spans="1:18" x14ac:dyDescent="0.3">
      <c r="A1135" t="s">
        <v>7</v>
      </c>
      <c r="B1135">
        <v>18836220</v>
      </c>
      <c r="C1135" t="s">
        <v>8</v>
      </c>
      <c r="D1135" s="4">
        <v>45848</v>
      </c>
      <c r="E1135" s="11">
        <f t="shared" si="68"/>
        <v>2025</v>
      </c>
      <c r="F1135" s="11">
        <f t="shared" si="69"/>
        <v>7</v>
      </c>
      <c r="G1135" s="11" t="str">
        <f t="shared" si="70"/>
        <v>202507</v>
      </c>
      <c r="I1135" s="5">
        <v>9999</v>
      </c>
      <c r="J1135" s="5">
        <v>333.3</v>
      </c>
      <c r="K1135" s="5">
        <f t="shared" si="71"/>
        <v>0</v>
      </c>
      <c r="L1135" s="5">
        <v>0</v>
      </c>
      <c r="M1135" s="5">
        <v>0</v>
      </c>
      <c r="N1135" t="s">
        <v>12</v>
      </c>
      <c r="O1135" s="8">
        <v>27.482191780821918</v>
      </c>
      <c r="P1135" t="s">
        <v>34</v>
      </c>
      <c r="Q1135">
        <v>3</v>
      </c>
      <c r="R1135" s="2">
        <v>35817</v>
      </c>
    </row>
    <row r="1136" spans="1:18" x14ac:dyDescent="0.3">
      <c r="A1136" t="s">
        <v>7</v>
      </c>
      <c r="B1136">
        <v>18837973</v>
      </c>
      <c r="C1136" t="s">
        <v>8</v>
      </c>
      <c r="D1136" s="4">
        <v>45849</v>
      </c>
      <c r="E1136" s="11">
        <f t="shared" si="68"/>
        <v>2025</v>
      </c>
      <c r="F1136" s="11">
        <f t="shared" si="69"/>
        <v>7</v>
      </c>
      <c r="G1136" s="11" t="str">
        <f t="shared" si="70"/>
        <v>202507</v>
      </c>
      <c r="H1136" s="4">
        <v>46096</v>
      </c>
      <c r="I1136" s="5">
        <v>247</v>
      </c>
      <c r="J1136" s="5">
        <v>8.2333333333333325</v>
      </c>
      <c r="K1136" s="5">
        <f t="shared" si="71"/>
        <v>0</v>
      </c>
      <c r="L1136" s="5">
        <v>0</v>
      </c>
      <c r="M1136" s="5">
        <v>0</v>
      </c>
      <c r="N1136" t="s">
        <v>12</v>
      </c>
      <c r="O1136" s="8">
        <v>23.230136986301371</v>
      </c>
      <c r="P1136" t="s">
        <v>33</v>
      </c>
      <c r="Q1136">
        <v>2</v>
      </c>
      <c r="R1136" s="2">
        <v>37370</v>
      </c>
    </row>
    <row r="1137" spans="1:18" x14ac:dyDescent="0.3">
      <c r="A1137" t="s">
        <v>7</v>
      </c>
      <c r="B1137">
        <v>18837980</v>
      </c>
      <c r="C1137" t="s">
        <v>8</v>
      </c>
      <c r="D1137" s="4">
        <v>45849</v>
      </c>
      <c r="E1137" s="11">
        <f t="shared" si="68"/>
        <v>2025</v>
      </c>
      <c r="F1137" s="11">
        <f t="shared" si="69"/>
        <v>7</v>
      </c>
      <c r="G1137" s="11" t="str">
        <f t="shared" si="70"/>
        <v>202507</v>
      </c>
      <c r="H1137" s="4">
        <v>46055</v>
      </c>
      <c r="I1137" s="5">
        <v>206</v>
      </c>
      <c r="J1137" s="5">
        <v>6.8666666666666663</v>
      </c>
      <c r="K1137" s="5">
        <f t="shared" si="71"/>
        <v>0</v>
      </c>
      <c r="L1137" s="5">
        <v>0</v>
      </c>
      <c r="M1137" s="5">
        <v>0</v>
      </c>
      <c r="N1137" t="s">
        <v>12</v>
      </c>
      <c r="O1137" s="8">
        <v>33.443835616438356</v>
      </c>
      <c r="P1137" t="s">
        <v>35</v>
      </c>
      <c r="Q1137">
        <v>4</v>
      </c>
      <c r="R1137" s="2">
        <v>33642</v>
      </c>
    </row>
    <row r="1138" spans="1:18" x14ac:dyDescent="0.3">
      <c r="A1138" t="s">
        <v>7</v>
      </c>
      <c r="B1138">
        <v>18846123</v>
      </c>
      <c r="C1138" t="s">
        <v>8</v>
      </c>
      <c r="D1138" s="4">
        <v>45852</v>
      </c>
      <c r="E1138" s="11">
        <f t="shared" si="68"/>
        <v>2025</v>
      </c>
      <c r="F1138" s="11">
        <f t="shared" si="69"/>
        <v>7</v>
      </c>
      <c r="G1138" s="11" t="str">
        <f t="shared" si="70"/>
        <v>202507</v>
      </c>
      <c r="H1138" s="4">
        <v>46160</v>
      </c>
      <c r="I1138" s="5">
        <v>308</v>
      </c>
      <c r="J1138" s="5">
        <v>10.266666666666667</v>
      </c>
      <c r="K1138" s="5">
        <f t="shared" si="71"/>
        <v>0</v>
      </c>
      <c r="L1138" s="5">
        <v>0</v>
      </c>
      <c r="M1138" s="5">
        <v>0</v>
      </c>
      <c r="N1138" t="s">
        <v>12</v>
      </c>
      <c r="O1138" s="8">
        <v>27.575342465753426</v>
      </c>
      <c r="P1138" t="s">
        <v>34</v>
      </c>
      <c r="Q1138">
        <v>3</v>
      </c>
      <c r="R1138" s="2">
        <v>35787</v>
      </c>
    </row>
    <row r="1139" spans="1:18" x14ac:dyDescent="0.3">
      <c r="A1139" t="s">
        <v>7</v>
      </c>
      <c r="B1139">
        <v>18850091</v>
      </c>
      <c r="C1139" t="s">
        <v>10</v>
      </c>
      <c r="D1139" s="4">
        <v>45852</v>
      </c>
      <c r="E1139" s="11">
        <f t="shared" si="68"/>
        <v>2025</v>
      </c>
      <c r="F1139" s="11">
        <f t="shared" si="69"/>
        <v>7</v>
      </c>
      <c r="G1139" s="11" t="str">
        <f t="shared" si="70"/>
        <v>202507</v>
      </c>
      <c r="I1139" s="5">
        <v>9999</v>
      </c>
      <c r="J1139" s="5">
        <v>333.3</v>
      </c>
      <c r="K1139" s="5">
        <f t="shared" si="71"/>
        <v>0</v>
      </c>
      <c r="L1139" s="5">
        <v>0</v>
      </c>
      <c r="M1139" s="5">
        <v>0</v>
      </c>
      <c r="N1139" t="s">
        <v>12</v>
      </c>
      <c r="O1139" s="8">
        <v>21.835616438356166</v>
      </c>
      <c r="P1139" t="s">
        <v>33</v>
      </c>
      <c r="Q1139">
        <v>2</v>
      </c>
      <c r="R1139" s="2">
        <v>37882</v>
      </c>
    </row>
    <row r="1140" spans="1:18" x14ac:dyDescent="0.3">
      <c r="A1140" t="s">
        <v>7</v>
      </c>
      <c r="B1140">
        <v>18850092</v>
      </c>
      <c r="C1140" t="s">
        <v>8</v>
      </c>
      <c r="D1140" s="4">
        <v>45852</v>
      </c>
      <c r="E1140" s="11">
        <f t="shared" si="68"/>
        <v>2025</v>
      </c>
      <c r="F1140" s="11">
        <f t="shared" si="69"/>
        <v>7</v>
      </c>
      <c r="G1140" s="11" t="str">
        <f t="shared" si="70"/>
        <v>202507</v>
      </c>
      <c r="I1140" s="5">
        <v>9999</v>
      </c>
      <c r="J1140" s="5">
        <v>333.3</v>
      </c>
      <c r="K1140" s="5">
        <f t="shared" si="71"/>
        <v>0</v>
      </c>
      <c r="L1140" s="5">
        <v>0</v>
      </c>
      <c r="M1140" s="5">
        <v>0</v>
      </c>
      <c r="N1140" t="s">
        <v>12</v>
      </c>
      <c r="O1140" s="8">
        <v>24.761643835616439</v>
      </c>
      <c r="P1140" t="s">
        <v>33</v>
      </c>
      <c r="Q1140">
        <v>2</v>
      </c>
      <c r="R1140" s="2">
        <v>36814</v>
      </c>
    </row>
    <row r="1141" spans="1:18" x14ac:dyDescent="0.3">
      <c r="A1141" t="s">
        <v>7</v>
      </c>
      <c r="B1141">
        <v>18850205</v>
      </c>
      <c r="C1141" t="s">
        <v>10</v>
      </c>
      <c r="D1141" s="4">
        <v>45852</v>
      </c>
      <c r="E1141" s="11">
        <f t="shared" si="68"/>
        <v>2025</v>
      </c>
      <c r="F1141" s="11">
        <f t="shared" si="69"/>
        <v>7</v>
      </c>
      <c r="G1141" s="11" t="str">
        <f t="shared" si="70"/>
        <v>202507</v>
      </c>
      <c r="H1141" s="4">
        <v>45931</v>
      </c>
      <c r="I1141" s="5">
        <v>79</v>
      </c>
      <c r="J1141" s="5">
        <v>2.6333333333333333</v>
      </c>
      <c r="K1141" s="5">
        <f t="shared" si="71"/>
        <v>0</v>
      </c>
      <c r="L1141" s="5">
        <v>1</v>
      </c>
      <c r="M1141" s="5">
        <v>1</v>
      </c>
      <c r="N1141" t="s">
        <v>12</v>
      </c>
      <c r="O1141" s="8">
        <v>23.698630136986303</v>
      </c>
      <c r="P1141" t="s">
        <v>33</v>
      </c>
      <c r="Q1141">
        <v>2</v>
      </c>
      <c r="R1141" s="2">
        <v>37202</v>
      </c>
    </row>
    <row r="1142" spans="1:18" x14ac:dyDescent="0.3">
      <c r="A1142" t="s">
        <v>7</v>
      </c>
      <c r="B1142">
        <v>18853896</v>
      </c>
      <c r="C1142" t="s">
        <v>8</v>
      </c>
      <c r="D1142" s="4">
        <v>45852</v>
      </c>
      <c r="E1142" s="11">
        <f t="shared" si="68"/>
        <v>2025</v>
      </c>
      <c r="F1142" s="11">
        <f t="shared" si="69"/>
        <v>7</v>
      </c>
      <c r="G1142" s="11" t="str">
        <f t="shared" si="70"/>
        <v>202507</v>
      </c>
      <c r="H1142" s="4">
        <v>46157</v>
      </c>
      <c r="I1142" s="5">
        <v>305</v>
      </c>
      <c r="J1142" s="5">
        <v>10.166666666666666</v>
      </c>
      <c r="K1142" s="5">
        <f t="shared" si="71"/>
        <v>0</v>
      </c>
      <c r="L1142" s="5">
        <v>0</v>
      </c>
      <c r="M1142" s="5">
        <v>0</v>
      </c>
      <c r="N1142" t="s">
        <v>12</v>
      </c>
      <c r="O1142" s="8">
        <v>18.495890410958904</v>
      </c>
      <c r="P1142" t="s">
        <v>32</v>
      </c>
      <c r="Q1142">
        <v>1</v>
      </c>
      <c r="R1142" s="2">
        <v>39101</v>
      </c>
    </row>
    <row r="1143" spans="1:18" x14ac:dyDescent="0.3">
      <c r="A1143" t="s">
        <v>7</v>
      </c>
      <c r="B1143">
        <v>18870579</v>
      </c>
      <c r="C1143" t="s">
        <v>8</v>
      </c>
      <c r="D1143" s="4">
        <v>45853</v>
      </c>
      <c r="E1143" s="11">
        <f t="shared" si="68"/>
        <v>2025</v>
      </c>
      <c r="F1143" s="11">
        <f t="shared" si="69"/>
        <v>7</v>
      </c>
      <c r="G1143" s="11" t="str">
        <f t="shared" si="70"/>
        <v>202507</v>
      </c>
      <c r="I1143" s="5">
        <v>9999</v>
      </c>
      <c r="J1143" s="5">
        <v>333.3</v>
      </c>
      <c r="K1143" s="5">
        <f t="shared" si="71"/>
        <v>0</v>
      </c>
      <c r="L1143" s="5">
        <v>0</v>
      </c>
      <c r="M1143" s="5">
        <v>0</v>
      </c>
      <c r="N1143" t="s">
        <v>9</v>
      </c>
      <c r="O1143" s="8">
        <v>23.246575342465754</v>
      </c>
      <c r="P1143" t="s">
        <v>33</v>
      </c>
      <c r="Q1143">
        <v>2</v>
      </c>
      <c r="R1143" s="2">
        <v>37368</v>
      </c>
    </row>
    <row r="1144" spans="1:18" x14ac:dyDescent="0.3">
      <c r="A1144" t="s">
        <v>7</v>
      </c>
      <c r="B1144">
        <v>18870580</v>
      </c>
      <c r="C1144" t="s">
        <v>8</v>
      </c>
      <c r="D1144" s="4">
        <v>45853</v>
      </c>
      <c r="E1144" s="11">
        <f t="shared" si="68"/>
        <v>2025</v>
      </c>
      <c r="F1144" s="11">
        <f t="shared" si="69"/>
        <v>7</v>
      </c>
      <c r="G1144" s="11" t="str">
        <f t="shared" si="70"/>
        <v>202507</v>
      </c>
      <c r="I1144" s="5">
        <v>9999</v>
      </c>
      <c r="J1144" s="5">
        <v>333.3</v>
      </c>
      <c r="K1144" s="5">
        <f t="shared" si="71"/>
        <v>0</v>
      </c>
      <c r="L1144" s="5">
        <v>0</v>
      </c>
      <c r="M1144" s="5">
        <v>0</v>
      </c>
      <c r="N1144" t="s">
        <v>9</v>
      </c>
      <c r="O1144" s="8">
        <v>54.835616438356162</v>
      </c>
      <c r="P1144" t="s">
        <v>35</v>
      </c>
      <c r="Q1144">
        <v>4</v>
      </c>
      <c r="R1144" s="2">
        <v>25838</v>
      </c>
    </row>
    <row r="1145" spans="1:18" x14ac:dyDescent="0.3">
      <c r="A1145" t="s">
        <v>7</v>
      </c>
      <c r="B1145">
        <v>18870581</v>
      </c>
      <c r="C1145" t="s">
        <v>8</v>
      </c>
      <c r="D1145" s="4">
        <v>45853</v>
      </c>
      <c r="E1145" s="11">
        <f t="shared" si="68"/>
        <v>2025</v>
      </c>
      <c r="F1145" s="11">
        <f t="shared" si="69"/>
        <v>7</v>
      </c>
      <c r="G1145" s="11" t="str">
        <f t="shared" si="70"/>
        <v>202507</v>
      </c>
      <c r="H1145" s="4">
        <v>46150</v>
      </c>
      <c r="I1145" s="5">
        <v>297</v>
      </c>
      <c r="J1145" s="5">
        <v>9.9</v>
      </c>
      <c r="K1145" s="5">
        <f t="shared" si="71"/>
        <v>0</v>
      </c>
      <c r="L1145" s="5">
        <v>0</v>
      </c>
      <c r="M1145" s="5">
        <v>0</v>
      </c>
      <c r="N1145" t="s">
        <v>9</v>
      </c>
      <c r="O1145" s="8">
        <v>21.931506849315067</v>
      </c>
      <c r="P1145" t="s">
        <v>33</v>
      </c>
      <c r="Q1145">
        <v>2</v>
      </c>
      <c r="R1145" s="2">
        <v>37848</v>
      </c>
    </row>
    <row r="1146" spans="1:18" x14ac:dyDescent="0.3">
      <c r="A1146" t="s">
        <v>7</v>
      </c>
      <c r="B1146">
        <v>18870582</v>
      </c>
      <c r="C1146" t="s">
        <v>8</v>
      </c>
      <c r="D1146" s="4">
        <v>45853</v>
      </c>
      <c r="E1146" s="11">
        <f t="shared" si="68"/>
        <v>2025</v>
      </c>
      <c r="F1146" s="11">
        <f t="shared" si="69"/>
        <v>7</v>
      </c>
      <c r="G1146" s="11" t="str">
        <f t="shared" si="70"/>
        <v>202507</v>
      </c>
      <c r="H1146" s="4">
        <v>45950</v>
      </c>
      <c r="I1146" s="5">
        <v>97</v>
      </c>
      <c r="J1146" s="5">
        <v>3.2333333333333334</v>
      </c>
      <c r="K1146" s="5">
        <f t="shared" si="71"/>
        <v>0</v>
      </c>
      <c r="L1146" s="5">
        <v>0</v>
      </c>
      <c r="M1146" s="5">
        <v>1</v>
      </c>
      <c r="N1146" t="s">
        <v>9</v>
      </c>
      <c r="O1146" s="8">
        <v>21.361643835616437</v>
      </c>
      <c r="P1146" t="s">
        <v>33</v>
      </c>
      <c r="Q1146">
        <v>2</v>
      </c>
      <c r="R1146" s="2">
        <v>38056</v>
      </c>
    </row>
    <row r="1147" spans="1:18" x14ac:dyDescent="0.3">
      <c r="A1147" t="s">
        <v>7</v>
      </c>
      <c r="B1147">
        <v>18870591</v>
      </c>
      <c r="C1147" t="s">
        <v>10</v>
      </c>
      <c r="D1147" s="4">
        <v>45853</v>
      </c>
      <c r="E1147" s="11">
        <f t="shared" si="68"/>
        <v>2025</v>
      </c>
      <c r="F1147" s="11">
        <f t="shared" si="69"/>
        <v>7</v>
      </c>
      <c r="G1147" s="11" t="str">
        <f t="shared" si="70"/>
        <v>202507</v>
      </c>
      <c r="H1147" s="4">
        <v>45913</v>
      </c>
      <c r="I1147" s="5">
        <v>60</v>
      </c>
      <c r="J1147" s="5">
        <v>2</v>
      </c>
      <c r="K1147" s="5">
        <f t="shared" si="71"/>
        <v>0</v>
      </c>
      <c r="L1147" s="5">
        <v>1</v>
      </c>
      <c r="M1147" s="5">
        <v>1</v>
      </c>
      <c r="N1147" t="s">
        <v>12</v>
      </c>
      <c r="O1147" s="8">
        <v>18.654794520547945</v>
      </c>
      <c r="P1147" t="s">
        <v>32</v>
      </c>
      <c r="Q1147">
        <v>1</v>
      </c>
      <c r="R1147" s="2">
        <v>39044</v>
      </c>
    </row>
    <row r="1148" spans="1:18" x14ac:dyDescent="0.3">
      <c r="A1148" t="s">
        <v>7</v>
      </c>
      <c r="B1148">
        <v>18870595</v>
      </c>
      <c r="C1148" t="s">
        <v>10</v>
      </c>
      <c r="D1148" s="4">
        <v>45853</v>
      </c>
      <c r="E1148" s="11">
        <f t="shared" si="68"/>
        <v>2025</v>
      </c>
      <c r="F1148" s="11">
        <f t="shared" si="69"/>
        <v>7</v>
      </c>
      <c r="G1148" s="11" t="str">
        <f t="shared" si="70"/>
        <v>202507</v>
      </c>
      <c r="I1148" s="5">
        <v>9999</v>
      </c>
      <c r="J1148" s="5">
        <v>333.3</v>
      </c>
      <c r="K1148" s="5">
        <f t="shared" si="71"/>
        <v>0</v>
      </c>
      <c r="L1148" s="5">
        <v>0</v>
      </c>
      <c r="M1148" s="5">
        <v>0</v>
      </c>
      <c r="N1148" t="s">
        <v>9</v>
      </c>
      <c r="O1148" s="8">
        <v>18.956164383561642</v>
      </c>
      <c r="P1148" t="s">
        <v>32</v>
      </c>
      <c r="Q1148">
        <v>1</v>
      </c>
      <c r="R1148" s="2">
        <v>38934</v>
      </c>
    </row>
    <row r="1149" spans="1:18" x14ac:dyDescent="0.3">
      <c r="A1149" t="s">
        <v>7</v>
      </c>
      <c r="B1149">
        <v>18870619</v>
      </c>
      <c r="C1149" t="s">
        <v>8</v>
      </c>
      <c r="D1149" s="4">
        <v>45853</v>
      </c>
      <c r="E1149" s="11">
        <f t="shared" si="68"/>
        <v>2025</v>
      </c>
      <c r="F1149" s="11">
        <f t="shared" si="69"/>
        <v>7</v>
      </c>
      <c r="G1149" s="11" t="str">
        <f t="shared" si="70"/>
        <v>202507</v>
      </c>
      <c r="I1149" s="5">
        <v>9999</v>
      </c>
      <c r="J1149" s="5">
        <v>333.3</v>
      </c>
      <c r="K1149" s="5">
        <f t="shared" si="71"/>
        <v>0</v>
      </c>
      <c r="L1149" s="5">
        <v>0</v>
      </c>
      <c r="M1149" s="5">
        <v>0</v>
      </c>
      <c r="N1149" t="s">
        <v>9</v>
      </c>
      <c r="O1149" s="8">
        <v>19.038356164383561</v>
      </c>
      <c r="P1149" t="s">
        <v>32</v>
      </c>
      <c r="Q1149">
        <v>1</v>
      </c>
      <c r="R1149" s="2">
        <v>38904</v>
      </c>
    </row>
    <row r="1150" spans="1:18" x14ac:dyDescent="0.3">
      <c r="A1150" t="s">
        <v>7</v>
      </c>
      <c r="B1150">
        <v>18870703</v>
      </c>
      <c r="C1150" t="s">
        <v>10</v>
      </c>
      <c r="D1150" s="4">
        <v>45853</v>
      </c>
      <c r="E1150" s="11">
        <f t="shared" si="68"/>
        <v>2025</v>
      </c>
      <c r="F1150" s="11">
        <f t="shared" si="69"/>
        <v>7</v>
      </c>
      <c r="G1150" s="11" t="str">
        <f t="shared" si="70"/>
        <v>202507</v>
      </c>
      <c r="H1150" s="4">
        <v>46027</v>
      </c>
      <c r="I1150" s="5">
        <v>174</v>
      </c>
      <c r="J1150" s="5">
        <v>5.8</v>
      </c>
      <c r="K1150" s="5">
        <f t="shared" si="71"/>
        <v>0</v>
      </c>
      <c r="L1150" s="5">
        <v>0</v>
      </c>
      <c r="M1150" s="5">
        <v>1</v>
      </c>
      <c r="N1150" t="s">
        <v>9</v>
      </c>
      <c r="O1150" s="8">
        <v>19.764383561643836</v>
      </c>
      <c r="P1150" t="s">
        <v>32</v>
      </c>
      <c r="Q1150">
        <v>1</v>
      </c>
      <c r="R1150" s="2">
        <v>38639</v>
      </c>
    </row>
    <row r="1151" spans="1:18" x14ac:dyDescent="0.3">
      <c r="A1151" t="s">
        <v>11</v>
      </c>
      <c r="B1151">
        <v>18870704</v>
      </c>
      <c r="C1151" t="s">
        <v>8</v>
      </c>
      <c r="D1151" s="4">
        <v>45853</v>
      </c>
      <c r="E1151" s="11">
        <f t="shared" si="68"/>
        <v>2025</v>
      </c>
      <c r="F1151" s="11">
        <f t="shared" si="69"/>
        <v>7</v>
      </c>
      <c r="G1151" s="11" t="str">
        <f t="shared" si="70"/>
        <v>202507</v>
      </c>
      <c r="H1151" s="4">
        <v>45900</v>
      </c>
      <c r="I1151" s="5">
        <v>47</v>
      </c>
      <c r="J1151" s="5">
        <v>1.5666666666666667</v>
      </c>
      <c r="K1151" s="5">
        <f t="shared" si="71"/>
        <v>0</v>
      </c>
      <c r="L1151" s="5">
        <v>1</v>
      </c>
      <c r="M1151" s="5">
        <v>1</v>
      </c>
      <c r="N1151" t="s">
        <v>9</v>
      </c>
      <c r="O1151" s="8">
        <v>21.449315068493149</v>
      </c>
      <c r="P1151" t="s">
        <v>33</v>
      </c>
      <c r="Q1151">
        <v>2</v>
      </c>
      <c r="R1151" s="2">
        <v>38024</v>
      </c>
    </row>
    <row r="1152" spans="1:18" x14ac:dyDescent="0.3">
      <c r="A1152" t="s">
        <v>7</v>
      </c>
      <c r="B1152">
        <v>18870752</v>
      </c>
      <c r="C1152" t="s">
        <v>8</v>
      </c>
      <c r="D1152" s="4">
        <v>45853</v>
      </c>
      <c r="E1152" s="11">
        <f t="shared" si="68"/>
        <v>2025</v>
      </c>
      <c r="F1152" s="11">
        <f t="shared" si="69"/>
        <v>7</v>
      </c>
      <c r="G1152" s="11" t="str">
        <f t="shared" si="70"/>
        <v>202507</v>
      </c>
      <c r="H1152" s="4">
        <v>45874</v>
      </c>
      <c r="I1152" s="5">
        <v>21</v>
      </c>
      <c r="J1152" s="5">
        <v>0.7</v>
      </c>
      <c r="K1152" s="5">
        <f t="shared" si="71"/>
        <v>1</v>
      </c>
      <c r="L1152" s="5">
        <v>1</v>
      </c>
      <c r="M1152" s="5">
        <v>1</v>
      </c>
      <c r="N1152" t="s">
        <v>9</v>
      </c>
      <c r="O1152" s="8">
        <v>19.194520547945206</v>
      </c>
      <c r="P1152" t="s">
        <v>32</v>
      </c>
      <c r="Q1152">
        <v>1</v>
      </c>
      <c r="R1152" s="2">
        <v>38847</v>
      </c>
    </row>
    <row r="1153" spans="1:18" x14ac:dyDescent="0.3">
      <c r="A1153" t="s">
        <v>7</v>
      </c>
      <c r="B1153">
        <v>18872323</v>
      </c>
      <c r="C1153" t="s">
        <v>8</v>
      </c>
      <c r="D1153" s="4">
        <v>45854</v>
      </c>
      <c r="E1153" s="11">
        <f t="shared" si="68"/>
        <v>2025</v>
      </c>
      <c r="F1153" s="11">
        <f t="shared" si="69"/>
        <v>7</v>
      </c>
      <c r="G1153" s="11" t="str">
        <f t="shared" si="70"/>
        <v>202507</v>
      </c>
      <c r="H1153" s="4">
        <v>45874</v>
      </c>
      <c r="I1153" s="5">
        <v>20</v>
      </c>
      <c r="J1153" s="5">
        <v>0.66666666666666663</v>
      </c>
      <c r="K1153" s="5">
        <f t="shared" si="71"/>
        <v>1</v>
      </c>
      <c r="L1153" s="5">
        <v>1</v>
      </c>
      <c r="M1153" s="5">
        <v>1</v>
      </c>
      <c r="N1153" t="s">
        <v>9</v>
      </c>
      <c r="O1153" s="8">
        <v>18.909589041095892</v>
      </c>
      <c r="P1153" t="s">
        <v>32</v>
      </c>
      <c r="Q1153">
        <v>1</v>
      </c>
      <c r="R1153" s="2">
        <v>38952</v>
      </c>
    </row>
    <row r="1154" spans="1:18" x14ac:dyDescent="0.3">
      <c r="A1154" t="s">
        <v>7</v>
      </c>
      <c r="B1154">
        <v>18872327</v>
      </c>
      <c r="C1154" t="s">
        <v>10</v>
      </c>
      <c r="D1154" s="4">
        <v>45854</v>
      </c>
      <c r="E1154" s="11">
        <f t="shared" si="68"/>
        <v>2025</v>
      </c>
      <c r="F1154" s="11">
        <f t="shared" si="69"/>
        <v>7</v>
      </c>
      <c r="G1154" s="11" t="str">
        <f t="shared" si="70"/>
        <v>202507</v>
      </c>
      <c r="I1154" s="5">
        <v>9999</v>
      </c>
      <c r="J1154" s="5">
        <v>333.3</v>
      </c>
      <c r="K1154" s="5">
        <f t="shared" si="71"/>
        <v>0</v>
      </c>
      <c r="L1154" s="5">
        <v>0</v>
      </c>
      <c r="M1154" s="5">
        <v>0</v>
      </c>
      <c r="N1154" t="s">
        <v>9</v>
      </c>
      <c r="O1154" s="8">
        <v>19.528767123287672</v>
      </c>
      <c r="P1154" t="s">
        <v>32</v>
      </c>
      <c r="Q1154">
        <v>1</v>
      </c>
      <c r="R1154" s="2">
        <v>38726</v>
      </c>
    </row>
    <row r="1155" spans="1:18" x14ac:dyDescent="0.3">
      <c r="A1155" t="s">
        <v>7</v>
      </c>
      <c r="B1155">
        <v>18872339</v>
      </c>
      <c r="C1155" t="s">
        <v>8</v>
      </c>
      <c r="D1155" s="4">
        <v>45854</v>
      </c>
      <c r="E1155" s="11">
        <f t="shared" ref="E1155:E1218" si="72">+YEAR(D1155)</f>
        <v>2025</v>
      </c>
      <c r="F1155" s="11">
        <f t="shared" ref="F1155:F1218" si="73">+MONTH(D1155)</f>
        <v>7</v>
      </c>
      <c r="G1155" s="11" t="str">
        <f t="shared" ref="G1155:G1218" si="74">+TEXT(D1155, "yyymm")</f>
        <v>202507</v>
      </c>
      <c r="H1155" s="4">
        <v>46097</v>
      </c>
      <c r="I1155" s="5">
        <v>243</v>
      </c>
      <c r="J1155" s="5">
        <v>8.1</v>
      </c>
      <c r="K1155" s="5">
        <f t="shared" ref="K1155:K1218" si="75">IF(J1155&lt;=1,1,0)</f>
        <v>0</v>
      </c>
      <c r="L1155" s="5">
        <v>0</v>
      </c>
      <c r="M1155" s="5">
        <v>0</v>
      </c>
      <c r="N1155" t="s">
        <v>9</v>
      </c>
      <c r="O1155" s="8">
        <v>25.169863013698631</v>
      </c>
      <c r="P1155" t="s">
        <v>33</v>
      </c>
      <c r="Q1155">
        <v>2</v>
      </c>
      <c r="R1155" s="2">
        <v>36667</v>
      </c>
    </row>
    <row r="1156" spans="1:18" x14ac:dyDescent="0.3">
      <c r="A1156" t="s">
        <v>7</v>
      </c>
      <c r="B1156">
        <v>18872424</v>
      </c>
      <c r="C1156" t="s">
        <v>8</v>
      </c>
      <c r="D1156" s="4">
        <v>45854</v>
      </c>
      <c r="E1156" s="11">
        <f t="shared" si="72"/>
        <v>2025</v>
      </c>
      <c r="F1156" s="11">
        <f t="shared" si="73"/>
        <v>7</v>
      </c>
      <c r="G1156" s="11" t="str">
        <f t="shared" si="74"/>
        <v>202507</v>
      </c>
      <c r="I1156" s="5">
        <v>9999</v>
      </c>
      <c r="J1156" s="5">
        <v>333.3</v>
      </c>
      <c r="K1156" s="5">
        <f t="shared" si="75"/>
        <v>0</v>
      </c>
      <c r="L1156" s="5">
        <v>0</v>
      </c>
      <c r="M1156" s="5">
        <v>0</v>
      </c>
      <c r="N1156" t="s">
        <v>9</v>
      </c>
      <c r="O1156" s="8">
        <v>21.024657534246575</v>
      </c>
      <c r="P1156" t="s">
        <v>33</v>
      </c>
      <c r="Q1156">
        <v>2</v>
      </c>
      <c r="R1156" s="2">
        <v>38180</v>
      </c>
    </row>
    <row r="1157" spans="1:18" x14ac:dyDescent="0.3">
      <c r="A1157" t="s">
        <v>7</v>
      </c>
      <c r="B1157">
        <v>18872427</v>
      </c>
      <c r="C1157" t="s">
        <v>8</v>
      </c>
      <c r="D1157" s="4">
        <v>45854</v>
      </c>
      <c r="E1157" s="11">
        <f t="shared" si="72"/>
        <v>2025</v>
      </c>
      <c r="F1157" s="11">
        <f t="shared" si="73"/>
        <v>7</v>
      </c>
      <c r="G1157" s="11" t="str">
        <f t="shared" si="74"/>
        <v>202507</v>
      </c>
      <c r="H1157" s="4">
        <v>46053</v>
      </c>
      <c r="I1157" s="5">
        <v>199</v>
      </c>
      <c r="J1157" s="5">
        <v>6.6333333333333337</v>
      </c>
      <c r="K1157" s="5">
        <f t="shared" si="75"/>
        <v>0</v>
      </c>
      <c r="L1157" s="5">
        <v>0</v>
      </c>
      <c r="M1157" s="5">
        <v>0</v>
      </c>
      <c r="N1157" t="s">
        <v>9</v>
      </c>
      <c r="O1157" s="8">
        <v>18.306849315068494</v>
      </c>
      <c r="P1157" t="s">
        <v>32</v>
      </c>
      <c r="Q1157">
        <v>1</v>
      </c>
      <c r="R1157" s="2">
        <v>39172</v>
      </c>
    </row>
    <row r="1158" spans="1:18" x14ac:dyDescent="0.3">
      <c r="A1158" t="s">
        <v>7</v>
      </c>
      <c r="B1158">
        <v>18872484</v>
      </c>
      <c r="C1158" t="s">
        <v>8</v>
      </c>
      <c r="D1158" s="4">
        <v>45854</v>
      </c>
      <c r="E1158" s="11">
        <f t="shared" si="72"/>
        <v>2025</v>
      </c>
      <c r="F1158" s="11">
        <f t="shared" si="73"/>
        <v>7</v>
      </c>
      <c r="G1158" s="11" t="str">
        <f t="shared" si="74"/>
        <v>202507</v>
      </c>
      <c r="H1158" s="4">
        <v>46053</v>
      </c>
      <c r="I1158" s="5">
        <v>199</v>
      </c>
      <c r="J1158" s="5">
        <v>6.6333333333333337</v>
      </c>
      <c r="K1158" s="5">
        <f t="shared" si="75"/>
        <v>0</v>
      </c>
      <c r="L1158" s="5">
        <v>0</v>
      </c>
      <c r="M1158" s="5">
        <v>0</v>
      </c>
      <c r="N1158" t="s">
        <v>9</v>
      </c>
      <c r="O1158" s="8">
        <v>18.104109589041094</v>
      </c>
      <c r="P1158" t="s">
        <v>32</v>
      </c>
      <c r="Q1158">
        <v>1</v>
      </c>
      <c r="R1158" s="2">
        <v>39246</v>
      </c>
    </row>
    <row r="1159" spans="1:18" x14ac:dyDescent="0.3">
      <c r="A1159" t="s">
        <v>7</v>
      </c>
      <c r="B1159">
        <v>18872855</v>
      </c>
      <c r="C1159" t="s">
        <v>8</v>
      </c>
      <c r="D1159" s="4">
        <v>45854</v>
      </c>
      <c r="E1159" s="11">
        <f t="shared" si="72"/>
        <v>2025</v>
      </c>
      <c r="F1159" s="11">
        <f t="shared" si="73"/>
        <v>7</v>
      </c>
      <c r="G1159" s="11" t="str">
        <f t="shared" si="74"/>
        <v>202507</v>
      </c>
      <c r="H1159" s="4">
        <v>46112</v>
      </c>
      <c r="I1159" s="5">
        <v>258</v>
      </c>
      <c r="J1159" s="5">
        <v>8.6</v>
      </c>
      <c r="K1159" s="5">
        <f t="shared" si="75"/>
        <v>0</v>
      </c>
      <c r="L1159" s="5">
        <v>0</v>
      </c>
      <c r="M1159" s="5">
        <v>0</v>
      </c>
      <c r="N1159" t="s">
        <v>12</v>
      </c>
      <c r="O1159" s="8">
        <v>26.791780821917808</v>
      </c>
      <c r="P1159" t="s">
        <v>34</v>
      </c>
      <c r="Q1159">
        <v>3</v>
      </c>
      <c r="R1159" s="2">
        <v>36075</v>
      </c>
    </row>
    <row r="1160" spans="1:18" x14ac:dyDescent="0.3">
      <c r="A1160" t="s">
        <v>7</v>
      </c>
      <c r="B1160">
        <v>18872886</v>
      </c>
      <c r="C1160" t="s">
        <v>8</v>
      </c>
      <c r="D1160" s="4">
        <v>45854</v>
      </c>
      <c r="E1160" s="11">
        <f t="shared" si="72"/>
        <v>2025</v>
      </c>
      <c r="F1160" s="11">
        <f t="shared" si="73"/>
        <v>7</v>
      </c>
      <c r="G1160" s="11" t="str">
        <f t="shared" si="74"/>
        <v>202507</v>
      </c>
      <c r="I1160" s="5">
        <v>9999</v>
      </c>
      <c r="J1160" s="5">
        <v>333.3</v>
      </c>
      <c r="K1160" s="5">
        <f t="shared" si="75"/>
        <v>0</v>
      </c>
      <c r="L1160" s="5">
        <v>0</v>
      </c>
      <c r="M1160" s="5">
        <v>0</v>
      </c>
      <c r="N1160" t="s">
        <v>12</v>
      </c>
      <c r="O1160" s="8">
        <v>27.742465753424657</v>
      </c>
      <c r="P1160" t="s">
        <v>34</v>
      </c>
      <c r="Q1160">
        <v>3</v>
      </c>
      <c r="R1160" s="2">
        <v>35728</v>
      </c>
    </row>
    <row r="1161" spans="1:18" x14ac:dyDescent="0.3">
      <c r="A1161" t="s">
        <v>7</v>
      </c>
      <c r="B1161">
        <v>18873030</v>
      </c>
      <c r="C1161" t="s">
        <v>8</v>
      </c>
      <c r="D1161" s="4">
        <v>45855</v>
      </c>
      <c r="E1161" s="11">
        <f t="shared" si="72"/>
        <v>2025</v>
      </c>
      <c r="F1161" s="11">
        <f t="shared" si="73"/>
        <v>7</v>
      </c>
      <c r="G1161" s="11" t="str">
        <f t="shared" si="74"/>
        <v>202507</v>
      </c>
      <c r="H1161" s="4">
        <v>46145</v>
      </c>
      <c r="I1161" s="5">
        <v>290</v>
      </c>
      <c r="J1161" s="5">
        <v>9.6666666666666661</v>
      </c>
      <c r="K1161" s="5">
        <f t="shared" si="75"/>
        <v>0</v>
      </c>
      <c r="L1161" s="5">
        <v>0</v>
      </c>
      <c r="M1161" s="5">
        <v>0</v>
      </c>
      <c r="N1161" t="s">
        <v>9</v>
      </c>
      <c r="O1161" s="8">
        <v>19.764383561643836</v>
      </c>
      <c r="P1161" t="s">
        <v>32</v>
      </c>
      <c r="Q1161">
        <v>1</v>
      </c>
      <c r="R1161" s="2">
        <v>38641</v>
      </c>
    </row>
    <row r="1162" spans="1:18" x14ac:dyDescent="0.3">
      <c r="A1162" t="s">
        <v>7</v>
      </c>
      <c r="B1162">
        <v>18873088</v>
      </c>
      <c r="C1162" t="s">
        <v>8</v>
      </c>
      <c r="D1162" s="4">
        <v>45855</v>
      </c>
      <c r="E1162" s="11">
        <f t="shared" si="72"/>
        <v>2025</v>
      </c>
      <c r="F1162" s="11">
        <f t="shared" si="73"/>
        <v>7</v>
      </c>
      <c r="G1162" s="11" t="str">
        <f t="shared" si="74"/>
        <v>202507</v>
      </c>
      <c r="I1162" s="5">
        <v>9999</v>
      </c>
      <c r="J1162" s="5">
        <v>333.3</v>
      </c>
      <c r="K1162" s="5">
        <f t="shared" si="75"/>
        <v>0</v>
      </c>
      <c r="L1162" s="5">
        <v>0</v>
      </c>
      <c r="M1162" s="5">
        <v>0</v>
      </c>
      <c r="N1162" t="s">
        <v>12</v>
      </c>
      <c r="O1162" s="8">
        <v>19.106849315068494</v>
      </c>
      <c r="P1162" t="s">
        <v>32</v>
      </c>
      <c r="Q1162">
        <v>1</v>
      </c>
      <c r="R1162" s="2">
        <v>38881</v>
      </c>
    </row>
    <row r="1163" spans="1:18" x14ac:dyDescent="0.3">
      <c r="A1163" t="s">
        <v>7</v>
      </c>
      <c r="B1163">
        <v>18873090</v>
      </c>
      <c r="C1163" t="s">
        <v>8</v>
      </c>
      <c r="D1163" s="4">
        <v>45855</v>
      </c>
      <c r="E1163" s="11">
        <f t="shared" si="72"/>
        <v>2025</v>
      </c>
      <c r="F1163" s="11">
        <f t="shared" si="73"/>
        <v>7</v>
      </c>
      <c r="G1163" s="11" t="str">
        <f t="shared" si="74"/>
        <v>202507</v>
      </c>
      <c r="I1163" s="5">
        <v>9999</v>
      </c>
      <c r="J1163" s="5">
        <v>333.3</v>
      </c>
      <c r="K1163" s="5">
        <f t="shared" si="75"/>
        <v>0</v>
      </c>
      <c r="L1163" s="5">
        <v>0</v>
      </c>
      <c r="M1163" s="5">
        <v>0</v>
      </c>
      <c r="N1163" t="s">
        <v>12</v>
      </c>
      <c r="O1163" s="8">
        <v>33.490410958904107</v>
      </c>
      <c r="P1163" t="s">
        <v>35</v>
      </c>
      <c r="Q1163">
        <v>4</v>
      </c>
      <c r="R1163" s="2">
        <v>33631</v>
      </c>
    </row>
    <row r="1164" spans="1:18" x14ac:dyDescent="0.3">
      <c r="A1164" t="s">
        <v>7</v>
      </c>
      <c r="B1164">
        <v>18873099</v>
      </c>
      <c r="C1164" t="s">
        <v>8</v>
      </c>
      <c r="D1164" s="4">
        <v>45855</v>
      </c>
      <c r="E1164" s="11">
        <f t="shared" si="72"/>
        <v>2025</v>
      </c>
      <c r="F1164" s="11">
        <f t="shared" si="73"/>
        <v>7</v>
      </c>
      <c r="G1164" s="11" t="str">
        <f t="shared" si="74"/>
        <v>202507</v>
      </c>
      <c r="H1164" s="4">
        <v>45870</v>
      </c>
      <c r="I1164" s="5">
        <v>15</v>
      </c>
      <c r="J1164" s="5">
        <v>0.5</v>
      </c>
      <c r="K1164" s="5">
        <f t="shared" si="75"/>
        <v>1</v>
      </c>
      <c r="L1164" s="5">
        <v>1</v>
      </c>
      <c r="M1164" s="5">
        <v>1</v>
      </c>
      <c r="N1164" t="s">
        <v>9</v>
      </c>
      <c r="O1164" s="8">
        <v>43.953424657534249</v>
      </c>
      <c r="P1164" t="s">
        <v>35</v>
      </c>
      <c r="Q1164">
        <v>4</v>
      </c>
      <c r="R1164" s="2">
        <v>29812</v>
      </c>
    </row>
    <row r="1165" spans="1:18" x14ac:dyDescent="0.3">
      <c r="A1165" t="s">
        <v>7</v>
      </c>
      <c r="B1165">
        <v>18873100</v>
      </c>
      <c r="C1165" t="s">
        <v>8</v>
      </c>
      <c r="D1165" s="4">
        <v>45855</v>
      </c>
      <c r="E1165" s="11">
        <f t="shared" si="72"/>
        <v>2025</v>
      </c>
      <c r="F1165" s="11">
        <f t="shared" si="73"/>
        <v>7</v>
      </c>
      <c r="G1165" s="11" t="str">
        <f t="shared" si="74"/>
        <v>202507</v>
      </c>
      <c r="H1165" s="4">
        <v>45884</v>
      </c>
      <c r="I1165" s="5">
        <v>29</v>
      </c>
      <c r="J1165" s="5">
        <v>0.96666666666666667</v>
      </c>
      <c r="K1165" s="5">
        <f t="shared" si="75"/>
        <v>1</v>
      </c>
      <c r="L1165" s="5">
        <v>1</v>
      </c>
      <c r="M1165" s="5">
        <v>1</v>
      </c>
      <c r="N1165" t="s">
        <v>9</v>
      </c>
      <c r="O1165" s="8">
        <v>21.090410958904108</v>
      </c>
      <c r="P1165" t="s">
        <v>33</v>
      </c>
      <c r="Q1165">
        <v>2</v>
      </c>
      <c r="R1165" s="2">
        <v>38157</v>
      </c>
    </row>
    <row r="1166" spans="1:18" x14ac:dyDescent="0.3">
      <c r="A1166" t="s">
        <v>7</v>
      </c>
      <c r="B1166">
        <v>18874878</v>
      </c>
      <c r="C1166" t="s">
        <v>8</v>
      </c>
      <c r="D1166" s="4">
        <v>45856</v>
      </c>
      <c r="E1166" s="11">
        <f t="shared" si="72"/>
        <v>2025</v>
      </c>
      <c r="F1166" s="11">
        <f t="shared" si="73"/>
        <v>7</v>
      </c>
      <c r="G1166" s="11" t="str">
        <f t="shared" si="74"/>
        <v>202507</v>
      </c>
      <c r="H1166" s="4">
        <v>45972</v>
      </c>
      <c r="I1166" s="5">
        <v>116</v>
      </c>
      <c r="J1166" s="5">
        <v>3.8666666666666667</v>
      </c>
      <c r="K1166" s="5">
        <f t="shared" si="75"/>
        <v>0</v>
      </c>
      <c r="L1166" s="5">
        <v>0</v>
      </c>
      <c r="M1166" s="5">
        <v>1</v>
      </c>
      <c r="N1166" t="s">
        <v>12</v>
      </c>
      <c r="O1166" s="8">
        <v>22.049315068493151</v>
      </c>
      <c r="P1166" t="s">
        <v>33</v>
      </c>
      <c r="Q1166">
        <v>2</v>
      </c>
      <c r="R1166" s="2">
        <v>37808</v>
      </c>
    </row>
    <row r="1167" spans="1:18" x14ac:dyDescent="0.3">
      <c r="A1167" t="s">
        <v>7</v>
      </c>
      <c r="B1167">
        <v>18874954</v>
      </c>
      <c r="C1167" t="s">
        <v>8</v>
      </c>
      <c r="D1167" s="4">
        <v>45856</v>
      </c>
      <c r="E1167" s="11">
        <f t="shared" si="72"/>
        <v>2025</v>
      </c>
      <c r="F1167" s="11">
        <f t="shared" si="73"/>
        <v>7</v>
      </c>
      <c r="G1167" s="11" t="str">
        <f t="shared" si="74"/>
        <v>202507</v>
      </c>
      <c r="I1167" s="5">
        <v>9999</v>
      </c>
      <c r="J1167" s="5">
        <v>333.3</v>
      </c>
      <c r="K1167" s="5">
        <f t="shared" si="75"/>
        <v>0</v>
      </c>
      <c r="L1167" s="5">
        <v>0</v>
      </c>
      <c r="M1167" s="5">
        <v>0</v>
      </c>
      <c r="N1167" t="s">
        <v>12</v>
      </c>
      <c r="O1167" s="8">
        <v>21.986301369863014</v>
      </c>
      <c r="P1167" t="s">
        <v>33</v>
      </c>
      <c r="Q1167">
        <v>2</v>
      </c>
      <c r="R1167" s="2">
        <v>37831</v>
      </c>
    </row>
    <row r="1168" spans="1:18" x14ac:dyDescent="0.3">
      <c r="A1168" t="s">
        <v>7</v>
      </c>
      <c r="B1168">
        <v>18875115</v>
      </c>
      <c r="C1168" t="s">
        <v>8</v>
      </c>
      <c r="D1168" s="4">
        <v>45856</v>
      </c>
      <c r="E1168" s="11">
        <f t="shared" si="72"/>
        <v>2025</v>
      </c>
      <c r="F1168" s="11">
        <f t="shared" si="73"/>
        <v>7</v>
      </c>
      <c r="G1168" s="11" t="str">
        <f t="shared" si="74"/>
        <v>202507</v>
      </c>
      <c r="H1168" s="4">
        <v>45991</v>
      </c>
      <c r="I1168" s="5">
        <v>135</v>
      </c>
      <c r="J1168" s="5">
        <v>4.5</v>
      </c>
      <c r="K1168" s="5">
        <f t="shared" si="75"/>
        <v>0</v>
      </c>
      <c r="L1168" s="5">
        <v>0</v>
      </c>
      <c r="M1168" s="5">
        <v>1</v>
      </c>
      <c r="N1168" t="s">
        <v>12</v>
      </c>
      <c r="O1168" s="8">
        <v>18.742465753424657</v>
      </c>
      <c r="P1168" t="s">
        <v>32</v>
      </c>
      <c r="Q1168">
        <v>1</v>
      </c>
      <c r="R1168" s="2">
        <v>39015</v>
      </c>
    </row>
    <row r="1169" spans="1:18" x14ac:dyDescent="0.3">
      <c r="A1169" t="s">
        <v>7</v>
      </c>
      <c r="B1169">
        <v>18875126</v>
      </c>
      <c r="C1169" t="s">
        <v>8</v>
      </c>
      <c r="D1169" s="4">
        <v>45856</v>
      </c>
      <c r="E1169" s="11">
        <f t="shared" si="72"/>
        <v>2025</v>
      </c>
      <c r="F1169" s="11">
        <f t="shared" si="73"/>
        <v>7</v>
      </c>
      <c r="G1169" s="11" t="str">
        <f t="shared" si="74"/>
        <v>202507</v>
      </c>
      <c r="H1169" s="4">
        <v>46112</v>
      </c>
      <c r="I1169" s="5">
        <v>256</v>
      </c>
      <c r="J1169" s="5">
        <v>8.5333333333333332</v>
      </c>
      <c r="K1169" s="5">
        <f t="shared" si="75"/>
        <v>0</v>
      </c>
      <c r="L1169" s="5">
        <v>0</v>
      </c>
      <c r="M1169" s="5">
        <v>0</v>
      </c>
      <c r="N1169" t="s">
        <v>9</v>
      </c>
      <c r="O1169" s="8">
        <v>18.594520547945205</v>
      </c>
      <c r="P1169" t="s">
        <v>32</v>
      </c>
      <c r="Q1169">
        <v>1</v>
      </c>
      <c r="R1169" s="2">
        <v>39069</v>
      </c>
    </row>
    <row r="1170" spans="1:18" x14ac:dyDescent="0.3">
      <c r="A1170" t="s">
        <v>7</v>
      </c>
      <c r="B1170">
        <v>18875151</v>
      </c>
      <c r="C1170" t="s">
        <v>8</v>
      </c>
      <c r="D1170" s="4">
        <v>45856</v>
      </c>
      <c r="E1170" s="11">
        <f t="shared" si="72"/>
        <v>2025</v>
      </c>
      <c r="F1170" s="11">
        <f t="shared" si="73"/>
        <v>7</v>
      </c>
      <c r="G1170" s="11" t="str">
        <f t="shared" si="74"/>
        <v>202507</v>
      </c>
      <c r="H1170" s="4">
        <v>46142</v>
      </c>
      <c r="I1170" s="5">
        <v>286</v>
      </c>
      <c r="J1170" s="5">
        <v>9.5333333333333332</v>
      </c>
      <c r="K1170" s="5">
        <f t="shared" si="75"/>
        <v>0</v>
      </c>
      <c r="L1170" s="5">
        <v>0</v>
      </c>
      <c r="M1170" s="5">
        <v>0</v>
      </c>
      <c r="N1170" t="s">
        <v>9</v>
      </c>
      <c r="O1170" s="8">
        <v>19.252054794520546</v>
      </c>
      <c r="P1170" t="s">
        <v>32</v>
      </c>
      <c r="Q1170">
        <v>1</v>
      </c>
      <c r="R1170" s="2">
        <v>38829</v>
      </c>
    </row>
    <row r="1171" spans="1:18" x14ac:dyDescent="0.3">
      <c r="A1171" t="s">
        <v>7</v>
      </c>
      <c r="B1171">
        <v>18875155</v>
      </c>
      <c r="C1171" t="s">
        <v>8</v>
      </c>
      <c r="D1171" s="4">
        <v>45856</v>
      </c>
      <c r="E1171" s="11">
        <f t="shared" si="72"/>
        <v>2025</v>
      </c>
      <c r="F1171" s="11">
        <f t="shared" si="73"/>
        <v>7</v>
      </c>
      <c r="G1171" s="11" t="str">
        <f t="shared" si="74"/>
        <v>202507</v>
      </c>
      <c r="I1171" s="5">
        <v>9999</v>
      </c>
      <c r="J1171" s="5">
        <v>333.3</v>
      </c>
      <c r="K1171" s="5">
        <f t="shared" si="75"/>
        <v>0</v>
      </c>
      <c r="L1171" s="5">
        <v>0</v>
      </c>
      <c r="M1171" s="5">
        <v>0</v>
      </c>
      <c r="N1171" t="s">
        <v>9</v>
      </c>
      <c r="O1171" s="8">
        <v>32.241095890410961</v>
      </c>
      <c r="P1171" t="s">
        <v>35</v>
      </c>
      <c r="Q1171">
        <v>4</v>
      </c>
      <c r="R1171" s="2">
        <v>34088</v>
      </c>
    </row>
    <row r="1172" spans="1:18" x14ac:dyDescent="0.3">
      <c r="A1172" t="s">
        <v>7</v>
      </c>
      <c r="B1172">
        <v>18902685</v>
      </c>
      <c r="C1172" t="s">
        <v>8</v>
      </c>
      <c r="D1172" s="4">
        <v>45856</v>
      </c>
      <c r="E1172" s="11">
        <f t="shared" si="72"/>
        <v>2025</v>
      </c>
      <c r="F1172" s="11">
        <f t="shared" si="73"/>
        <v>7</v>
      </c>
      <c r="G1172" s="11" t="str">
        <f t="shared" si="74"/>
        <v>202507</v>
      </c>
      <c r="I1172" s="5">
        <v>9999</v>
      </c>
      <c r="J1172" s="5">
        <v>333.3</v>
      </c>
      <c r="K1172" s="5">
        <f t="shared" si="75"/>
        <v>0</v>
      </c>
      <c r="L1172" s="5">
        <v>0</v>
      </c>
      <c r="M1172" s="5">
        <v>0</v>
      </c>
      <c r="N1172" t="s">
        <v>9</v>
      </c>
      <c r="O1172" s="8">
        <v>20.353424657534248</v>
      </c>
      <c r="P1172" t="s">
        <v>32</v>
      </c>
      <c r="Q1172">
        <v>1</v>
      </c>
      <c r="R1172" s="2">
        <v>38427</v>
      </c>
    </row>
    <row r="1173" spans="1:18" x14ac:dyDescent="0.3">
      <c r="A1173" t="s">
        <v>7</v>
      </c>
      <c r="B1173">
        <v>18902686</v>
      </c>
      <c r="C1173" t="s">
        <v>10</v>
      </c>
      <c r="D1173" s="4">
        <v>45856</v>
      </c>
      <c r="E1173" s="11">
        <f t="shared" si="72"/>
        <v>2025</v>
      </c>
      <c r="F1173" s="11">
        <f t="shared" si="73"/>
        <v>7</v>
      </c>
      <c r="G1173" s="11" t="str">
        <f t="shared" si="74"/>
        <v>202507</v>
      </c>
      <c r="H1173" s="4">
        <v>46142</v>
      </c>
      <c r="I1173" s="5">
        <v>286</v>
      </c>
      <c r="J1173" s="5">
        <v>9.5333333333333332</v>
      </c>
      <c r="K1173" s="5">
        <f t="shared" si="75"/>
        <v>0</v>
      </c>
      <c r="L1173" s="5">
        <v>0</v>
      </c>
      <c r="M1173" s="5">
        <v>0</v>
      </c>
      <c r="N1173" t="s">
        <v>9</v>
      </c>
      <c r="O1173" s="8">
        <v>18.756164383561643</v>
      </c>
      <c r="P1173" t="s">
        <v>32</v>
      </c>
      <c r="Q1173">
        <v>1</v>
      </c>
      <c r="R1173" s="2">
        <v>39010</v>
      </c>
    </row>
    <row r="1174" spans="1:18" x14ac:dyDescent="0.3">
      <c r="A1174" t="s">
        <v>7</v>
      </c>
      <c r="B1174">
        <v>18904966</v>
      </c>
      <c r="C1174" t="s">
        <v>10</v>
      </c>
      <c r="D1174" s="4">
        <v>45860</v>
      </c>
      <c r="E1174" s="11">
        <f t="shared" si="72"/>
        <v>2025</v>
      </c>
      <c r="F1174" s="11">
        <f t="shared" si="73"/>
        <v>7</v>
      </c>
      <c r="G1174" s="11" t="str">
        <f t="shared" si="74"/>
        <v>202507</v>
      </c>
      <c r="H1174" s="4">
        <v>46143</v>
      </c>
      <c r="I1174" s="5">
        <v>283</v>
      </c>
      <c r="J1174" s="5">
        <v>9.4333333333333336</v>
      </c>
      <c r="K1174" s="5">
        <f t="shared" si="75"/>
        <v>0</v>
      </c>
      <c r="L1174" s="5">
        <v>0</v>
      </c>
      <c r="M1174" s="5">
        <v>0</v>
      </c>
      <c r="N1174" t="s">
        <v>9</v>
      </c>
      <c r="O1174" s="8">
        <v>26.098630136986301</v>
      </c>
      <c r="P1174" t="s">
        <v>34</v>
      </c>
      <c r="Q1174">
        <v>3</v>
      </c>
      <c r="R1174" s="2">
        <v>36334</v>
      </c>
    </row>
    <row r="1175" spans="1:18" x14ac:dyDescent="0.3">
      <c r="A1175" t="s">
        <v>7</v>
      </c>
      <c r="B1175">
        <v>18904968</v>
      </c>
      <c r="C1175" t="s">
        <v>10</v>
      </c>
      <c r="D1175" s="4">
        <v>45860</v>
      </c>
      <c r="E1175" s="11">
        <f t="shared" si="72"/>
        <v>2025</v>
      </c>
      <c r="F1175" s="11">
        <f t="shared" si="73"/>
        <v>7</v>
      </c>
      <c r="G1175" s="11" t="str">
        <f t="shared" si="74"/>
        <v>202507</v>
      </c>
      <c r="I1175" s="5">
        <v>9999</v>
      </c>
      <c r="J1175" s="5">
        <v>333.3</v>
      </c>
      <c r="K1175" s="5">
        <f t="shared" si="75"/>
        <v>0</v>
      </c>
      <c r="L1175" s="5">
        <v>0</v>
      </c>
      <c r="M1175" s="5">
        <v>0</v>
      </c>
      <c r="N1175" t="s">
        <v>9</v>
      </c>
      <c r="O1175" s="8">
        <v>18.276712328767122</v>
      </c>
      <c r="P1175" t="s">
        <v>32</v>
      </c>
      <c r="Q1175">
        <v>1</v>
      </c>
      <c r="R1175" s="2">
        <v>39189</v>
      </c>
    </row>
    <row r="1176" spans="1:18" x14ac:dyDescent="0.3">
      <c r="A1176" t="s">
        <v>7</v>
      </c>
      <c r="B1176">
        <v>18904969</v>
      </c>
      <c r="C1176" t="s">
        <v>8</v>
      </c>
      <c r="D1176" s="4">
        <v>45860</v>
      </c>
      <c r="E1176" s="11">
        <f t="shared" si="72"/>
        <v>2025</v>
      </c>
      <c r="F1176" s="11">
        <f t="shared" si="73"/>
        <v>7</v>
      </c>
      <c r="G1176" s="11" t="str">
        <f t="shared" si="74"/>
        <v>202507</v>
      </c>
      <c r="H1176" s="4">
        <v>45903</v>
      </c>
      <c r="I1176" s="5">
        <v>43</v>
      </c>
      <c r="J1176" s="5">
        <v>1.4333333333333333</v>
      </c>
      <c r="K1176" s="5">
        <f t="shared" si="75"/>
        <v>0</v>
      </c>
      <c r="L1176" s="5">
        <v>1</v>
      </c>
      <c r="M1176" s="5">
        <v>1</v>
      </c>
      <c r="N1176" t="s">
        <v>9</v>
      </c>
      <c r="O1176" s="8">
        <v>21.443835616438356</v>
      </c>
      <c r="P1176" t="s">
        <v>33</v>
      </c>
      <c r="Q1176">
        <v>2</v>
      </c>
      <c r="R1176" s="2">
        <v>38033</v>
      </c>
    </row>
    <row r="1177" spans="1:18" x14ac:dyDescent="0.3">
      <c r="A1177" t="s">
        <v>7</v>
      </c>
      <c r="B1177">
        <v>18904970</v>
      </c>
      <c r="C1177" t="s">
        <v>8</v>
      </c>
      <c r="D1177" s="4">
        <v>45860</v>
      </c>
      <c r="E1177" s="11">
        <f t="shared" si="72"/>
        <v>2025</v>
      </c>
      <c r="F1177" s="11">
        <f t="shared" si="73"/>
        <v>7</v>
      </c>
      <c r="G1177" s="11" t="str">
        <f t="shared" si="74"/>
        <v>202507</v>
      </c>
      <c r="H1177" s="4">
        <v>46173</v>
      </c>
      <c r="I1177" s="5">
        <v>313</v>
      </c>
      <c r="J1177" s="5">
        <v>10.433333333333334</v>
      </c>
      <c r="K1177" s="5">
        <f t="shared" si="75"/>
        <v>0</v>
      </c>
      <c r="L1177" s="5">
        <v>0</v>
      </c>
      <c r="M1177" s="5">
        <v>0</v>
      </c>
      <c r="N1177" t="s">
        <v>9</v>
      </c>
      <c r="O1177" s="8">
        <v>18.136986301369863</v>
      </c>
      <c r="P1177" t="s">
        <v>32</v>
      </c>
      <c r="Q1177">
        <v>1</v>
      </c>
      <c r="R1177" s="2">
        <v>39240</v>
      </c>
    </row>
    <row r="1178" spans="1:18" x14ac:dyDescent="0.3">
      <c r="A1178" t="s">
        <v>7</v>
      </c>
      <c r="B1178">
        <v>18904974</v>
      </c>
      <c r="C1178" t="s">
        <v>8</v>
      </c>
      <c r="D1178" s="4">
        <v>45860</v>
      </c>
      <c r="E1178" s="11">
        <f t="shared" si="72"/>
        <v>2025</v>
      </c>
      <c r="F1178" s="11">
        <f t="shared" si="73"/>
        <v>7</v>
      </c>
      <c r="G1178" s="11" t="str">
        <f t="shared" si="74"/>
        <v>202507</v>
      </c>
      <c r="H1178" s="4">
        <v>45991</v>
      </c>
      <c r="I1178" s="5">
        <v>131</v>
      </c>
      <c r="J1178" s="5">
        <v>4.3666666666666663</v>
      </c>
      <c r="K1178" s="5">
        <f t="shared" si="75"/>
        <v>0</v>
      </c>
      <c r="L1178" s="5">
        <v>0</v>
      </c>
      <c r="M1178" s="5">
        <v>1</v>
      </c>
      <c r="N1178" t="s">
        <v>9</v>
      </c>
      <c r="O1178" s="8">
        <v>20.917808219178081</v>
      </c>
      <c r="P1178" t="s">
        <v>32</v>
      </c>
      <c r="Q1178">
        <v>1</v>
      </c>
      <c r="R1178" s="2">
        <v>38225</v>
      </c>
    </row>
    <row r="1179" spans="1:18" x14ac:dyDescent="0.3">
      <c r="A1179" t="s">
        <v>7</v>
      </c>
      <c r="B1179">
        <v>18904976</v>
      </c>
      <c r="C1179" t="s">
        <v>8</v>
      </c>
      <c r="D1179" s="4">
        <v>45860</v>
      </c>
      <c r="E1179" s="11">
        <f t="shared" si="72"/>
        <v>2025</v>
      </c>
      <c r="F1179" s="11">
        <f t="shared" si="73"/>
        <v>7</v>
      </c>
      <c r="G1179" s="11" t="str">
        <f t="shared" si="74"/>
        <v>202507</v>
      </c>
      <c r="H1179" s="4">
        <v>46081</v>
      </c>
      <c r="I1179" s="5">
        <v>221</v>
      </c>
      <c r="J1179" s="5">
        <v>7.3666666666666663</v>
      </c>
      <c r="K1179" s="5">
        <f t="shared" si="75"/>
        <v>0</v>
      </c>
      <c r="L1179" s="5">
        <v>0</v>
      </c>
      <c r="M1179" s="5">
        <v>0</v>
      </c>
      <c r="N1179" t="s">
        <v>9</v>
      </c>
      <c r="O1179" s="8">
        <v>18.145205479452056</v>
      </c>
      <c r="P1179" t="s">
        <v>32</v>
      </c>
      <c r="Q1179">
        <v>1</v>
      </c>
      <c r="R1179" s="2">
        <v>39237</v>
      </c>
    </row>
    <row r="1180" spans="1:18" x14ac:dyDescent="0.3">
      <c r="A1180" t="s">
        <v>7</v>
      </c>
      <c r="B1180">
        <v>18904977</v>
      </c>
      <c r="C1180" t="s">
        <v>10</v>
      </c>
      <c r="D1180" s="4">
        <v>45860</v>
      </c>
      <c r="E1180" s="11">
        <f t="shared" si="72"/>
        <v>2025</v>
      </c>
      <c r="F1180" s="11">
        <f t="shared" si="73"/>
        <v>7</v>
      </c>
      <c r="G1180" s="11" t="str">
        <f t="shared" si="74"/>
        <v>202507</v>
      </c>
      <c r="H1180" s="4">
        <v>45870</v>
      </c>
      <c r="I1180" s="5">
        <v>10</v>
      </c>
      <c r="J1180" s="5">
        <v>0.33333333333333331</v>
      </c>
      <c r="K1180" s="5">
        <f t="shared" si="75"/>
        <v>1</v>
      </c>
      <c r="L1180" s="5">
        <v>1</v>
      </c>
      <c r="M1180" s="5">
        <v>1</v>
      </c>
      <c r="N1180" t="s">
        <v>9</v>
      </c>
      <c r="O1180" s="8">
        <v>19.643835616438356</v>
      </c>
      <c r="P1180" t="s">
        <v>32</v>
      </c>
      <c r="Q1180">
        <v>1</v>
      </c>
      <c r="R1180" s="2">
        <v>38690</v>
      </c>
    </row>
    <row r="1181" spans="1:18" x14ac:dyDescent="0.3">
      <c r="A1181" t="s">
        <v>7</v>
      </c>
      <c r="B1181">
        <v>18904978</v>
      </c>
      <c r="C1181" t="s">
        <v>8</v>
      </c>
      <c r="D1181" s="4">
        <v>45860</v>
      </c>
      <c r="E1181" s="11">
        <f t="shared" si="72"/>
        <v>2025</v>
      </c>
      <c r="F1181" s="11">
        <f t="shared" si="73"/>
        <v>7</v>
      </c>
      <c r="G1181" s="11" t="str">
        <f t="shared" si="74"/>
        <v>202507</v>
      </c>
      <c r="I1181" s="5">
        <v>9999</v>
      </c>
      <c r="J1181" s="5">
        <v>333.3</v>
      </c>
      <c r="K1181" s="5">
        <f t="shared" si="75"/>
        <v>0</v>
      </c>
      <c r="L1181" s="5">
        <v>0</v>
      </c>
      <c r="M1181" s="5">
        <v>0</v>
      </c>
      <c r="N1181" t="s">
        <v>9</v>
      </c>
      <c r="O1181" s="8">
        <v>23.728767123287671</v>
      </c>
      <c r="P1181" t="s">
        <v>33</v>
      </c>
      <c r="Q1181">
        <v>2</v>
      </c>
      <c r="R1181" s="2">
        <v>37199</v>
      </c>
    </row>
    <row r="1182" spans="1:18" x14ac:dyDescent="0.3">
      <c r="A1182" t="s">
        <v>7</v>
      </c>
      <c r="B1182">
        <v>18904980</v>
      </c>
      <c r="C1182" t="s">
        <v>8</v>
      </c>
      <c r="D1182" s="4">
        <v>45860</v>
      </c>
      <c r="E1182" s="11">
        <f t="shared" si="72"/>
        <v>2025</v>
      </c>
      <c r="F1182" s="11">
        <f t="shared" si="73"/>
        <v>7</v>
      </c>
      <c r="G1182" s="11" t="str">
        <f t="shared" si="74"/>
        <v>202507</v>
      </c>
      <c r="H1182" s="4">
        <v>46054</v>
      </c>
      <c r="I1182" s="5">
        <v>194</v>
      </c>
      <c r="J1182" s="5">
        <v>6.4666666666666668</v>
      </c>
      <c r="K1182" s="5">
        <f t="shared" si="75"/>
        <v>0</v>
      </c>
      <c r="L1182" s="5">
        <v>0</v>
      </c>
      <c r="M1182" s="5">
        <v>0</v>
      </c>
      <c r="N1182" t="s">
        <v>9</v>
      </c>
      <c r="O1182" s="8">
        <v>20.224657534246575</v>
      </c>
      <c r="P1182" t="s">
        <v>32</v>
      </c>
      <c r="Q1182">
        <v>1</v>
      </c>
      <c r="R1182" s="2">
        <v>38478</v>
      </c>
    </row>
    <row r="1183" spans="1:18" x14ac:dyDescent="0.3">
      <c r="A1183" t="s">
        <v>7</v>
      </c>
      <c r="B1183">
        <v>18904981</v>
      </c>
      <c r="C1183" t="s">
        <v>8</v>
      </c>
      <c r="D1183" s="4">
        <v>45860</v>
      </c>
      <c r="E1183" s="11">
        <f t="shared" si="72"/>
        <v>2025</v>
      </c>
      <c r="F1183" s="11">
        <f t="shared" si="73"/>
        <v>7</v>
      </c>
      <c r="G1183" s="11" t="str">
        <f t="shared" si="74"/>
        <v>202507</v>
      </c>
      <c r="H1183" s="4">
        <v>46089</v>
      </c>
      <c r="I1183" s="5">
        <v>229</v>
      </c>
      <c r="J1183" s="5">
        <v>7.6333333333333337</v>
      </c>
      <c r="K1183" s="5">
        <f t="shared" si="75"/>
        <v>0</v>
      </c>
      <c r="L1183" s="5">
        <v>0</v>
      </c>
      <c r="M1183" s="5">
        <v>0</v>
      </c>
      <c r="N1183" t="s">
        <v>9</v>
      </c>
      <c r="O1183" s="8">
        <v>20.134246575342466</v>
      </c>
      <c r="P1183" t="s">
        <v>32</v>
      </c>
      <c r="Q1183">
        <v>1</v>
      </c>
      <c r="R1183" s="2">
        <v>38511</v>
      </c>
    </row>
    <row r="1184" spans="1:18" x14ac:dyDescent="0.3">
      <c r="A1184" t="s">
        <v>7</v>
      </c>
      <c r="B1184">
        <v>18904982</v>
      </c>
      <c r="C1184" t="s">
        <v>8</v>
      </c>
      <c r="D1184" s="4">
        <v>45860</v>
      </c>
      <c r="E1184" s="11">
        <f t="shared" si="72"/>
        <v>2025</v>
      </c>
      <c r="F1184" s="11">
        <f t="shared" si="73"/>
        <v>7</v>
      </c>
      <c r="G1184" s="11" t="str">
        <f t="shared" si="74"/>
        <v>202507</v>
      </c>
      <c r="H1184" s="4">
        <v>45947</v>
      </c>
      <c r="I1184" s="5">
        <v>87</v>
      </c>
      <c r="J1184" s="5">
        <v>2.9</v>
      </c>
      <c r="K1184" s="5">
        <f t="shared" si="75"/>
        <v>0</v>
      </c>
      <c r="L1184" s="5">
        <v>1</v>
      </c>
      <c r="M1184" s="5">
        <v>1</v>
      </c>
      <c r="N1184" t="s">
        <v>9</v>
      </c>
      <c r="O1184" s="8">
        <v>22.221917808219178</v>
      </c>
      <c r="P1184" t="s">
        <v>33</v>
      </c>
      <c r="Q1184">
        <v>2</v>
      </c>
      <c r="R1184" s="2">
        <v>37749</v>
      </c>
    </row>
    <row r="1185" spans="1:18" x14ac:dyDescent="0.3">
      <c r="A1185" t="s">
        <v>7</v>
      </c>
      <c r="B1185">
        <v>18904983</v>
      </c>
      <c r="C1185" t="s">
        <v>8</v>
      </c>
      <c r="D1185" s="4">
        <v>45860</v>
      </c>
      <c r="E1185" s="11">
        <f t="shared" si="72"/>
        <v>2025</v>
      </c>
      <c r="F1185" s="11">
        <f t="shared" si="73"/>
        <v>7</v>
      </c>
      <c r="G1185" s="11" t="str">
        <f t="shared" si="74"/>
        <v>202507</v>
      </c>
      <c r="I1185" s="5">
        <v>9999</v>
      </c>
      <c r="J1185" s="5">
        <v>333.3</v>
      </c>
      <c r="K1185" s="5">
        <f t="shared" si="75"/>
        <v>0</v>
      </c>
      <c r="L1185" s="5">
        <v>0</v>
      </c>
      <c r="M1185" s="5">
        <v>0</v>
      </c>
      <c r="N1185" t="s">
        <v>9</v>
      </c>
      <c r="O1185" s="8">
        <v>18.147945205479452</v>
      </c>
      <c r="P1185" t="s">
        <v>32</v>
      </c>
      <c r="Q1185">
        <v>1</v>
      </c>
      <c r="R1185" s="2">
        <v>39236</v>
      </c>
    </row>
    <row r="1186" spans="1:18" x14ac:dyDescent="0.3">
      <c r="A1186" t="s">
        <v>7</v>
      </c>
      <c r="B1186">
        <v>18904984</v>
      </c>
      <c r="C1186" t="s">
        <v>10</v>
      </c>
      <c r="D1186" s="4">
        <v>45860</v>
      </c>
      <c r="E1186" s="11">
        <f t="shared" si="72"/>
        <v>2025</v>
      </c>
      <c r="F1186" s="11">
        <f t="shared" si="73"/>
        <v>7</v>
      </c>
      <c r="G1186" s="11" t="str">
        <f t="shared" si="74"/>
        <v>202507</v>
      </c>
      <c r="H1186" s="4">
        <v>45870</v>
      </c>
      <c r="I1186" s="5">
        <v>10</v>
      </c>
      <c r="J1186" s="5">
        <v>0.33333333333333331</v>
      </c>
      <c r="K1186" s="5">
        <f t="shared" si="75"/>
        <v>1</v>
      </c>
      <c r="L1186" s="5">
        <v>1</v>
      </c>
      <c r="M1186" s="5">
        <v>1</v>
      </c>
      <c r="N1186" t="s">
        <v>9</v>
      </c>
      <c r="O1186" s="8">
        <v>21.210958904109589</v>
      </c>
      <c r="P1186" t="s">
        <v>33</v>
      </c>
      <c r="Q1186">
        <v>2</v>
      </c>
      <c r="R1186" s="2">
        <v>38118</v>
      </c>
    </row>
    <row r="1187" spans="1:18" x14ac:dyDescent="0.3">
      <c r="A1187" t="s">
        <v>7</v>
      </c>
      <c r="B1187">
        <v>18904988</v>
      </c>
      <c r="C1187" t="s">
        <v>10</v>
      </c>
      <c r="D1187" s="4">
        <v>45860</v>
      </c>
      <c r="E1187" s="11">
        <f t="shared" si="72"/>
        <v>2025</v>
      </c>
      <c r="F1187" s="11">
        <f t="shared" si="73"/>
        <v>7</v>
      </c>
      <c r="G1187" s="11" t="str">
        <f t="shared" si="74"/>
        <v>202507</v>
      </c>
      <c r="H1187" s="4">
        <v>46023</v>
      </c>
      <c r="I1187" s="5">
        <v>163</v>
      </c>
      <c r="J1187" s="5">
        <v>5.4333333333333336</v>
      </c>
      <c r="K1187" s="5">
        <f t="shared" si="75"/>
        <v>0</v>
      </c>
      <c r="L1187" s="5">
        <v>0</v>
      </c>
      <c r="M1187" s="5">
        <v>1</v>
      </c>
      <c r="N1187" t="s">
        <v>9</v>
      </c>
      <c r="O1187" s="8">
        <v>19.068493150684933</v>
      </c>
      <c r="P1187" t="s">
        <v>32</v>
      </c>
      <c r="Q1187">
        <v>1</v>
      </c>
      <c r="R1187" s="2">
        <v>38900</v>
      </c>
    </row>
    <row r="1188" spans="1:18" x14ac:dyDescent="0.3">
      <c r="A1188" t="s">
        <v>7</v>
      </c>
      <c r="B1188">
        <v>18904990</v>
      </c>
      <c r="C1188" t="s">
        <v>8</v>
      </c>
      <c r="D1188" s="4">
        <v>45860</v>
      </c>
      <c r="E1188" s="11">
        <f t="shared" si="72"/>
        <v>2025</v>
      </c>
      <c r="F1188" s="11">
        <f t="shared" si="73"/>
        <v>7</v>
      </c>
      <c r="G1188" s="11" t="str">
        <f t="shared" si="74"/>
        <v>202507</v>
      </c>
      <c r="H1188" s="4">
        <v>45870</v>
      </c>
      <c r="I1188" s="5">
        <v>10</v>
      </c>
      <c r="J1188" s="5">
        <v>0.33333333333333331</v>
      </c>
      <c r="K1188" s="5">
        <f t="shared" si="75"/>
        <v>1</v>
      </c>
      <c r="L1188" s="5">
        <v>1</v>
      </c>
      <c r="M1188" s="5">
        <v>1</v>
      </c>
      <c r="N1188" t="s">
        <v>9</v>
      </c>
      <c r="O1188" s="8">
        <v>26.528767123287672</v>
      </c>
      <c r="P1188" t="s">
        <v>34</v>
      </c>
      <c r="Q1188">
        <v>3</v>
      </c>
      <c r="R1188" s="2">
        <v>36177</v>
      </c>
    </row>
    <row r="1189" spans="1:18" x14ac:dyDescent="0.3">
      <c r="A1189" t="s">
        <v>7</v>
      </c>
      <c r="B1189">
        <v>18904993</v>
      </c>
      <c r="C1189" t="s">
        <v>8</v>
      </c>
      <c r="D1189" s="4">
        <v>45860</v>
      </c>
      <c r="E1189" s="11">
        <f t="shared" si="72"/>
        <v>2025</v>
      </c>
      <c r="F1189" s="11">
        <f t="shared" si="73"/>
        <v>7</v>
      </c>
      <c r="G1189" s="11" t="str">
        <f t="shared" si="74"/>
        <v>202507</v>
      </c>
      <c r="I1189" s="5">
        <v>9999</v>
      </c>
      <c r="J1189" s="5">
        <v>333.3</v>
      </c>
      <c r="K1189" s="5">
        <f t="shared" si="75"/>
        <v>0</v>
      </c>
      <c r="L1189" s="5">
        <v>0</v>
      </c>
      <c r="M1189" s="5">
        <v>0</v>
      </c>
      <c r="N1189" t="s">
        <v>9</v>
      </c>
      <c r="O1189" s="8">
        <v>20.252054794520546</v>
      </c>
      <c r="P1189" t="s">
        <v>32</v>
      </c>
      <c r="Q1189">
        <v>1</v>
      </c>
      <c r="R1189" s="2">
        <v>38468</v>
      </c>
    </row>
    <row r="1190" spans="1:18" x14ac:dyDescent="0.3">
      <c r="A1190" t="s">
        <v>7</v>
      </c>
      <c r="B1190">
        <v>18904994</v>
      </c>
      <c r="C1190" t="s">
        <v>8</v>
      </c>
      <c r="D1190" s="4">
        <v>45860</v>
      </c>
      <c r="E1190" s="11">
        <f t="shared" si="72"/>
        <v>2025</v>
      </c>
      <c r="F1190" s="11">
        <f t="shared" si="73"/>
        <v>7</v>
      </c>
      <c r="G1190" s="11" t="str">
        <f t="shared" si="74"/>
        <v>202507</v>
      </c>
      <c r="H1190" s="4">
        <v>45885</v>
      </c>
      <c r="I1190" s="5">
        <v>25</v>
      </c>
      <c r="J1190" s="5">
        <v>0.83333333333333337</v>
      </c>
      <c r="K1190" s="5">
        <f t="shared" si="75"/>
        <v>1</v>
      </c>
      <c r="L1190" s="5">
        <v>1</v>
      </c>
      <c r="M1190" s="5">
        <v>1</v>
      </c>
      <c r="N1190" t="s">
        <v>9</v>
      </c>
      <c r="O1190" s="8">
        <v>20.336986301369862</v>
      </c>
      <c r="P1190" t="s">
        <v>32</v>
      </c>
      <c r="Q1190">
        <v>1</v>
      </c>
      <c r="R1190" s="2">
        <v>38437</v>
      </c>
    </row>
    <row r="1191" spans="1:18" x14ac:dyDescent="0.3">
      <c r="A1191" t="s">
        <v>7</v>
      </c>
      <c r="B1191">
        <v>18904997</v>
      </c>
      <c r="C1191" t="s">
        <v>10</v>
      </c>
      <c r="D1191" s="4">
        <v>45860</v>
      </c>
      <c r="E1191" s="11">
        <f t="shared" si="72"/>
        <v>2025</v>
      </c>
      <c r="F1191" s="11">
        <f t="shared" si="73"/>
        <v>7</v>
      </c>
      <c r="G1191" s="11" t="str">
        <f t="shared" si="74"/>
        <v>202507</v>
      </c>
      <c r="H1191" s="4">
        <v>46053</v>
      </c>
      <c r="I1191" s="5">
        <v>193</v>
      </c>
      <c r="J1191" s="5">
        <v>6.4333333333333336</v>
      </c>
      <c r="K1191" s="5">
        <f t="shared" si="75"/>
        <v>0</v>
      </c>
      <c r="L1191" s="5">
        <v>0</v>
      </c>
      <c r="M1191" s="5">
        <v>0</v>
      </c>
      <c r="N1191" t="s">
        <v>9</v>
      </c>
      <c r="O1191" s="8">
        <v>18.169863013698631</v>
      </c>
      <c r="P1191" t="s">
        <v>32</v>
      </c>
      <c r="Q1191">
        <v>1</v>
      </c>
      <c r="R1191" s="2">
        <v>39228</v>
      </c>
    </row>
    <row r="1192" spans="1:18" x14ac:dyDescent="0.3">
      <c r="A1192" t="s">
        <v>7</v>
      </c>
      <c r="B1192">
        <v>18905029</v>
      </c>
      <c r="C1192" t="s">
        <v>8</v>
      </c>
      <c r="D1192" s="4">
        <v>45862</v>
      </c>
      <c r="E1192" s="11">
        <f t="shared" si="72"/>
        <v>2025</v>
      </c>
      <c r="F1192" s="11">
        <f t="shared" si="73"/>
        <v>7</v>
      </c>
      <c r="G1192" s="11" t="str">
        <f t="shared" si="74"/>
        <v>202507</v>
      </c>
      <c r="H1192" s="4">
        <v>46081</v>
      </c>
      <c r="I1192" s="5">
        <v>219</v>
      </c>
      <c r="J1192" s="5">
        <v>7.3</v>
      </c>
      <c r="K1192" s="5">
        <f t="shared" si="75"/>
        <v>0</v>
      </c>
      <c r="L1192" s="5">
        <v>0</v>
      </c>
      <c r="M1192" s="5">
        <v>0</v>
      </c>
      <c r="N1192" t="s">
        <v>9</v>
      </c>
      <c r="O1192" s="8">
        <v>19.241095890410961</v>
      </c>
      <c r="P1192" t="s">
        <v>32</v>
      </c>
      <c r="Q1192">
        <v>1</v>
      </c>
      <c r="R1192" s="2">
        <v>38839</v>
      </c>
    </row>
    <row r="1193" spans="1:18" x14ac:dyDescent="0.3">
      <c r="A1193" t="s">
        <v>7</v>
      </c>
      <c r="B1193">
        <v>18905030</v>
      </c>
      <c r="C1193" t="s">
        <v>10</v>
      </c>
      <c r="D1193" s="4">
        <v>45862</v>
      </c>
      <c r="E1193" s="11">
        <f t="shared" si="72"/>
        <v>2025</v>
      </c>
      <c r="F1193" s="11">
        <f t="shared" si="73"/>
        <v>7</v>
      </c>
      <c r="G1193" s="11" t="str">
        <f t="shared" si="74"/>
        <v>202507</v>
      </c>
      <c r="H1193" s="4">
        <v>46143</v>
      </c>
      <c r="I1193" s="5">
        <v>281</v>
      </c>
      <c r="J1193" s="5">
        <v>9.3666666666666671</v>
      </c>
      <c r="K1193" s="5">
        <f t="shared" si="75"/>
        <v>0</v>
      </c>
      <c r="L1193" s="5">
        <v>0</v>
      </c>
      <c r="M1193" s="5">
        <v>0</v>
      </c>
      <c r="N1193" t="s">
        <v>9</v>
      </c>
      <c r="O1193" s="8">
        <v>19.747945205479454</v>
      </c>
      <c r="P1193" t="s">
        <v>32</v>
      </c>
      <c r="Q1193">
        <v>1</v>
      </c>
      <c r="R1193" s="2">
        <v>38654</v>
      </c>
    </row>
    <row r="1194" spans="1:18" x14ac:dyDescent="0.3">
      <c r="A1194" t="s">
        <v>7</v>
      </c>
      <c r="B1194">
        <v>18905031</v>
      </c>
      <c r="C1194" t="s">
        <v>8</v>
      </c>
      <c r="D1194" s="4">
        <v>45862</v>
      </c>
      <c r="E1194" s="11">
        <f t="shared" si="72"/>
        <v>2025</v>
      </c>
      <c r="F1194" s="11">
        <f t="shared" si="73"/>
        <v>7</v>
      </c>
      <c r="G1194" s="11" t="str">
        <f t="shared" si="74"/>
        <v>202507</v>
      </c>
      <c r="I1194" s="5">
        <v>9999</v>
      </c>
      <c r="J1194" s="5">
        <v>333.3</v>
      </c>
      <c r="K1194" s="5">
        <f t="shared" si="75"/>
        <v>0</v>
      </c>
      <c r="L1194" s="5">
        <v>0</v>
      </c>
      <c r="M1194" s="5">
        <v>0</v>
      </c>
      <c r="N1194" t="s">
        <v>9</v>
      </c>
      <c r="O1194" s="8">
        <v>18.621917808219177</v>
      </c>
      <c r="P1194" t="s">
        <v>32</v>
      </c>
      <c r="Q1194">
        <v>1</v>
      </c>
      <c r="R1194" s="2">
        <v>39065</v>
      </c>
    </row>
    <row r="1195" spans="1:18" x14ac:dyDescent="0.3">
      <c r="A1195" t="s">
        <v>7</v>
      </c>
      <c r="B1195">
        <v>18905043</v>
      </c>
      <c r="C1195" t="s">
        <v>10</v>
      </c>
      <c r="D1195" s="4">
        <v>45862</v>
      </c>
      <c r="E1195" s="11">
        <f t="shared" si="72"/>
        <v>2025</v>
      </c>
      <c r="F1195" s="11">
        <f t="shared" si="73"/>
        <v>7</v>
      </c>
      <c r="G1195" s="11" t="str">
        <f t="shared" si="74"/>
        <v>202507</v>
      </c>
      <c r="H1195" s="4">
        <v>45945</v>
      </c>
      <c r="I1195" s="5">
        <v>83</v>
      </c>
      <c r="J1195" s="5">
        <v>2.7666666666666666</v>
      </c>
      <c r="K1195" s="5">
        <f t="shared" si="75"/>
        <v>0</v>
      </c>
      <c r="L1195" s="5">
        <v>1</v>
      </c>
      <c r="M1195" s="5">
        <v>1</v>
      </c>
      <c r="N1195" t="s">
        <v>9</v>
      </c>
      <c r="O1195" s="8">
        <v>19.917808219178081</v>
      </c>
      <c r="P1195" t="s">
        <v>32</v>
      </c>
      <c r="Q1195">
        <v>1</v>
      </c>
      <c r="R1195" s="2">
        <v>38592</v>
      </c>
    </row>
    <row r="1196" spans="1:18" x14ac:dyDescent="0.3">
      <c r="A1196" t="s">
        <v>7</v>
      </c>
      <c r="B1196">
        <v>18905044</v>
      </c>
      <c r="C1196" t="s">
        <v>10</v>
      </c>
      <c r="D1196" s="4">
        <v>45862</v>
      </c>
      <c r="E1196" s="11">
        <f t="shared" si="72"/>
        <v>2025</v>
      </c>
      <c r="F1196" s="11">
        <f t="shared" si="73"/>
        <v>7</v>
      </c>
      <c r="G1196" s="11" t="str">
        <f t="shared" si="74"/>
        <v>202507</v>
      </c>
      <c r="H1196" s="4">
        <v>46054</v>
      </c>
      <c r="I1196" s="5">
        <v>192</v>
      </c>
      <c r="J1196" s="5">
        <v>6.4</v>
      </c>
      <c r="K1196" s="5">
        <f t="shared" si="75"/>
        <v>0</v>
      </c>
      <c r="L1196" s="5">
        <v>0</v>
      </c>
      <c r="M1196" s="5">
        <v>0</v>
      </c>
      <c r="N1196" t="s">
        <v>9</v>
      </c>
      <c r="O1196" s="8">
        <v>18.515068493150686</v>
      </c>
      <c r="P1196" t="s">
        <v>32</v>
      </c>
      <c r="Q1196">
        <v>1</v>
      </c>
      <c r="R1196" s="2">
        <v>39104</v>
      </c>
    </row>
    <row r="1197" spans="1:18" x14ac:dyDescent="0.3">
      <c r="A1197" t="s">
        <v>7</v>
      </c>
      <c r="B1197">
        <v>18905045</v>
      </c>
      <c r="C1197" t="s">
        <v>8</v>
      </c>
      <c r="D1197" s="4">
        <v>45862</v>
      </c>
      <c r="E1197" s="11">
        <f t="shared" si="72"/>
        <v>2025</v>
      </c>
      <c r="F1197" s="11">
        <f t="shared" si="73"/>
        <v>7</v>
      </c>
      <c r="G1197" s="11" t="str">
        <f t="shared" si="74"/>
        <v>202507</v>
      </c>
      <c r="H1197" s="4">
        <v>46037</v>
      </c>
      <c r="I1197" s="5">
        <v>175</v>
      </c>
      <c r="J1197" s="5">
        <v>5.833333333333333</v>
      </c>
      <c r="K1197" s="5">
        <f t="shared" si="75"/>
        <v>0</v>
      </c>
      <c r="L1197" s="5">
        <v>0</v>
      </c>
      <c r="M1197" s="5">
        <v>1</v>
      </c>
      <c r="N1197" t="s">
        <v>9</v>
      </c>
      <c r="O1197" s="8">
        <v>22.846575342465755</v>
      </c>
      <c r="P1197" t="s">
        <v>33</v>
      </c>
      <c r="Q1197">
        <v>2</v>
      </c>
      <c r="R1197" s="2">
        <v>37523</v>
      </c>
    </row>
    <row r="1198" spans="1:18" x14ac:dyDescent="0.3">
      <c r="A1198" t="s">
        <v>7</v>
      </c>
      <c r="B1198">
        <v>18905046</v>
      </c>
      <c r="C1198" t="s">
        <v>8</v>
      </c>
      <c r="D1198" s="4">
        <v>45862</v>
      </c>
      <c r="E1198" s="11">
        <f t="shared" si="72"/>
        <v>2025</v>
      </c>
      <c r="F1198" s="11">
        <f t="shared" si="73"/>
        <v>7</v>
      </c>
      <c r="G1198" s="11" t="str">
        <f t="shared" si="74"/>
        <v>202507</v>
      </c>
      <c r="H1198" s="4">
        <v>46090</v>
      </c>
      <c r="I1198" s="5">
        <v>228</v>
      </c>
      <c r="J1198" s="5">
        <v>7.6</v>
      </c>
      <c r="K1198" s="5">
        <f t="shared" si="75"/>
        <v>0</v>
      </c>
      <c r="L1198" s="5">
        <v>0</v>
      </c>
      <c r="M1198" s="5">
        <v>0</v>
      </c>
      <c r="N1198" t="s">
        <v>9</v>
      </c>
      <c r="O1198" s="8">
        <v>20.742465753424657</v>
      </c>
      <c r="P1198" t="s">
        <v>32</v>
      </c>
      <c r="Q1198">
        <v>1</v>
      </c>
      <c r="R1198" s="2">
        <v>38291</v>
      </c>
    </row>
    <row r="1199" spans="1:18" x14ac:dyDescent="0.3">
      <c r="A1199" t="s">
        <v>7</v>
      </c>
      <c r="B1199">
        <v>18905047</v>
      </c>
      <c r="C1199" t="s">
        <v>8</v>
      </c>
      <c r="D1199" s="4">
        <v>45862</v>
      </c>
      <c r="E1199" s="11">
        <f t="shared" si="72"/>
        <v>2025</v>
      </c>
      <c r="F1199" s="11">
        <f t="shared" si="73"/>
        <v>7</v>
      </c>
      <c r="G1199" s="11" t="str">
        <f t="shared" si="74"/>
        <v>202507</v>
      </c>
      <c r="H1199" s="4">
        <v>45870</v>
      </c>
      <c r="I1199" s="5">
        <v>8</v>
      </c>
      <c r="J1199" s="5">
        <v>0.26666666666666666</v>
      </c>
      <c r="K1199" s="5">
        <f t="shared" si="75"/>
        <v>1</v>
      </c>
      <c r="L1199" s="5">
        <v>1</v>
      </c>
      <c r="M1199" s="5">
        <v>1</v>
      </c>
      <c r="N1199" t="s">
        <v>9</v>
      </c>
      <c r="O1199" s="8">
        <v>18.687671232876713</v>
      </c>
      <c r="P1199" t="s">
        <v>32</v>
      </c>
      <c r="Q1199">
        <v>1</v>
      </c>
      <c r="R1199" s="2">
        <v>39041</v>
      </c>
    </row>
    <row r="1200" spans="1:18" x14ac:dyDescent="0.3">
      <c r="A1200" t="s">
        <v>7</v>
      </c>
      <c r="B1200">
        <v>18905051</v>
      </c>
      <c r="C1200" t="s">
        <v>8</v>
      </c>
      <c r="D1200" s="4">
        <v>45862</v>
      </c>
      <c r="E1200" s="11">
        <f t="shared" si="72"/>
        <v>2025</v>
      </c>
      <c r="F1200" s="11">
        <f t="shared" si="73"/>
        <v>7</v>
      </c>
      <c r="G1200" s="11" t="str">
        <f t="shared" si="74"/>
        <v>202507</v>
      </c>
      <c r="I1200" s="5">
        <v>9999</v>
      </c>
      <c r="J1200" s="5">
        <v>333.3</v>
      </c>
      <c r="K1200" s="5">
        <f t="shared" si="75"/>
        <v>0</v>
      </c>
      <c r="L1200" s="5">
        <v>0</v>
      </c>
      <c r="M1200" s="5">
        <v>0</v>
      </c>
      <c r="N1200" t="s">
        <v>12</v>
      </c>
      <c r="O1200" s="8">
        <v>23.312328767123287</v>
      </c>
      <c r="P1200" t="s">
        <v>33</v>
      </c>
      <c r="Q1200">
        <v>2</v>
      </c>
      <c r="R1200" s="2">
        <v>37353</v>
      </c>
    </row>
    <row r="1201" spans="1:18" x14ac:dyDescent="0.3">
      <c r="A1201" t="s">
        <v>7</v>
      </c>
      <c r="B1201">
        <v>18905055</v>
      </c>
      <c r="C1201" t="s">
        <v>8</v>
      </c>
      <c r="D1201" s="4">
        <v>45862</v>
      </c>
      <c r="E1201" s="11">
        <f t="shared" si="72"/>
        <v>2025</v>
      </c>
      <c r="F1201" s="11">
        <f t="shared" si="73"/>
        <v>7</v>
      </c>
      <c r="G1201" s="11" t="str">
        <f t="shared" si="74"/>
        <v>202507</v>
      </c>
      <c r="H1201" s="4">
        <v>45886</v>
      </c>
      <c r="I1201" s="5">
        <v>24</v>
      </c>
      <c r="J1201" s="5">
        <v>0.8</v>
      </c>
      <c r="K1201" s="5">
        <f t="shared" si="75"/>
        <v>1</v>
      </c>
      <c r="L1201" s="5">
        <v>1</v>
      </c>
      <c r="M1201" s="5">
        <v>1</v>
      </c>
      <c r="N1201" t="s">
        <v>9</v>
      </c>
      <c r="O1201" s="8">
        <v>20.728767123287671</v>
      </c>
      <c r="P1201" t="s">
        <v>32</v>
      </c>
      <c r="Q1201">
        <v>1</v>
      </c>
      <c r="R1201" s="2">
        <v>38296</v>
      </c>
    </row>
    <row r="1202" spans="1:18" x14ac:dyDescent="0.3">
      <c r="A1202" t="s">
        <v>7</v>
      </c>
      <c r="B1202">
        <v>18905056</v>
      </c>
      <c r="C1202" t="s">
        <v>8</v>
      </c>
      <c r="D1202" s="4">
        <v>45862</v>
      </c>
      <c r="E1202" s="11">
        <f t="shared" si="72"/>
        <v>2025</v>
      </c>
      <c r="F1202" s="11">
        <f t="shared" si="73"/>
        <v>7</v>
      </c>
      <c r="G1202" s="11" t="str">
        <f t="shared" si="74"/>
        <v>202507</v>
      </c>
      <c r="H1202" s="4">
        <v>45910</v>
      </c>
      <c r="I1202" s="5">
        <v>48</v>
      </c>
      <c r="J1202" s="5">
        <v>1.6</v>
      </c>
      <c r="K1202" s="5">
        <f t="shared" si="75"/>
        <v>0</v>
      </c>
      <c r="L1202" s="5">
        <v>1</v>
      </c>
      <c r="M1202" s="5">
        <v>1</v>
      </c>
      <c r="N1202" t="s">
        <v>9</v>
      </c>
      <c r="O1202" s="8">
        <v>20.56986301369863</v>
      </c>
      <c r="P1202" t="s">
        <v>32</v>
      </c>
      <c r="Q1202">
        <v>1</v>
      </c>
      <c r="R1202" s="2">
        <v>38354</v>
      </c>
    </row>
    <row r="1203" spans="1:18" x14ac:dyDescent="0.3">
      <c r="A1203" t="s">
        <v>7</v>
      </c>
      <c r="B1203">
        <v>18905064</v>
      </c>
      <c r="C1203" t="s">
        <v>10</v>
      </c>
      <c r="D1203" s="4">
        <v>45862</v>
      </c>
      <c r="E1203" s="11">
        <f t="shared" si="72"/>
        <v>2025</v>
      </c>
      <c r="F1203" s="11">
        <f t="shared" si="73"/>
        <v>7</v>
      </c>
      <c r="G1203" s="11" t="str">
        <f t="shared" si="74"/>
        <v>202507</v>
      </c>
      <c r="H1203" s="4">
        <v>45998</v>
      </c>
      <c r="I1203" s="5">
        <v>136</v>
      </c>
      <c r="J1203" s="5">
        <v>4.5333333333333332</v>
      </c>
      <c r="K1203" s="5">
        <f t="shared" si="75"/>
        <v>0</v>
      </c>
      <c r="L1203" s="5">
        <v>0</v>
      </c>
      <c r="M1203" s="5">
        <v>1</v>
      </c>
      <c r="N1203" t="s">
        <v>9</v>
      </c>
      <c r="O1203" s="8">
        <v>23.12054794520548</v>
      </c>
      <c r="P1203" t="s">
        <v>33</v>
      </c>
      <c r="Q1203">
        <v>2</v>
      </c>
      <c r="R1203" s="2">
        <v>37423</v>
      </c>
    </row>
    <row r="1204" spans="1:18" x14ac:dyDescent="0.3">
      <c r="A1204" t="s">
        <v>7</v>
      </c>
      <c r="B1204">
        <v>18905065</v>
      </c>
      <c r="C1204" t="s">
        <v>8</v>
      </c>
      <c r="D1204" s="4">
        <v>45862</v>
      </c>
      <c r="E1204" s="11">
        <f t="shared" si="72"/>
        <v>2025</v>
      </c>
      <c r="F1204" s="11">
        <f t="shared" si="73"/>
        <v>7</v>
      </c>
      <c r="G1204" s="11" t="str">
        <f t="shared" si="74"/>
        <v>202507</v>
      </c>
      <c r="H1204" s="4">
        <v>45901</v>
      </c>
      <c r="I1204" s="5">
        <v>39</v>
      </c>
      <c r="J1204" s="5">
        <v>1.3</v>
      </c>
      <c r="K1204" s="5">
        <f t="shared" si="75"/>
        <v>0</v>
      </c>
      <c r="L1204" s="5">
        <v>1</v>
      </c>
      <c r="M1204" s="5">
        <v>1</v>
      </c>
      <c r="N1204" t="s">
        <v>9</v>
      </c>
      <c r="O1204" s="8">
        <v>19.093150684931508</v>
      </c>
      <c r="P1204" t="s">
        <v>32</v>
      </c>
      <c r="Q1204">
        <v>1</v>
      </c>
      <c r="R1204" s="2">
        <v>38893</v>
      </c>
    </row>
    <row r="1205" spans="1:18" x14ac:dyDescent="0.3">
      <c r="A1205" t="s">
        <v>7</v>
      </c>
      <c r="B1205">
        <v>18906579</v>
      </c>
      <c r="C1205" t="s">
        <v>10</v>
      </c>
      <c r="D1205" s="4">
        <v>45863</v>
      </c>
      <c r="E1205" s="11">
        <f t="shared" si="72"/>
        <v>2025</v>
      </c>
      <c r="F1205" s="11">
        <f t="shared" si="73"/>
        <v>7</v>
      </c>
      <c r="G1205" s="11" t="str">
        <f t="shared" si="74"/>
        <v>202507</v>
      </c>
      <c r="H1205" s="4">
        <v>45930</v>
      </c>
      <c r="I1205" s="5">
        <v>67</v>
      </c>
      <c r="J1205" s="5">
        <v>2.2333333333333334</v>
      </c>
      <c r="K1205" s="5">
        <f t="shared" si="75"/>
        <v>0</v>
      </c>
      <c r="L1205" s="5">
        <v>1</v>
      </c>
      <c r="M1205" s="5">
        <v>1</v>
      </c>
      <c r="N1205" t="s">
        <v>9</v>
      </c>
      <c r="O1205" s="8">
        <v>18.81917808219178</v>
      </c>
      <c r="P1205" t="s">
        <v>32</v>
      </c>
      <c r="Q1205">
        <v>1</v>
      </c>
      <c r="R1205" s="2">
        <v>38994</v>
      </c>
    </row>
    <row r="1206" spans="1:18" x14ac:dyDescent="0.3">
      <c r="A1206" t="s">
        <v>7</v>
      </c>
      <c r="B1206">
        <v>18906580</v>
      </c>
      <c r="C1206" t="s">
        <v>10</v>
      </c>
      <c r="D1206" s="4">
        <v>45863</v>
      </c>
      <c r="E1206" s="11">
        <f t="shared" si="72"/>
        <v>2025</v>
      </c>
      <c r="F1206" s="11">
        <f t="shared" si="73"/>
        <v>7</v>
      </c>
      <c r="G1206" s="11" t="str">
        <f t="shared" si="74"/>
        <v>202507</v>
      </c>
      <c r="H1206" s="4">
        <v>45950</v>
      </c>
      <c r="I1206" s="5">
        <v>87</v>
      </c>
      <c r="J1206" s="5">
        <v>2.9</v>
      </c>
      <c r="K1206" s="5">
        <f t="shared" si="75"/>
        <v>0</v>
      </c>
      <c r="L1206" s="5">
        <v>1</v>
      </c>
      <c r="M1206" s="5">
        <v>1</v>
      </c>
      <c r="N1206" t="s">
        <v>9</v>
      </c>
      <c r="O1206" s="8">
        <v>23.578082191780823</v>
      </c>
      <c r="P1206" t="s">
        <v>33</v>
      </c>
      <c r="Q1206">
        <v>2</v>
      </c>
      <c r="R1206" s="2">
        <v>37257</v>
      </c>
    </row>
    <row r="1207" spans="1:18" x14ac:dyDescent="0.3">
      <c r="A1207" t="s">
        <v>7</v>
      </c>
      <c r="B1207">
        <v>18906585</v>
      </c>
      <c r="C1207" t="s">
        <v>8</v>
      </c>
      <c r="D1207" s="4">
        <v>45863</v>
      </c>
      <c r="E1207" s="11">
        <f t="shared" si="72"/>
        <v>2025</v>
      </c>
      <c r="F1207" s="11">
        <f t="shared" si="73"/>
        <v>7</v>
      </c>
      <c r="G1207" s="11" t="str">
        <f t="shared" si="74"/>
        <v>202507</v>
      </c>
      <c r="H1207" s="4">
        <v>46173</v>
      </c>
      <c r="I1207" s="5">
        <v>310</v>
      </c>
      <c r="J1207" s="5">
        <v>10.333333333333334</v>
      </c>
      <c r="K1207" s="5">
        <f t="shared" si="75"/>
        <v>0</v>
      </c>
      <c r="L1207" s="5">
        <v>0</v>
      </c>
      <c r="M1207" s="5">
        <v>0</v>
      </c>
      <c r="N1207" t="s">
        <v>9</v>
      </c>
      <c r="O1207" s="8">
        <v>30.698630136986303</v>
      </c>
      <c r="P1207" t="s">
        <v>34</v>
      </c>
      <c r="Q1207">
        <v>3</v>
      </c>
      <c r="R1207" s="2">
        <v>34658</v>
      </c>
    </row>
    <row r="1208" spans="1:18" x14ac:dyDescent="0.3">
      <c r="A1208" t="s">
        <v>7</v>
      </c>
      <c r="B1208">
        <v>18906631</v>
      </c>
      <c r="C1208" t="s">
        <v>8</v>
      </c>
      <c r="D1208" s="4">
        <v>45863</v>
      </c>
      <c r="E1208" s="11">
        <f t="shared" si="72"/>
        <v>2025</v>
      </c>
      <c r="F1208" s="11">
        <f t="shared" si="73"/>
        <v>7</v>
      </c>
      <c r="G1208" s="11" t="str">
        <f t="shared" si="74"/>
        <v>202507</v>
      </c>
      <c r="H1208" s="4">
        <v>45928</v>
      </c>
      <c r="I1208" s="5">
        <v>65</v>
      </c>
      <c r="J1208" s="5">
        <v>2.1666666666666665</v>
      </c>
      <c r="K1208" s="5">
        <f t="shared" si="75"/>
        <v>0</v>
      </c>
      <c r="L1208" s="5">
        <v>1</v>
      </c>
      <c r="M1208" s="5">
        <v>1</v>
      </c>
      <c r="N1208" t="s">
        <v>9</v>
      </c>
      <c r="O1208" s="8">
        <v>30.454794520547946</v>
      </c>
      <c r="P1208" t="s">
        <v>34</v>
      </c>
      <c r="Q1208">
        <v>3</v>
      </c>
      <c r="R1208" s="2">
        <v>34747</v>
      </c>
    </row>
    <row r="1209" spans="1:18" x14ac:dyDescent="0.3">
      <c r="A1209" t="s">
        <v>7</v>
      </c>
      <c r="B1209">
        <v>18906698</v>
      </c>
      <c r="C1209" t="s">
        <v>8</v>
      </c>
      <c r="D1209" s="4">
        <v>45863</v>
      </c>
      <c r="E1209" s="11">
        <f t="shared" si="72"/>
        <v>2025</v>
      </c>
      <c r="F1209" s="11">
        <f t="shared" si="73"/>
        <v>7</v>
      </c>
      <c r="G1209" s="11" t="str">
        <f t="shared" si="74"/>
        <v>202507</v>
      </c>
      <c r="I1209" s="5">
        <v>9999</v>
      </c>
      <c r="J1209" s="5">
        <v>333.3</v>
      </c>
      <c r="K1209" s="5">
        <f t="shared" si="75"/>
        <v>0</v>
      </c>
      <c r="L1209" s="5">
        <v>0</v>
      </c>
      <c r="M1209" s="5">
        <v>0</v>
      </c>
      <c r="N1209" t="s">
        <v>9</v>
      </c>
      <c r="O1209" s="8">
        <v>19.397260273972602</v>
      </c>
      <c r="P1209" t="s">
        <v>32</v>
      </c>
      <c r="Q1209">
        <v>1</v>
      </c>
      <c r="R1209" s="2">
        <v>38783</v>
      </c>
    </row>
    <row r="1210" spans="1:18" x14ac:dyDescent="0.3">
      <c r="A1210" t="s">
        <v>7</v>
      </c>
      <c r="B1210">
        <v>18906875</v>
      </c>
      <c r="C1210" t="s">
        <v>8</v>
      </c>
      <c r="D1210" s="4">
        <v>45868</v>
      </c>
      <c r="E1210" s="11">
        <f t="shared" si="72"/>
        <v>2025</v>
      </c>
      <c r="F1210" s="11">
        <f t="shared" si="73"/>
        <v>7</v>
      </c>
      <c r="G1210" s="11" t="str">
        <f t="shared" si="74"/>
        <v>202507</v>
      </c>
      <c r="I1210" s="5">
        <v>9999</v>
      </c>
      <c r="J1210" s="5">
        <v>333.3</v>
      </c>
      <c r="K1210" s="5">
        <f t="shared" si="75"/>
        <v>0</v>
      </c>
      <c r="L1210" s="5">
        <v>0</v>
      </c>
      <c r="M1210" s="5">
        <v>0</v>
      </c>
      <c r="N1210" t="s">
        <v>9</v>
      </c>
      <c r="O1210" s="8">
        <v>18.150684931506849</v>
      </c>
      <c r="P1210" t="s">
        <v>32</v>
      </c>
      <c r="Q1210">
        <v>1</v>
      </c>
      <c r="R1210" s="2">
        <v>39243</v>
      </c>
    </row>
    <row r="1211" spans="1:18" x14ac:dyDescent="0.3">
      <c r="A1211" t="s">
        <v>7</v>
      </c>
      <c r="B1211">
        <v>18908311</v>
      </c>
      <c r="C1211" t="s">
        <v>10</v>
      </c>
      <c r="D1211" s="4">
        <v>45870</v>
      </c>
      <c r="E1211" s="11">
        <f t="shared" si="72"/>
        <v>2025</v>
      </c>
      <c r="F1211" s="11">
        <f t="shared" si="73"/>
        <v>8</v>
      </c>
      <c r="G1211" s="11" t="str">
        <f t="shared" si="74"/>
        <v>202508</v>
      </c>
      <c r="H1211" s="4">
        <v>46053</v>
      </c>
      <c r="I1211" s="5">
        <v>183</v>
      </c>
      <c r="J1211" s="5">
        <v>6.1</v>
      </c>
      <c r="K1211" s="5">
        <f t="shared" si="75"/>
        <v>0</v>
      </c>
      <c r="L1211" s="5">
        <v>0</v>
      </c>
      <c r="M1211" s="5">
        <v>0</v>
      </c>
      <c r="N1211" t="s">
        <v>9</v>
      </c>
      <c r="O1211" s="8">
        <v>19.282191780821918</v>
      </c>
      <c r="P1211" t="s">
        <v>32</v>
      </c>
      <c r="Q1211">
        <v>1</v>
      </c>
      <c r="R1211" s="2">
        <v>38832</v>
      </c>
    </row>
    <row r="1212" spans="1:18" x14ac:dyDescent="0.3">
      <c r="A1212" t="s">
        <v>7</v>
      </c>
      <c r="B1212">
        <v>18908314</v>
      </c>
      <c r="C1212" t="s">
        <v>8</v>
      </c>
      <c r="D1212" s="4">
        <v>45870</v>
      </c>
      <c r="E1212" s="11">
        <f t="shared" si="72"/>
        <v>2025</v>
      </c>
      <c r="F1212" s="11">
        <f t="shared" si="73"/>
        <v>8</v>
      </c>
      <c r="G1212" s="11" t="str">
        <f t="shared" si="74"/>
        <v>202508</v>
      </c>
      <c r="I1212" s="5">
        <v>9999</v>
      </c>
      <c r="J1212" s="5">
        <v>333.3</v>
      </c>
      <c r="K1212" s="5">
        <f t="shared" si="75"/>
        <v>0</v>
      </c>
      <c r="L1212" s="5">
        <v>0</v>
      </c>
      <c r="M1212" s="5">
        <v>0</v>
      </c>
      <c r="N1212" t="s">
        <v>9</v>
      </c>
      <c r="O1212" s="8">
        <v>18.986301369863014</v>
      </c>
      <c r="P1212" t="s">
        <v>32</v>
      </c>
      <c r="Q1212">
        <v>1</v>
      </c>
      <c r="R1212" s="2">
        <v>38940</v>
      </c>
    </row>
    <row r="1213" spans="1:18" x14ac:dyDescent="0.3">
      <c r="A1213" t="s">
        <v>7</v>
      </c>
      <c r="B1213">
        <v>18908317</v>
      </c>
      <c r="C1213" t="s">
        <v>8</v>
      </c>
      <c r="D1213" s="4">
        <v>45870</v>
      </c>
      <c r="E1213" s="11">
        <f t="shared" si="72"/>
        <v>2025</v>
      </c>
      <c r="F1213" s="11">
        <f t="shared" si="73"/>
        <v>8</v>
      </c>
      <c r="G1213" s="11" t="str">
        <f t="shared" si="74"/>
        <v>202508</v>
      </c>
      <c r="H1213" s="4">
        <v>46022</v>
      </c>
      <c r="I1213" s="5">
        <v>152</v>
      </c>
      <c r="J1213" s="5">
        <v>5.0666666666666664</v>
      </c>
      <c r="K1213" s="5">
        <f t="shared" si="75"/>
        <v>0</v>
      </c>
      <c r="L1213" s="5">
        <v>0</v>
      </c>
      <c r="M1213" s="5">
        <v>1</v>
      </c>
      <c r="N1213" t="s">
        <v>9</v>
      </c>
      <c r="O1213" s="8">
        <v>24.18082191780822</v>
      </c>
      <c r="P1213" t="s">
        <v>33</v>
      </c>
      <c r="Q1213">
        <v>2</v>
      </c>
      <c r="R1213" s="2">
        <v>37044</v>
      </c>
    </row>
    <row r="1214" spans="1:18" x14ac:dyDescent="0.3">
      <c r="A1214" t="s">
        <v>7</v>
      </c>
      <c r="B1214">
        <v>18908327</v>
      </c>
      <c r="C1214" t="s">
        <v>10</v>
      </c>
      <c r="D1214" s="4">
        <v>45870</v>
      </c>
      <c r="E1214" s="11">
        <f t="shared" si="72"/>
        <v>2025</v>
      </c>
      <c r="F1214" s="11">
        <f t="shared" si="73"/>
        <v>8</v>
      </c>
      <c r="G1214" s="11" t="str">
        <f t="shared" si="74"/>
        <v>202508</v>
      </c>
      <c r="H1214" s="4">
        <v>46022</v>
      </c>
      <c r="I1214" s="5">
        <v>152</v>
      </c>
      <c r="J1214" s="5">
        <v>5.0666666666666664</v>
      </c>
      <c r="K1214" s="5">
        <f t="shared" si="75"/>
        <v>0</v>
      </c>
      <c r="L1214" s="5">
        <v>0</v>
      </c>
      <c r="M1214" s="5">
        <v>1</v>
      </c>
      <c r="N1214" t="s">
        <v>9</v>
      </c>
      <c r="O1214" s="8">
        <v>19.293150684931508</v>
      </c>
      <c r="P1214" t="s">
        <v>32</v>
      </c>
      <c r="Q1214">
        <v>1</v>
      </c>
      <c r="R1214" s="2">
        <v>38828</v>
      </c>
    </row>
    <row r="1215" spans="1:18" x14ac:dyDescent="0.3">
      <c r="A1215" t="s">
        <v>7</v>
      </c>
      <c r="B1215">
        <v>18908330</v>
      </c>
      <c r="C1215" t="s">
        <v>8</v>
      </c>
      <c r="D1215" s="4">
        <v>45870</v>
      </c>
      <c r="E1215" s="11">
        <f t="shared" si="72"/>
        <v>2025</v>
      </c>
      <c r="F1215" s="11">
        <f t="shared" si="73"/>
        <v>8</v>
      </c>
      <c r="G1215" s="11" t="str">
        <f t="shared" si="74"/>
        <v>202508</v>
      </c>
      <c r="H1215" s="4">
        <v>46023</v>
      </c>
      <c r="I1215" s="5">
        <v>153</v>
      </c>
      <c r="J1215" s="5">
        <v>5.0999999999999996</v>
      </c>
      <c r="K1215" s="5">
        <f t="shared" si="75"/>
        <v>0</v>
      </c>
      <c r="L1215" s="5">
        <v>0</v>
      </c>
      <c r="M1215" s="5">
        <v>1</v>
      </c>
      <c r="N1215" t="s">
        <v>9</v>
      </c>
      <c r="O1215" s="8">
        <v>25.616438356164384</v>
      </c>
      <c r="P1215" t="s">
        <v>33</v>
      </c>
      <c r="Q1215">
        <v>2</v>
      </c>
      <c r="R1215" s="2">
        <v>36520</v>
      </c>
    </row>
    <row r="1216" spans="1:18" x14ac:dyDescent="0.3">
      <c r="A1216" t="s">
        <v>7</v>
      </c>
      <c r="B1216">
        <v>18908332</v>
      </c>
      <c r="C1216" t="s">
        <v>8</v>
      </c>
      <c r="D1216" s="4">
        <v>45870</v>
      </c>
      <c r="E1216" s="11">
        <f t="shared" si="72"/>
        <v>2025</v>
      </c>
      <c r="F1216" s="11">
        <f t="shared" si="73"/>
        <v>8</v>
      </c>
      <c r="G1216" s="11" t="str">
        <f t="shared" si="74"/>
        <v>202508</v>
      </c>
      <c r="H1216" s="4">
        <v>45874</v>
      </c>
      <c r="I1216" s="5">
        <v>4</v>
      </c>
      <c r="J1216" s="5">
        <v>0.13333333333333333</v>
      </c>
      <c r="K1216" s="5">
        <f t="shared" si="75"/>
        <v>1</v>
      </c>
      <c r="L1216" s="5">
        <v>1</v>
      </c>
      <c r="M1216" s="5">
        <v>1</v>
      </c>
      <c r="N1216" t="s">
        <v>9</v>
      </c>
      <c r="O1216" s="8">
        <v>24.372602739726027</v>
      </c>
      <c r="P1216" t="s">
        <v>33</v>
      </c>
      <c r="Q1216">
        <v>2</v>
      </c>
      <c r="R1216" s="2">
        <v>36974</v>
      </c>
    </row>
    <row r="1217" spans="1:18" x14ac:dyDescent="0.3">
      <c r="A1217" t="s">
        <v>7</v>
      </c>
      <c r="B1217">
        <v>18908333</v>
      </c>
      <c r="C1217" t="s">
        <v>8</v>
      </c>
      <c r="D1217" s="4">
        <v>45870</v>
      </c>
      <c r="E1217" s="11">
        <f t="shared" si="72"/>
        <v>2025</v>
      </c>
      <c r="F1217" s="11">
        <f t="shared" si="73"/>
        <v>8</v>
      </c>
      <c r="G1217" s="11" t="str">
        <f t="shared" si="74"/>
        <v>202508</v>
      </c>
      <c r="H1217" s="4">
        <v>45881</v>
      </c>
      <c r="I1217" s="5">
        <v>11</v>
      </c>
      <c r="J1217" s="5">
        <v>0.36666666666666664</v>
      </c>
      <c r="K1217" s="5">
        <f t="shared" si="75"/>
        <v>1</v>
      </c>
      <c r="L1217" s="5">
        <v>1</v>
      </c>
      <c r="M1217" s="5">
        <v>1</v>
      </c>
      <c r="N1217" t="s">
        <v>12</v>
      </c>
      <c r="O1217" s="8">
        <v>23.238356164383561</v>
      </c>
      <c r="P1217" t="s">
        <v>33</v>
      </c>
      <c r="Q1217">
        <v>2</v>
      </c>
      <c r="R1217" s="2">
        <v>37388</v>
      </c>
    </row>
    <row r="1218" spans="1:18" x14ac:dyDescent="0.3">
      <c r="A1218" t="s">
        <v>7</v>
      </c>
      <c r="B1218">
        <v>18908334</v>
      </c>
      <c r="C1218" t="s">
        <v>8</v>
      </c>
      <c r="D1218" s="4">
        <v>45870</v>
      </c>
      <c r="E1218" s="11">
        <f t="shared" si="72"/>
        <v>2025</v>
      </c>
      <c r="F1218" s="11">
        <f t="shared" si="73"/>
        <v>8</v>
      </c>
      <c r="G1218" s="11" t="str">
        <f t="shared" si="74"/>
        <v>202508</v>
      </c>
      <c r="I1218" s="5">
        <v>9999</v>
      </c>
      <c r="J1218" s="5">
        <v>333.3</v>
      </c>
      <c r="K1218" s="5">
        <f t="shared" si="75"/>
        <v>0</v>
      </c>
      <c r="L1218" s="5">
        <v>0</v>
      </c>
      <c r="M1218" s="5">
        <v>0</v>
      </c>
      <c r="N1218" t="s">
        <v>12</v>
      </c>
      <c r="O1218" s="8">
        <v>25.816438356164383</v>
      </c>
      <c r="P1218" t="s">
        <v>33</v>
      </c>
      <c r="Q1218">
        <v>2</v>
      </c>
      <c r="R1218" s="2">
        <v>36447</v>
      </c>
    </row>
    <row r="1219" spans="1:18" x14ac:dyDescent="0.3">
      <c r="A1219" t="s">
        <v>7</v>
      </c>
      <c r="B1219">
        <v>18908335</v>
      </c>
      <c r="C1219" t="s">
        <v>8</v>
      </c>
      <c r="D1219" s="4">
        <v>45870</v>
      </c>
      <c r="E1219" s="11">
        <f t="shared" ref="E1219:E1282" si="76">+YEAR(D1219)</f>
        <v>2025</v>
      </c>
      <c r="F1219" s="11">
        <f t="shared" ref="F1219:F1282" si="77">+MONTH(D1219)</f>
        <v>8</v>
      </c>
      <c r="G1219" s="11" t="str">
        <f t="shared" ref="G1219:G1282" si="78">+TEXT(D1219, "yyymm")</f>
        <v>202508</v>
      </c>
      <c r="I1219" s="5">
        <v>9999</v>
      </c>
      <c r="J1219" s="5">
        <v>333.3</v>
      </c>
      <c r="K1219" s="5">
        <f t="shared" ref="K1219:K1282" si="79">IF(J1219&lt;=1,1,0)</f>
        <v>0</v>
      </c>
      <c r="L1219" s="5">
        <v>0</v>
      </c>
      <c r="M1219" s="5">
        <v>0</v>
      </c>
      <c r="N1219" t="s">
        <v>12</v>
      </c>
      <c r="O1219" s="8">
        <v>33.098630136986301</v>
      </c>
      <c r="P1219" t="s">
        <v>35</v>
      </c>
      <c r="Q1219">
        <v>4</v>
      </c>
      <c r="R1219" s="2">
        <v>33789</v>
      </c>
    </row>
    <row r="1220" spans="1:18" x14ac:dyDescent="0.3">
      <c r="A1220" t="s">
        <v>7</v>
      </c>
      <c r="B1220">
        <v>18908336</v>
      </c>
      <c r="C1220" t="s">
        <v>8</v>
      </c>
      <c r="D1220" s="4">
        <v>45870</v>
      </c>
      <c r="E1220" s="11">
        <f t="shared" si="76"/>
        <v>2025</v>
      </c>
      <c r="F1220" s="11">
        <f t="shared" si="77"/>
        <v>8</v>
      </c>
      <c r="G1220" s="11" t="str">
        <f t="shared" si="78"/>
        <v>202508</v>
      </c>
      <c r="H1220" s="4">
        <v>45904</v>
      </c>
      <c r="I1220" s="5">
        <v>34</v>
      </c>
      <c r="J1220" s="5">
        <v>1.1333333333333333</v>
      </c>
      <c r="K1220" s="5">
        <f t="shared" si="79"/>
        <v>0</v>
      </c>
      <c r="L1220" s="5">
        <v>1</v>
      </c>
      <c r="M1220" s="5">
        <v>1</v>
      </c>
      <c r="N1220" t="s">
        <v>12</v>
      </c>
      <c r="O1220" s="8">
        <v>21.635616438356163</v>
      </c>
      <c r="P1220" t="s">
        <v>33</v>
      </c>
      <c r="Q1220">
        <v>2</v>
      </c>
      <c r="R1220" s="2">
        <v>37973</v>
      </c>
    </row>
    <row r="1221" spans="1:18" x14ac:dyDescent="0.3">
      <c r="A1221" t="s">
        <v>7</v>
      </c>
      <c r="B1221">
        <v>18908337</v>
      </c>
      <c r="C1221" t="s">
        <v>8</v>
      </c>
      <c r="D1221" s="4">
        <v>45870</v>
      </c>
      <c r="E1221" s="11">
        <f t="shared" si="76"/>
        <v>2025</v>
      </c>
      <c r="F1221" s="11">
        <f t="shared" si="77"/>
        <v>8</v>
      </c>
      <c r="G1221" s="11" t="str">
        <f t="shared" si="78"/>
        <v>202508</v>
      </c>
      <c r="H1221" s="4">
        <v>45961</v>
      </c>
      <c r="I1221" s="5">
        <v>91</v>
      </c>
      <c r="J1221" s="5">
        <v>3.0333333333333332</v>
      </c>
      <c r="K1221" s="5">
        <f t="shared" si="79"/>
        <v>0</v>
      </c>
      <c r="L1221" s="5">
        <v>0</v>
      </c>
      <c r="M1221" s="5">
        <v>1</v>
      </c>
      <c r="N1221" t="s">
        <v>12</v>
      </c>
      <c r="O1221" s="8">
        <v>25.416438356164385</v>
      </c>
      <c r="P1221" t="s">
        <v>33</v>
      </c>
      <c r="Q1221">
        <v>2</v>
      </c>
      <c r="R1221" s="2">
        <v>36593</v>
      </c>
    </row>
    <row r="1222" spans="1:18" x14ac:dyDescent="0.3">
      <c r="A1222" t="s">
        <v>7</v>
      </c>
      <c r="B1222">
        <v>18908339</v>
      </c>
      <c r="C1222" t="s">
        <v>10</v>
      </c>
      <c r="D1222" s="4">
        <v>45870</v>
      </c>
      <c r="E1222" s="11">
        <f t="shared" si="76"/>
        <v>2025</v>
      </c>
      <c r="F1222" s="11">
        <f t="shared" si="77"/>
        <v>8</v>
      </c>
      <c r="G1222" s="11" t="str">
        <f t="shared" si="78"/>
        <v>202508</v>
      </c>
      <c r="I1222" s="5">
        <v>9999</v>
      </c>
      <c r="J1222" s="5">
        <v>333.3</v>
      </c>
      <c r="K1222" s="5">
        <f t="shared" si="79"/>
        <v>0</v>
      </c>
      <c r="L1222" s="5">
        <v>0</v>
      </c>
      <c r="M1222" s="5">
        <v>0</v>
      </c>
      <c r="N1222" t="s">
        <v>12</v>
      </c>
      <c r="O1222" s="8">
        <v>21.523287671232875</v>
      </c>
      <c r="P1222" t="s">
        <v>33</v>
      </c>
      <c r="Q1222">
        <v>2</v>
      </c>
      <c r="R1222" s="2">
        <v>38014</v>
      </c>
    </row>
    <row r="1223" spans="1:18" x14ac:dyDescent="0.3">
      <c r="A1223" t="s">
        <v>7</v>
      </c>
      <c r="B1223">
        <v>18908341</v>
      </c>
      <c r="C1223" t="s">
        <v>8</v>
      </c>
      <c r="D1223" s="4">
        <v>45870</v>
      </c>
      <c r="E1223" s="11">
        <f t="shared" si="76"/>
        <v>2025</v>
      </c>
      <c r="F1223" s="11">
        <f t="shared" si="77"/>
        <v>8</v>
      </c>
      <c r="G1223" s="11" t="str">
        <f t="shared" si="78"/>
        <v>202508</v>
      </c>
      <c r="H1223" s="4">
        <v>45888</v>
      </c>
      <c r="I1223" s="5">
        <v>18</v>
      </c>
      <c r="J1223" s="5">
        <v>0.6</v>
      </c>
      <c r="K1223" s="5">
        <f t="shared" si="79"/>
        <v>1</v>
      </c>
      <c r="L1223" s="5">
        <v>1</v>
      </c>
      <c r="M1223" s="5">
        <v>1</v>
      </c>
      <c r="N1223" t="s">
        <v>9</v>
      </c>
      <c r="O1223" s="8">
        <v>22.446575342465753</v>
      </c>
      <c r="P1223" t="s">
        <v>33</v>
      </c>
      <c r="Q1223">
        <v>2</v>
      </c>
      <c r="R1223" s="2">
        <v>37677</v>
      </c>
    </row>
    <row r="1224" spans="1:18" x14ac:dyDescent="0.3">
      <c r="A1224" t="s">
        <v>7</v>
      </c>
      <c r="B1224">
        <v>18908347</v>
      </c>
      <c r="C1224" t="s">
        <v>8</v>
      </c>
      <c r="D1224" s="4">
        <v>45870</v>
      </c>
      <c r="E1224" s="11">
        <f t="shared" si="76"/>
        <v>2025</v>
      </c>
      <c r="F1224" s="11">
        <f t="shared" si="77"/>
        <v>8</v>
      </c>
      <c r="G1224" s="11" t="str">
        <f t="shared" si="78"/>
        <v>202508</v>
      </c>
      <c r="H1224" s="4">
        <v>45880</v>
      </c>
      <c r="I1224" s="5">
        <v>10</v>
      </c>
      <c r="J1224" s="5">
        <v>0.33333333333333331</v>
      </c>
      <c r="K1224" s="5">
        <f t="shared" si="79"/>
        <v>1</v>
      </c>
      <c r="L1224" s="5">
        <v>1</v>
      </c>
      <c r="M1224" s="5">
        <v>1</v>
      </c>
      <c r="N1224" t="s">
        <v>9</v>
      </c>
      <c r="O1224" s="8">
        <v>33.794520547945204</v>
      </c>
      <c r="P1224" t="s">
        <v>35</v>
      </c>
      <c r="Q1224">
        <v>4</v>
      </c>
      <c r="R1224" s="2">
        <v>33535</v>
      </c>
    </row>
    <row r="1225" spans="1:18" x14ac:dyDescent="0.3">
      <c r="A1225" t="s">
        <v>7</v>
      </c>
      <c r="B1225">
        <v>18908348</v>
      </c>
      <c r="C1225" t="s">
        <v>8</v>
      </c>
      <c r="D1225" s="4">
        <v>45870</v>
      </c>
      <c r="E1225" s="11">
        <f t="shared" si="76"/>
        <v>2025</v>
      </c>
      <c r="F1225" s="11">
        <f t="shared" si="77"/>
        <v>8</v>
      </c>
      <c r="G1225" s="11" t="str">
        <f t="shared" si="78"/>
        <v>202508</v>
      </c>
      <c r="I1225" s="5">
        <v>9999</v>
      </c>
      <c r="J1225" s="5">
        <v>333.3</v>
      </c>
      <c r="K1225" s="5">
        <f t="shared" si="79"/>
        <v>0</v>
      </c>
      <c r="L1225" s="5">
        <v>0</v>
      </c>
      <c r="M1225" s="5">
        <v>0</v>
      </c>
      <c r="N1225" t="s">
        <v>9</v>
      </c>
      <c r="O1225" s="8">
        <v>20.786301369863015</v>
      </c>
      <c r="P1225" t="s">
        <v>32</v>
      </c>
      <c r="Q1225">
        <v>1</v>
      </c>
      <c r="R1225" s="2">
        <v>38283</v>
      </c>
    </row>
    <row r="1226" spans="1:18" x14ac:dyDescent="0.3">
      <c r="A1226" t="s">
        <v>7</v>
      </c>
      <c r="B1226">
        <v>18908349</v>
      </c>
      <c r="C1226" t="s">
        <v>8</v>
      </c>
      <c r="D1226" s="4">
        <v>45870</v>
      </c>
      <c r="E1226" s="11">
        <f t="shared" si="76"/>
        <v>2025</v>
      </c>
      <c r="F1226" s="11">
        <f t="shared" si="77"/>
        <v>8</v>
      </c>
      <c r="G1226" s="11" t="str">
        <f t="shared" si="78"/>
        <v>202508</v>
      </c>
      <c r="H1226" s="4">
        <v>45908</v>
      </c>
      <c r="I1226" s="5">
        <v>38</v>
      </c>
      <c r="J1226" s="5">
        <v>1.2666666666666666</v>
      </c>
      <c r="K1226" s="5">
        <f t="shared" si="79"/>
        <v>0</v>
      </c>
      <c r="L1226" s="5">
        <v>1</v>
      </c>
      <c r="M1226" s="5">
        <v>1</v>
      </c>
      <c r="N1226" t="s">
        <v>9</v>
      </c>
      <c r="O1226" s="8">
        <v>21.654794520547945</v>
      </c>
      <c r="P1226" t="s">
        <v>33</v>
      </c>
      <c r="Q1226">
        <v>2</v>
      </c>
      <c r="R1226" s="2">
        <v>37966</v>
      </c>
    </row>
    <row r="1227" spans="1:18" x14ac:dyDescent="0.3">
      <c r="A1227" t="s">
        <v>7</v>
      </c>
      <c r="B1227">
        <v>18908350</v>
      </c>
      <c r="C1227" t="s">
        <v>8</v>
      </c>
      <c r="D1227" s="4">
        <v>45870</v>
      </c>
      <c r="E1227" s="11">
        <f t="shared" si="76"/>
        <v>2025</v>
      </c>
      <c r="F1227" s="11">
        <f t="shared" si="77"/>
        <v>8</v>
      </c>
      <c r="G1227" s="11" t="str">
        <f t="shared" si="78"/>
        <v>202508</v>
      </c>
      <c r="H1227" s="4">
        <v>46055</v>
      </c>
      <c r="I1227" s="5">
        <v>185</v>
      </c>
      <c r="J1227" s="5">
        <v>6.166666666666667</v>
      </c>
      <c r="K1227" s="5">
        <f t="shared" si="79"/>
        <v>0</v>
      </c>
      <c r="L1227" s="5">
        <v>0</v>
      </c>
      <c r="M1227" s="5">
        <v>0</v>
      </c>
      <c r="N1227" t="s">
        <v>9</v>
      </c>
      <c r="O1227" s="8">
        <v>25.164383561643834</v>
      </c>
      <c r="P1227" t="s">
        <v>33</v>
      </c>
      <c r="Q1227">
        <v>2</v>
      </c>
      <c r="R1227" s="2">
        <v>36685</v>
      </c>
    </row>
    <row r="1228" spans="1:18" x14ac:dyDescent="0.3">
      <c r="A1228" t="s">
        <v>7</v>
      </c>
      <c r="B1228">
        <v>18908351</v>
      </c>
      <c r="C1228" t="s">
        <v>8</v>
      </c>
      <c r="D1228" s="4">
        <v>45870</v>
      </c>
      <c r="E1228" s="11">
        <f t="shared" si="76"/>
        <v>2025</v>
      </c>
      <c r="F1228" s="11">
        <f t="shared" si="77"/>
        <v>8</v>
      </c>
      <c r="G1228" s="11" t="str">
        <f t="shared" si="78"/>
        <v>202508</v>
      </c>
      <c r="H1228" s="4">
        <v>46006</v>
      </c>
      <c r="I1228" s="5">
        <v>136</v>
      </c>
      <c r="J1228" s="5">
        <v>4.5333333333333332</v>
      </c>
      <c r="K1228" s="5">
        <f t="shared" si="79"/>
        <v>0</v>
      </c>
      <c r="L1228" s="5">
        <v>0</v>
      </c>
      <c r="M1228" s="5">
        <v>1</v>
      </c>
      <c r="N1228" t="s">
        <v>9</v>
      </c>
      <c r="O1228" s="8">
        <v>20.364383561643837</v>
      </c>
      <c r="P1228" t="s">
        <v>32</v>
      </c>
      <c r="Q1228">
        <v>1</v>
      </c>
      <c r="R1228" s="2">
        <v>38437</v>
      </c>
    </row>
    <row r="1229" spans="1:18" x14ac:dyDescent="0.3">
      <c r="A1229" t="s">
        <v>7</v>
      </c>
      <c r="B1229">
        <v>18908352</v>
      </c>
      <c r="C1229" t="s">
        <v>8</v>
      </c>
      <c r="D1229" s="4">
        <v>45870</v>
      </c>
      <c r="E1229" s="11">
        <f t="shared" si="76"/>
        <v>2025</v>
      </c>
      <c r="F1229" s="11">
        <f t="shared" si="77"/>
        <v>8</v>
      </c>
      <c r="G1229" s="11" t="str">
        <f t="shared" si="78"/>
        <v>202508</v>
      </c>
      <c r="H1229" s="4">
        <v>46173</v>
      </c>
      <c r="I1229" s="5">
        <v>303</v>
      </c>
      <c r="J1229" s="5">
        <v>10.1</v>
      </c>
      <c r="K1229" s="5">
        <f t="shared" si="79"/>
        <v>0</v>
      </c>
      <c r="L1229" s="5">
        <v>0</v>
      </c>
      <c r="M1229" s="5">
        <v>0</v>
      </c>
      <c r="N1229" t="s">
        <v>9</v>
      </c>
      <c r="O1229" s="8">
        <v>38.353424657534248</v>
      </c>
      <c r="P1229" t="s">
        <v>35</v>
      </c>
      <c r="Q1229">
        <v>4</v>
      </c>
      <c r="R1229" s="2">
        <v>31871</v>
      </c>
    </row>
    <row r="1230" spans="1:18" x14ac:dyDescent="0.3">
      <c r="A1230" t="s">
        <v>7</v>
      </c>
      <c r="B1230">
        <v>18908355</v>
      </c>
      <c r="C1230" t="s">
        <v>10</v>
      </c>
      <c r="D1230" s="4">
        <v>45870</v>
      </c>
      <c r="E1230" s="11">
        <f t="shared" si="76"/>
        <v>2025</v>
      </c>
      <c r="F1230" s="11">
        <f t="shared" si="77"/>
        <v>8</v>
      </c>
      <c r="G1230" s="11" t="str">
        <f t="shared" si="78"/>
        <v>202508</v>
      </c>
      <c r="H1230" s="4">
        <v>46173</v>
      </c>
      <c r="I1230" s="5">
        <v>303</v>
      </c>
      <c r="J1230" s="5">
        <v>10.1</v>
      </c>
      <c r="K1230" s="5">
        <f t="shared" si="79"/>
        <v>0</v>
      </c>
      <c r="L1230" s="5">
        <v>0</v>
      </c>
      <c r="M1230" s="5">
        <v>0</v>
      </c>
      <c r="N1230" t="s">
        <v>9</v>
      </c>
      <c r="O1230" s="8">
        <v>20.975342465753425</v>
      </c>
      <c r="P1230" t="s">
        <v>32</v>
      </c>
      <c r="Q1230">
        <v>1</v>
      </c>
      <c r="R1230" s="2">
        <v>38214</v>
      </c>
    </row>
    <row r="1231" spans="1:18" x14ac:dyDescent="0.3">
      <c r="A1231" t="s">
        <v>7</v>
      </c>
      <c r="B1231">
        <v>18908357</v>
      </c>
      <c r="C1231" t="s">
        <v>8</v>
      </c>
      <c r="D1231" s="4">
        <v>45870</v>
      </c>
      <c r="E1231" s="11">
        <f t="shared" si="76"/>
        <v>2025</v>
      </c>
      <c r="F1231" s="11">
        <f t="shared" si="77"/>
        <v>8</v>
      </c>
      <c r="G1231" s="11" t="str">
        <f t="shared" si="78"/>
        <v>202508</v>
      </c>
      <c r="H1231" s="4">
        <v>45931</v>
      </c>
      <c r="I1231" s="5">
        <v>61</v>
      </c>
      <c r="J1231" s="5">
        <v>2.0333333333333332</v>
      </c>
      <c r="K1231" s="5">
        <f t="shared" si="79"/>
        <v>0</v>
      </c>
      <c r="L1231" s="5">
        <v>1</v>
      </c>
      <c r="M1231" s="5">
        <v>1</v>
      </c>
      <c r="N1231" t="s">
        <v>9</v>
      </c>
      <c r="O1231" s="8">
        <v>20.61917808219178</v>
      </c>
      <c r="P1231" t="s">
        <v>32</v>
      </c>
      <c r="Q1231">
        <v>1</v>
      </c>
      <c r="R1231" s="2">
        <v>38344</v>
      </c>
    </row>
    <row r="1232" spans="1:18" x14ac:dyDescent="0.3">
      <c r="A1232" t="s">
        <v>7</v>
      </c>
      <c r="B1232">
        <v>18908358</v>
      </c>
      <c r="C1232" t="s">
        <v>8</v>
      </c>
      <c r="D1232" s="4">
        <v>45870</v>
      </c>
      <c r="E1232" s="11">
        <f t="shared" si="76"/>
        <v>2025</v>
      </c>
      <c r="F1232" s="11">
        <f t="shared" si="77"/>
        <v>8</v>
      </c>
      <c r="G1232" s="11" t="str">
        <f t="shared" si="78"/>
        <v>202508</v>
      </c>
      <c r="I1232" s="5">
        <v>9999</v>
      </c>
      <c r="J1232" s="5">
        <v>333.3</v>
      </c>
      <c r="K1232" s="5">
        <f t="shared" si="79"/>
        <v>0</v>
      </c>
      <c r="L1232" s="5">
        <v>0</v>
      </c>
      <c r="M1232" s="5">
        <v>0</v>
      </c>
      <c r="N1232" t="s">
        <v>9</v>
      </c>
      <c r="O1232" s="8">
        <v>19.583561643835615</v>
      </c>
      <c r="P1232" t="s">
        <v>32</v>
      </c>
      <c r="Q1232">
        <v>1</v>
      </c>
      <c r="R1232" s="2">
        <v>38722</v>
      </c>
    </row>
    <row r="1233" spans="1:18" x14ac:dyDescent="0.3">
      <c r="A1233" t="s">
        <v>7</v>
      </c>
      <c r="B1233">
        <v>18908364</v>
      </c>
      <c r="C1233" t="s">
        <v>10</v>
      </c>
      <c r="D1233" s="4">
        <v>45870</v>
      </c>
      <c r="E1233" s="11">
        <f t="shared" si="76"/>
        <v>2025</v>
      </c>
      <c r="F1233" s="11">
        <f t="shared" si="77"/>
        <v>8</v>
      </c>
      <c r="G1233" s="11" t="str">
        <f t="shared" si="78"/>
        <v>202508</v>
      </c>
      <c r="I1233" s="5">
        <v>9999</v>
      </c>
      <c r="J1233" s="5">
        <v>333.3</v>
      </c>
      <c r="K1233" s="5">
        <f t="shared" si="79"/>
        <v>0</v>
      </c>
      <c r="L1233" s="5">
        <v>0</v>
      </c>
      <c r="M1233" s="5">
        <v>0</v>
      </c>
      <c r="N1233" t="s">
        <v>12</v>
      </c>
      <c r="O1233" s="8">
        <v>25.465753424657535</v>
      </c>
      <c r="P1233" t="s">
        <v>33</v>
      </c>
      <c r="Q1233">
        <v>2</v>
      </c>
      <c r="R1233" s="2">
        <v>36575</v>
      </c>
    </row>
    <row r="1234" spans="1:18" x14ac:dyDescent="0.3">
      <c r="A1234" t="s">
        <v>7</v>
      </c>
      <c r="B1234">
        <v>18908365</v>
      </c>
      <c r="C1234" t="s">
        <v>10</v>
      </c>
      <c r="D1234" s="4">
        <v>45870</v>
      </c>
      <c r="E1234" s="11">
        <f t="shared" si="76"/>
        <v>2025</v>
      </c>
      <c r="F1234" s="11">
        <f t="shared" si="77"/>
        <v>8</v>
      </c>
      <c r="G1234" s="11" t="str">
        <f t="shared" si="78"/>
        <v>202508</v>
      </c>
      <c r="H1234" s="4">
        <v>45884</v>
      </c>
      <c r="I1234" s="5">
        <v>14</v>
      </c>
      <c r="J1234" s="5">
        <v>0.46666666666666667</v>
      </c>
      <c r="K1234" s="5">
        <f t="shared" si="79"/>
        <v>1</v>
      </c>
      <c r="L1234" s="5">
        <v>1</v>
      </c>
      <c r="M1234" s="5">
        <v>1</v>
      </c>
      <c r="N1234" t="s">
        <v>9</v>
      </c>
      <c r="O1234" s="8">
        <v>22.542465753424658</v>
      </c>
      <c r="P1234" t="s">
        <v>33</v>
      </c>
      <c r="Q1234">
        <v>2</v>
      </c>
      <c r="R1234" s="2">
        <v>37642</v>
      </c>
    </row>
    <row r="1235" spans="1:18" x14ac:dyDescent="0.3">
      <c r="A1235" t="s">
        <v>7</v>
      </c>
      <c r="B1235">
        <v>18908366</v>
      </c>
      <c r="C1235" t="s">
        <v>8</v>
      </c>
      <c r="D1235" s="4">
        <v>45870</v>
      </c>
      <c r="E1235" s="11">
        <f t="shared" si="76"/>
        <v>2025</v>
      </c>
      <c r="F1235" s="11">
        <f t="shared" si="77"/>
        <v>8</v>
      </c>
      <c r="G1235" s="11" t="str">
        <f t="shared" si="78"/>
        <v>202508</v>
      </c>
      <c r="H1235" s="4">
        <v>45931</v>
      </c>
      <c r="I1235" s="5">
        <v>61</v>
      </c>
      <c r="J1235" s="5">
        <v>2.0333333333333332</v>
      </c>
      <c r="K1235" s="5">
        <f t="shared" si="79"/>
        <v>0</v>
      </c>
      <c r="L1235" s="5">
        <v>1</v>
      </c>
      <c r="M1235" s="5">
        <v>1</v>
      </c>
      <c r="N1235" t="s">
        <v>9</v>
      </c>
      <c r="O1235" s="8">
        <v>19.399999999999999</v>
      </c>
      <c r="P1235" t="s">
        <v>32</v>
      </c>
      <c r="Q1235">
        <v>1</v>
      </c>
      <c r="R1235" s="2">
        <v>38789</v>
      </c>
    </row>
    <row r="1236" spans="1:18" x14ac:dyDescent="0.3">
      <c r="A1236" t="s">
        <v>7</v>
      </c>
      <c r="B1236">
        <v>18908372</v>
      </c>
      <c r="C1236" t="s">
        <v>10</v>
      </c>
      <c r="D1236" s="4">
        <v>45870</v>
      </c>
      <c r="E1236" s="11">
        <f t="shared" si="76"/>
        <v>2025</v>
      </c>
      <c r="F1236" s="11">
        <f t="shared" si="77"/>
        <v>8</v>
      </c>
      <c r="G1236" s="11" t="str">
        <f t="shared" si="78"/>
        <v>202508</v>
      </c>
      <c r="H1236" s="4">
        <v>45976</v>
      </c>
      <c r="I1236" s="5">
        <v>106</v>
      </c>
      <c r="J1236" s="5">
        <v>3.5333333333333332</v>
      </c>
      <c r="K1236" s="5">
        <f t="shared" si="79"/>
        <v>0</v>
      </c>
      <c r="L1236" s="5">
        <v>0</v>
      </c>
      <c r="M1236" s="5">
        <v>1</v>
      </c>
      <c r="N1236" t="s">
        <v>9</v>
      </c>
      <c r="O1236" s="8">
        <v>18.068493150684933</v>
      </c>
      <c r="P1236" t="s">
        <v>32</v>
      </c>
      <c r="Q1236">
        <v>1</v>
      </c>
      <c r="R1236" s="2">
        <v>39275</v>
      </c>
    </row>
    <row r="1237" spans="1:18" x14ac:dyDescent="0.3">
      <c r="A1237" t="s">
        <v>7</v>
      </c>
      <c r="B1237">
        <v>18908373</v>
      </c>
      <c r="C1237" t="s">
        <v>8</v>
      </c>
      <c r="D1237" s="4">
        <v>45870</v>
      </c>
      <c r="E1237" s="11">
        <f t="shared" si="76"/>
        <v>2025</v>
      </c>
      <c r="F1237" s="11">
        <f t="shared" si="77"/>
        <v>8</v>
      </c>
      <c r="G1237" s="11" t="str">
        <f t="shared" si="78"/>
        <v>202508</v>
      </c>
      <c r="H1237" s="4">
        <v>46059</v>
      </c>
      <c r="I1237" s="5">
        <v>189</v>
      </c>
      <c r="J1237" s="5">
        <v>6.3</v>
      </c>
      <c r="K1237" s="5">
        <f t="shared" si="79"/>
        <v>0</v>
      </c>
      <c r="L1237" s="5">
        <v>0</v>
      </c>
      <c r="M1237" s="5">
        <v>0</v>
      </c>
      <c r="N1237" t="s">
        <v>12</v>
      </c>
      <c r="O1237" s="8">
        <v>26.315068493150687</v>
      </c>
      <c r="P1237" t="s">
        <v>34</v>
      </c>
      <c r="Q1237">
        <v>3</v>
      </c>
      <c r="R1237" s="2">
        <v>36265</v>
      </c>
    </row>
    <row r="1238" spans="1:18" x14ac:dyDescent="0.3">
      <c r="A1238" t="s">
        <v>7</v>
      </c>
      <c r="B1238">
        <v>18908374</v>
      </c>
      <c r="C1238" t="s">
        <v>10</v>
      </c>
      <c r="D1238" s="4">
        <v>45870</v>
      </c>
      <c r="E1238" s="11">
        <f t="shared" si="76"/>
        <v>2025</v>
      </c>
      <c r="F1238" s="11">
        <f t="shared" si="77"/>
        <v>8</v>
      </c>
      <c r="G1238" s="11" t="str">
        <f t="shared" si="78"/>
        <v>202508</v>
      </c>
      <c r="H1238" s="4">
        <v>45991</v>
      </c>
      <c r="I1238" s="5">
        <v>121</v>
      </c>
      <c r="J1238" s="5">
        <v>4.0333333333333332</v>
      </c>
      <c r="K1238" s="5">
        <f t="shared" si="79"/>
        <v>0</v>
      </c>
      <c r="L1238" s="5">
        <v>0</v>
      </c>
      <c r="M1238" s="5">
        <v>1</v>
      </c>
      <c r="N1238" t="s">
        <v>9</v>
      </c>
      <c r="O1238" s="8">
        <v>23.142465753424659</v>
      </c>
      <c r="P1238" t="s">
        <v>33</v>
      </c>
      <c r="Q1238">
        <v>2</v>
      </c>
      <c r="R1238" s="2">
        <v>37423</v>
      </c>
    </row>
    <row r="1239" spans="1:18" x14ac:dyDescent="0.3">
      <c r="A1239" t="s">
        <v>11</v>
      </c>
      <c r="B1239">
        <v>18908377</v>
      </c>
      <c r="C1239" t="s">
        <v>10</v>
      </c>
      <c r="D1239" s="4">
        <v>45870</v>
      </c>
      <c r="E1239" s="11">
        <f t="shared" si="76"/>
        <v>2025</v>
      </c>
      <c r="F1239" s="11">
        <f t="shared" si="77"/>
        <v>8</v>
      </c>
      <c r="G1239" s="11" t="str">
        <f t="shared" si="78"/>
        <v>202508</v>
      </c>
      <c r="I1239" s="5">
        <v>9999</v>
      </c>
      <c r="J1239" s="5">
        <v>333.3</v>
      </c>
      <c r="K1239" s="5">
        <f t="shared" si="79"/>
        <v>0</v>
      </c>
      <c r="L1239" s="5">
        <v>0</v>
      </c>
      <c r="M1239" s="5">
        <v>0</v>
      </c>
      <c r="N1239" t="s">
        <v>9</v>
      </c>
      <c r="O1239" s="8">
        <v>19.849315068493151</v>
      </c>
      <c r="P1239" t="s">
        <v>32</v>
      </c>
      <c r="Q1239">
        <v>1</v>
      </c>
      <c r="R1239" s="2">
        <v>38625</v>
      </c>
    </row>
    <row r="1240" spans="1:18" x14ac:dyDescent="0.3">
      <c r="A1240" t="s">
        <v>7</v>
      </c>
      <c r="B1240">
        <v>18908381</v>
      </c>
      <c r="C1240" t="s">
        <v>8</v>
      </c>
      <c r="D1240" s="4">
        <v>45870</v>
      </c>
      <c r="E1240" s="11">
        <f t="shared" si="76"/>
        <v>2025</v>
      </c>
      <c r="F1240" s="11">
        <f t="shared" si="77"/>
        <v>8</v>
      </c>
      <c r="G1240" s="11" t="str">
        <f t="shared" si="78"/>
        <v>202508</v>
      </c>
      <c r="H1240" s="4">
        <v>46023</v>
      </c>
      <c r="I1240" s="5">
        <v>153</v>
      </c>
      <c r="J1240" s="5">
        <v>5.0999999999999996</v>
      </c>
      <c r="K1240" s="5">
        <f t="shared" si="79"/>
        <v>0</v>
      </c>
      <c r="L1240" s="5">
        <v>0</v>
      </c>
      <c r="M1240" s="5">
        <v>1</v>
      </c>
      <c r="N1240" t="s">
        <v>9</v>
      </c>
      <c r="O1240" s="8">
        <v>18.076712328767123</v>
      </c>
      <c r="P1240" t="s">
        <v>32</v>
      </c>
      <c r="Q1240">
        <v>1</v>
      </c>
      <c r="R1240" s="2">
        <v>39272</v>
      </c>
    </row>
    <row r="1241" spans="1:18" x14ac:dyDescent="0.3">
      <c r="A1241" t="s">
        <v>7</v>
      </c>
      <c r="B1241">
        <v>18908383</v>
      </c>
      <c r="C1241" t="s">
        <v>8</v>
      </c>
      <c r="D1241" s="4">
        <v>45870</v>
      </c>
      <c r="E1241" s="11">
        <f t="shared" si="76"/>
        <v>2025</v>
      </c>
      <c r="F1241" s="11">
        <f t="shared" si="77"/>
        <v>8</v>
      </c>
      <c r="G1241" s="11" t="str">
        <f t="shared" si="78"/>
        <v>202508</v>
      </c>
      <c r="H1241" s="4">
        <v>45900</v>
      </c>
      <c r="I1241" s="5">
        <v>30</v>
      </c>
      <c r="J1241" s="5">
        <v>1</v>
      </c>
      <c r="K1241" s="5">
        <f t="shared" si="79"/>
        <v>1</v>
      </c>
      <c r="L1241" s="5">
        <v>1</v>
      </c>
      <c r="M1241" s="5">
        <v>1</v>
      </c>
      <c r="N1241" t="s">
        <v>9</v>
      </c>
      <c r="O1241" s="8">
        <v>18.219178082191782</v>
      </c>
      <c r="P1241" t="s">
        <v>32</v>
      </c>
      <c r="Q1241">
        <v>1</v>
      </c>
      <c r="R1241" s="2">
        <v>39220</v>
      </c>
    </row>
    <row r="1242" spans="1:18" x14ac:dyDescent="0.3">
      <c r="A1242" t="s">
        <v>7</v>
      </c>
      <c r="B1242">
        <v>18908386</v>
      </c>
      <c r="C1242" t="s">
        <v>8</v>
      </c>
      <c r="D1242" s="4">
        <v>45870</v>
      </c>
      <c r="E1242" s="11">
        <f t="shared" si="76"/>
        <v>2025</v>
      </c>
      <c r="F1242" s="11">
        <f t="shared" si="77"/>
        <v>8</v>
      </c>
      <c r="G1242" s="11" t="str">
        <f t="shared" si="78"/>
        <v>202508</v>
      </c>
      <c r="I1242" s="5">
        <v>9999</v>
      </c>
      <c r="J1242" s="5">
        <v>333.3</v>
      </c>
      <c r="K1242" s="5">
        <f t="shared" si="79"/>
        <v>0</v>
      </c>
      <c r="L1242" s="5">
        <v>0</v>
      </c>
      <c r="M1242" s="5">
        <v>0</v>
      </c>
      <c r="N1242" t="s">
        <v>9</v>
      </c>
      <c r="O1242" s="8">
        <v>19.18904109589041</v>
      </c>
      <c r="P1242" t="s">
        <v>32</v>
      </c>
      <c r="Q1242">
        <v>1</v>
      </c>
      <c r="R1242" s="2">
        <v>38866</v>
      </c>
    </row>
    <row r="1243" spans="1:18" x14ac:dyDescent="0.3">
      <c r="A1243" t="s">
        <v>7</v>
      </c>
      <c r="B1243">
        <v>18908387</v>
      </c>
      <c r="C1243" t="s">
        <v>10</v>
      </c>
      <c r="D1243" s="4">
        <v>45870</v>
      </c>
      <c r="E1243" s="11">
        <f t="shared" si="76"/>
        <v>2025</v>
      </c>
      <c r="F1243" s="11">
        <f t="shared" si="77"/>
        <v>8</v>
      </c>
      <c r="G1243" s="11" t="str">
        <f t="shared" si="78"/>
        <v>202508</v>
      </c>
      <c r="H1243" s="4">
        <v>46054</v>
      </c>
      <c r="I1243" s="5">
        <v>184</v>
      </c>
      <c r="J1243" s="5">
        <v>6.1333333333333337</v>
      </c>
      <c r="K1243" s="5">
        <f t="shared" si="79"/>
        <v>0</v>
      </c>
      <c r="L1243" s="5">
        <v>0</v>
      </c>
      <c r="M1243" s="5">
        <v>0</v>
      </c>
      <c r="N1243" t="s">
        <v>9</v>
      </c>
      <c r="O1243" s="8">
        <v>21.794520547945204</v>
      </c>
      <c r="P1243" t="s">
        <v>33</v>
      </c>
      <c r="Q1243">
        <v>2</v>
      </c>
      <c r="R1243" s="2">
        <v>37915</v>
      </c>
    </row>
    <row r="1244" spans="1:18" x14ac:dyDescent="0.3">
      <c r="A1244" t="s">
        <v>7</v>
      </c>
      <c r="B1244">
        <v>18908397</v>
      </c>
      <c r="C1244" t="s">
        <v>8</v>
      </c>
      <c r="D1244" s="4">
        <v>45870</v>
      </c>
      <c r="E1244" s="11">
        <f t="shared" si="76"/>
        <v>2025</v>
      </c>
      <c r="F1244" s="11">
        <f t="shared" si="77"/>
        <v>8</v>
      </c>
      <c r="G1244" s="11" t="str">
        <f t="shared" si="78"/>
        <v>202508</v>
      </c>
      <c r="H1244" s="4">
        <v>46054</v>
      </c>
      <c r="I1244" s="5">
        <v>184</v>
      </c>
      <c r="J1244" s="5">
        <v>6.1333333333333337</v>
      </c>
      <c r="K1244" s="5">
        <f t="shared" si="79"/>
        <v>0</v>
      </c>
      <c r="L1244" s="5">
        <v>0</v>
      </c>
      <c r="M1244" s="5">
        <v>0</v>
      </c>
      <c r="N1244" t="s">
        <v>12</v>
      </c>
      <c r="O1244" s="8">
        <v>27.55890410958904</v>
      </c>
      <c r="P1244" t="s">
        <v>34</v>
      </c>
      <c r="Q1244">
        <v>3</v>
      </c>
      <c r="R1244" s="2">
        <v>35811</v>
      </c>
    </row>
    <row r="1245" spans="1:18" x14ac:dyDescent="0.3">
      <c r="A1245" t="s">
        <v>7</v>
      </c>
      <c r="B1245">
        <v>18908465</v>
      </c>
      <c r="C1245" t="s">
        <v>8</v>
      </c>
      <c r="D1245" s="4">
        <v>45870</v>
      </c>
      <c r="E1245" s="11">
        <f t="shared" si="76"/>
        <v>2025</v>
      </c>
      <c r="F1245" s="11">
        <f t="shared" si="77"/>
        <v>8</v>
      </c>
      <c r="G1245" s="11" t="str">
        <f t="shared" si="78"/>
        <v>202508</v>
      </c>
      <c r="I1245" s="5">
        <v>9999</v>
      </c>
      <c r="J1245" s="5">
        <v>333.3</v>
      </c>
      <c r="K1245" s="5">
        <f t="shared" si="79"/>
        <v>0</v>
      </c>
      <c r="L1245" s="5">
        <v>0</v>
      </c>
      <c r="M1245" s="5">
        <v>0</v>
      </c>
      <c r="N1245" t="s">
        <v>9</v>
      </c>
      <c r="O1245" s="8">
        <v>18.61917808219178</v>
      </c>
      <c r="P1245" t="s">
        <v>32</v>
      </c>
      <c r="Q1245">
        <v>1</v>
      </c>
      <c r="R1245" s="2">
        <v>39074</v>
      </c>
    </row>
    <row r="1246" spans="1:18" x14ac:dyDescent="0.3">
      <c r="A1246" t="s">
        <v>7</v>
      </c>
      <c r="B1246">
        <v>18924429</v>
      </c>
      <c r="C1246" t="s">
        <v>10</v>
      </c>
      <c r="D1246" s="4">
        <v>45873</v>
      </c>
      <c r="E1246" s="11">
        <f t="shared" si="76"/>
        <v>2025</v>
      </c>
      <c r="F1246" s="11">
        <f t="shared" si="77"/>
        <v>8</v>
      </c>
      <c r="G1246" s="11" t="str">
        <f t="shared" si="78"/>
        <v>202508</v>
      </c>
      <c r="I1246" s="5">
        <v>9999</v>
      </c>
      <c r="J1246" s="5">
        <v>333.3</v>
      </c>
      <c r="K1246" s="5">
        <f t="shared" si="79"/>
        <v>0</v>
      </c>
      <c r="L1246" s="5">
        <v>0</v>
      </c>
      <c r="M1246" s="5">
        <v>0</v>
      </c>
      <c r="N1246" t="s">
        <v>12</v>
      </c>
      <c r="O1246" s="8">
        <v>19.36986301369863</v>
      </c>
      <c r="P1246" t="s">
        <v>32</v>
      </c>
      <c r="Q1246">
        <v>1</v>
      </c>
      <c r="R1246" s="2">
        <v>38803</v>
      </c>
    </row>
    <row r="1247" spans="1:18" x14ac:dyDescent="0.3">
      <c r="A1247" t="s">
        <v>7</v>
      </c>
      <c r="B1247">
        <v>18924488</v>
      </c>
      <c r="C1247" t="s">
        <v>10</v>
      </c>
      <c r="D1247" s="4">
        <v>45873</v>
      </c>
      <c r="E1247" s="11">
        <f t="shared" si="76"/>
        <v>2025</v>
      </c>
      <c r="F1247" s="11">
        <f t="shared" si="77"/>
        <v>8</v>
      </c>
      <c r="G1247" s="11" t="str">
        <f t="shared" si="78"/>
        <v>202508</v>
      </c>
      <c r="H1247" s="4">
        <v>45976</v>
      </c>
      <c r="I1247" s="5">
        <v>103</v>
      </c>
      <c r="J1247" s="5">
        <v>3.4333333333333331</v>
      </c>
      <c r="K1247" s="5">
        <f t="shared" si="79"/>
        <v>0</v>
      </c>
      <c r="L1247" s="5">
        <v>0</v>
      </c>
      <c r="M1247" s="5">
        <v>1</v>
      </c>
      <c r="N1247" t="s">
        <v>12</v>
      </c>
      <c r="O1247" s="8">
        <v>18.073972602739726</v>
      </c>
      <c r="P1247" t="s">
        <v>32</v>
      </c>
      <c r="Q1247">
        <v>1</v>
      </c>
      <c r="R1247" s="2">
        <v>39276</v>
      </c>
    </row>
    <row r="1248" spans="1:18" x14ac:dyDescent="0.3">
      <c r="A1248" t="s">
        <v>7</v>
      </c>
      <c r="B1248">
        <v>18925350</v>
      </c>
      <c r="C1248" t="s">
        <v>8</v>
      </c>
      <c r="D1248" s="4">
        <v>45873</v>
      </c>
      <c r="E1248" s="11">
        <f t="shared" si="76"/>
        <v>2025</v>
      </c>
      <c r="F1248" s="11">
        <f t="shared" si="77"/>
        <v>8</v>
      </c>
      <c r="G1248" s="11" t="str">
        <f t="shared" si="78"/>
        <v>202508</v>
      </c>
      <c r="H1248" s="4">
        <v>45904</v>
      </c>
      <c r="I1248" s="5">
        <v>31</v>
      </c>
      <c r="J1248" s="5">
        <v>1.0333333333333334</v>
      </c>
      <c r="K1248" s="5">
        <f t="shared" si="79"/>
        <v>0</v>
      </c>
      <c r="L1248" s="5">
        <v>1</v>
      </c>
      <c r="M1248" s="5">
        <v>1</v>
      </c>
      <c r="N1248" t="s">
        <v>12</v>
      </c>
      <c r="O1248" s="8">
        <v>20.849315068493151</v>
      </c>
      <c r="P1248" t="s">
        <v>32</v>
      </c>
      <c r="Q1248">
        <v>1</v>
      </c>
      <c r="R1248" s="2">
        <v>38263</v>
      </c>
    </row>
    <row r="1249" spans="1:18" x14ac:dyDescent="0.3">
      <c r="A1249" t="s">
        <v>7</v>
      </c>
      <c r="B1249">
        <v>18925999</v>
      </c>
      <c r="C1249" t="s">
        <v>8</v>
      </c>
      <c r="D1249" s="4">
        <v>45873</v>
      </c>
      <c r="E1249" s="11">
        <f t="shared" si="76"/>
        <v>2025</v>
      </c>
      <c r="F1249" s="11">
        <f t="shared" si="77"/>
        <v>8</v>
      </c>
      <c r="G1249" s="11" t="str">
        <f t="shared" si="78"/>
        <v>202508</v>
      </c>
      <c r="H1249" s="4">
        <v>45912</v>
      </c>
      <c r="I1249" s="5">
        <v>39</v>
      </c>
      <c r="J1249" s="5">
        <v>1.3</v>
      </c>
      <c r="K1249" s="5">
        <f t="shared" si="79"/>
        <v>0</v>
      </c>
      <c r="L1249" s="5">
        <v>1</v>
      </c>
      <c r="M1249" s="5">
        <v>1</v>
      </c>
      <c r="N1249" t="s">
        <v>12</v>
      </c>
      <c r="O1249" s="8">
        <v>22.610958904109587</v>
      </c>
      <c r="P1249" t="s">
        <v>33</v>
      </c>
      <c r="Q1249">
        <v>2</v>
      </c>
      <c r="R1249" s="2">
        <v>37620</v>
      </c>
    </row>
    <row r="1250" spans="1:18" x14ac:dyDescent="0.3">
      <c r="A1250" t="s">
        <v>7</v>
      </c>
      <c r="B1250">
        <v>18933580</v>
      </c>
      <c r="C1250" t="s">
        <v>8</v>
      </c>
      <c r="D1250" s="4">
        <v>45874</v>
      </c>
      <c r="E1250" s="11">
        <f t="shared" si="76"/>
        <v>2025</v>
      </c>
      <c r="F1250" s="11">
        <f t="shared" si="77"/>
        <v>8</v>
      </c>
      <c r="G1250" s="11" t="str">
        <f t="shared" si="78"/>
        <v>202508</v>
      </c>
      <c r="H1250" s="4">
        <v>46087</v>
      </c>
      <c r="I1250" s="5">
        <v>213</v>
      </c>
      <c r="J1250" s="5">
        <v>7.1</v>
      </c>
      <c r="K1250" s="5">
        <f t="shared" si="79"/>
        <v>0</v>
      </c>
      <c r="L1250" s="5">
        <v>0</v>
      </c>
      <c r="M1250" s="5">
        <v>0</v>
      </c>
      <c r="N1250" t="s">
        <v>12</v>
      </c>
      <c r="O1250" s="8">
        <v>26.241095890410961</v>
      </c>
      <c r="P1250" t="s">
        <v>34</v>
      </c>
      <c r="Q1250">
        <v>3</v>
      </c>
      <c r="R1250" s="2">
        <v>36296</v>
      </c>
    </row>
    <row r="1251" spans="1:18" x14ac:dyDescent="0.3">
      <c r="A1251" t="s">
        <v>7</v>
      </c>
      <c r="B1251">
        <v>18934151</v>
      </c>
      <c r="C1251" t="s">
        <v>10</v>
      </c>
      <c r="D1251" s="4">
        <v>45874</v>
      </c>
      <c r="E1251" s="11">
        <f t="shared" si="76"/>
        <v>2025</v>
      </c>
      <c r="F1251" s="11">
        <f t="shared" si="77"/>
        <v>8</v>
      </c>
      <c r="G1251" s="11" t="str">
        <f t="shared" si="78"/>
        <v>202508</v>
      </c>
      <c r="I1251" s="5">
        <v>9999</v>
      </c>
      <c r="J1251" s="5">
        <v>333.3</v>
      </c>
      <c r="K1251" s="5">
        <f t="shared" si="79"/>
        <v>0</v>
      </c>
      <c r="L1251" s="5">
        <v>0</v>
      </c>
      <c r="M1251" s="5">
        <v>0</v>
      </c>
      <c r="N1251" t="s">
        <v>9</v>
      </c>
      <c r="O1251" s="8">
        <v>19.695890410958903</v>
      </c>
      <c r="P1251" t="s">
        <v>32</v>
      </c>
      <c r="Q1251">
        <v>1</v>
      </c>
      <c r="R1251" s="2">
        <v>38685</v>
      </c>
    </row>
    <row r="1252" spans="1:18" x14ac:dyDescent="0.3">
      <c r="A1252" t="s">
        <v>7</v>
      </c>
      <c r="B1252">
        <v>18934152</v>
      </c>
      <c r="C1252" t="s">
        <v>8</v>
      </c>
      <c r="D1252" s="4">
        <v>45874</v>
      </c>
      <c r="E1252" s="11">
        <f t="shared" si="76"/>
        <v>2025</v>
      </c>
      <c r="F1252" s="11">
        <f t="shared" si="77"/>
        <v>8</v>
      </c>
      <c r="G1252" s="11" t="str">
        <f t="shared" si="78"/>
        <v>202508</v>
      </c>
      <c r="I1252" s="5">
        <v>9999</v>
      </c>
      <c r="J1252" s="5">
        <v>333.3</v>
      </c>
      <c r="K1252" s="5">
        <f t="shared" si="79"/>
        <v>0</v>
      </c>
      <c r="L1252" s="5">
        <v>0</v>
      </c>
      <c r="M1252" s="5">
        <v>0</v>
      </c>
      <c r="N1252" t="s">
        <v>12</v>
      </c>
      <c r="O1252" s="8">
        <v>19.632876712328766</v>
      </c>
      <c r="P1252" t="s">
        <v>32</v>
      </c>
      <c r="Q1252">
        <v>1</v>
      </c>
      <c r="R1252" s="2">
        <v>38708</v>
      </c>
    </row>
    <row r="1253" spans="1:18" x14ac:dyDescent="0.3">
      <c r="A1253" t="s">
        <v>7</v>
      </c>
      <c r="B1253">
        <v>18934153</v>
      </c>
      <c r="C1253" t="s">
        <v>8</v>
      </c>
      <c r="D1253" s="4">
        <v>45874</v>
      </c>
      <c r="E1253" s="11">
        <f t="shared" si="76"/>
        <v>2025</v>
      </c>
      <c r="F1253" s="11">
        <f t="shared" si="77"/>
        <v>8</v>
      </c>
      <c r="G1253" s="11" t="str">
        <f t="shared" si="78"/>
        <v>202508</v>
      </c>
      <c r="I1253" s="5">
        <v>9999</v>
      </c>
      <c r="J1253" s="5">
        <v>333.3</v>
      </c>
      <c r="K1253" s="5">
        <f t="shared" si="79"/>
        <v>0</v>
      </c>
      <c r="L1253" s="5">
        <v>0</v>
      </c>
      <c r="M1253" s="5">
        <v>0</v>
      </c>
      <c r="N1253" t="s">
        <v>9</v>
      </c>
      <c r="O1253" s="8">
        <v>33.254794520547946</v>
      </c>
      <c r="P1253" t="s">
        <v>35</v>
      </c>
      <c r="Q1253">
        <v>4</v>
      </c>
      <c r="R1253" s="2">
        <v>33736</v>
      </c>
    </row>
    <row r="1254" spans="1:18" x14ac:dyDescent="0.3">
      <c r="A1254" t="s">
        <v>7</v>
      </c>
      <c r="B1254">
        <v>18934154</v>
      </c>
      <c r="C1254" t="s">
        <v>8</v>
      </c>
      <c r="D1254" s="4">
        <v>45874</v>
      </c>
      <c r="E1254" s="11">
        <f t="shared" si="76"/>
        <v>2025</v>
      </c>
      <c r="F1254" s="11">
        <f t="shared" si="77"/>
        <v>8</v>
      </c>
      <c r="G1254" s="11" t="str">
        <f t="shared" si="78"/>
        <v>202508</v>
      </c>
      <c r="H1254" s="4">
        <v>45994</v>
      </c>
      <c r="I1254" s="5">
        <v>120</v>
      </c>
      <c r="J1254" s="5">
        <v>4</v>
      </c>
      <c r="K1254" s="5">
        <f t="shared" si="79"/>
        <v>0</v>
      </c>
      <c r="L1254" s="5">
        <v>0</v>
      </c>
      <c r="M1254" s="5">
        <v>1</v>
      </c>
      <c r="N1254" t="s">
        <v>9</v>
      </c>
      <c r="O1254" s="8">
        <v>34.909589041095892</v>
      </c>
      <c r="P1254" t="s">
        <v>35</v>
      </c>
      <c r="Q1254">
        <v>4</v>
      </c>
      <c r="R1254" s="2">
        <v>33132</v>
      </c>
    </row>
    <row r="1255" spans="1:18" x14ac:dyDescent="0.3">
      <c r="A1255" t="s">
        <v>7</v>
      </c>
      <c r="B1255">
        <v>18934156</v>
      </c>
      <c r="C1255" t="s">
        <v>8</v>
      </c>
      <c r="D1255" s="4">
        <v>45874</v>
      </c>
      <c r="E1255" s="11">
        <f t="shared" si="76"/>
        <v>2025</v>
      </c>
      <c r="F1255" s="11">
        <f t="shared" si="77"/>
        <v>8</v>
      </c>
      <c r="G1255" s="11" t="str">
        <f t="shared" si="78"/>
        <v>202508</v>
      </c>
      <c r="H1255" s="4">
        <v>45904</v>
      </c>
      <c r="I1255" s="5">
        <v>30</v>
      </c>
      <c r="J1255" s="5">
        <v>1</v>
      </c>
      <c r="K1255" s="5">
        <f t="shared" si="79"/>
        <v>1</v>
      </c>
      <c r="L1255" s="5">
        <v>1</v>
      </c>
      <c r="M1255" s="5">
        <v>1</v>
      </c>
      <c r="N1255" t="s">
        <v>12</v>
      </c>
      <c r="O1255" s="8">
        <v>18.232876712328768</v>
      </c>
      <c r="P1255" t="s">
        <v>32</v>
      </c>
      <c r="Q1255">
        <v>1</v>
      </c>
      <c r="R1255" s="2">
        <v>39219</v>
      </c>
    </row>
    <row r="1256" spans="1:18" x14ac:dyDescent="0.3">
      <c r="A1256" t="s">
        <v>7</v>
      </c>
      <c r="B1256">
        <v>18934157</v>
      </c>
      <c r="C1256" t="s">
        <v>8</v>
      </c>
      <c r="D1256" s="4">
        <v>45874</v>
      </c>
      <c r="E1256" s="11">
        <f t="shared" si="76"/>
        <v>2025</v>
      </c>
      <c r="F1256" s="11">
        <f t="shared" si="77"/>
        <v>8</v>
      </c>
      <c r="G1256" s="11" t="str">
        <f t="shared" si="78"/>
        <v>202508</v>
      </c>
      <c r="I1256" s="5">
        <v>9999</v>
      </c>
      <c r="J1256" s="5">
        <v>333.3</v>
      </c>
      <c r="K1256" s="5">
        <f t="shared" si="79"/>
        <v>0</v>
      </c>
      <c r="L1256" s="5">
        <v>0</v>
      </c>
      <c r="M1256" s="5">
        <v>0</v>
      </c>
      <c r="N1256" t="s">
        <v>12</v>
      </c>
      <c r="O1256" s="8">
        <v>28.835616438356166</v>
      </c>
      <c r="P1256" t="s">
        <v>34</v>
      </c>
      <c r="Q1256">
        <v>3</v>
      </c>
      <c r="R1256" s="2">
        <v>35349</v>
      </c>
    </row>
    <row r="1257" spans="1:18" x14ac:dyDescent="0.3">
      <c r="A1257" t="s">
        <v>7</v>
      </c>
      <c r="B1257">
        <v>18934161</v>
      </c>
      <c r="C1257" t="s">
        <v>10</v>
      </c>
      <c r="D1257" s="4">
        <v>45874</v>
      </c>
      <c r="E1257" s="11">
        <f t="shared" si="76"/>
        <v>2025</v>
      </c>
      <c r="F1257" s="11">
        <f t="shared" si="77"/>
        <v>8</v>
      </c>
      <c r="G1257" s="11" t="str">
        <f t="shared" si="78"/>
        <v>202508</v>
      </c>
      <c r="I1257" s="5">
        <v>9999</v>
      </c>
      <c r="J1257" s="5">
        <v>333.3</v>
      </c>
      <c r="K1257" s="5">
        <f t="shared" si="79"/>
        <v>0</v>
      </c>
      <c r="L1257" s="5">
        <v>0</v>
      </c>
      <c r="M1257" s="5">
        <v>0</v>
      </c>
      <c r="N1257" t="s">
        <v>9</v>
      </c>
      <c r="O1257" s="8">
        <v>19.260273972602739</v>
      </c>
      <c r="P1257" t="s">
        <v>32</v>
      </c>
      <c r="Q1257">
        <v>1</v>
      </c>
      <c r="R1257" s="2">
        <v>38844</v>
      </c>
    </row>
    <row r="1258" spans="1:18" x14ac:dyDescent="0.3">
      <c r="A1258" t="s">
        <v>7</v>
      </c>
      <c r="B1258">
        <v>18934164</v>
      </c>
      <c r="C1258" t="s">
        <v>8</v>
      </c>
      <c r="D1258" s="4">
        <v>45874</v>
      </c>
      <c r="E1258" s="11">
        <f t="shared" si="76"/>
        <v>2025</v>
      </c>
      <c r="F1258" s="11">
        <f t="shared" si="77"/>
        <v>8</v>
      </c>
      <c r="G1258" s="11" t="str">
        <f t="shared" si="78"/>
        <v>202508</v>
      </c>
      <c r="H1258" s="4">
        <v>45966</v>
      </c>
      <c r="I1258" s="5">
        <v>92</v>
      </c>
      <c r="J1258" s="5">
        <v>3.0666666666666669</v>
      </c>
      <c r="K1258" s="5">
        <f t="shared" si="79"/>
        <v>0</v>
      </c>
      <c r="L1258" s="5">
        <v>0</v>
      </c>
      <c r="M1258" s="5">
        <v>1</v>
      </c>
      <c r="N1258" t="s">
        <v>12</v>
      </c>
      <c r="O1258" s="8">
        <v>22.734246575342464</v>
      </c>
      <c r="P1258" t="s">
        <v>33</v>
      </c>
      <c r="Q1258">
        <v>2</v>
      </c>
      <c r="R1258" s="2">
        <v>37576</v>
      </c>
    </row>
    <row r="1259" spans="1:18" x14ac:dyDescent="0.3">
      <c r="A1259" t="s">
        <v>7</v>
      </c>
      <c r="B1259">
        <v>18934165</v>
      </c>
      <c r="C1259" t="s">
        <v>10</v>
      </c>
      <c r="D1259" s="4">
        <v>45874</v>
      </c>
      <c r="E1259" s="11">
        <f t="shared" si="76"/>
        <v>2025</v>
      </c>
      <c r="F1259" s="11">
        <f t="shared" si="77"/>
        <v>8</v>
      </c>
      <c r="G1259" s="11" t="str">
        <f t="shared" si="78"/>
        <v>202508</v>
      </c>
      <c r="I1259" s="5">
        <v>9999</v>
      </c>
      <c r="J1259" s="5">
        <v>333.3</v>
      </c>
      <c r="K1259" s="5">
        <f t="shared" si="79"/>
        <v>0</v>
      </c>
      <c r="L1259" s="5">
        <v>0</v>
      </c>
      <c r="M1259" s="5">
        <v>0</v>
      </c>
      <c r="N1259" t="s">
        <v>9</v>
      </c>
      <c r="O1259" s="8">
        <v>19.443835616438356</v>
      </c>
      <c r="P1259" t="s">
        <v>32</v>
      </c>
      <c r="Q1259">
        <v>1</v>
      </c>
      <c r="R1259" s="2">
        <v>38777</v>
      </c>
    </row>
    <row r="1260" spans="1:18" x14ac:dyDescent="0.3">
      <c r="A1260" t="s">
        <v>7</v>
      </c>
      <c r="B1260">
        <v>18934166</v>
      </c>
      <c r="C1260" t="s">
        <v>10</v>
      </c>
      <c r="D1260" s="4">
        <v>45874</v>
      </c>
      <c r="E1260" s="11">
        <f t="shared" si="76"/>
        <v>2025</v>
      </c>
      <c r="F1260" s="11">
        <f t="shared" si="77"/>
        <v>8</v>
      </c>
      <c r="G1260" s="11" t="str">
        <f t="shared" si="78"/>
        <v>202508</v>
      </c>
      <c r="H1260" s="4">
        <v>46096</v>
      </c>
      <c r="I1260" s="5">
        <v>222</v>
      </c>
      <c r="J1260" s="5">
        <v>7.4</v>
      </c>
      <c r="K1260" s="5">
        <f t="shared" si="79"/>
        <v>0</v>
      </c>
      <c r="L1260" s="5">
        <v>0</v>
      </c>
      <c r="M1260" s="5">
        <v>0</v>
      </c>
      <c r="N1260" t="s">
        <v>9</v>
      </c>
      <c r="O1260" s="8">
        <v>20.663013698630138</v>
      </c>
      <c r="P1260" t="s">
        <v>32</v>
      </c>
      <c r="Q1260">
        <v>1</v>
      </c>
      <c r="R1260" s="2">
        <v>38332</v>
      </c>
    </row>
    <row r="1261" spans="1:18" x14ac:dyDescent="0.3">
      <c r="A1261" t="s">
        <v>7</v>
      </c>
      <c r="B1261">
        <v>18934168</v>
      </c>
      <c r="C1261" t="s">
        <v>8</v>
      </c>
      <c r="D1261" s="4">
        <v>45874</v>
      </c>
      <c r="E1261" s="11">
        <f t="shared" si="76"/>
        <v>2025</v>
      </c>
      <c r="F1261" s="11">
        <f t="shared" si="77"/>
        <v>8</v>
      </c>
      <c r="G1261" s="11" t="str">
        <f t="shared" si="78"/>
        <v>202508</v>
      </c>
      <c r="H1261" s="4">
        <v>45905</v>
      </c>
      <c r="I1261" s="5">
        <v>31</v>
      </c>
      <c r="J1261" s="5">
        <v>1.0333333333333334</v>
      </c>
      <c r="K1261" s="5">
        <f t="shared" si="79"/>
        <v>0</v>
      </c>
      <c r="L1261" s="5">
        <v>1</v>
      </c>
      <c r="M1261" s="5">
        <v>1</v>
      </c>
      <c r="N1261" t="s">
        <v>12</v>
      </c>
      <c r="O1261" s="8">
        <v>22.6</v>
      </c>
      <c r="P1261" t="s">
        <v>33</v>
      </c>
      <c r="Q1261">
        <v>2</v>
      </c>
      <c r="R1261" s="2">
        <v>37625</v>
      </c>
    </row>
    <row r="1262" spans="1:18" x14ac:dyDescent="0.3">
      <c r="A1262" t="s">
        <v>7</v>
      </c>
      <c r="B1262">
        <v>18934171</v>
      </c>
      <c r="C1262" t="s">
        <v>8</v>
      </c>
      <c r="D1262" s="4">
        <v>45874</v>
      </c>
      <c r="E1262" s="11">
        <f t="shared" si="76"/>
        <v>2025</v>
      </c>
      <c r="F1262" s="11">
        <f t="shared" si="77"/>
        <v>8</v>
      </c>
      <c r="G1262" s="11" t="str">
        <f t="shared" si="78"/>
        <v>202508</v>
      </c>
      <c r="I1262" s="5">
        <v>9999</v>
      </c>
      <c r="J1262" s="5">
        <v>333.3</v>
      </c>
      <c r="K1262" s="5">
        <f t="shared" si="79"/>
        <v>0</v>
      </c>
      <c r="L1262" s="5">
        <v>0</v>
      </c>
      <c r="M1262" s="5">
        <v>0</v>
      </c>
      <c r="N1262" t="s">
        <v>9</v>
      </c>
      <c r="O1262" s="8">
        <v>21.756164383561643</v>
      </c>
      <c r="P1262" t="s">
        <v>33</v>
      </c>
      <c r="Q1262">
        <v>2</v>
      </c>
      <c r="R1262" s="2">
        <v>37933</v>
      </c>
    </row>
    <row r="1263" spans="1:18" x14ac:dyDescent="0.3">
      <c r="A1263" t="s">
        <v>7</v>
      </c>
      <c r="B1263">
        <v>18934174</v>
      </c>
      <c r="C1263" t="s">
        <v>10</v>
      </c>
      <c r="D1263" s="4">
        <v>45874</v>
      </c>
      <c r="E1263" s="11">
        <f t="shared" si="76"/>
        <v>2025</v>
      </c>
      <c r="F1263" s="11">
        <f t="shared" si="77"/>
        <v>8</v>
      </c>
      <c r="G1263" s="11" t="str">
        <f t="shared" si="78"/>
        <v>202508</v>
      </c>
      <c r="I1263" s="5">
        <v>9999</v>
      </c>
      <c r="J1263" s="5">
        <v>333.3</v>
      </c>
      <c r="K1263" s="5">
        <f t="shared" si="79"/>
        <v>0</v>
      </c>
      <c r="L1263" s="5">
        <v>0</v>
      </c>
      <c r="M1263" s="5">
        <v>0</v>
      </c>
      <c r="N1263" t="s">
        <v>9</v>
      </c>
      <c r="O1263" s="8">
        <v>18.446575342465753</v>
      </c>
      <c r="P1263" t="s">
        <v>32</v>
      </c>
      <c r="Q1263">
        <v>1</v>
      </c>
      <c r="R1263" s="2">
        <v>39141</v>
      </c>
    </row>
    <row r="1264" spans="1:18" x14ac:dyDescent="0.3">
      <c r="A1264" t="s">
        <v>7</v>
      </c>
      <c r="B1264">
        <v>18934175</v>
      </c>
      <c r="C1264" t="s">
        <v>8</v>
      </c>
      <c r="D1264" s="4">
        <v>45874</v>
      </c>
      <c r="E1264" s="11">
        <f t="shared" si="76"/>
        <v>2025</v>
      </c>
      <c r="F1264" s="11">
        <f t="shared" si="77"/>
        <v>8</v>
      </c>
      <c r="G1264" s="11" t="str">
        <f t="shared" si="78"/>
        <v>202508</v>
      </c>
      <c r="H1264" s="4">
        <v>45876</v>
      </c>
      <c r="I1264" s="5">
        <v>2</v>
      </c>
      <c r="J1264" s="5">
        <v>6.6666666666666666E-2</v>
      </c>
      <c r="K1264" s="5">
        <f t="shared" si="79"/>
        <v>1</v>
      </c>
      <c r="L1264" s="5">
        <v>1</v>
      </c>
      <c r="M1264" s="5">
        <v>1</v>
      </c>
      <c r="N1264" t="s">
        <v>9</v>
      </c>
      <c r="O1264" s="8">
        <v>19.358904109589041</v>
      </c>
      <c r="P1264" t="s">
        <v>32</v>
      </c>
      <c r="Q1264">
        <v>1</v>
      </c>
      <c r="R1264" s="2">
        <v>38808</v>
      </c>
    </row>
    <row r="1265" spans="1:18" x14ac:dyDescent="0.3">
      <c r="A1265" t="s">
        <v>7</v>
      </c>
      <c r="B1265">
        <v>18934178</v>
      </c>
      <c r="C1265" t="s">
        <v>8</v>
      </c>
      <c r="D1265" s="4">
        <v>45874</v>
      </c>
      <c r="E1265" s="11">
        <f t="shared" si="76"/>
        <v>2025</v>
      </c>
      <c r="F1265" s="11">
        <f t="shared" si="77"/>
        <v>8</v>
      </c>
      <c r="G1265" s="11" t="str">
        <f t="shared" si="78"/>
        <v>202508</v>
      </c>
      <c r="H1265" s="4">
        <v>45908</v>
      </c>
      <c r="I1265" s="5">
        <v>34</v>
      </c>
      <c r="J1265" s="5">
        <v>1.1333333333333333</v>
      </c>
      <c r="K1265" s="5">
        <f t="shared" si="79"/>
        <v>0</v>
      </c>
      <c r="L1265" s="5">
        <v>1</v>
      </c>
      <c r="M1265" s="5">
        <v>1</v>
      </c>
      <c r="N1265" t="s">
        <v>9</v>
      </c>
      <c r="O1265" s="8">
        <v>19.693150684931506</v>
      </c>
      <c r="P1265" t="s">
        <v>32</v>
      </c>
      <c r="Q1265">
        <v>1</v>
      </c>
      <c r="R1265" s="2">
        <v>38686</v>
      </c>
    </row>
    <row r="1266" spans="1:18" x14ac:dyDescent="0.3">
      <c r="A1266" t="s">
        <v>7</v>
      </c>
      <c r="B1266">
        <v>18934188</v>
      </c>
      <c r="C1266" t="s">
        <v>10</v>
      </c>
      <c r="D1266" s="4">
        <v>45874</v>
      </c>
      <c r="E1266" s="11">
        <f t="shared" si="76"/>
        <v>2025</v>
      </c>
      <c r="F1266" s="11">
        <f t="shared" si="77"/>
        <v>8</v>
      </c>
      <c r="G1266" s="11" t="str">
        <f t="shared" si="78"/>
        <v>202508</v>
      </c>
      <c r="H1266" s="4">
        <v>45915</v>
      </c>
      <c r="I1266" s="5">
        <v>41</v>
      </c>
      <c r="J1266" s="5">
        <v>1.3666666666666667</v>
      </c>
      <c r="K1266" s="5">
        <f t="shared" si="79"/>
        <v>0</v>
      </c>
      <c r="L1266" s="5">
        <v>1</v>
      </c>
      <c r="M1266" s="5">
        <v>1</v>
      </c>
      <c r="N1266" t="s">
        <v>9</v>
      </c>
      <c r="O1266" s="8">
        <v>20.87945205479452</v>
      </c>
      <c r="P1266" t="s">
        <v>32</v>
      </c>
      <c r="Q1266">
        <v>1</v>
      </c>
      <c r="R1266" s="2">
        <v>38253</v>
      </c>
    </row>
    <row r="1267" spans="1:18" x14ac:dyDescent="0.3">
      <c r="A1267" t="s">
        <v>7</v>
      </c>
      <c r="B1267">
        <v>18934190</v>
      </c>
      <c r="C1267" t="s">
        <v>8</v>
      </c>
      <c r="D1267" s="4">
        <v>45874</v>
      </c>
      <c r="E1267" s="11">
        <f t="shared" si="76"/>
        <v>2025</v>
      </c>
      <c r="F1267" s="11">
        <f t="shared" si="77"/>
        <v>8</v>
      </c>
      <c r="G1267" s="11" t="str">
        <f t="shared" si="78"/>
        <v>202508</v>
      </c>
      <c r="H1267" s="4">
        <v>46023</v>
      </c>
      <c r="I1267" s="5">
        <v>149</v>
      </c>
      <c r="J1267" s="5">
        <v>4.9666666666666668</v>
      </c>
      <c r="K1267" s="5">
        <f t="shared" si="79"/>
        <v>0</v>
      </c>
      <c r="L1267" s="5">
        <v>0</v>
      </c>
      <c r="M1267" s="5">
        <v>1</v>
      </c>
      <c r="N1267" t="s">
        <v>9</v>
      </c>
      <c r="O1267" s="8">
        <v>19.210958904109589</v>
      </c>
      <c r="P1267" t="s">
        <v>32</v>
      </c>
      <c r="Q1267">
        <v>1</v>
      </c>
      <c r="R1267" s="2">
        <v>38862</v>
      </c>
    </row>
    <row r="1268" spans="1:18" x14ac:dyDescent="0.3">
      <c r="A1268" t="s">
        <v>7</v>
      </c>
      <c r="B1268">
        <v>18951948</v>
      </c>
      <c r="C1268" t="s">
        <v>8</v>
      </c>
      <c r="D1268" s="4">
        <v>46125</v>
      </c>
      <c r="E1268" s="11">
        <f t="shared" si="76"/>
        <v>2026</v>
      </c>
      <c r="F1268" s="11">
        <f t="shared" si="77"/>
        <v>4</v>
      </c>
      <c r="G1268" s="11" t="str">
        <f t="shared" si="78"/>
        <v>202604</v>
      </c>
      <c r="I1268" s="5">
        <v>9999</v>
      </c>
      <c r="J1268" s="5">
        <v>333.3</v>
      </c>
      <c r="K1268" s="5">
        <f t="shared" si="79"/>
        <v>0</v>
      </c>
      <c r="L1268" s="5">
        <v>0</v>
      </c>
      <c r="M1268" s="5">
        <v>0</v>
      </c>
      <c r="N1268" t="s">
        <v>12</v>
      </c>
      <c r="O1268" s="8">
        <v>21.632876712328766</v>
      </c>
      <c r="P1268" t="s">
        <v>33</v>
      </c>
      <c r="Q1268">
        <v>2</v>
      </c>
      <c r="R1268" s="2">
        <v>38229</v>
      </c>
    </row>
    <row r="1269" spans="1:18" x14ac:dyDescent="0.3">
      <c r="A1269" t="s">
        <v>7</v>
      </c>
      <c r="B1269">
        <v>18954038</v>
      </c>
      <c r="C1269" t="s">
        <v>8</v>
      </c>
      <c r="D1269" s="4">
        <v>45946</v>
      </c>
      <c r="E1269" s="11">
        <f t="shared" si="76"/>
        <v>2025</v>
      </c>
      <c r="F1269" s="11">
        <f t="shared" si="77"/>
        <v>10</v>
      </c>
      <c r="G1269" s="11" t="str">
        <f t="shared" si="78"/>
        <v>202510</v>
      </c>
      <c r="H1269" s="4">
        <v>46056</v>
      </c>
      <c r="I1269" s="5">
        <v>110</v>
      </c>
      <c r="J1269" s="5">
        <v>3.6666666666666665</v>
      </c>
      <c r="K1269" s="5">
        <f t="shared" si="79"/>
        <v>0</v>
      </c>
      <c r="L1269" s="5">
        <v>0</v>
      </c>
      <c r="M1269" s="5">
        <v>1</v>
      </c>
      <c r="N1269" t="s">
        <v>9</v>
      </c>
      <c r="O1269" s="8">
        <v>18.660273972602738</v>
      </c>
      <c r="P1269" t="s">
        <v>32</v>
      </c>
      <c r="Q1269">
        <v>1</v>
      </c>
      <c r="R1269" s="2">
        <v>39135</v>
      </c>
    </row>
    <row r="1270" spans="1:18" x14ac:dyDescent="0.3">
      <c r="A1270" t="s">
        <v>7</v>
      </c>
      <c r="B1270">
        <v>18954136</v>
      </c>
      <c r="C1270" t="s">
        <v>8</v>
      </c>
      <c r="D1270" s="4">
        <v>45877</v>
      </c>
      <c r="E1270" s="11">
        <f t="shared" si="76"/>
        <v>2025</v>
      </c>
      <c r="F1270" s="11">
        <f t="shared" si="77"/>
        <v>8</v>
      </c>
      <c r="G1270" s="11" t="str">
        <f t="shared" si="78"/>
        <v>202508</v>
      </c>
      <c r="H1270" s="4">
        <v>46081</v>
      </c>
      <c r="I1270" s="5">
        <v>204</v>
      </c>
      <c r="J1270" s="5">
        <v>6.8</v>
      </c>
      <c r="K1270" s="5">
        <f t="shared" si="79"/>
        <v>0</v>
      </c>
      <c r="L1270" s="5">
        <v>0</v>
      </c>
      <c r="M1270" s="5">
        <v>0</v>
      </c>
      <c r="N1270" t="s">
        <v>9</v>
      </c>
      <c r="O1270" s="8">
        <v>25.93972602739726</v>
      </c>
      <c r="P1270" t="s">
        <v>33</v>
      </c>
      <c r="Q1270">
        <v>2</v>
      </c>
      <c r="R1270" s="2">
        <v>36409</v>
      </c>
    </row>
    <row r="1271" spans="1:18" x14ac:dyDescent="0.3">
      <c r="A1271" t="s">
        <v>7</v>
      </c>
      <c r="B1271">
        <v>18954264</v>
      </c>
      <c r="C1271" t="s">
        <v>8</v>
      </c>
      <c r="D1271" s="4">
        <v>45877</v>
      </c>
      <c r="E1271" s="11">
        <f t="shared" si="76"/>
        <v>2025</v>
      </c>
      <c r="F1271" s="11">
        <f t="shared" si="77"/>
        <v>8</v>
      </c>
      <c r="G1271" s="11" t="str">
        <f t="shared" si="78"/>
        <v>202508</v>
      </c>
      <c r="H1271" s="4">
        <v>46054</v>
      </c>
      <c r="I1271" s="5">
        <v>177</v>
      </c>
      <c r="J1271" s="5">
        <v>5.9</v>
      </c>
      <c r="K1271" s="5">
        <f t="shared" si="79"/>
        <v>0</v>
      </c>
      <c r="L1271" s="5">
        <v>0</v>
      </c>
      <c r="M1271" s="5">
        <v>1</v>
      </c>
      <c r="N1271" t="s">
        <v>12</v>
      </c>
      <c r="O1271" s="8">
        <v>22.276712328767122</v>
      </c>
      <c r="P1271" t="s">
        <v>33</v>
      </c>
      <c r="Q1271">
        <v>2</v>
      </c>
      <c r="R1271" s="2">
        <v>37746</v>
      </c>
    </row>
    <row r="1272" spans="1:18" x14ac:dyDescent="0.3">
      <c r="A1272" t="s">
        <v>7</v>
      </c>
      <c r="B1272">
        <v>18954272</v>
      </c>
      <c r="C1272" t="s">
        <v>8</v>
      </c>
      <c r="D1272" s="4">
        <v>45876</v>
      </c>
      <c r="E1272" s="11">
        <f t="shared" si="76"/>
        <v>2025</v>
      </c>
      <c r="F1272" s="11">
        <f t="shared" si="77"/>
        <v>8</v>
      </c>
      <c r="G1272" s="11" t="str">
        <f t="shared" si="78"/>
        <v>202508</v>
      </c>
      <c r="I1272" s="5">
        <v>9999</v>
      </c>
      <c r="J1272" s="5">
        <v>333.3</v>
      </c>
      <c r="K1272" s="5">
        <f t="shared" si="79"/>
        <v>0</v>
      </c>
      <c r="L1272" s="5">
        <v>0</v>
      </c>
      <c r="M1272" s="5">
        <v>0</v>
      </c>
      <c r="N1272" t="s">
        <v>12</v>
      </c>
      <c r="O1272" s="8">
        <v>19.506849315068493</v>
      </c>
      <c r="P1272" t="s">
        <v>32</v>
      </c>
      <c r="Q1272">
        <v>1</v>
      </c>
      <c r="R1272" s="2">
        <v>38756</v>
      </c>
    </row>
    <row r="1273" spans="1:18" x14ac:dyDescent="0.3">
      <c r="A1273" t="s">
        <v>7</v>
      </c>
      <c r="B1273">
        <v>18954558</v>
      </c>
      <c r="C1273" t="s">
        <v>10</v>
      </c>
      <c r="D1273" s="4">
        <v>45880</v>
      </c>
      <c r="E1273" s="11">
        <f t="shared" si="76"/>
        <v>2025</v>
      </c>
      <c r="F1273" s="11">
        <f t="shared" si="77"/>
        <v>8</v>
      </c>
      <c r="G1273" s="11" t="str">
        <f t="shared" si="78"/>
        <v>202508</v>
      </c>
      <c r="H1273" s="4">
        <v>46052</v>
      </c>
      <c r="I1273" s="5">
        <v>172</v>
      </c>
      <c r="J1273" s="5">
        <v>5.7333333333333334</v>
      </c>
      <c r="K1273" s="5">
        <f t="shared" si="79"/>
        <v>0</v>
      </c>
      <c r="L1273" s="5">
        <v>0</v>
      </c>
      <c r="M1273" s="5">
        <v>1</v>
      </c>
      <c r="N1273" t="s">
        <v>9</v>
      </c>
      <c r="O1273" s="8">
        <v>20.139726027397259</v>
      </c>
      <c r="P1273" t="s">
        <v>32</v>
      </c>
      <c r="Q1273">
        <v>1</v>
      </c>
      <c r="R1273" s="2">
        <v>38529</v>
      </c>
    </row>
    <row r="1274" spans="1:18" x14ac:dyDescent="0.3">
      <c r="A1274" t="s">
        <v>7</v>
      </c>
      <c r="B1274">
        <v>18954602</v>
      </c>
      <c r="C1274" t="s">
        <v>8</v>
      </c>
      <c r="D1274" s="4">
        <v>45877</v>
      </c>
      <c r="E1274" s="11">
        <f t="shared" si="76"/>
        <v>2025</v>
      </c>
      <c r="F1274" s="11">
        <f t="shared" si="77"/>
        <v>8</v>
      </c>
      <c r="G1274" s="11" t="str">
        <f t="shared" si="78"/>
        <v>202508</v>
      </c>
      <c r="I1274" s="5">
        <v>9999</v>
      </c>
      <c r="J1274" s="5">
        <v>333.3</v>
      </c>
      <c r="K1274" s="5">
        <f t="shared" si="79"/>
        <v>0</v>
      </c>
      <c r="L1274" s="5">
        <v>0</v>
      </c>
      <c r="M1274" s="5">
        <v>0</v>
      </c>
      <c r="N1274" t="s">
        <v>12</v>
      </c>
      <c r="O1274" s="8">
        <v>24.482191780821918</v>
      </c>
      <c r="P1274" t="s">
        <v>33</v>
      </c>
      <c r="Q1274">
        <v>2</v>
      </c>
      <c r="R1274" s="2">
        <v>36941</v>
      </c>
    </row>
    <row r="1275" spans="1:18" x14ac:dyDescent="0.3">
      <c r="A1275" t="s">
        <v>7</v>
      </c>
      <c r="B1275">
        <v>18954935</v>
      </c>
      <c r="C1275" t="s">
        <v>10</v>
      </c>
      <c r="D1275" s="4">
        <v>45880</v>
      </c>
      <c r="E1275" s="11">
        <f t="shared" si="76"/>
        <v>2025</v>
      </c>
      <c r="F1275" s="11">
        <f t="shared" si="77"/>
        <v>8</v>
      </c>
      <c r="G1275" s="11" t="str">
        <f t="shared" si="78"/>
        <v>202508</v>
      </c>
      <c r="I1275" s="5">
        <v>9999</v>
      </c>
      <c r="J1275" s="5">
        <v>333.3</v>
      </c>
      <c r="K1275" s="5">
        <f t="shared" si="79"/>
        <v>0</v>
      </c>
      <c r="L1275" s="5">
        <v>0</v>
      </c>
      <c r="M1275" s="5">
        <v>0</v>
      </c>
      <c r="N1275" t="s">
        <v>12</v>
      </c>
      <c r="O1275" s="8">
        <v>23.671232876712327</v>
      </c>
      <c r="P1275" t="s">
        <v>33</v>
      </c>
      <c r="Q1275">
        <v>2</v>
      </c>
      <c r="R1275" s="2">
        <v>37240</v>
      </c>
    </row>
    <row r="1276" spans="1:18" x14ac:dyDescent="0.3">
      <c r="A1276" t="s">
        <v>7</v>
      </c>
      <c r="B1276">
        <v>18955204</v>
      </c>
      <c r="C1276" t="s">
        <v>10</v>
      </c>
      <c r="D1276" s="4">
        <v>45881</v>
      </c>
      <c r="E1276" s="11">
        <f t="shared" si="76"/>
        <v>2025</v>
      </c>
      <c r="F1276" s="11">
        <f t="shared" si="77"/>
        <v>8</v>
      </c>
      <c r="G1276" s="11" t="str">
        <f t="shared" si="78"/>
        <v>202508</v>
      </c>
      <c r="I1276" s="5">
        <v>9999</v>
      </c>
      <c r="J1276" s="5">
        <v>333.3</v>
      </c>
      <c r="K1276" s="5">
        <f t="shared" si="79"/>
        <v>0</v>
      </c>
      <c r="L1276" s="5">
        <v>0</v>
      </c>
      <c r="M1276" s="5">
        <v>0</v>
      </c>
      <c r="N1276" t="s">
        <v>12</v>
      </c>
      <c r="O1276" s="8">
        <v>18.391780821917809</v>
      </c>
      <c r="P1276" t="s">
        <v>32</v>
      </c>
      <c r="Q1276">
        <v>1</v>
      </c>
      <c r="R1276" s="2">
        <v>39168</v>
      </c>
    </row>
    <row r="1277" spans="1:18" x14ac:dyDescent="0.3">
      <c r="A1277" t="s">
        <v>7</v>
      </c>
      <c r="B1277">
        <v>18955239</v>
      </c>
      <c r="C1277" t="s">
        <v>8</v>
      </c>
      <c r="D1277" s="4">
        <v>45881</v>
      </c>
      <c r="E1277" s="11">
        <f t="shared" si="76"/>
        <v>2025</v>
      </c>
      <c r="F1277" s="11">
        <f t="shared" si="77"/>
        <v>8</v>
      </c>
      <c r="G1277" s="11" t="str">
        <f t="shared" si="78"/>
        <v>202508</v>
      </c>
      <c r="H1277" s="4">
        <v>46040</v>
      </c>
      <c r="I1277" s="5">
        <v>159</v>
      </c>
      <c r="J1277" s="5">
        <v>5.3</v>
      </c>
      <c r="K1277" s="5">
        <f t="shared" si="79"/>
        <v>0</v>
      </c>
      <c r="L1277" s="5">
        <v>0</v>
      </c>
      <c r="M1277" s="5">
        <v>1</v>
      </c>
      <c r="N1277" t="s">
        <v>12</v>
      </c>
      <c r="O1277" s="8">
        <v>23.24931506849315</v>
      </c>
      <c r="P1277" t="s">
        <v>33</v>
      </c>
      <c r="Q1277">
        <v>2</v>
      </c>
      <c r="R1277" s="2">
        <v>37395</v>
      </c>
    </row>
    <row r="1278" spans="1:18" x14ac:dyDescent="0.3">
      <c r="A1278" t="s">
        <v>7</v>
      </c>
      <c r="B1278">
        <v>18955240</v>
      </c>
      <c r="C1278" t="s">
        <v>8</v>
      </c>
      <c r="D1278" s="4">
        <v>45881</v>
      </c>
      <c r="E1278" s="11">
        <f t="shared" si="76"/>
        <v>2025</v>
      </c>
      <c r="F1278" s="11">
        <f t="shared" si="77"/>
        <v>8</v>
      </c>
      <c r="G1278" s="11" t="str">
        <f t="shared" si="78"/>
        <v>202508</v>
      </c>
      <c r="I1278" s="5">
        <v>9999</v>
      </c>
      <c r="J1278" s="5">
        <v>333.3</v>
      </c>
      <c r="K1278" s="5">
        <f t="shared" si="79"/>
        <v>0</v>
      </c>
      <c r="L1278" s="5">
        <v>0</v>
      </c>
      <c r="M1278" s="5">
        <v>0</v>
      </c>
      <c r="N1278" t="s">
        <v>12</v>
      </c>
      <c r="O1278" s="8">
        <v>20.665753424657535</v>
      </c>
      <c r="P1278" t="s">
        <v>32</v>
      </c>
      <c r="Q1278">
        <v>1</v>
      </c>
      <c r="R1278" s="2">
        <v>38338</v>
      </c>
    </row>
    <row r="1279" spans="1:18" x14ac:dyDescent="0.3">
      <c r="A1279" t="s">
        <v>7</v>
      </c>
      <c r="B1279">
        <v>18955241</v>
      </c>
      <c r="C1279" t="s">
        <v>8</v>
      </c>
      <c r="D1279" s="4">
        <v>45881</v>
      </c>
      <c r="E1279" s="11">
        <f t="shared" si="76"/>
        <v>2025</v>
      </c>
      <c r="F1279" s="11">
        <f t="shared" si="77"/>
        <v>8</v>
      </c>
      <c r="G1279" s="11" t="str">
        <f t="shared" si="78"/>
        <v>202508</v>
      </c>
      <c r="I1279" s="5">
        <v>9999</v>
      </c>
      <c r="J1279" s="5">
        <v>333.3</v>
      </c>
      <c r="K1279" s="5">
        <f t="shared" si="79"/>
        <v>0</v>
      </c>
      <c r="L1279" s="5">
        <v>0</v>
      </c>
      <c r="M1279" s="5">
        <v>0</v>
      </c>
      <c r="N1279" t="s">
        <v>12</v>
      </c>
      <c r="O1279" s="8">
        <v>18.468493150684932</v>
      </c>
      <c r="P1279" t="s">
        <v>32</v>
      </c>
      <c r="Q1279">
        <v>1</v>
      </c>
      <c r="R1279" s="2">
        <v>39140</v>
      </c>
    </row>
    <row r="1280" spans="1:18" x14ac:dyDescent="0.3">
      <c r="A1280" t="s">
        <v>7</v>
      </c>
      <c r="B1280">
        <v>18955243</v>
      </c>
      <c r="C1280" t="s">
        <v>8</v>
      </c>
      <c r="D1280" s="4">
        <v>45881</v>
      </c>
      <c r="E1280" s="11">
        <f t="shared" si="76"/>
        <v>2025</v>
      </c>
      <c r="F1280" s="11">
        <f t="shared" si="77"/>
        <v>8</v>
      </c>
      <c r="G1280" s="11" t="str">
        <f t="shared" si="78"/>
        <v>202508</v>
      </c>
      <c r="I1280" s="5">
        <v>9999</v>
      </c>
      <c r="J1280" s="5">
        <v>333.3</v>
      </c>
      <c r="K1280" s="5">
        <f t="shared" si="79"/>
        <v>0</v>
      </c>
      <c r="L1280" s="5">
        <v>0</v>
      </c>
      <c r="M1280" s="5">
        <v>0</v>
      </c>
      <c r="N1280" t="s">
        <v>12</v>
      </c>
      <c r="O1280" s="8">
        <v>25.767123287671232</v>
      </c>
      <c r="P1280" t="s">
        <v>33</v>
      </c>
      <c r="Q1280">
        <v>2</v>
      </c>
      <c r="R1280" s="2">
        <v>36476</v>
      </c>
    </row>
    <row r="1281" spans="1:18" x14ac:dyDescent="0.3">
      <c r="A1281" t="s">
        <v>7</v>
      </c>
      <c r="B1281">
        <v>18955250</v>
      </c>
      <c r="C1281" t="s">
        <v>10</v>
      </c>
      <c r="D1281" s="4">
        <v>45881</v>
      </c>
      <c r="E1281" s="11">
        <f t="shared" si="76"/>
        <v>2025</v>
      </c>
      <c r="F1281" s="11">
        <f t="shared" si="77"/>
        <v>8</v>
      </c>
      <c r="G1281" s="11" t="str">
        <f t="shared" si="78"/>
        <v>202508</v>
      </c>
      <c r="I1281" s="5">
        <v>9999</v>
      </c>
      <c r="J1281" s="5">
        <v>333.3</v>
      </c>
      <c r="K1281" s="5">
        <f t="shared" si="79"/>
        <v>0</v>
      </c>
      <c r="L1281" s="5">
        <v>0</v>
      </c>
      <c r="M1281" s="5">
        <v>0</v>
      </c>
      <c r="N1281" t="s">
        <v>9</v>
      </c>
      <c r="O1281" s="8">
        <v>19.109589041095891</v>
      </c>
      <c r="P1281" t="s">
        <v>32</v>
      </c>
      <c r="Q1281">
        <v>1</v>
      </c>
      <c r="R1281" s="2">
        <v>38906</v>
      </c>
    </row>
    <row r="1282" spans="1:18" x14ac:dyDescent="0.3">
      <c r="A1282" t="s">
        <v>7</v>
      </c>
      <c r="B1282">
        <v>18955278</v>
      </c>
      <c r="C1282" t="s">
        <v>8</v>
      </c>
      <c r="D1282" s="4">
        <v>45881</v>
      </c>
      <c r="E1282" s="11">
        <f t="shared" si="76"/>
        <v>2025</v>
      </c>
      <c r="F1282" s="11">
        <f t="shared" si="77"/>
        <v>8</v>
      </c>
      <c r="G1282" s="11" t="str">
        <f t="shared" si="78"/>
        <v>202508</v>
      </c>
      <c r="I1282" s="5">
        <v>9999</v>
      </c>
      <c r="J1282" s="5">
        <v>333.3</v>
      </c>
      <c r="K1282" s="5">
        <f t="shared" si="79"/>
        <v>0</v>
      </c>
      <c r="L1282" s="5">
        <v>0</v>
      </c>
      <c r="M1282" s="5">
        <v>0</v>
      </c>
      <c r="N1282" t="s">
        <v>12</v>
      </c>
      <c r="O1282" s="8">
        <v>25.923287671232877</v>
      </c>
      <c r="P1282" t="s">
        <v>33</v>
      </c>
      <c r="Q1282">
        <v>2</v>
      </c>
      <c r="R1282" s="2">
        <v>36419</v>
      </c>
    </row>
    <row r="1283" spans="1:18" x14ac:dyDescent="0.3">
      <c r="A1283" t="s">
        <v>7</v>
      </c>
      <c r="B1283">
        <v>18955299</v>
      </c>
      <c r="C1283" t="s">
        <v>10</v>
      </c>
      <c r="D1283" s="4">
        <v>45880</v>
      </c>
      <c r="E1283" s="11">
        <f t="shared" ref="E1283:E1346" si="80">+YEAR(D1283)</f>
        <v>2025</v>
      </c>
      <c r="F1283" s="11">
        <f t="shared" ref="F1283:F1346" si="81">+MONTH(D1283)</f>
        <v>8</v>
      </c>
      <c r="G1283" s="11" t="str">
        <f t="shared" ref="G1283:G1346" si="82">+TEXT(D1283, "yyymm")</f>
        <v>202508</v>
      </c>
      <c r="H1283" s="4">
        <v>46106</v>
      </c>
      <c r="I1283" s="5">
        <v>226</v>
      </c>
      <c r="J1283" s="5">
        <v>7.5333333333333332</v>
      </c>
      <c r="K1283" s="5">
        <f t="shared" ref="K1283:K1346" si="83">IF(J1283&lt;=1,1,0)</f>
        <v>0</v>
      </c>
      <c r="L1283" s="5">
        <v>0</v>
      </c>
      <c r="M1283" s="5">
        <v>0</v>
      </c>
      <c r="N1283" t="s">
        <v>9</v>
      </c>
      <c r="O1283" s="8">
        <v>19.964383561643835</v>
      </c>
      <c r="P1283" t="s">
        <v>32</v>
      </c>
      <c r="Q1283">
        <v>1</v>
      </c>
      <c r="R1283" s="2">
        <v>38593</v>
      </c>
    </row>
    <row r="1284" spans="1:18" x14ac:dyDescent="0.3">
      <c r="A1284" t="s">
        <v>7</v>
      </c>
      <c r="B1284">
        <v>18955300</v>
      </c>
      <c r="C1284" t="s">
        <v>8</v>
      </c>
      <c r="D1284" s="4">
        <v>45880</v>
      </c>
      <c r="E1284" s="11">
        <f t="shared" si="80"/>
        <v>2025</v>
      </c>
      <c r="F1284" s="11">
        <f t="shared" si="81"/>
        <v>8</v>
      </c>
      <c r="G1284" s="11" t="str">
        <f t="shared" si="82"/>
        <v>202508</v>
      </c>
      <c r="I1284" s="5">
        <v>9999</v>
      </c>
      <c r="J1284" s="5">
        <v>333.3</v>
      </c>
      <c r="K1284" s="5">
        <f t="shared" si="83"/>
        <v>0</v>
      </c>
      <c r="L1284" s="5">
        <v>0</v>
      </c>
      <c r="M1284" s="5">
        <v>0</v>
      </c>
      <c r="N1284" t="s">
        <v>9</v>
      </c>
      <c r="O1284" s="8">
        <v>22.479452054794521</v>
      </c>
      <c r="P1284" t="s">
        <v>33</v>
      </c>
      <c r="Q1284">
        <v>2</v>
      </c>
      <c r="R1284" s="2">
        <v>37675</v>
      </c>
    </row>
    <row r="1285" spans="1:18" x14ac:dyDescent="0.3">
      <c r="A1285" t="s">
        <v>7</v>
      </c>
      <c r="B1285">
        <v>18955559</v>
      </c>
      <c r="C1285" t="s">
        <v>8</v>
      </c>
      <c r="D1285" s="4">
        <v>45882</v>
      </c>
      <c r="E1285" s="11">
        <f t="shared" si="80"/>
        <v>2025</v>
      </c>
      <c r="F1285" s="11">
        <f t="shared" si="81"/>
        <v>8</v>
      </c>
      <c r="G1285" s="11" t="str">
        <f t="shared" si="82"/>
        <v>202508</v>
      </c>
      <c r="I1285" s="5">
        <v>9999</v>
      </c>
      <c r="J1285" s="5">
        <v>333.3</v>
      </c>
      <c r="K1285" s="5">
        <f t="shared" si="83"/>
        <v>0</v>
      </c>
      <c r="L1285" s="5">
        <v>0</v>
      </c>
      <c r="M1285" s="5">
        <v>0</v>
      </c>
      <c r="N1285" t="s">
        <v>12</v>
      </c>
      <c r="O1285" s="8">
        <v>21.82191780821918</v>
      </c>
      <c r="P1285" t="s">
        <v>33</v>
      </c>
      <c r="Q1285">
        <v>2</v>
      </c>
      <c r="R1285" s="2">
        <v>37917</v>
      </c>
    </row>
    <row r="1286" spans="1:18" x14ac:dyDescent="0.3">
      <c r="A1286" t="s">
        <v>7</v>
      </c>
      <c r="B1286">
        <v>18955576</v>
      </c>
      <c r="C1286" t="s">
        <v>8</v>
      </c>
      <c r="D1286" s="4">
        <v>45882</v>
      </c>
      <c r="E1286" s="11">
        <f t="shared" si="80"/>
        <v>2025</v>
      </c>
      <c r="F1286" s="11">
        <f t="shared" si="81"/>
        <v>8</v>
      </c>
      <c r="G1286" s="11" t="str">
        <f t="shared" si="82"/>
        <v>202508</v>
      </c>
      <c r="I1286" s="5">
        <v>9999</v>
      </c>
      <c r="J1286" s="5">
        <v>333.3</v>
      </c>
      <c r="K1286" s="5">
        <f t="shared" si="83"/>
        <v>0</v>
      </c>
      <c r="L1286" s="5">
        <v>0</v>
      </c>
      <c r="M1286" s="5">
        <v>0</v>
      </c>
      <c r="N1286" t="s">
        <v>12</v>
      </c>
      <c r="O1286" s="8">
        <v>27.169863013698631</v>
      </c>
      <c r="P1286" t="s">
        <v>34</v>
      </c>
      <c r="Q1286">
        <v>3</v>
      </c>
      <c r="R1286" s="2">
        <v>35965</v>
      </c>
    </row>
    <row r="1287" spans="1:18" x14ac:dyDescent="0.3">
      <c r="A1287" t="s">
        <v>7</v>
      </c>
      <c r="B1287">
        <v>18955645</v>
      </c>
      <c r="C1287" t="s">
        <v>8</v>
      </c>
      <c r="D1287" s="4">
        <v>45882</v>
      </c>
      <c r="E1287" s="11">
        <f t="shared" si="80"/>
        <v>2025</v>
      </c>
      <c r="F1287" s="11">
        <f t="shared" si="81"/>
        <v>8</v>
      </c>
      <c r="G1287" s="11" t="str">
        <f t="shared" si="82"/>
        <v>202508</v>
      </c>
      <c r="H1287" s="4">
        <v>46112</v>
      </c>
      <c r="I1287" s="5">
        <v>230</v>
      </c>
      <c r="J1287" s="5">
        <v>7.666666666666667</v>
      </c>
      <c r="K1287" s="5">
        <f t="shared" si="83"/>
        <v>0</v>
      </c>
      <c r="L1287" s="5">
        <v>0</v>
      </c>
      <c r="M1287" s="5">
        <v>0</v>
      </c>
      <c r="N1287" t="s">
        <v>12</v>
      </c>
      <c r="O1287" s="8">
        <v>28.936986301369863</v>
      </c>
      <c r="P1287" t="s">
        <v>34</v>
      </c>
      <c r="Q1287">
        <v>3</v>
      </c>
      <c r="R1287" s="2">
        <v>35320</v>
      </c>
    </row>
    <row r="1288" spans="1:18" x14ac:dyDescent="0.3">
      <c r="A1288" t="s">
        <v>7</v>
      </c>
      <c r="B1288">
        <v>18955647</v>
      </c>
      <c r="C1288" t="s">
        <v>8</v>
      </c>
      <c r="D1288" s="4">
        <v>45882</v>
      </c>
      <c r="E1288" s="11">
        <f t="shared" si="80"/>
        <v>2025</v>
      </c>
      <c r="F1288" s="11">
        <f t="shared" si="81"/>
        <v>8</v>
      </c>
      <c r="G1288" s="11" t="str">
        <f t="shared" si="82"/>
        <v>202508</v>
      </c>
      <c r="H1288" s="4">
        <v>45900</v>
      </c>
      <c r="I1288" s="5">
        <v>18</v>
      </c>
      <c r="J1288" s="5">
        <v>0.6</v>
      </c>
      <c r="K1288" s="5">
        <f t="shared" si="83"/>
        <v>1</v>
      </c>
      <c r="L1288" s="5">
        <v>1</v>
      </c>
      <c r="M1288" s="5">
        <v>1</v>
      </c>
      <c r="N1288" t="s">
        <v>12</v>
      </c>
      <c r="O1288" s="8">
        <v>32.953424657534249</v>
      </c>
      <c r="P1288" t="s">
        <v>35</v>
      </c>
      <c r="Q1288">
        <v>4</v>
      </c>
      <c r="R1288" s="2">
        <v>33854</v>
      </c>
    </row>
    <row r="1289" spans="1:18" x14ac:dyDescent="0.3">
      <c r="A1289" t="s">
        <v>7</v>
      </c>
      <c r="B1289">
        <v>18955648</v>
      </c>
      <c r="C1289" t="s">
        <v>8</v>
      </c>
      <c r="D1289" s="4">
        <v>45882</v>
      </c>
      <c r="E1289" s="11">
        <f t="shared" si="80"/>
        <v>2025</v>
      </c>
      <c r="F1289" s="11">
        <f t="shared" si="81"/>
        <v>8</v>
      </c>
      <c r="G1289" s="11" t="str">
        <f t="shared" si="82"/>
        <v>202508</v>
      </c>
      <c r="I1289" s="5">
        <v>9999</v>
      </c>
      <c r="J1289" s="5">
        <v>333.3</v>
      </c>
      <c r="K1289" s="5">
        <f t="shared" si="83"/>
        <v>0</v>
      </c>
      <c r="L1289" s="5">
        <v>0</v>
      </c>
      <c r="M1289" s="5">
        <v>0</v>
      </c>
      <c r="N1289" t="s">
        <v>12</v>
      </c>
      <c r="O1289" s="8">
        <v>22.739726027397261</v>
      </c>
      <c r="P1289" t="s">
        <v>33</v>
      </c>
      <c r="Q1289">
        <v>2</v>
      </c>
      <c r="R1289" s="2">
        <v>37582</v>
      </c>
    </row>
    <row r="1290" spans="1:18" x14ac:dyDescent="0.3">
      <c r="A1290" t="s">
        <v>7</v>
      </c>
      <c r="B1290">
        <v>18955712</v>
      </c>
      <c r="C1290" t="s">
        <v>8</v>
      </c>
      <c r="D1290" s="4">
        <v>45882</v>
      </c>
      <c r="E1290" s="11">
        <f t="shared" si="80"/>
        <v>2025</v>
      </c>
      <c r="F1290" s="11">
        <f t="shared" si="81"/>
        <v>8</v>
      </c>
      <c r="G1290" s="11" t="str">
        <f t="shared" si="82"/>
        <v>202508</v>
      </c>
      <c r="I1290" s="5">
        <v>9999</v>
      </c>
      <c r="J1290" s="5">
        <v>333.3</v>
      </c>
      <c r="K1290" s="5">
        <f t="shared" si="83"/>
        <v>0</v>
      </c>
      <c r="L1290" s="5">
        <v>0</v>
      </c>
      <c r="M1290" s="5">
        <v>0</v>
      </c>
      <c r="N1290" t="s">
        <v>12</v>
      </c>
      <c r="O1290" s="8">
        <v>21.717808219178082</v>
      </c>
      <c r="P1290" t="s">
        <v>33</v>
      </c>
      <c r="Q1290">
        <v>2</v>
      </c>
      <c r="R1290" s="2">
        <v>37955</v>
      </c>
    </row>
    <row r="1291" spans="1:18" x14ac:dyDescent="0.3">
      <c r="A1291" t="s">
        <v>7</v>
      </c>
      <c r="B1291">
        <v>18955945</v>
      </c>
      <c r="C1291" t="s">
        <v>8</v>
      </c>
      <c r="D1291" s="4">
        <v>45882</v>
      </c>
      <c r="E1291" s="11">
        <f t="shared" si="80"/>
        <v>2025</v>
      </c>
      <c r="F1291" s="11">
        <f t="shared" si="81"/>
        <v>8</v>
      </c>
      <c r="G1291" s="11" t="str">
        <f t="shared" si="82"/>
        <v>202508</v>
      </c>
      <c r="I1291" s="5">
        <v>9999</v>
      </c>
      <c r="J1291" s="5">
        <v>333.3</v>
      </c>
      <c r="K1291" s="5">
        <f t="shared" si="83"/>
        <v>0</v>
      </c>
      <c r="L1291" s="5">
        <v>0</v>
      </c>
      <c r="M1291" s="5">
        <v>0</v>
      </c>
      <c r="N1291" t="s">
        <v>12</v>
      </c>
      <c r="O1291" s="8">
        <v>18.920547945205481</v>
      </c>
      <c r="P1291" t="s">
        <v>32</v>
      </c>
      <c r="Q1291">
        <v>1</v>
      </c>
      <c r="R1291" s="2">
        <v>38976</v>
      </c>
    </row>
    <row r="1292" spans="1:18" x14ac:dyDescent="0.3">
      <c r="A1292" t="s">
        <v>7</v>
      </c>
      <c r="B1292">
        <v>18956047</v>
      </c>
      <c r="C1292" t="s">
        <v>8</v>
      </c>
      <c r="D1292" s="4">
        <v>45883</v>
      </c>
      <c r="E1292" s="11">
        <f t="shared" si="80"/>
        <v>2025</v>
      </c>
      <c r="F1292" s="11">
        <f t="shared" si="81"/>
        <v>8</v>
      </c>
      <c r="G1292" s="11" t="str">
        <f t="shared" si="82"/>
        <v>202508</v>
      </c>
      <c r="H1292" s="4">
        <v>45888</v>
      </c>
      <c r="I1292" s="5">
        <v>5</v>
      </c>
      <c r="J1292" s="5">
        <v>0.16666666666666666</v>
      </c>
      <c r="K1292" s="5">
        <f t="shared" si="83"/>
        <v>1</v>
      </c>
      <c r="L1292" s="5">
        <v>1</v>
      </c>
      <c r="M1292" s="5">
        <v>1</v>
      </c>
      <c r="N1292" t="s">
        <v>9</v>
      </c>
      <c r="O1292" s="8">
        <v>23.602739726027398</v>
      </c>
      <c r="P1292" t="s">
        <v>33</v>
      </c>
      <c r="Q1292">
        <v>2</v>
      </c>
      <c r="R1292" s="2">
        <v>37268</v>
      </c>
    </row>
    <row r="1293" spans="1:18" x14ac:dyDescent="0.3">
      <c r="A1293" t="s">
        <v>7</v>
      </c>
      <c r="B1293">
        <v>18956144</v>
      </c>
      <c r="C1293" t="s">
        <v>8</v>
      </c>
      <c r="D1293" s="4">
        <v>45882</v>
      </c>
      <c r="E1293" s="11">
        <f t="shared" si="80"/>
        <v>2025</v>
      </c>
      <c r="F1293" s="11">
        <f t="shared" si="81"/>
        <v>8</v>
      </c>
      <c r="G1293" s="11" t="str">
        <f t="shared" si="82"/>
        <v>202508</v>
      </c>
      <c r="I1293" s="5">
        <v>9999</v>
      </c>
      <c r="J1293" s="5">
        <v>333.3</v>
      </c>
      <c r="K1293" s="5">
        <f t="shared" si="83"/>
        <v>0</v>
      </c>
      <c r="L1293" s="5">
        <v>0</v>
      </c>
      <c r="M1293" s="5">
        <v>0</v>
      </c>
      <c r="N1293" t="s">
        <v>12</v>
      </c>
      <c r="O1293" s="8">
        <v>23.969863013698632</v>
      </c>
      <c r="P1293" t="s">
        <v>33</v>
      </c>
      <c r="Q1293">
        <v>2</v>
      </c>
      <c r="R1293" s="2">
        <v>37133</v>
      </c>
    </row>
    <row r="1294" spans="1:18" x14ac:dyDescent="0.3">
      <c r="A1294" t="s">
        <v>7</v>
      </c>
      <c r="B1294">
        <v>18956271</v>
      </c>
      <c r="C1294" t="s">
        <v>8</v>
      </c>
      <c r="D1294" s="4">
        <v>45884</v>
      </c>
      <c r="E1294" s="11">
        <f t="shared" si="80"/>
        <v>2025</v>
      </c>
      <c r="F1294" s="11">
        <f t="shared" si="81"/>
        <v>8</v>
      </c>
      <c r="G1294" s="11" t="str">
        <f t="shared" si="82"/>
        <v>202508</v>
      </c>
      <c r="H1294" s="4">
        <v>46096</v>
      </c>
      <c r="I1294" s="5">
        <v>212</v>
      </c>
      <c r="J1294" s="5">
        <v>7.0666666666666664</v>
      </c>
      <c r="K1294" s="5">
        <f t="shared" si="83"/>
        <v>0</v>
      </c>
      <c r="L1294" s="5">
        <v>0</v>
      </c>
      <c r="M1294" s="5">
        <v>0</v>
      </c>
      <c r="N1294" t="s">
        <v>12</v>
      </c>
      <c r="O1294" s="8">
        <v>20.608219178082191</v>
      </c>
      <c r="P1294" t="s">
        <v>32</v>
      </c>
      <c r="Q1294">
        <v>1</v>
      </c>
      <c r="R1294" s="2">
        <v>38362</v>
      </c>
    </row>
    <row r="1295" spans="1:18" x14ac:dyDescent="0.3">
      <c r="A1295" t="s">
        <v>7</v>
      </c>
      <c r="B1295">
        <v>18956275</v>
      </c>
      <c r="C1295" t="s">
        <v>8</v>
      </c>
      <c r="D1295" s="4">
        <v>45884</v>
      </c>
      <c r="E1295" s="11">
        <f t="shared" si="80"/>
        <v>2025</v>
      </c>
      <c r="F1295" s="11">
        <f t="shared" si="81"/>
        <v>8</v>
      </c>
      <c r="G1295" s="11" t="str">
        <f t="shared" si="82"/>
        <v>202508</v>
      </c>
      <c r="I1295" s="5">
        <v>9999</v>
      </c>
      <c r="J1295" s="5">
        <v>333.3</v>
      </c>
      <c r="K1295" s="5">
        <f t="shared" si="83"/>
        <v>0</v>
      </c>
      <c r="L1295" s="5">
        <v>0</v>
      </c>
      <c r="M1295" s="5">
        <v>0</v>
      </c>
      <c r="N1295" t="s">
        <v>12</v>
      </c>
      <c r="O1295" s="8">
        <v>22.438356164383563</v>
      </c>
      <c r="P1295" t="s">
        <v>33</v>
      </c>
      <c r="Q1295">
        <v>2</v>
      </c>
      <c r="R1295" s="2">
        <v>37694</v>
      </c>
    </row>
    <row r="1296" spans="1:18" x14ac:dyDescent="0.3">
      <c r="A1296" t="s">
        <v>7</v>
      </c>
      <c r="B1296">
        <v>18956388</v>
      </c>
      <c r="C1296" t="s">
        <v>8</v>
      </c>
      <c r="D1296" s="4">
        <v>45884</v>
      </c>
      <c r="E1296" s="11">
        <f t="shared" si="80"/>
        <v>2025</v>
      </c>
      <c r="F1296" s="11">
        <f t="shared" si="81"/>
        <v>8</v>
      </c>
      <c r="G1296" s="11" t="str">
        <f t="shared" si="82"/>
        <v>202508</v>
      </c>
      <c r="H1296" s="4">
        <v>46027</v>
      </c>
      <c r="I1296" s="5">
        <v>143</v>
      </c>
      <c r="J1296" s="5">
        <v>4.7666666666666666</v>
      </c>
      <c r="K1296" s="5">
        <f t="shared" si="83"/>
        <v>0</v>
      </c>
      <c r="L1296" s="5">
        <v>0</v>
      </c>
      <c r="M1296" s="5">
        <v>1</v>
      </c>
      <c r="N1296" t="s">
        <v>9</v>
      </c>
      <c r="O1296" s="8">
        <v>20.238356164383561</v>
      </c>
      <c r="P1296" t="s">
        <v>32</v>
      </c>
      <c r="Q1296">
        <v>1</v>
      </c>
      <c r="R1296" s="2">
        <v>38497</v>
      </c>
    </row>
    <row r="1297" spans="1:18" x14ac:dyDescent="0.3">
      <c r="A1297" t="s">
        <v>7</v>
      </c>
      <c r="B1297">
        <v>18956747</v>
      </c>
      <c r="C1297" t="s">
        <v>8</v>
      </c>
      <c r="D1297" s="4">
        <v>45887</v>
      </c>
      <c r="E1297" s="11">
        <f t="shared" si="80"/>
        <v>2025</v>
      </c>
      <c r="F1297" s="11">
        <f t="shared" si="81"/>
        <v>8</v>
      </c>
      <c r="G1297" s="11" t="str">
        <f t="shared" si="82"/>
        <v>202508</v>
      </c>
      <c r="H1297" s="4">
        <v>45961</v>
      </c>
      <c r="I1297" s="5">
        <v>74</v>
      </c>
      <c r="J1297" s="5">
        <v>2.4666666666666668</v>
      </c>
      <c r="K1297" s="5">
        <f t="shared" si="83"/>
        <v>0</v>
      </c>
      <c r="L1297" s="5">
        <v>1</v>
      </c>
      <c r="M1297" s="5">
        <v>1</v>
      </c>
      <c r="N1297" t="s">
        <v>12</v>
      </c>
      <c r="O1297" s="8">
        <v>23.068493150684933</v>
      </c>
      <c r="P1297" t="s">
        <v>33</v>
      </c>
      <c r="Q1297">
        <v>2</v>
      </c>
      <c r="R1297" s="2">
        <v>37467</v>
      </c>
    </row>
    <row r="1298" spans="1:18" x14ac:dyDescent="0.3">
      <c r="A1298" t="s">
        <v>7</v>
      </c>
      <c r="B1298">
        <v>18956748</v>
      </c>
      <c r="C1298" t="s">
        <v>8</v>
      </c>
      <c r="D1298" s="4">
        <v>45887</v>
      </c>
      <c r="E1298" s="11">
        <f t="shared" si="80"/>
        <v>2025</v>
      </c>
      <c r="F1298" s="11">
        <f t="shared" si="81"/>
        <v>8</v>
      </c>
      <c r="G1298" s="11" t="str">
        <f t="shared" si="82"/>
        <v>202508</v>
      </c>
      <c r="H1298" s="4">
        <v>46024</v>
      </c>
      <c r="I1298" s="5">
        <v>137</v>
      </c>
      <c r="J1298" s="5">
        <v>4.5666666666666664</v>
      </c>
      <c r="K1298" s="5">
        <f t="shared" si="83"/>
        <v>0</v>
      </c>
      <c r="L1298" s="5">
        <v>0</v>
      </c>
      <c r="M1298" s="5">
        <v>1</v>
      </c>
      <c r="N1298" t="s">
        <v>12</v>
      </c>
      <c r="O1298" s="8">
        <v>18.589041095890412</v>
      </c>
      <c r="P1298" t="s">
        <v>32</v>
      </c>
      <c r="Q1298">
        <v>1</v>
      </c>
      <c r="R1298" s="2">
        <v>39102</v>
      </c>
    </row>
    <row r="1299" spans="1:18" x14ac:dyDescent="0.3">
      <c r="A1299" t="s">
        <v>7</v>
      </c>
      <c r="B1299">
        <v>18957271</v>
      </c>
      <c r="C1299" t="s">
        <v>8</v>
      </c>
      <c r="D1299" s="4">
        <v>45888</v>
      </c>
      <c r="E1299" s="11">
        <f t="shared" si="80"/>
        <v>2025</v>
      </c>
      <c r="F1299" s="11">
        <f t="shared" si="81"/>
        <v>8</v>
      </c>
      <c r="G1299" s="11" t="str">
        <f t="shared" si="82"/>
        <v>202508</v>
      </c>
      <c r="H1299" s="4">
        <v>45908</v>
      </c>
      <c r="I1299" s="5">
        <v>20</v>
      </c>
      <c r="J1299" s="5">
        <v>0.66666666666666663</v>
      </c>
      <c r="K1299" s="5">
        <f t="shared" si="83"/>
        <v>1</v>
      </c>
      <c r="L1299" s="5">
        <v>1</v>
      </c>
      <c r="M1299" s="5">
        <v>1</v>
      </c>
      <c r="N1299" t="s">
        <v>9</v>
      </c>
      <c r="O1299" s="8">
        <v>18.802739726027397</v>
      </c>
      <c r="P1299" t="s">
        <v>32</v>
      </c>
      <c r="Q1299">
        <v>1</v>
      </c>
      <c r="R1299" s="2">
        <v>39025</v>
      </c>
    </row>
    <row r="1300" spans="1:18" x14ac:dyDescent="0.3">
      <c r="A1300" t="s">
        <v>7</v>
      </c>
      <c r="B1300">
        <v>18957272</v>
      </c>
      <c r="C1300" t="s">
        <v>8</v>
      </c>
      <c r="D1300" s="4">
        <v>45888</v>
      </c>
      <c r="E1300" s="11">
        <f t="shared" si="80"/>
        <v>2025</v>
      </c>
      <c r="F1300" s="11">
        <f t="shared" si="81"/>
        <v>8</v>
      </c>
      <c r="G1300" s="11" t="str">
        <f t="shared" si="82"/>
        <v>202508</v>
      </c>
      <c r="H1300" s="4">
        <v>46006</v>
      </c>
      <c r="I1300" s="5">
        <v>118</v>
      </c>
      <c r="J1300" s="5">
        <v>3.9333333333333331</v>
      </c>
      <c r="K1300" s="5">
        <f t="shared" si="83"/>
        <v>0</v>
      </c>
      <c r="L1300" s="5">
        <v>0</v>
      </c>
      <c r="M1300" s="5">
        <v>1</v>
      </c>
      <c r="N1300" t="s">
        <v>9</v>
      </c>
      <c r="O1300" s="8">
        <v>18.5013698630137</v>
      </c>
      <c r="P1300" t="s">
        <v>32</v>
      </c>
      <c r="Q1300">
        <v>1</v>
      </c>
      <c r="R1300" s="2">
        <v>39135</v>
      </c>
    </row>
    <row r="1301" spans="1:18" x14ac:dyDescent="0.3">
      <c r="A1301" t="s">
        <v>7</v>
      </c>
      <c r="B1301">
        <v>18957283</v>
      </c>
      <c r="C1301" t="s">
        <v>10</v>
      </c>
      <c r="D1301" s="4">
        <v>45888</v>
      </c>
      <c r="E1301" s="11">
        <f t="shared" si="80"/>
        <v>2025</v>
      </c>
      <c r="F1301" s="11">
        <f t="shared" si="81"/>
        <v>8</v>
      </c>
      <c r="G1301" s="11" t="str">
        <f t="shared" si="82"/>
        <v>202508</v>
      </c>
      <c r="I1301" s="5">
        <v>9999</v>
      </c>
      <c r="J1301" s="5">
        <v>333.3</v>
      </c>
      <c r="K1301" s="5">
        <f t="shared" si="83"/>
        <v>0</v>
      </c>
      <c r="L1301" s="5">
        <v>0</v>
      </c>
      <c r="M1301" s="5">
        <v>0</v>
      </c>
      <c r="N1301" t="s">
        <v>12</v>
      </c>
      <c r="O1301" s="8">
        <v>22.452054794520549</v>
      </c>
      <c r="P1301" t="s">
        <v>33</v>
      </c>
      <c r="Q1301">
        <v>2</v>
      </c>
      <c r="R1301" s="2">
        <v>37693</v>
      </c>
    </row>
    <row r="1302" spans="1:18" x14ac:dyDescent="0.3">
      <c r="A1302" t="s">
        <v>7</v>
      </c>
      <c r="B1302">
        <v>18957408</v>
      </c>
      <c r="C1302" t="s">
        <v>10</v>
      </c>
      <c r="D1302" s="4">
        <v>45888</v>
      </c>
      <c r="E1302" s="11">
        <f t="shared" si="80"/>
        <v>2025</v>
      </c>
      <c r="F1302" s="11">
        <f t="shared" si="81"/>
        <v>8</v>
      </c>
      <c r="G1302" s="11" t="str">
        <f t="shared" si="82"/>
        <v>202508</v>
      </c>
      <c r="H1302" s="4">
        <v>45961</v>
      </c>
      <c r="I1302" s="5">
        <v>73</v>
      </c>
      <c r="J1302" s="5">
        <v>2.4333333333333331</v>
      </c>
      <c r="K1302" s="5">
        <f t="shared" si="83"/>
        <v>0</v>
      </c>
      <c r="L1302" s="5">
        <v>1</v>
      </c>
      <c r="M1302" s="5">
        <v>1</v>
      </c>
      <c r="N1302" t="s">
        <v>12</v>
      </c>
      <c r="O1302" s="8">
        <v>20.010958904109589</v>
      </c>
      <c r="P1302" t="s">
        <v>32</v>
      </c>
      <c r="Q1302">
        <v>1</v>
      </c>
      <c r="R1302" s="2">
        <v>38584</v>
      </c>
    </row>
    <row r="1303" spans="1:18" x14ac:dyDescent="0.3">
      <c r="A1303" t="s">
        <v>7</v>
      </c>
      <c r="B1303">
        <v>18957412</v>
      </c>
      <c r="C1303" t="s">
        <v>8</v>
      </c>
      <c r="D1303" s="4">
        <v>45888</v>
      </c>
      <c r="E1303" s="11">
        <f t="shared" si="80"/>
        <v>2025</v>
      </c>
      <c r="F1303" s="11">
        <f t="shared" si="81"/>
        <v>8</v>
      </c>
      <c r="G1303" s="11" t="str">
        <f t="shared" si="82"/>
        <v>202508</v>
      </c>
      <c r="H1303" s="4">
        <v>45930</v>
      </c>
      <c r="I1303" s="5">
        <v>42</v>
      </c>
      <c r="J1303" s="5">
        <v>1.4</v>
      </c>
      <c r="K1303" s="5">
        <f t="shared" si="83"/>
        <v>0</v>
      </c>
      <c r="L1303" s="5">
        <v>1</v>
      </c>
      <c r="M1303" s="5">
        <v>1</v>
      </c>
      <c r="N1303" t="s">
        <v>12</v>
      </c>
      <c r="O1303" s="8">
        <v>22.854794520547944</v>
      </c>
      <c r="P1303" t="s">
        <v>33</v>
      </c>
      <c r="Q1303">
        <v>2</v>
      </c>
      <c r="R1303" s="2">
        <v>37546</v>
      </c>
    </row>
    <row r="1304" spans="1:18" x14ac:dyDescent="0.3">
      <c r="A1304" t="s">
        <v>7</v>
      </c>
      <c r="B1304">
        <v>18957549</v>
      </c>
      <c r="C1304" t="s">
        <v>10</v>
      </c>
      <c r="D1304" s="4">
        <v>45888</v>
      </c>
      <c r="E1304" s="11">
        <f t="shared" si="80"/>
        <v>2025</v>
      </c>
      <c r="F1304" s="11">
        <f t="shared" si="81"/>
        <v>8</v>
      </c>
      <c r="G1304" s="11" t="str">
        <f t="shared" si="82"/>
        <v>202508</v>
      </c>
      <c r="H1304" s="4">
        <v>45931</v>
      </c>
      <c r="I1304" s="5">
        <v>43</v>
      </c>
      <c r="J1304" s="5">
        <v>1.4333333333333333</v>
      </c>
      <c r="K1304" s="5">
        <f t="shared" si="83"/>
        <v>0</v>
      </c>
      <c r="L1304" s="5">
        <v>1</v>
      </c>
      <c r="M1304" s="5">
        <v>1</v>
      </c>
      <c r="N1304" t="s">
        <v>12</v>
      </c>
      <c r="O1304" s="8">
        <v>18.671232876712327</v>
      </c>
      <c r="P1304" t="s">
        <v>32</v>
      </c>
      <c r="Q1304">
        <v>1</v>
      </c>
      <c r="R1304" s="2">
        <v>39073</v>
      </c>
    </row>
    <row r="1305" spans="1:18" x14ac:dyDescent="0.3">
      <c r="A1305" t="s">
        <v>7</v>
      </c>
      <c r="B1305">
        <v>18957592</v>
      </c>
      <c r="C1305" t="s">
        <v>10</v>
      </c>
      <c r="D1305" s="4">
        <v>45889</v>
      </c>
      <c r="E1305" s="11">
        <f t="shared" si="80"/>
        <v>2025</v>
      </c>
      <c r="F1305" s="11">
        <f t="shared" si="81"/>
        <v>8</v>
      </c>
      <c r="G1305" s="11" t="str">
        <f t="shared" si="82"/>
        <v>202508</v>
      </c>
      <c r="I1305" s="5">
        <v>9999</v>
      </c>
      <c r="J1305" s="5">
        <v>333.3</v>
      </c>
      <c r="K1305" s="5">
        <f t="shared" si="83"/>
        <v>0</v>
      </c>
      <c r="L1305" s="5">
        <v>0</v>
      </c>
      <c r="M1305" s="5">
        <v>0</v>
      </c>
      <c r="N1305" t="s">
        <v>9</v>
      </c>
      <c r="O1305" s="8">
        <v>27.230136986301371</v>
      </c>
      <c r="P1305" t="s">
        <v>34</v>
      </c>
      <c r="Q1305">
        <v>3</v>
      </c>
      <c r="R1305" s="2">
        <v>35950</v>
      </c>
    </row>
    <row r="1306" spans="1:18" x14ac:dyDescent="0.3">
      <c r="A1306" t="s">
        <v>7</v>
      </c>
      <c r="B1306">
        <v>18957600</v>
      </c>
      <c r="C1306" t="s">
        <v>8</v>
      </c>
      <c r="D1306" s="4">
        <v>45889</v>
      </c>
      <c r="E1306" s="11">
        <f t="shared" si="80"/>
        <v>2025</v>
      </c>
      <c r="F1306" s="11">
        <f t="shared" si="81"/>
        <v>8</v>
      </c>
      <c r="G1306" s="11" t="str">
        <f t="shared" si="82"/>
        <v>202508</v>
      </c>
      <c r="H1306" s="4">
        <v>46174</v>
      </c>
      <c r="I1306" s="5">
        <v>285</v>
      </c>
      <c r="J1306" s="5">
        <v>9.5</v>
      </c>
      <c r="K1306" s="5">
        <f t="shared" si="83"/>
        <v>0</v>
      </c>
      <c r="L1306" s="5">
        <v>0</v>
      </c>
      <c r="M1306" s="5">
        <v>0</v>
      </c>
      <c r="N1306" t="s">
        <v>9</v>
      </c>
      <c r="O1306" s="8">
        <v>20.476712328767125</v>
      </c>
      <c r="P1306" t="s">
        <v>32</v>
      </c>
      <c r="Q1306">
        <v>1</v>
      </c>
      <c r="R1306" s="2">
        <v>38415</v>
      </c>
    </row>
    <row r="1307" spans="1:18" x14ac:dyDescent="0.3">
      <c r="A1307" t="s">
        <v>7</v>
      </c>
      <c r="B1307">
        <v>18957601</v>
      </c>
      <c r="C1307" t="s">
        <v>8</v>
      </c>
      <c r="D1307" s="4">
        <v>45889</v>
      </c>
      <c r="E1307" s="11">
        <f t="shared" si="80"/>
        <v>2025</v>
      </c>
      <c r="F1307" s="11">
        <f t="shared" si="81"/>
        <v>8</v>
      </c>
      <c r="G1307" s="11" t="str">
        <f t="shared" si="82"/>
        <v>202508</v>
      </c>
      <c r="I1307" s="5">
        <v>9999</v>
      </c>
      <c r="J1307" s="5">
        <v>333.3</v>
      </c>
      <c r="K1307" s="5">
        <f t="shared" si="83"/>
        <v>0</v>
      </c>
      <c r="L1307" s="5">
        <v>0</v>
      </c>
      <c r="M1307" s="5">
        <v>0</v>
      </c>
      <c r="N1307" t="s">
        <v>9</v>
      </c>
      <c r="O1307" s="8">
        <v>23.232876712328768</v>
      </c>
      <c r="P1307" t="s">
        <v>33</v>
      </c>
      <c r="Q1307">
        <v>2</v>
      </c>
      <c r="R1307" s="2">
        <v>37409</v>
      </c>
    </row>
    <row r="1308" spans="1:18" x14ac:dyDescent="0.3">
      <c r="A1308" t="s">
        <v>7</v>
      </c>
      <c r="B1308">
        <v>18957602</v>
      </c>
      <c r="C1308" t="s">
        <v>8</v>
      </c>
      <c r="D1308" s="4">
        <v>45889</v>
      </c>
      <c r="E1308" s="11">
        <f t="shared" si="80"/>
        <v>2025</v>
      </c>
      <c r="F1308" s="11">
        <f t="shared" si="81"/>
        <v>8</v>
      </c>
      <c r="G1308" s="11" t="str">
        <f t="shared" si="82"/>
        <v>202508</v>
      </c>
      <c r="H1308" s="4">
        <v>45909</v>
      </c>
      <c r="I1308" s="5">
        <v>20</v>
      </c>
      <c r="J1308" s="5">
        <v>0.66666666666666663</v>
      </c>
      <c r="K1308" s="5">
        <f t="shared" si="83"/>
        <v>1</v>
      </c>
      <c r="L1308" s="5">
        <v>1</v>
      </c>
      <c r="M1308" s="5">
        <v>1</v>
      </c>
      <c r="N1308" t="s">
        <v>9</v>
      </c>
      <c r="O1308" s="8">
        <v>23.186301369863013</v>
      </c>
      <c r="P1308" t="s">
        <v>33</v>
      </c>
      <c r="Q1308">
        <v>2</v>
      </c>
      <c r="R1308" s="2">
        <v>37426</v>
      </c>
    </row>
    <row r="1309" spans="1:18" x14ac:dyDescent="0.3">
      <c r="A1309" t="s">
        <v>7</v>
      </c>
      <c r="B1309">
        <v>18957666</v>
      </c>
      <c r="C1309" t="s">
        <v>8</v>
      </c>
      <c r="D1309" s="4">
        <v>45889</v>
      </c>
      <c r="E1309" s="11">
        <f t="shared" si="80"/>
        <v>2025</v>
      </c>
      <c r="F1309" s="11">
        <f t="shared" si="81"/>
        <v>8</v>
      </c>
      <c r="G1309" s="11" t="str">
        <f t="shared" si="82"/>
        <v>202508</v>
      </c>
      <c r="H1309" s="4">
        <v>45901</v>
      </c>
      <c r="I1309" s="5">
        <v>12</v>
      </c>
      <c r="J1309" s="5">
        <v>0.4</v>
      </c>
      <c r="K1309" s="5">
        <f t="shared" si="83"/>
        <v>1</v>
      </c>
      <c r="L1309" s="5">
        <v>1</v>
      </c>
      <c r="M1309" s="5">
        <v>1</v>
      </c>
      <c r="N1309" t="s">
        <v>9</v>
      </c>
      <c r="O1309" s="8">
        <v>23.331506849315069</v>
      </c>
      <c r="P1309" t="s">
        <v>33</v>
      </c>
      <c r="Q1309">
        <v>2</v>
      </c>
      <c r="R1309" s="2">
        <v>37373</v>
      </c>
    </row>
    <row r="1310" spans="1:18" x14ac:dyDescent="0.3">
      <c r="A1310" t="s">
        <v>7</v>
      </c>
      <c r="B1310">
        <v>18957671</v>
      </c>
      <c r="C1310" t="s">
        <v>10</v>
      </c>
      <c r="D1310" s="4">
        <v>45889</v>
      </c>
      <c r="E1310" s="11">
        <f t="shared" si="80"/>
        <v>2025</v>
      </c>
      <c r="F1310" s="11">
        <f t="shared" si="81"/>
        <v>8</v>
      </c>
      <c r="G1310" s="11" t="str">
        <f t="shared" si="82"/>
        <v>202508</v>
      </c>
      <c r="H1310" s="4">
        <v>46081</v>
      </c>
      <c r="I1310" s="5">
        <v>192</v>
      </c>
      <c r="J1310" s="5">
        <v>6.4</v>
      </c>
      <c r="K1310" s="5">
        <f t="shared" si="83"/>
        <v>0</v>
      </c>
      <c r="L1310" s="5">
        <v>0</v>
      </c>
      <c r="M1310" s="5">
        <v>0</v>
      </c>
      <c r="N1310" t="s">
        <v>9</v>
      </c>
      <c r="O1310" s="8">
        <v>23.846575342465755</v>
      </c>
      <c r="P1310" t="s">
        <v>33</v>
      </c>
      <c r="Q1310">
        <v>2</v>
      </c>
      <c r="R1310" s="2">
        <v>37185</v>
      </c>
    </row>
    <row r="1311" spans="1:18" x14ac:dyDescent="0.3">
      <c r="A1311" t="s">
        <v>7</v>
      </c>
      <c r="B1311">
        <v>18957673</v>
      </c>
      <c r="C1311" t="s">
        <v>10</v>
      </c>
      <c r="D1311" s="4">
        <v>45889</v>
      </c>
      <c r="E1311" s="11">
        <f t="shared" si="80"/>
        <v>2025</v>
      </c>
      <c r="F1311" s="11">
        <f t="shared" si="81"/>
        <v>8</v>
      </c>
      <c r="G1311" s="11" t="str">
        <f t="shared" si="82"/>
        <v>202508</v>
      </c>
      <c r="I1311" s="5">
        <v>9999</v>
      </c>
      <c r="J1311" s="5">
        <v>333.3</v>
      </c>
      <c r="K1311" s="5">
        <f t="shared" si="83"/>
        <v>0</v>
      </c>
      <c r="L1311" s="5">
        <v>0</v>
      </c>
      <c r="M1311" s="5">
        <v>0</v>
      </c>
      <c r="N1311" t="s">
        <v>9</v>
      </c>
      <c r="O1311" s="8">
        <v>22.528767123287672</v>
      </c>
      <c r="P1311" t="s">
        <v>33</v>
      </c>
      <c r="Q1311">
        <v>2</v>
      </c>
      <c r="R1311" s="2">
        <v>37666</v>
      </c>
    </row>
    <row r="1312" spans="1:18" x14ac:dyDescent="0.3">
      <c r="A1312" t="s">
        <v>7</v>
      </c>
      <c r="B1312">
        <v>18957701</v>
      </c>
      <c r="C1312" t="s">
        <v>8</v>
      </c>
      <c r="D1312" s="4">
        <v>45889</v>
      </c>
      <c r="E1312" s="11">
        <f t="shared" si="80"/>
        <v>2025</v>
      </c>
      <c r="F1312" s="11">
        <f t="shared" si="81"/>
        <v>8</v>
      </c>
      <c r="G1312" s="11" t="str">
        <f t="shared" si="82"/>
        <v>202508</v>
      </c>
      <c r="H1312" s="4">
        <v>45965</v>
      </c>
      <c r="I1312" s="5">
        <v>76</v>
      </c>
      <c r="J1312" s="5">
        <v>2.5333333333333332</v>
      </c>
      <c r="K1312" s="5">
        <f t="shared" si="83"/>
        <v>0</v>
      </c>
      <c r="L1312" s="5">
        <v>1</v>
      </c>
      <c r="M1312" s="5">
        <v>1</v>
      </c>
      <c r="N1312" t="s">
        <v>12</v>
      </c>
      <c r="O1312" s="8">
        <v>22.931506849315067</v>
      </c>
      <c r="P1312" t="s">
        <v>33</v>
      </c>
      <c r="Q1312">
        <v>2</v>
      </c>
      <c r="R1312" s="2">
        <v>37519</v>
      </c>
    </row>
    <row r="1313" spans="1:18" x14ac:dyDescent="0.3">
      <c r="A1313" t="s">
        <v>7</v>
      </c>
      <c r="B1313">
        <v>18957743</v>
      </c>
      <c r="C1313" t="s">
        <v>10</v>
      </c>
      <c r="D1313" s="4">
        <v>45889</v>
      </c>
      <c r="E1313" s="11">
        <f t="shared" si="80"/>
        <v>2025</v>
      </c>
      <c r="F1313" s="11">
        <f t="shared" si="81"/>
        <v>8</v>
      </c>
      <c r="G1313" s="11" t="str">
        <f t="shared" si="82"/>
        <v>202508</v>
      </c>
      <c r="I1313" s="5">
        <v>9999</v>
      </c>
      <c r="J1313" s="5">
        <v>333.3</v>
      </c>
      <c r="K1313" s="5">
        <f t="shared" si="83"/>
        <v>0</v>
      </c>
      <c r="L1313" s="5">
        <v>0</v>
      </c>
      <c r="M1313" s="5">
        <v>0</v>
      </c>
      <c r="N1313" t="s">
        <v>12</v>
      </c>
      <c r="O1313" s="8">
        <v>19.347945205479451</v>
      </c>
      <c r="P1313" t="s">
        <v>32</v>
      </c>
      <c r="Q1313">
        <v>1</v>
      </c>
      <c r="R1313" s="2">
        <v>38827</v>
      </c>
    </row>
    <row r="1314" spans="1:18" x14ac:dyDescent="0.3">
      <c r="A1314" t="s">
        <v>7</v>
      </c>
      <c r="B1314">
        <v>18957799</v>
      </c>
      <c r="C1314" t="s">
        <v>8</v>
      </c>
      <c r="D1314" s="4">
        <v>45889</v>
      </c>
      <c r="E1314" s="11">
        <f t="shared" si="80"/>
        <v>2025</v>
      </c>
      <c r="F1314" s="11">
        <f t="shared" si="81"/>
        <v>8</v>
      </c>
      <c r="G1314" s="11" t="str">
        <f t="shared" si="82"/>
        <v>202508</v>
      </c>
      <c r="I1314" s="5">
        <v>9999</v>
      </c>
      <c r="J1314" s="5">
        <v>333.3</v>
      </c>
      <c r="K1314" s="5">
        <f t="shared" si="83"/>
        <v>0</v>
      </c>
      <c r="L1314" s="5">
        <v>0</v>
      </c>
      <c r="M1314" s="5">
        <v>0</v>
      </c>
      <c r="N1314" t="s">
        <v>9</v>
      </c>
      <c r="O1314" s="8">
        <v>20.876712328767123</v>
      </c>
      <c r="P1314" t="s">
        <v>32</v>
      </c>
      <c r="Q1314">
        <v>1</v>
      </c>
      <c r="R1314" s="2">
        <v>38269</v>
      </c>
    </row>
    <row r="1315" spans="1:18" x14ac:dyDescent="0.3">
      <c r="A1315" t="s">
        <v>7</v>
      </c>
      <c r="B1315">
        <v>18958036</v>
      </c>
      <c r="C1315" t="s">
        <v>8</v>
      </c>
      <c r="D1315" s="4">
        <v>45890</v>
      </c>
      <c r="E1315" s="11">
        <f t="shared" si="80"/>
        <v>2025</v>
      </c>
      <c r="F1315" s="11">
        <f t="shared" si="81"/>
        <v>8</v>
      </c>
      <c r="G1315" s="11" t="str">
        <f t="shared" si="82"/>
        <v>202508</v>
      </c>
      <c r="I1315" s="5">
        <v>9999</v>
      </c>
      <c r="J1315" s="5">
        <v>333.3</v>
      </c>
      <c r="K1315" s="5">
        <f t="shared" si="83"/>
        <v>0</v>
      </c>
      <c r="L1315" s="5">
        <v>0</v>
      </c>
      <c r="M1315" s="5">
        <v>0</v>
      </c>
      <c r="N1315" t="s">
        <v>9</v>
      </c>
      <c r="O1315" s="8">
        <v>18.323287671232876</v>
      </c>
      <c r="P1315" t="s">
        <v>32</v>
      </c>
      <c r="Q1315">
        <v>1</v>
      </c>
      <c r="R1315" s="2">
        <v>39202</v>
      </c>
    </row>
    <row r="1316" spans="1:18" x14ac:dyDescent="0.3">
      <c r="A1316" t="s">
        <v>7</v>
      </c>
      <c r="B1316">
        <v>18958081</v>
      </c>
      <c r="C1316" t="s">
        <v>10</v>
      </c>
      <c r="D1316" s="4">
        <v>45890</v>
      </c>
      <c r="E1316" s="11">
        <f t="shared" si="80"/>
        <v>2025</v>
      </c>
      <c r="F1316" s="11">
        <f t="shared" si="81"/>
        <v>8</v>
      </c>
      <c r="G1316" s="11" t="str">
        <f t="shared" si="82"/>
        <v>202508</v>
      </c>
      <c r="H1316" s="4">
        <v>46174</v>
      </c>
      <c r="I1316" s="5">
        <v>284</v>
      </c>
      <c r="J1316" s="5">
        <v>9.4666666666666668</v>
      </c>
      <c r="K1316" s="5">
        <f t="shared" si="83"/>
        <v>0</v>
      </c>
      <c r="L1316" s="5">
        <v>0</v>
      </c>
      <c r="M1316" s="5">
        <v>0</v>
      </c>
      <c r="N1316" t="s">
        <v>9</v>
      </c>
      <c r="O1316" s="8">
        <v>22.331506849315069</v>
      </c>
      <c r="P1316" t="s">
        <v>33</v>
      </c>
      <c r="Q1316">
        <v>2</v>
      </c>
      <c r="R1316" s="2">
        <v>37739</v>
      </c>
    </row>
    <row r="1317" spans="1:18" x14ac:dyDescent="0.3">
      <c r="A1317" t="s">
        <v>7</v>
      </c>
      <c r="B1317">
        <v>18958105</v>
      </c>
      <c r="C1317" t="s">
        <v>10</v>
      </c>
      <c r="D1317" s="4">
        <v>45890</v>
      </c>
      <c r="E1317" s="11">
        <f t="shared" si="80"/>
        <v>2025</v>
      </c>
      <c r="F1317" s="11">
        <f t="shared" si="81"/>
        <v>8</v>
      </c>
      <c r="G1317" s="11" t="str">
        <f t="shared" si="82"/>
        <v>202508</v>
      </c>
      <c r="I1317" s="5">
        <v>9999</v>
      </c>
      <c r="J1317" s="5">
        <v>333.3</v>
      </c>
      <c r="K1317" s="5">
        <f t="shared" si="83"/>
        <v>0</v>
      </c>
      <c r="L1317" s="5">
        <v>0</v>
      </c>
      <c r="M1317" s="5">
        <v>0</v>
      </c>
      <c r="N1317" t="s">
        <v>12</v>
      </c>
      <c r="O1317" s="8">
        <v>22.005479452054793</v>
      </c>
      <c r="P1317" t="s">
        <v>33</v>
      </c>
      <c r="Q1317">
        <v>2</v>
      </c>
      <c r="R1317" s="2">
        <v>37858</v>
      </c>
    </row>
    <row r="1318" spans="1:18" x14ac:dyDescent="0.3">
      <c r="A1318" t="s">
        <v>7</v>
      </c>
      <c r="B1318">
        <v>18958110</v>
      </c>
      <c r="C1318" t="s">
        <v>8</v>
      </c>
      <c r="D1318" s="4">
        <v>45890</v>
      </c>
      <c r="E1318" s="11">
        <f t="shared" si="80"/>
        <v>2025</v>
      </c>
      <c r="F1318" s="11">
        <f t="shared" si="81"/>
        <v>8</v>
      </c>
      <c r="G1318" s="11" t="str">
        <f t="shared" si="82"/>
        <v>202508</v>
      </c>
      <c r="I1318" s="5">
        <v>9999</v>
      </c>
      <c r="J1318" s="5">
        <v>333.3</v>
      </c>
      <c r="K1318" s="5">
        <f t="shared" si="83"/>
        <v>0</v>
      </c>
      <c r="L1318" s="5">
        <v>0</v>
      </c>
      <c r="M1318" s="5">
        <v>0</v>
      </c>
      <c r="N1318" t="s">
        <v>12</v>
      </c>
      <c r="O1318" s="8">
        <v>25.597260273972601</v>
      </c>
      <c r="P1318" t="s">
        <v>33</v>
      </c>
      <c r="Q1318">
        <v>2</v>
      </c>
      <c r="R1318" s="2">
        <v>36547</v>
      </c>
    </row>
    <row r="1319" spans="1:18" x14ac:dyDescent="0.3">
      <c r="A1319" t="s">
        <v>7</v>
      </c>
      <c r="B1319">
        <v>18958318</v>
      </c>
      <c r="C1319" t="s">
        <v>8</v>
      </c>
      <c r="D1319" s="4">
        <v>45890</v>
      </c>
      <c r="E1319" s="11">
        <f t="shared" si="80"/>
        <v>2025</v>
      </c>
      <c r="F1319" s="11">
        <f t="shared" si="81"/>
        <v>8</v>
      </c>
      <c r="G1319" s="11" t="str">
        <f t="shared" si="82"/>
        <v>202508</v>
      </c>
      <c r="H1319" s="4">
        <v>45991</v>
      </c>
      <c r="I1319" s="5">
        <v>101</v>
      </c>
      <c r="J1319" s="5">
        <v>3.3666666666666667</v>
      </c>
      <c r="K1319" s="5">
        <f t="shared" si="83"/>
        <v>0</v>
      </c>
      <c r="L1319" s="5">
        <v>0</v>
      </c>
      <c r="M1319" s="5">
        <v>1</v>
      </c>
      <c r="N1319" t="s">
        <v>9</v>
      </c>
      <c r="O1319" s="8">
        <v>25.019178082191782</v>
      </c>
      <c r="P1319" t="s">
        <v>33</v>
      </c>
      <c r="Q1319">
        <v>2</v>
      </c>
      <c r="R1319" s="2">
        <v>36758</v>
      </c>
    </row>
    <row r="1320" spans="1:18" x14ac:dyDescent="0.3">
      <c r="A1320" t="s">
        <v>7</v>
      </c>
      <c r="B1320">
        <v>18958319</v>
      </c>
      <c r="C1320" t="s">
        <v>10</v>
      </c>
      <c r="D1320" s="4">
        <v>45890</v>
      </c>
      <c r="E1320" s="11">
        <f t="shared" si="80"/>
        <v>2025</v>
      </c>
      <c r="F1320" s="11">
        <f t="shared" si="81"/>
        <v>8</v>
      </c>
      <c r="G1320" s="11" t="str">
        <f t="shared" si="82"/>
        <v>202508</v>
      </c>
      <c r="H1320" s="4">
        <v>46081</v>
      </c>
      <c r="I1320" s="5">
        <v>191</v>
      </c>
      <c r="J1320" s="5">
        <v>6.3666666666666663</v>
      </c>
      <c r="K1320" s="5">
        <f t="shared" si="83"/>
        <v>0</v>
      </c>
      <c r="L1320" s="5">
        <v>0</v>
      </c>
      <c r="M1320" s="5">
        <v>0</v>
      </c>
      <c r="N1320" t="s">
        <v>9</v>
      </c>
      <c r="O1320" s="8">
        <v>22.084931506849315</v>
      </c>
      <c r="P1320" t="s">
        <v>33</v>
      </c>
      <c r="Q1320">
        <v>2</v>
      </c>
      <c r="R1320" s="2">
        <v>37829</v>
      </c>
    </row>
    <row r="1321" spans="1:18" x14ac:dyDescent="0.3">
      <c r="A1321" t="s">
        <v>7</v>
      </c>
      <c r="B1321">
        <v>18958439</v>
      </c>
      <c r="C1321" t="s">
        <v>10</v>
      </c>
      <c r="D1321" s="4">
        <v>45891</v>
      </c>
      <c r="E1321" s="11">
        <f t="shared" si="80"/>
        <v>2025</v>
      </c>
      <c r="F1321" s="11">
        <f t="shared" si="81"/>
        <v>8</v>
      </c>
      <c r="G1321" s="11" t="str">
        <f t="shared" si="82"/>
        <v>202508</v>
      </c>
      <c r="I1321" s="5">
        <v>9999</v>
      </c>
      <c r="J1321" s="5">
        <v>333.3</v>
      </c>
      <c r="K1321" s="5">
        <f t="shared" si="83"/>
        <v>0</v>
      </c>
      <c r="L1321" s="5">
        <v>0</v>
      </c>
      <c r="M1321" s="5">
        <v>0</v>
      </c>
      <c r="N1321" t="s">
        <v>9</v>
      </c>
      <c r="O1321" s="8">
        <v>22.090410958904108</v>
      </c>
      <c r="P1321" t="s">
        <v>33</v>
      </c>
      <c r="Q1321">
        <v>2</v>
      </c>
      <c r="R1321" s="2">
        <v>37828</v>
      </c>
    </row>
    <row r="1322" spans="1:18" x14ac:dyDescent="0.3">
      <c r="A1322" t="s">
        <v>11</v>
      </c>
      <c r="B1322">
        <v>18958472</v>
      </c>
      <c r="C1322" t="s">
        <v>8</v>
      </c>
      <c r="D1322" s="4">
        <v>45891</v>
      </c>
      <c r="E1322" s="11">
        <f t="shared" si="80"/>
        <v>2025</v>
      </c>
      <c r="F1322" s="11">
        <f t="shared" si="81"/>
        <v>8</v>
      </c>
      <c r="G1322" s="11" t="str">
        <f t="shared" si="82"/>
        <v>202508</v>
      </c>
      <c r="H1322" s="4">
        <v>46113</v>
      </c>
      <c r="I1322" s="5">
        <v>222</v>
      </c>
      <c r="J1322" s="5">
        <v>7.4</v>
      </c>
      <c r="K1322" s="5">
        <f t="shared" si="83"/>
        <v>0</v>
      </c>
      <c r="L1322" s="5">
        <v>0</v>
      </c>
      <c r="M1322" s="5">
        <v>0</v>
      </c>
      <c r="N1322" t="s">
        <v>9</v>
      </c>
      <c r="O1322" s="8">
        <v>18.049315068493151</v>
      </c>
      <c r="P1322" t="s">
        <v>32</v>
      </c>
      <c r="Q1322">
        <v>1</v>
      </c>
      <c r="R1322" s="2">
        <v>39303</v>
      </c>
    </row>
    <row r="1323" spans="1:18" x14ac:dyDescent="0.3">
      <c r="A1323" t="s">
        <v>7</v>
      </c>
      <c r="B1323">
        <v>18958475</v>
      </c>
      <c r="C1323" t="s">
        <v>8</v>
      </c>
      <c r="D1323" s="4">
        <v>45891</v>
      </c>
      <c r="E1323" s="11">
        <f t="shared" si="80"/>
        <v>2025</v>
      </c>
      <c r="F1323" s="11">
        <f t="shared" si="81"/>
        <v>8</v>
      </c>
      <c r="G1323" s="11" t="str">
        <f t="shared" si="82"/>
        <v>202508</v>
      </c>
      <c r="H1323" s="4">
        <v>46027</v>
      </c>
      <c r="I1323" s="5">
        <v>136</v>
      </c>
      <c r="J1323" s="5">
        <v>4.5333333333333332</v>
      </c>
      <c r="K1323" s="5">
        <f t="shared" si="83"/>
        <v>0</v>
      </c>
      <c r="L1323" s="5">
        <v>0</v>
      </c>
      <c r="M1323" s="5">
        <v>1</v>
      </c>
      <c r="N1323" t="s">
        <v>9</v>
      </c>
      <c r="O1323" s="8">
        <v>25.991780821917807</v>
      </c>
      <c r="P1323" t="s">
        <v>33</v>
      </c>
      <c r="Q1323">
        <v>2</v>
      </c>
      <c r="R1323" s="2">
        <v>36404</v>
      </c>
    </row>
    <row r="1324" spans="1:18" x14ac:dyDescent="0.3">
      <c r="A1324" t="s">
        <v>7</v>
      </c>
      <c r="B1324">
        <v>18958476</v>
      </c>
      <c r="C1324" t="s">
        <v>8</v>
      </c>
      <c r="D1324" s="4">
        <v>45891</v>
      </c>
      <c r="E1324" s="11">
        <f t="shared" si="80"/>
        <v>2025</v>
      </c>
      <c r="F1324" s="11">
        <f t="shared" si="81"/>
        <v>8</v>
      </c>
      <c r="G1324" s="11" t="str">
        <f t="shared" si="82"/>
        <v>202508</v>
      </c>
      <c r="I1324" s="5">
        <v>9999</v>
      </c>
      <c r="J1324" s="5">
        <v>333.3</v>
      </c>
      <c r="K1324" s="5">
        <f t="shared" si="83"/>
        <v>0</v>
      </c>
      <c r="L1324" s="5">
        <v>0</v>
      </c>
      <c r="M1324" s="5">
        <v>0</v>
      </c>
      <c r="N1324" t="s">
        <v>9</v>
      </c>
      <c r="O1324" s="8">
        <v>18.208219178082192</v>
      </c>
      <c r="P1324" t="s">
        <v>32</v>
      </c>
      <c r="Q1324">
        <v>1</v>
      </c>
      <c r="R1324" s="2">
        <v>39245</v>
      </c>
    </row>
    <row r="1325" spans="1:18" x14ac:dyDescent="0.3">
      <c r="A1325" t="s">
        <v>7</v>
      </c>
      <c r="B1325">
        <v>18958499</v>
      </c>
      <c r="C1325" t="s">
        <v>8</v>
      </c>
      <c r="D1325" s="4">
        <v>45891</v>
      </c>
      <c r="E1325" s="11">
        <f t="shared" si="80"/>
        <v>2025</v>
      </c>
      <c r="F1325" s="11">
        <f t="shared" si="81"/>
        <v>8</v>
      </c>
      <c r="G1325" s="11" t="str">
        <f t="shared" si="82"/>
        <v>202508</v>
      </c>
      <c r="H1325" s="4">
        <v>46053</v>
      </c>
      <c r="I1325" s="5">
        <v>162</v>
      </c>
      <c r="J1325" s="5">
        <v>5.4</v>
      </c>
      <c r="K1325" s="5">
        <f t="shared" si="83"/>
        <v>0</v>
      </c>
      <c r="L1325" s="5">
        <v>0</v>
      </c>
      <c r="M1325" s="5">
        <v>1</v>
      </c>
      <c r="N1325" t="s">
        <v>9</v>
      </c>
      <c r="O1325" s="8">
        <v>19.646575342465752</v>
      </c>
      <c r="P1325" t="s">
        <v>32</v>
      </c>
      <c r="Q1325">
        <v>1</v>
      </c>
      <c r="R1325" s="2">
        <v>38720</v>
      </c>
    </row>
    <row r="1326" spans="1:18" x14ac:dyDescent="0.3">
      <c r="A1326" t="s">
        <v>7</v>
      </c>
      <c r="B1326">
        <v>18958502</v>
      </c>
      <c r="C1326" t="s">
        <v>10</v>
      </c>
      <c r="D1326" s="4">
        <v>45891</v>
      </c>
      <c r="E1326" s="11">
        <f t="shared" si="80"/>
        <v>2025</v>
      </c>
      <c r="F1326" s="11">
        <f t="shared" si="81"/>
        <v>8</v>
      </c>
      <c r="G1326" s="11" t="str">
        <f t="shared" si="82"/>
        <v>202508</v>
      </c>
      <c r="H1326" s="4">
        <v>46054</v>
      </c>
      <c r="I1326" s="5">
        <v>163</v>
      </c>
      <c r="J1326" s="5">
        <v>5.4333333333333336</v>
      </c>
      <c r="K1326" s="5">
        <f t="shared" si="83"/>
        <v>0</v>
      </c>
      <c r="L1326" s="5">
        <v>0</v>
      </c>
      <c r="M1326" s="5">
        <v>1</v>
      </c>
      <c r="N1326" t="s">
        <v>9</v>
      </c>
      <c r="O1326" s="8">
        <v>18.682191780821917</v>
      </c>
      <c r="P1326" t="s">
        <v>32</v>
      </c>
      <c r="Q1326">
        <v>1</v>
      </c>
      <c r="R1326" s="2">
        <v>39072</v>
      </c>
    </row>
    <row r="1327" spans="1:18" x14ac:dyDescent="0.3">
      <c r="A1327" t="s">
        <v>7</v>
      </c>
      <c r="B1327">
        <v>18958559</v>
      </c>
      <c r="C1327" t="s">
        <v>8</v>
      </c>
      <c r="D1327" s="4">
        <v>45891</v>
      </c>
      <c r="E1327" s="11">
        <f t="shared" si="80"/>
        <v>2025</v>
      </c>
      <c r="F1327" s="11">
        <f t="shared" si="81"/>
        <v>8</v>
      </c>
      <c r="G1327" s="11" t="str">
        <f t="shared" si="82"/>
        <v>202508</v>
      </c>
      <c r="I1327" s="5">
        <v>9999</v>
      </c>
      <c r="J1327" s="5">
        <v>333.3</v>
      </c>
      <c r="K1327" s="5">
        <f t="shared" si="83"/>
        <v>0</v>
      </c>
      <c r="L1327" s="5">
        <v>0</v>
      </c>
      <c r="M1327" s="5">
        <v>0</v>
      </c>
      <c r="N1327" t="s">
        <v>12</v>
      </c>
      <c r="O1327" s="8">
        <v>32.391780821917806</v>
      </c>
      <c r="P1327" t="s">
        <v>35</v>
      </c>
      <c r="Q1327">
        <v>4</v>
      </c>
      <c r="R1327" s="2">
        <v>34068</v>
      </c>
    </row>
    <row r="1328" spans="1:18" x14ac:dyDescent="0.3">
      <c r="A1328" t="s">
        <v>7</v>
      </c>
      <c r="B1328">
        <v>18958582</v>
      </c>
      <c r="C1328" t="s">
        <v>10</v>
      </c>
      <c r="D1328" s="4">
        <v>45891</v>
      </c>
      <c r="E1328" s="11">
        <f t="shared" si="80"/>
        <v>2025</v>
      </c>
      <c r="F1328" s="11">
        <f t="shared" si="81"/>
        <v>8</v>
      </c>
      <c r="G1328" s="11" t="str">
        <f t="shared" si="82"/>
        <v>202508</v>
      </c>
      <c r="I1328" s="5">
        <v>9999</v>
      </c>
      <c r="J1328" s="5">
        <v>333.3</v>
      </c>
      <c r="K1328" s="5">
        <f t="shared" si="83"/>
        <v>0</v>
      </c>
      <c r="L1328" s="5">
        <v>0</v>
      </c>
      <c r="M1328" s="5">
        <v>0</v>
      </c>
      <c r="N1328" t="s">
        <v>9</v>
      </c>
      <c r="O1328" s="8">
        <v>18.44109589041096</v>
      </c>
      <c r="P1328" t="s">
        <v>32</v>
      </c>
      <c r="Q1328">
        <v>1</v>
      </c>
      <c r="R1328" s="2">
        <v>39160</v>
      </c>
    </row>
    <row r="1329" spans="1:18" x14ac:dyDescent="0.3">
      <c r="A1329" t="s">
        <v>7</v>
      </c>
      <c r="B1329">
        <v>18958583</v>
      </c>
      <c r="C1329" t="s">
        <v>8</v>
      </c>
      <c r="D1329" s="4">
        <v>45891</v>
      </c>
      <c r="E1329" s="11">
        <f t="shared" si="80"/>
        <v>2025</v>
      </c>
      <c r="F1329" s="11">
        <f t="shared" si="81"/>
        <v>8</v>
      </c>
      <c r="G1329" s="11" t="str">
        <f t="shared" si="82"/>
        <v>202508</v>
      </c>
      <c r="H1329" s="4">
        <v>45991</v>
      </c>
      <c r="I1329" s="5">
        <v>100</v>
      </c>
      <c r="J1329" s="5">
        <v>3.3333333333333335</v>
      </c>
      <c r="K1329" s="5">
        <f t="shared" si="83"/>
        <v>0</v>
      </c>
      <c r="L1329" s="5">
        <v>0</v>
      </c>
      <c r="M1329" s="5">
        <v>1</v>
      </c>
      <c r="N1329" t="s">
        <v>9</v>
      </c>
      <c r="O1329" s="8">
        <v>20.528767123287672</v>
      </c>
      <c r="P1329" t="s">
        <v>32</v>
      </c>
      <c r="Q1329">
        <v>1</v>
      </c>
      <c r="R1329" s="2">
        <v>38398</v>
      </c>
    </row>
    <row r="1330" spans="1:18" x14ac:dyDescent="0.3">
      <c r="A1330" t="s">
        <v>11</v>
      </c>
      <c r="B1330">
        <v>18958585</v>
      </c>
      <c r="C1330" t="s">
        <v>8</v>
      </c>
      <c r="D1330" s="4">
        <v>45891</v>
      </c>
      <c r="E1330" s="11">
        <f t="shared" si="80"/>
        <v>2025</v>
      </c>
      <c r="F1330" s="11">
        <f t="shared" si="81"/>
        <v>8</v>
      </c>
      <c r="G1330" s="11" t="str">
        <f t="shared" si="82"/>
        <v>202508</v>
      </c>
      <c r="H1330" s="4">
        <v>45947</v>
      </c>
      <c r="I1330" s="5">
        <v>56</v>
      </c>
      <c r="J1330" s="5">
        <v>1.8666666666666667</v>
      </c>
      <c r="K1330" s="5">
        <f t="shared" si="83"/>
        <v>0</v>
      </c>
      <c r="L1330" s="5">
        <v>1</v>
      </c>
      <c r="M1330" s="5">
        <v>1</v>
      </c>
      <c r="N1330" t="s">
        <v>9</v>
      </c>
      <c r="O1330" s="8">
        <v>28.002739726027396</v>
      </c>
      <c r="P1330" t="s">
        <v>34</v>
      </c>
      <c r="Q1330">
        <v>3</v>
      </c>
      <c r="R1330" s="2">
        <v>35670</v>
      </c>
    </row>
    <row r="1331" spans="1:18" x14ac:dyDescent="0.3">
      <c r="A1331" t="s">
        <v>7</v>
      </c>
      <c r="B1331">
        <v>18958586</v>
      </c>
      <c r="C1331" t="s">
        <v>8</v>
      </c>
      <c r="D1331" s="4">
        <v>45891</v>
      </c>
      <c r="E1331" s="11">
        <f t="shared" si="80"/>
        <v>2025</v>
      </c>
      <c r="F1331" s="11">
        <f t="shared" si="81"/>
        <v>8</v>
      </c>
      <c r="G1331" s="11" t="str">
        <f t="shared" si="82"/>
        <v>202508</v>
      </c>
      <c r="I1331" s="5">
        <v>9999</v>
      </c>
      <c r="J1331" s="5">
        <v>333.3</v>
      </c>
      <c r="K1331" s="5">
        <f t="shared" si="83"/>
        <v>0</v>
      </c>
      <c r="L1331" s="5">
        <v>0</v>
      </c>
      <c r="M1331" s="5">
        <v>0</v>
      </c>
      <c r="N1331" t="s">
        <v>9</v>
      </c>
      <c r="O1331" s="8">
        <v>20.079452054794519</v>
      </c>
      <c r="P1331" t="s">
        <v>32</v>
      </c>
      <c r="Q1331">
        <v>1</v>
      </c>
      <c r="R1331" s="2">
        <v>38562</v>
      </c>
    </row>
    <row r="1332" spans="1:18" x14ac:dyDescent="0.3">
      <c r="A1332" t="s">
        <v>7</v>
      </c>
      <c r="B1332">
        <v>18958635</v>
      </c>
      <c r="C1332" t="s">
        <v>8</v>
      </c>
      <c r="D1332" s="4">
        <v>45891</v>
      </c>
      <c r="E1332" s="11">
        <f t="shared" si="80"/>
        <v>2025</v>
      </c>
      <c r="F1332" s="11">
        <f t="shared" si="81"/>
        <v>8</v>
      </c>
      <c r="G1332" s="11" t="str">
        <f t="shared" si="82"/>
        <v>202508</v>
      </c>
      <c r="I1332" s="5">
        <v>9999</v>
      </c>
      <c r="J1332" s="5">
        <v>333.3</v>
      </c>
      <c r="K1332" s="5">
        <f t="shared" si="83"/>
        <v>0</v>
      </c>
      <c r="L1332" s="5">
        <v>0</v>
      </c>
      <c r="M1332" s="5">
        <v>0</v>
      </c>
      <c r="N1332" t="s">
        <v>9</v>
      </c>
      <c r="O1332" s="8">
        <v>23.484931506849314</v>
      </c>
      <c r="P1332" t="s">
        <v>33</v>
      </c>
      <c r="Q1332">
        <v>2</v>
      </c>
      <c r="R1332" s="2">
        <v>37319</v>
      </c>
    </row>
    <row r="1333" spans="1:18" x14ac:dyDescent="0.3">
      <c r="A1333" t="s">
        <v>7</v>
      </c>
      <c r="B1333">
        <v>18958637</v>
      </c>
      <c r="C1333" t="s">
        <v>10</v>
      </c>
      <c r="D1333" s="4">
        <v>45891</v>
      </c>
      <c r="E1333" s="11">
        <f t="shared" si="80"/>
        <v>2025</v>
      </c>
      <c r="F1333" s="11">
        <f t="shared" si="81"/>
        <v>8</v>
      </c>
      <c r="G1333" s="11" t="str">
        <f t="shared" si="82"/>
        <v>202508</v>
      </c>
      <c r="H1333" s="4">
        <v>46006</v>
      </c>
      <c r="I1333" s="5">
        <v>115</v>
      </c>
      <c r="J1333" s="5">
        <v>3.8333333333333335</v>
      </c>
      <c r="K1333" s="5">
        <f t="shared" si="83"/>
        <v>0</v>
      </c>
      <c r="L1333" s="5">
        <v>0</v>
      </c>
      <c r="M1333" s="5">
        <v>1</v>
      </c>
      <c r="N1333" t="s">
        <v>9</v>
      </c>
      <c r="O1333" s="8">
        <v>23.104109589041094</v>
      </c>
      <c r="P1333" t="s">
        <v>33</v>
      </c>
      <c r="Q1333">
        <v>2</v>
      </c>
      <c r="R1333" s="2">
        <v>37458</v>
      </c>
    </row>
    <row r="1334" spans="1:18" x14ac:dyDescent="0.3">
      <c r="A1334" t="s">
        <v>7</v>
      </c>
      <c r="B1334">
        <v>18958638</v>
      </c>
      <c r="C1334" t="s">
        <v>8</v>
      </c>
      <c r="D1334" s="4">
        <v>45891</v>
      </c>
      <c r="E1334" s="11">
        <f t="shared" si="80"/>
        <v>2025</v>
      </c>
      <c r="F1334" s="11">
        <f t="shared" si="81"/>
        <v>8</v>
      </c>
      <c r="G1334" s="11" t="str">
        <f t="shared" si="82"/>
        <v>202508</v>
      </c>
      <c r="I1334" s="5">
        <v>9999</v>
      </c>
      <c r="J1334" s="5">
        <v>333.3</v>
      </c>
      <c r="K1334" s="5">
        <f t="shared" si="83"/>
        <v>0</v>
      </c>
      <c r="L1334" s="5">
        <v>0</v>
      </c>
      <c r="M1334" s="5">
        <v>0</v>
      </c>
      <c r="N1334" t="s">
        <v>9</v>
      </c>
      <c r="O1334" s="8">
        <v>22.906849315068492</v>
      </c>
      <c r="P1334" t="s">
        <v>33</v>
      </c>
      <c r="Q1334">
        <v>2</v>
      </c>
      <c r="R1334" s="2">
        <v>37530</v>
      </c>
    </row>
    <row r="1335" spans="1:18" x14ac:dyDescent="0.3">
      <c r="A1335" t="s">
        <v>7</v>
      </c>
      <c r="B1335">
        <v>18958641</v>
      </c>
      <c r="C1335" t="s">
        <v>10</v>
      </c>
      <c r="D1335" s="4">
        <v>45891</v>
      </c>
      <c r="E1335" s="11">
        <f t="shared" si="80"/>
        <v>2025</v>
      </c>
      <c r="F1335" s="11">
        <f t="shared" si="81"/>
        <v>8</v>
      </c>
      <c r="G1335" s="11" t="str">
        <f t="shared" si="82"/>
        <v>202508</v>
      </c>
      <c r="H1335" s="4">
        <v>45991</v>
      </c>
      <c r="I1335" s="5">
        <v>100</v>
      </c>
      <c r="J1335" s="5">
        <v>3.3333333333333335</v>
      </c>
      <c r="K1335" s="5">
        <f t="shared" si="83"/>
        <v>0</v>
      </c>
      <c r="L1335" s="5">
        <v>0</v>
      </c>
      <c r="M1335" s="5">
        <v>1</v>
      </c>
      <c r="N1335" t="s">
        <v>9</v>
      </c>
      <c r="O1335" s="8">
        <v>19.589041095890412</v>
      </c>
      <c r="P1335" t="s">
        <v>32</v>
      </c>
      <c r="Q1335">
        <v>1</v>
      </c>
      <c r="R1335" s="2">
        <v>38741</v>
      </c>
    </row>
    <row r="1336" spans="1:18" x14ac:dyDescent="0.3">
      <c r="A1336" t="s">
        <v>7</v>
      </c>
      <c r="B1336">
        <v>18958642</v>
      </c>
      <c r="C1336" t="s">
        <v>8</v>
      </c>
      <c r="D1336" s="4">
        <v>45891</v>
      </c>
      <c r="E1336" s="11">
        <f t="shared" si="80"/>
        <v>2025</v>
      </c>
      <c r="F1336" s="11">
        <f t="shared" si="81"/>
        <v>8</v>
      </c>
      <c r="G1336" s="11" t="str">
        <f t="shared" si="82"/>
        <v>202508</v>
      </c>
      <c r="I1336" s="5">
        <v>9999</v>
      </c>
      <c r="J1336" s="5">
        <v>333.3</v>
      </c>
      <c r="K1336" s="5">
        <f t="shared" si="83"/>
        <v>0</v>
      </c>
      <c r="L1336" s="5">
        <v>0</v>
      </c>
      <c r="M1336" s="5">
        <v>0</v>
      </c>
      <c r="N1336" t="s">
        <v>9</v>
      </c>
      <c r="O1336" s="8">
        <v>18.260273972602739</v>
      </c>
      <c r="P1336" t="s">
        <v>32</v>
      </c>
      <c r="Q1336">
        <v>1</v>
      </c>
      <c r="R1336" s="2">
        <v>39226</v>
      </c>
    </row>
    <row r="1337" spans="1:18" x14ac:dyDescent="0.3">
      <c r="A1337" t="s">
        <v>11</v>
      </c>
      <c r="B1337">
        <v>18958671</v>
      </c>
      <c r="C1337" t="s">
        <v>8</v>
      </c>
      <c r="D1337" s="4">
        <v>45891</v>
      </c>
      <c r="E1337" s="11">
        <f t="shared" si="80"/>
        <v>2025</v>
      </c>
      <c r="F1337" s="11">
        <f t="shared" si="81"/>
        <v>8</v>
      </c>
      <c r="G1337" s="11" t="str">
        <f t="shared" si="82"/>
        <v>202508</v>
      </c>
      <c r="H1337" s="4">
        <v>46022</v>
      </c>
      <c r="I1337" s="5">
        <v>131</v>
      </c>
      <c r="J1337" s="5">
        <v>4.3666666666666663</v>
      </c>
      <c r="K1337" s="5">
        <f t="shared" si="83"/>
        <v>0</v>
      </c>
      <c r="L1337" s="5">
        <v>0</v>
      </c>
      <c r="M1337" s="5">
        <v>1</v>
      </c>
      <c r="N1337" t="s">
        <v>9</v>
      </c>
      <c r="O1337" s="8">
        <v>27.372602739726027</v>
      </c>
      <c r="P1337" t="s">
        <v>34</v>
      </c>
      <c r="Q1337">
        <v>3</v>
      </c>
      <c r="R1337" s="2">
        <v>35900</v>
      </c>
    </row>
    <row r="1338" spans="1:18" x14ac:dyDescent="0.3">
      <c r="A1338" t="s">
        <v>7</v>
      </c>
      <c r="B1338">
        <v>18958671</v>
      </c>
      <c r="C1338" t="s">
        <v>8</v>
      </c>
      <c r="D1338" s="4">
        <v>46023</v>
      </c>
      <c r="E1338" s="11">
        <f t="shared" si="80"/>
        <v>2026</v>
      </c>
      <c r="F1338" s="11">
        <f t="shared" si="81"/>
        <v>1</v>
      </c>
      <c r="G1338" s="11" t="str">
        <f t="shared" si="82"/>
        <v>202601</v>
      </c>
      <c r="H1338" s="4">
        <v>46068</v>
      </c>
      <c r="I1338" s="5">
        <v>45</v>
      </c>
      <c r="J1338" s="5">
        <v>1.5</v>
      </c>
      <c r="K1338" s="5">
        <f t="shared" si="83"/>
        <v>0</v>
      </c>
      <c r="L1338" s="5">
        <v>1</v>
      </c>
      <c r="M1338" s="5">
        <v>1</v>
      </c>
      <c r="N1338" t="s">
        <v>9</v>
      </c>
      <c r="O1338" s="8">
        <v>27.734246575342464</v>
      </c>
      <c r="P1338" t="s">
        <v>34</v>
      </c>
      <c r="Q1338">
        <v>3</v>
      </c>
      <c r="R1338" s="2">
        <v>35900</v>
      </c>
    </row>
    <row r="1339" spans="1:18" x14ac:dyDescent="0.3">
      <c r="A1339" t="s">
        <v>7</v>
      </c>
      <c r="B1339">
        <v>18958806</v>
      </c>
      <c r="C1339" t="s">
        <v>10</v>
      </c>
      <c r="D1339" s="4">
        <v>45891</v>
      </c>
      <c r="E1339" s="11">
        <f t="shared" si="80"/>
        <v>2025</v>
      </c>
      <c r="F1339" s="11">
        <f t="shared" si="81"/>
        <v>8</v>
      </c>
      <c r="G1339" s="11" t="str">
        <f t="shared" si="82"/>
        <v>202508</v>
      </c>
      <c r="H1339" s="4">
        <v>45992</v>
      </c>
      <c r="I1339" s="5">
        <v>101</v>
      </c>
      <c r="J1339" s="5">
        <v>3.3666666666666667</v>
      </c>
      <c r="K1339" s="5">
        <f t="shared" si="83"/>
        <v>0</v>
      </c>
      <c r="L1339" s="5">
        <v>0</v>
      </c>
      <c r="M1339" s="5">
        <v>1</v>
      </c>
      <c r="N1339" t="s">
        <v>12</v>
      </c>
      <c r="O1339" s="8">
        <v>27.5013698630137</v>
      </c>
      <c r="P1339" t="s">
        <v>34</v>
      </c>
      <c r="Q1339">
        <v>3</v>
      </c>
      <c r="R1339" s="2">
        <v>35853</v>
      </c>
    </row>
    <row r="1340" spans="1:18" x14ac:dyDescent="0.3">
      <c r="A1340" t="s">
        <v>7</v>
      </c>
      <c r="B1340">
        <v>18958815</v>
      </c>
      <c r="C1340" t="s">
        <v>8</v>
      </c>
      <c r="D1340" s="4">
        <v>45915</v>
      </c>
      <c r="E1340" s="11">
        <f t="shared" si="80"/>
        <v>2025</v>
      </c>
      <c r="F1340" s="11">
        <f t="shared" si="81"/>
        <v>9</v>
      </c>
      <c r="G1340" s="11" t="str">
        <f t="shared" si="82"/>
        <v>202509</v>
      </c>
      <c r="H1340" s="4">
        <v>46081</v>
      </c>
      <c r="I1340" s="5">
        <v>166</v>
      </c>
      <c r="J1340" s="5">
        <v>5.5333333333333332</v>
      </c>
      <c r="K1340" s="5">
        <f t="shared" si="83"/>
        <v>0</v>
      </c>
      <c r="L1340" s="5">
        <v>0</v>
      </c>
      <c r="M1340" s="5">
        <v>1</v>
      </c>
      <c r="N1340" t="s">
        <v>12</v>
      </c>
      <c r="O1340" s="8">
        <v>20.893150684931506</v>
      </c>
      <c r="P1340" t="s">
        <v>32</v>
      </c>
      <c r="Q1340">
        <v>1</v>
      </c>
      <c r="R1340" s="2">
        <v>38289</v>
      </c>
    </row>
    <row r="1341" spans="1:18" x14ac:dyDescent="0.3">
      <c r="A1341" t="s">
        <v>7</v>
      </c>
      <c r="B1341">
        <v>18958821</v>
      </c>
      <c r="C1341" t="s">
        <v>8</v>
      </c>
      <c r="D1341" s="4">
        <v>45891</v>
      </c>
      <c r="E1341" s="11">
        <f t="shared" si="80"/>
        <v>2025</v>
      </c>
      <c r="F1341" s="11">
        <f t="shared" si="81"/>
        <v>8</v>
      </c>
      <c r="G1341" s="11" t="str">
        <f t="shared" si="82"/>
        <v>202508</v>
      </c>
      <c r="H1341" s="4">
        <v>45902</v>
      </c>
      <c r="I1341" s="5">
        <v>11</v>
      </c>
      <c r="J1341" s="5">
        <v>0.36666666666666664</v>
      </c>
      <c r="K1341" s="5">
        <f t="shared" si="83"/>
        <v>1</v>
      </c>
      <c r="L1341" s="5">
        <v>1</v>
      </c>
      <c r="M1341" s="5">
        <v>1</v>
      </c>
      <c r="N1341" t="s">
        <v>12</v>
      </c>
      <c r="O1341" s="8">
        <v>20.290410958904111</v>
      </c>
      <c r="P1341" t="s">
        <v>32</v>
      </c>
      <c r="Q1341">
        <v>1</v>
      </c>
      <c r="R1341" s="2">
        <v>38485</v>
      </c>
    </row>
    <row r="1342" spans="1:18" x14ac:dyDescent="0.3">
      <c r="A1342" t="s">
        <v>7</v>
      </c>
      <c r="B1342">
        <v>18958987</v>
      </c>
      <c r="C1342" t="s">
        <v>8</v>
      </c>
      <c r="D1342" s="4">
        <v>45894</v>
      </c>
      <c r="E1342" s="11">
        <f t="shared" si="80"/>
        <v>2025</v>
      </c>
      <c r="F1342" s="11">
        <f t="shared" si="81"/>
        <v>8</v>
      </c>
      <c r="G1342" s="11" t="str">
        <f t="shared" si="82"/>
        <v>202508</v>
      </c>
      <c r="H1342" s="4">
        <v>46142</v>
      </c>
      <c r="I1342" s="5">
        <v>248</v>
      </c>
      <c r="J1342" s="5">
        <v>8.2666666666666675</v>
      </c>
      <c r="K1342" s="5">
        <f t="shared" si="83"/>
        <v>0</v>
      </c>
      <c r="L1342" s="5">
        <v>0</v>
      </c>
      <c r="M1342" s="5">
        <v>0</v>
      </c>
      <c r="N1342" t="s">
        <v>12</v>
      </c>
      <c r="O1342" s="8">
        <v>18.372602739726027</v>
      </c>
      <c r="P1342" t="s">
        <v>32</v>
      </c>
      <c r="Q1342">
        <v>1</v>
      </c>
      <c r="R1342" s="2">
        <v>39188</v>
      </c>
    </row>
    <row r="1343" spans="1:18" x14ac:dyDescent="0.3">
      <c r="A1343" t="s">
        <v>7</v>
      </c>
      <c r="B1343">
        <v>18959087</v>
      </c>
      <c r="C1343" t="s">
        <v>10</v>
      </c>
      <c r="D1343" s="4">
        <v>45894</v>
      </c>
      <c r="E1343" s="11">
        <f t="shared" si="80"/>
        <v>2025</v>
      </c>
      <c r="F1343" s="11">
        <f t="shared" si="81"/>
        <v>8</v>
      </c>
      <c r="G1343" s="11" t="str">
        <f t="shared" si="82"/>
        <v>202508</v>
      </c>
      <c r="H1343" s="4">
        <v>46112</v>
      </c>
      <c r="I1343" s="5">
        <v>218</v>
      </c>
      <c r="J1343" s="5">
        <v>7.2666666666666666</v>
      </c>
      <c r="K1343" s="5">
        <f t="shared" si="83"/>
        <v>0</v>
      </c>
      <c r="L1343" s="5">
        <v>0</v>
      </c>
      <c r="M1343" s="5">
        <v>0</v>
      </c>
      <c r="N1343" t="s">
        <v>9</v>
      </c>
      <c r="O1343" s="8">
        <v>23.43013698630137</v>
      </c>
      <c r="P1343" t="s">
        <v>33</v>
      </c>
      <c r="Q1343">
        <v>2</v>
      </c>
      <c r="R1343" s="2">
        <v>37342</v>
      </c>
    </row>
    <row r="1344" spans="1:18" x14ac:dyDescent="0.3">
      <c r="A1344" t="s">
        <v>11</v>
      </c>
      <c r="B1344">
        <v>18959104</v>
      </c>
      <c r="C1344" t="s">
        <v>8</v>
      </c>
      <c r="D1344" s="4">
        <v>45894</v>
      </c>
      <c r="E1344" s="11">
        <f t="shared" si="80"/>
        <v>2025</v>
      </c>
      <c r="F1344" s="11">
        <f t="shared" si="81"/>
        <v>8</v>
      </c>
      <c r="G1344" s="11" t="str">
        <f t="shared" si="82"/>
        <v>202508</v>
      </c>
      <c r="I1344" s="5">
        <v>9999</v>
      </c>
      <c r="J1344" s="5">
        <v>333.3</v>
      </c>
      <c r="K1344" s="5">
        <f t="shared" si="83"/>
        <v>0</v>
      </c>
      <c r="L1344" s="5">
        <v>0</v>
      </c>
      <c r="M1344" s="5">
        <v>0</v>
      </c>
      <c r="N1344" t="s">
        <v>9</v>
      </c>
      <c r="O1344" s="8">
        <v>42.452054794520549</v>
      </c>
      <c r="P1344" t="s">
        <v>35</v>
      </c>
      <c r="Q1344">
        <v>4</v>
      </c>
      <c r="R1344" s="2">
        <v>30399</v>
      </c>
    </row>
    <row r="1345" spans="1:18" x14ac:dyDescent="0.3">
      <c r="A1345" t="s">
        <v>11</v>
      </c>
      <c r="B1345">
        <v>18959126</v>
      </c>
      <c r="C1345" t="s">
        <v>10</v>
      </c>
      <c r="D1345" s="4">
        <v>45891</v>
      </c>
      <c r="E1345" s="11">
        <f t="shared" si="80"/>
        <v>2025</v>
      </c>
      <c r="F1345" s="11">
        <f t="shared" si="81"/>
        <v>8</v>
      </c>
      <c r="G1345" s="11" t="str">
        <f t="shared" si="82"/>
        <v>202508</v>
      </c>
      <c r="I1345" s="5">
        <v>9999</v>
      </c>
      <c r="J1345" s="5">
        <v>333.3</v>
      </c>
      <c r="K1345" s="5">
        <f t="shared" si="83"/>
        <v>0</v>
      </c>
      <c r="L1345" s="5">
        <v>0</v>
      </c>
      <c r="M1345" s="5">
        <v>0</v>
      </c>
      <c r="N1345" t="s">
        <v>9</v>
      </c>
      <c r="O1345" s="8">
        <v>19.043835616438358</v>
      </c>
      <c r="P1345" t="s">
        <v>32</v>
      </c>
      <c r="Q1345">
        <v>1</v>
      </c>
      <c r="R1345" s="2">
        <v>38940</v>
      </c>
    </row>
    <row r="1346" spans="1:18" x14ac:dyDescent="0.3">
      <c r="A1346" t="s">
        <v>11</v>
      </c>
      <c r="B1346">
        <v>18959138</v>
      </c>
      <c r="C1346" t="s">
        <v>8</v>
      </c>
      <c r="D1346" s="4">
        <v>45891</v>
      </c>
      <c r="E1346" s="11">
        <f t="shared" si="80"/>
        <v>2025</v>
      </c>
      <c r="F1346" s="11">
        <f t="shared" si="81"/>
        <v>8</v>
      </c>
      <c r="G1346" s="11" t="str">
        <f t="shared" si="82"/>
        <v>202508</v>
      </c>
      <c r="H1346" s="4">
        <v>46042</v>
      </c>
      <c r="I1346" s="5">
        <v>151</v>
      </c>
      <c r="J1346" s="5">
        <v>5.0333333333333332</v>
      </c>
      <c r="K1346" s="5">
        <f t="shared" si="83"/>
        <v>0</v>
      </c>
      <c r="L1346" s="5">
        <v>0</v>
      </c>
      <c r="M1346" s="5">
        <v>1</v>
      </c>
      <c r="N1346" t="s">
        <v>9</v>
      </c>
      <c r="O1346" s="8">
        <v>26.326027397260273</v>
      </c>
      <c r="P1346" t="s">
        <v>34</v>
      </c>
      <c r="Q1346">
        <v>3</v>
      </c>
      <c r="R1346" s="2">
        <v>36282</v>
      </c>
    </row>
    <row r="1347" spans="1:18" x14ac:dyDescent="0.3">
      <c r="A1347" t="s">
        <v>7</v>
      </c>
      <c r="B1347">
        <v>18959678</v>
      </c>
      <c r="C1347" t="s">
        <v>8</v>
      </c>
      <c r="D1347" s="4">
        <v>45895</v>
      </c>
      <c r="E1347" s="11">
        <f t="shared" ref="E1347:E1410" si="84">+YEAR(D1347)</f>
        <v>2025</v>
      </c>
      <c r="F1347" s="11">
        <f t="shared" ref="F1347:F1410" si="85">+MONTH(D1347)</f>
        <v>8</v>
      </c>
      <c r="G1347" s="11" t="str">
        <f t="shared" ref="G1347:G1410" si="86">+TEXT(D1347, "yyymm")</f>
        <v>202508</v>
      </c>
      <c r="I1347" s="5">
        <v>9999</v>
      </c>
      <c r="J1347" s="5">
        <v>333.3</v>
      </c>
      <c r="K1347" s="5">
        <f t="shared" ref="K1347:K1410" si="87">IF(J1347&lt;=1,1,0)</f>
        <v>0</v>
      </c>
      <c r="L1347" s="5">
        <v>0</v>
      </c>
      <c r="M1347" s="5">
        <v>0</v>
      </c>
      <c r="N1347" t="s">
        <v>12</v>
      </c>
      <c r="O1347" s="8">
        <v>22.347945205479451</v>
      </c>
      <c r="P1347" t="s">
        <v>33</v>
      </c>
      <c r="Q1347">
        <v>2</v>
      </c>
      <c r="R1347" s="2">
        <v>37738</v>
      </c>
    </row>
    <row r="1348" spans="1:18" x14ac:dyDescent="0.3">
      <c r="A1348" t="s">
        <v>7</v>
      </c>
      <c r="B1348">
        <v>18959885</v>
      </c>
      <c r="C1348" t="s">
        <v>8</v>
      </c>
      <c r="D1348" s="4">
        <v>45896</v>
      </c>
      <c r="E1348" s="11">
        <f t="shared" si="84"/>
        <v>2025</v>
      </c>
      <c r="F1348" s="11">
        <f t="shared" si="85"/>
        <v>8</v>
      </c>
      <c r="G1348" s="11" t="str">
        <f t="shared" si="86"/>
        <v>202508</v>
      </c>
      <c r="I1348" s="5">
        <v>9999</v>
      </c>
      <c r="J1348" s="5">
        <v>333.3</v>
      </c>
      <c r="K1348" s="5">
        <f t="shared" si="87"/>
        <v>0</v>
      </c>
      <c r="L1348" s="5">
        <v>0</v>
      </c>
      <c r="M1348" s="5">
        <v>0</v>
      </c>
      <c r="N1348" t="s">
        <v>9</v>
      </c>
      <c r="O1348" s="8">
        <v>19.56986301369863</v>
      </c>
      <c r="P1348" t="s">
        <v>32</v>
      </c>
      <c r="Q1348">
        <v>1</v>
      </c>
      <c r="R1348" s="2">
        <v>38753</v>
      </c>
    </row>
    <row r="1349" spans="1:18" x14ac:dyDescent="0.3">
      <c r="A1349" t="s">
        <v>7</v>
      </c>
      <c r="B1349">
        <v>18959886</v>
      </c>
      <c r="C1349" t="s">
        <v>10</v>
      </c>
      <c r="D1349" s="4">
        <v>45896</v>
      </c>
      <c r="E1349" s="11">
        <f t="shared" si="84"/>
        <v>2025</v>
      </c>
      <c r="F1349" s="11">
        <f t="shared" si="85"/>
        <v>8</v>
      </c>
      <c r="G1349" s="11" t="str">
        <f t="shared" si="86"/>
        <v>202508</v>
      </c>
      <c r="I1349" s="5">
        <v>9999</v>
      </c>
      <c r="J1349" s="5">
        <v>333.3</v>
      </c>
      <c r="K1349" s="5">
        <f t="shared" si="87"/>
        <v>0</v>
      </c>
      <c r="L1349" s="5">
        <v>0</v>
      </c>
      <c r="M1349" s="5">
        <v>0</v>
      </c>
      <c r="N1349" t="s">
        <v>9</v>
      </c>
      <c r="O1349" s="8">
        <v>18.139726027397259</v>
      </c>
      <c r="P1349" t="s">
        <v>32</v>
      </c>
      <c r="Q1349">
        <v>1</v>
      </c>
      <c r="R1349" s="2">
        <v>39275</v>
      </c>
    </row>
    <row r="1350" spans="1:18" x14ac:dyDescent="0.3">
      <c r="A1350" t="s">
        <v>7</v>
      </c>
      <c r="B1350">
        <v>18959901</v>
      </c>
      <c r="C1350" t="s">
        <v>8</v>
      </c>
      <c r="D1350" s="4">
        <v>45896</v>
      </c>
      <c r="E1350" s="11">
        <f t="shared" si="84"/>
        <v>2025</v>
      </c>
      <c r="F1350" s="11">
        <f t="shared" si="85"/>
        <v>8</v>
      </c>
      <c r="G1350" s="11" t="str">
        <f t="shared" si="86"/>
        <v>202508</v>
      </c>
      <c r="H1350" s="4">
        <v>45931</v>
      </c>
      <c r="I1350" s="5">
        <v>35</v>
      </c>
      <c r="J1350" s="5">
        <v>1.1666666666666667</v>
      </c>
      <c r="K1350" s="5">
        <f t="shared" si="87"/>
        <v>0</v>
      </c>
      <c r="L1350" s="5">
        <v>1</v>
      </c>
      <c r="M1350" s="5">
        <v>1</v>
      </c>
      <c r="N1350" t="s">
        <v>12</v>
      </c>
      <c r="O1350" s="8">
        <v>22.002739726027396</v>
      </c>
      <c r="P1350" t="s">
        <v>33</v>
      </c>
      <c r="Q1350">
        <v>2</v>
      </c>
      <c r="R1350" s="2">
        <v>37865</v>
      </c>
    </row>
    <row r="1351" spans="1:18" x14ac:dyDescent="0.3">
      <c r="A1351" t="s">
        <v>7</v>
      </c>
      <c r="B1351">
        <v>18959905</v>
      </c>
      <c r="C1351" t="s">
        <v>8</v>
      </c>
      <c r="D1351" s="4">
        <v>45896</v>
      </c>
      <c r="E1351" s="11">
        <f t="shared" si="84"/>
        <v>2025</v>
      </c>
      <c r="F1351" s="11">
        <f t="shared" si="85"/>
        <v>8</v>
      </c>
      <c r="G1351" s="11" t="str">
        <f t="shared" si="86"/>
        <v>202508</v>
      </c>
      <c r="I1351" s="5">
        <v>9999</v>
      </c>
      <c r="J1351" s="5">
        <v>333.3</v>
      </c>
      <c r="K1351" s="5">
        <f t="shared" si="87"/>
        <v>0</v>
      </c>
      <c r="L1351" s="5">
        <v>0</v>
      </c>
      <c r="M1351" s="5">
        <v>0</v>
      </c>
      <c r="N1351" t="s">
        <v>12</v>
      </c>
      <c r="O1351" s="8">
        <v>20.443835616438356</v>
      </c>
      <c r="P1351" t="s">
        <v>32</v>
      </c>
      <c r="Q1351">
        <v>1</v>
      </c>
      <c r="R1351" s="2">
        <v>38434</v>
      </c>
    </row>
    <row r="1352" spans="1:18" x14ac:dyDescent="0.3">
      <c r="A1352" t="s">
        <v>7</v>
      </c>
      <c r="B1352">
        <v>18959906</v>
      </c>
      <c r="C1352" t="s">
        <v>8</v>
      </c>
      <c r="D1352" s="4">
        <v>45896</v>
      </c>
      <c r="E1352" s="11">
        <f t="shared" si="84"/>
        <v>2025</v>
      </c>
      <c r="F1352" s="11">
        <f t="shared" si="85"/>
        <v>8</v>
      </c>
      <c r="G1352" s="11" t="str">
        <f t="shared" si="86"/>
        <v>202508</v>
      </c>
      <c r="I1352" s="5">
        <v>9999</v>
      </c>
      <c r="J1352" s="5">
        <v>333.3</v>
      </c>
      <c r="K1352" s="5">
        <f t="shared" si="87"/>
        <v>0</v>
      </c>
      <c r="L1352" s="5">
        <v>0</v>
      </c>
      <c r="M1352" s="5">
        <v>0</v>
      </c>
      <c r="N1352" t="s">
        <v>12</v>
      </c>
      <c r="O1352" s="8">
        <v>36.794520547945204</v>
      </c>
      <c r="P1352" t="s">
        <v>35</v>
      </c>
      <c r="Q1352">
        <v>4</v>
      </c>
      <c r="R1352" s="2">
        <v>32466</v>
      </c>
    </row>
    <row r="1353" spans="1:18" x14ac:dyDescent="0.3">
      <c r="A1353" t="s">
        <v>7</v>
      </c>
      <c r="B1353">
        <v>18959907</v>
      </c>
      <c r="C1353" t="s">
        <v>8</v>
      </c>
      <c r="D1353" s="4">
        <v>45896</v>
      </c>
      <c r="E1353" s="11">
        <f t="shared" si="84"/>
        <v>2025</v>
      </c>
      <c r="F1353" s="11">
        <f t="shared" si="85"/>
        <v>8</v>
      </c>
      <c r="G1353" s="11" t="str">
        <f t="shared" si="86"/>
        <v>202508</v>
      </c>
      <c r="I1353" s="5">
        <v>9999</v>
      </c>
      <c r="J1353" s="5">
        <v>333.3</v>
      </c>
      <c r="K1353" s="5">
        <f t="shared" si="87"/>
        <v>0</v>
      </c>
      <c r="L1353" s="5">
        <v>0</v>
      </c>
      <c r="M1353" s="5">
        <v>0</v>
      </c>
      <c r="N1353" t="s">
        <v>12</v>
      </c>
      <c r="O1353" s="8">
        <v>18.739726027397261</v>
      </c>
      <c r="P1353" t="s">
        <v>32</v>
      </c>
      <c r="Q1353">
        <v>1</v>
      </c>
      <c r="R1353" s="2">
        <v>39056</v>
      </c>
    </row>
    <row r="1354" spans="1:18" x14ac:dyDescent="0.3">
      <c r="A1354" t="s">
        <v>7</v>
      </c>
      <c r="B1354">
        <v>18959920</v>
      </c>
      <c r="C1354" t="s">
        <v>8</v>
      </c>
      <c r="D1354" s="4">
        <v>45896</v>
      </c>
      <c r="E1354" s="11">
        <f t="shared" si="84"/>
        <v>2025</v>
      </c>
      <c r="F1354" s="11">
        <f t="shared" si="85"/>
        <v>8</v>
      </c>
      <c r="G1354" s="11" t="str">
        <f t="shared" si="86"/>
        <v>202508</v>
      </c>
      <c r="H1354" s="4">
        <v>45903</v>
      </c>
      <c r="I1354" s="5">
        <v>7</v>
      </c>
      <c r="J1354" s="5">
        <v>0.23333333333333334</v>
      </c>
      <c r="K1354" s="5">
        <f t="shared" si="87"/>
        <v>1</v>
      </c>
      <c r="L1354" s="5">
        <v>1</v>
      </c>
      <c r="M1354" s="5">
        <v>1</v>
      </c>
      <c r="N1354" t="s">
        <v>9</v>
      </c>
      <c r="O1354" s="8">
        <v>26.12876712328767</v>
      </c>
      <c r="P1354" t="s">
        <v>34</v>
      </c>
      <c r="Q1354">
        <v>3</v>
      </c>
      <c r="R1354" s="2">
        <v>36359</v>
      </c>
    </row>
    <row r="1355" spans="1:18" x14ac:dyDescent="0.3">
      <c r="A1355" t="s">
        <v>7</v>
      </c>
      <c r="B1355">
        <v>18959957</v>
      </c>
      <c r="C1355" t="s">
        <v>8</v>
      </c>
      <c r="D1355" s="4">
        <v>45895</v>
      </c>
      <c r="E1355" s="11">
        <f t="shared" si="84"/>
        <v>2025</v>
      </c>
      <c r="F1355" s="11">
        <f t="shared" si="85"/>
        <v>8</v>
      </c>
      <c r="G1355" s="11" t="str">
        <f t="shared" si="86"/>
        <v>202508</v>
      </c>
      <c r="H1355" s="4">
        <v>45972</v>
      </c>
      <c r="I1355" s="5">
        <v>77</v>
      </c>
      <c r="J1355" s="5">
        <v>2.5666666666666669</v>
      </c>
      <c r="K1355" s="5">
        <f t="shared" si="87"/>
        <v>0</v>
      </c>
      <c r="L1355" s="5">
        <v>1</v>
      </c>
      <c r="M1355" s="5">
        <v>1</v>
      </c>
      <c r="N1355" t="s">
        <v>12</v>
      </c>
      <c r="O1355" s="8">
        <v>24.052054794520547</v>
      </c>
      <c r="P1355" t="s">
        <v>33</v>
      </c>
      <c r="Q1355">
        <v>2</v>
      </c>
      <c r="R1355" s="2">
        <v>37116</v>
      </c>
    </row>
    <row r="1356" spans="1:18" x14ac:dyDescent="0.3">
      <c r="A1356" t="s">
        <v>7</v>
      </c>
      <c r="B1356">
        <v>18960319</v>
      </c>
      <c r="C1356" t="s">
        <v>10</v>
      </c>
      <c r="D1356" s="4">
        <v>45897</v>
      </c>
      <c r="E1356" s="11">
        <f t="shared" si="84"/>
        <v>2025</v>
      </c>
      <c r="F1356" s="11">
        <f t="shared" si="85"/>
        <v>8</v>
      </c>
      <c r="G1356" s="11" t="str">
        <f t="shared" si="86"/>
        <v>202508</v>
      </c>
      <c r="I1356" s="5">
        <v>9999</v>
      </c>
      <c r="J1356" s="5">
        <v>333.3</v>
      </c>
      <c r="K1356" s="5">
        <f t="shared" si="87"/>
        <v>0</v>
      </c>
      <c r="L1356" s="5">
        <v>0</v>
      </c>
      <c r="M1356" s="5">
        <v>0</v>
      </c>
      <c r="N1356" t="s">
        <v>12</v>
      </c>
      <c r="O1356" s="8">
        <v>21.246575342465754</v>
      </c>
      <c r="P1356" t="s">
        <v>33</v>
      </c>
      <c r="Q1356">
        <v>2</v>
      </c>
      <c r="R1356" s="2">
        <v>38142</v>
      </c>
    </row>
    <row r="1357" spans="1:18" x14ac:dyDescent="0.3">
      <c r="A1357" t="s">
        <v>7</v>
      </c>
      <c r="B1357">
        <v>18960331</v>
      </c>
      <c r="C1357" t="s">
        <v>10</v>
      </c>
      <c r="D1357" s="4">
        <v>45897</v>
      </c>
      <c r="E1357" s="11">
        <f t="shared" si="84"/>
        <v>2025</v>
      </c>
      <c r="F1357" s="11">
        <f t="shared" si="85"/>
        <v>8</v>
      </c>
      <c r="G1357" s="11" t="str">
        <f t="shared" si="86"/>
        <v>202508</v>
      </c>
      <c r="I1357" s="5">
        <v>9999</v>
      </c>
      <c r="J1357" s="5">
        <v>333.3</v>
      </c>
      <c r="K1357" s="5">
        <f t="shared" si="87"/>
        <v>0</v>
      </c>
      <c r="L1357" s="5">
        <v>0</v>
      </c>
      <c r="M1357" s="5">
        <v>0</v>
      </c>
      <c r="N1357" t="s">
        <v>9</v>
      </c>
      <c r="O1357" s="8">
        <v>28.463013698630139</v>
      </c>
      <c r="P1357" t="s">
        <v>34</v>
      </c>
      <c r="Q1357">
        <v>3</v>
      </c>
      <c r="R1357" s="2">
        <v>35508</v>
      </c>
    </row>
    <row r="1358" spans="1:18" x14ac:dyDescent="0.3">
      <c r="A1358" t="s">
        <v>7</v>
      </c>
      <c r="B1358">
        <v>18960345</v>
      </c>
      <c r="C1358" t="s">
        <v>8</v>
      </c>
      <c r="D1358" s="4">
        <v>45897</v>
      </c>
      <c r="E1358" s="11">
        <f t="shared" si="84"/>
        <v>2025</v>
      </c>
      <c r="F1358" s="11">
        <f t="shared" si="85"/>
        <v>8</v>
      </c>
      <c r="G1358" s="11" t="str">
        <f t="shared" si="86"/>
        <v>202508</v>
      </c>
      <c r="I1358" s="5">
        <v>9999</v>
      </c>
      <c r="J1358" s="5">
        <v>333.3</v>
      </c>
      <c r="K1358" s="5">
        <f t="shared" si="87"/>
        <v>0</v>
      </c>
      <c r="L1358" s="5">
        <v>0</v>
      </c>
      <c r="M1358" s="5">
        <v>0</v>
      </c>
      <c r="N1358" t="s">
        <v>9</v>
      </c>
      <c r="O1358" s="8">
        <v>18.304109589041097</v>
      </c>
      <c r="P1358" t="s">
        <v>32</v>
      </c>
      <c r="Q1358">
        <v>1</v>
      </c>
      <c r="R1358" s="2">
        <v>39216</v>
      </c>
    </row>
    <row r="1359" spans="1:18" x14ac:dyDescent="0.3">
      <c r="A1359" t="s">
        <v>7</v>
      </c>
      <c r="B1359">
        <v>18960504</v>
      </c>
      <c r="C1359" t="s">
        <v>8</v>
      </c>
      <c r="D1359" s="4">
        <v>45897</v>
      </c>
      <c r="E1359" s="11">
        <f t="shared" si="84"/>
        <v>2025</v>
      </c>
      <c r="F1359" s="11">
        <f t="shared" si="85"/>
        <v>8</v>
      </c>
      <c r="G1359" s="11" t="str">
        <f t="shared" si="86"/>
        <v>202508</v>
      </c>
      <c r="I1359" s="5">
        <v>9999</v>
      </c>
      <c r="J1359" s="5">
        <v>333.3</v>
      </c>
      <c r="K1359" s="5">
        <f t="shared" si="87"/>
        <v>0</v>
      </c>
      <c r="L1359" s="5">
        <v>0</v>
      </c>
      <c r="M1359" s="5">
        <v>0</v>
      </c>
      <c r="N1359" t="s">
        <v>9</v>
      </c>
      <c r="O1359" s="8">
        <v>29.802739726027397</v>
      </c>
      <c r="P1359" t="s">
        <v>34</v>
      </c>
      <c r="Q1359">
        <v>3</v>
      </c>
      <c r="R1359" s="2">
        <v>35019</v>
      </c>
    </row>
    <row r="1360" spans="1:18" x14ac:dyDescent="0.3">
      <c r="A1360" t="s">
        <v>7</v>
      </c>
      <c r="B1360">
        <v>18960505</v>
      </c>
      <c r="C1360" t="s">
        <v>10</v>
      </c>
      <c r="D1360" s="4">
        <v>45897</v>
      </c>
      <c r="E1360" s="11">
        <f t="shared" si="84"/>
        <v>2025</v>
      </c>
      <c r="F1360" s="11">
        <f t="shared" si="85"/>
        <v>8</v>
      </c>
      <c r="G1360" s="11" t="str">
        <f t="shared" si="86"/>
        <v>202508</v>
      </c>
      <c r="I1360" s="5">
        <v>9999</v>
      </c>
      <c r="J1360" s="5">
        <v>333.3</v>
      </c>
      <c r="K1360" s="5">
        <f t="shared" si="87"/>
        <v>0</v>
      </c>
      <c r="L1360" s="5">
        <v>0</v>
      </c>
      <c r="M1360" s="5">
        <v>0</v>
      </c>
      <c r="N1360" t="s">
        <v>9</v>
      </c>
      <c r="O1360" s="8">
        <v>18.254794520547946</v>
      </c>
      <c r="P1360" t="s">
        <v>32</v>
      </c>
      <c r="Q1360">
        <v>1</v>
      </c>
      <c r="R1360" s="2">
        <v>39234</v>
      </c>
    </row>
    <row r="1361" spans="1:18" x14ac:dyDescent="0.3">
      <c r="A1361" t="s">
        <v>7</v>
      </c>
      <c r="B1361">
        <v>18960506</v>
      </c>
      <c r="C1361" t="s">
        <v>8</v>
      </c>
      <c r="D1361" s="4">
        <v>45897</v>
      </c>
      <c r="E1361" s="11">
        <f t="shared" si="84"/>
        <v>2025</v>
      </c>
      <c r="F1361" s="11">
        <f t="shared" si="85"/>
        <v>8</v>
      </c>
      <c r="G1361" s="11" t="str">
        <f t="shared" si="86"/>
        <v>202508</v>
      </c>
      <c r="I1361" s="5">
        <v>9999</v>
      </c>
      <c r="J1361" s="5">
        <v>333.3</v>
      </c>
      <c r="K1361" s="5">
        <f t="shared" si="87"/>
        <v>0</v>
      </c>
      <c r="L1361" s="5">
        <v>0</v>
      </c>
      <c r="M1361" s="5">
        <v>0</v>
      </c>
      <c r="N1361" t="s">
        <v>9</v>
      </c>
      <c r="O1361" s="8">
        <v>41.778082191780825</v>
      </c>
      <c r="P1361" t="s">
        <v>35</v>
      </c>
      <c r="Q1361">
        <v>4</v>
      </c>
      <c r="R1361" s="2">
        <v>30648</v>
      </c>
    </row>
    <row r="1362" spans="1:18" x14ac:dyDescent="0.3">
      <c r="A1362" t="s">
        <v>7</v>
      </c>
      <c r="B1362">
        <v>18960519</v>
      </c>
      <c r="C1362" t="s">
        <v>10</v>
      </c>
      <c r="D1362" s="4">
        <v>45898</v>
      </c>
      <c r="E1362" s="11">
        <f t="shared" si="84"/>
        <v>2025</v>
      </c>
      <c r="F1362" s="11">
        <f t="shared" si="85"/>
        <v>8</v>
      </c>
      <c r="G1362" s="11" t="str">
        <f t="shared" si="86"/>
        <v>202508</v>
      </c>
      <c r="H1362" s="4">
        <v>46143</v>
      </c>
      <c r="I1362" s="5">
        <v>245</v>
      </c>
      <c r="J1362" s="5">
        <v>8.1666666666666661</v>
      </c>
      <c r="K1362" s="5">
        <f t="shared" si="87"/>
        <v>0</v>
      </c>
      <c r="L1362" s="5">
        <v>0</v>
      </c>
      <c r="M1362" s="5">
        <v>0</v>
      </c>
      <c r="N1362" t="s">
        <v>9</v>
      </c>
      <c r="O1362" s="8">
        <v>19.123287671232877</v>
      </c>
      <c r="P1362" t="s">
        <v>32</v>
      </c>
      <c r="Q1362">
        <v>1</v>
      </c>
      <c r="R1362" s="2">
        <v>38918</v>
      </c>
    </row>
    <row r="1363" spans="1:18" x14ac:dyDescent="0.3">
      <c r="A1363" t="s">
        <v>7</v>
      </c>
      <c r="B1363">
        <v>18960548</v>
      </c>
      <c r="C1363" t="s">
        <v>8</v>
      </c>
      <c r="D1363" s="4">
        <v>45898</v>
      </c>
      <c r="E1363" s="11">
        <f t="shared" si="84"/>
        <v>2025</v>
      </c>
      <c r="F1363" s="11">
        <f t="shared" si="85"/>
        <v>8</v>
      </c>
      <c r="G1363" s="11" t="str">
        <f t="shared" si="86"/>
        <v>202508</v>
      </c>
      <c r="I1363" s="5">
        <v>9999</v>
      </c>
      <c r="J1363" s="5">
        <v>333.3</v>
      </c>
      <c r="K1363" s="5">
        <f t="shared" si="87"/>
        <v>0</v>
      </c>
      <c r="L1363" s="5">
        <v>0</v>
      </c>
      <c r="M1363" s="5">
        <v>0</v>
      </c>
      <c r="N1363" t="s">
        <v>12</v>
      </c>
      <c r="O1363" s="8">
        <v>22.613698630136987</v>
      </c>
      <c r="P1363" t="s">
        <v>33</v>
      </c>
      <c r="Q1363">
        <v>2</v>
      </c>
      <c r="R1363" s="2">
        <v>37644</v>
      </c>
    </row>
    <row r="1364" spans="1:18" x14ac:dyDescent="0.3">
      <c r="A1364" t="s">
        <v>7</v>
      </c>
      <c r="B1364">
        <v>18960549</v>
      </c>
      <c r="C1364" t="s">
        <v>8</v>
      </c>
      <c r="D1364" s="4">
        <v>45898</v>
      </c>
      <c r="E1364" s="11">
        <f t="shared" si="84"/>
        <v>2025</v>
      </c>
      <c r="F1364" s="11">
        <f t="shared" si="85"/>
        <v>8</v>
      </c>
      <c r="G1364" s="11" t="str">
        <f t="shared" si="86"/>
        <v>202508</v>
      </c>
      <c r="I1364" s="5">
        <v>9999</v>
      </c>
      <c r="J1364" s="5">
        <v>333.3</v>
      </c>
      <c r="K1364" s="5">
        <f t="shared" si="87"/>
        <v>0</v>
      </c>
      <c r="L1364" s="5">
        <v>0</v>
      </c>
      <c r="M1364" s="5">
        <v>0</v>
      </c>
      <c r="N1364" t="s">
        <v>12</v>
      </c>
      <c r="O1364" s="8">
        <v>29.435616438356163</v>
      </c>
      <c r="P1364" t="s">
        <v>34</v>
      </c>
      <c r="Q1364">
        <v>3</v>
      </c>
      <c r="R1364" s="2">
        <v>35154</v>
      </c>
    </row>
    <row r="1365" spans="1:18" x14ac:dyDescent="0.3">
      <c r="A1365" t="s">
        <v>7</v>
      </c>
      <c r="B1365">
        <v>18960553</v>
      </c>
      <c r="C1365" t="s">
        <v>10</v>
      </c>
      <c r="D1365" s="4">
        <v>45898</v>
      </c>
      <c r="E1365" s="11">
        <f t="shared" si="84"/>
        <v>2025</v>
      </c>
      <c r="F1365" s="11">
        <f t="shared" si="85"/>
        <v>8</v>
      </c>
      <c r="G1365" s="11" t="str">
        <f t="shared" si="86"/>
        <v>202508</v>
      </c>
      <c r="I1365" s="5">
        <v>9999</v>
      </c>
      <c r="J1365" s="5">
        <v>333.3</v>
      </c>
      <c r="K1365" s="5">
        <f t="shared" si="87"/>
        <v>0</v>
      </c>
      <c r="L1365" s="5">
        <v>0</v>
      </c>
      <c r="M1365" s="5">
        <v>0</v>
      </c>
      <c r="N1365" t="s">
        <v>12</v>
      </c>
      <c r="O1365" s="8">
        <v>19.838356164383562</v>
      </c>
      <c r="P1365" t="s">
        <v>32</v>
      </c>
      <c r="Q1365">
        <v>1</v>
      </c>
      <c r="R1365" s="2">
        <v>38657</v>
      </c>
    </row>
    <row r="1366" spans="1:18" x14ac:dyDescent="0.3">
      <c r="A1366" t="s">
        <v>7</v>
      </c>
      <c r="B1366">
        <v>18960564</v>
      </c>
      <c r="C1366" t="s">
        <v>8</v>
      </c>
      <c r="D1366" s="4">
        <v>45898</v>
      </c>
      <c r="E1366" s="11">
        <f t="shared" si="84"/>
        <v>2025</v>
      </c>
      <c r="F1366" s="11">
        <f t="shared" si="85"/>
        <v>8</v>
      </c>
      <c r="G1366" s="11" t="str">
        <f t="shared" si="86"/>
        <v>202508</v>
      </c>
      <c r="I1366" s="5">
        <v>9999</v>
      </c>
      <c r="J1366" s="5">
        <v>333.3</v>
      </c>
      <c r="K1366" s="5">
        <f t="shared" si="87"/>
        <v>0</v>
      </c>
      <c r="L1366" s="5">
        <v>0</v>
      </c>
      <c r="M1366" s="5">
        <v>0</v>
      </c>
      <c r="N1366" t="s">
        <v>12</v>
      </c>
      <c r="O1366" s="8">
        <v>21.734246575342464</v>
      </c>
      <c r="P1366" t="s">
        <v>33</v>
      </c>
      <c r="Q1366">
        <v>2</v>
      </c>
      <c r="R1366" s="2">
        <v>37965</v>
      </c>
    </row>
    <row r="1367" spans="1:18" x14ac:dyDescent="0.3">
      <c r="A1367" t="s">
        <v>7</v>
      </c>
      <c r="B1367">
        <v>18960565</v>
      </c>
      <c r="C1367" t="s">
        <v>8</v>
      </c>
      <c r="D1367" s="4">
        <v>45898</v>
      </c>
      <c r="E1367" s="11">
        <f t="shared" si="84"/>
        <v>2025</v>
      </c>
      <c r="F1367" s="11">
        <f t="shared" si="85"/>
        <v>8</v>
      </c>
      <c r="G1367" s="11" t="str">
        <f t="shared" si="86"/>
        <v>202508</v>
      </c>
      <c r="H1367" s="4">
        <v>46082</v>
      </c>
      <c r="I1367" s="5">
        <v>184</v>
      </c>
      <c r="J1367" s="5">
        <v>6.1333333333333337</v>
      </c>
      <c r="K1367" s="5">
        <f t="shared" si="87"/>
        <v>0</v>
      </c>
      <c r="L1367" s="5">
        <v>0</v>
      </c>
      <c r="M1367" s="5">
        <v>0</v>
      </c>
      <c r="N1367" t="s">
        <v>12</v>
      </c>
      <c r="O1367" s="8">
        <v>22.81095890410959</v>
      </c>
      <c r="P1367" t="s">
        <v>33</v>
      </c>
      <c r="Q1367">
        <v>2</v>
      </c>
      <c r="R1367" s="2">
        <v>37572</v>
      </c>
    </row>
    <row r="1368" spans="1:18" x14ac:dyDescent="0.3">
      <c r="A1368" t="s">
        <v>7</v>
      </c>
      <c r="B1368">
        <v>18960662</v>
      </c>
      <c r="C1368" t="s">
        <v>8</v>
      </c>
      <c r="D1368" s="4">
        <v>45898</v>
      </c>
      <c r="E1368" s="11">
        <f t="shared" si="84"/>
        <v>2025</v>
      </c>
      <c r="F1368" s="11">
        <f t="shared" si="85"/>
        <v>8</v>
      </c>
      <c r="G1368" s="11" t="str">
        <f t="shared" si="86"/>
        <v>202508</v>
      </c>
      <c r="I1368" s="5">
        <v>9999</v>
      </c>
      <c r="J1368" s="5">
        <v>333.3</v>
      </c>
      <c r="K1368" s="5">
        <f t="shared" si="87"/>
        <v>0</v>
      </c>
      <c r="L1368" s="5">
        <v>0</v>
      </c>
      <c r="M1368" s="5">
        <v>0</v>
      </c>
      <c r="N1368" t="s">
        <v>12</v>
      </c>
      <c r="O1368" s="8">
        <v>29.479452054794521</v>
      </c>
      <c r="P1368" t="s">
        <v>34</v>
      </c>
      <c r="Q1368">
        <v>3</v>
      </c>
      <c r="R1368" s="2">
        <v>35138</v>
      </c>
    </row>
    <row r="1369" spans="1:18" x14ac:dyDescent="0.3">
      <c r="A1369" t="s">
        <v>7</v>
      </c>
      <c r="B1369">
        <v>18960663</v>
      </c>
      <c r="C1369" t="s">
        <v>8</v>
      </c>
      <c r="D1369" s="4">
        <v>45898</v>
      </c>
      <c r="E1369" s="11">
        <f t="shared" si="84"/>
        <v>2025</v>
      </c>
      <c r="F1369" s="11">
        <f t="shared" si="85"/>
        <v>8</v>
      </c>
      <c r="G1369" s="11" t="str">
        <f t="shared" si="86"/>
        <v>202508</v>
      </c>
      <c r="H1369" s="4">
        <v>45905</v>
      </c>
      <c r="I1369" s="5">
        <v>7</v>
      </c>
      <c r="J1369" s="5">
        <v>0.23333333333333334</v>
      </c>
      <c r="K1369" s="5">
        <f t="shared" si="87"/>
        <v>1</v>
      </c>
      <c r="L1369" s="5">
        <v>1</v>
      </c>
      <c r="M1369" s="5">
        <v>1</v>
      </c>
      <c r="N1369" t="s">
        <v>12</v>
      </c>
      <c r="O1369" s="8">
        <v>29.038356164383561</v>
      </c>
      <c r="P1369" t="s">
        <v>34</v>
      </c>
      <c r="Q1369">
        <v>3</v>
      </c>
      <c r="R1369" s="2">
        <v>35299</v>
      </c>
    </row>
    <row r="1370" spans="1:18" x14ac:dyDescent="0.3">
      <c r="A1370" t="s">
        <v>7</v>
      </c>
      <c r="B1370">
        <v>18960826</v>
      </c>
      <c r="C1370" t="s">
        <v>8</v>
      </c>
      <c r="D1370" s="4">
        <v>45901</v>
      </c>
      <c r="E1370" s="11">
        <f t="shared" si="84"/>
        <v>2025</v>
      </c>
      <c r="F1370" s="11">
        <f t="shared" si="85"/>
        <v>9</v>
      </c>
      <c r="G1370" s="11" t="str">
        <f t="shared" si="86"/>
        <v>202509</v>
      </c>
      <c r="I1370" s="5">
        <v>9999</v>
      </c>
      <c r="J1370" s="5">
        <v>333.3</v>
      </c>
      <c r="K1370" s="5">
        <f t="shared" si="87"/>
        <v>0</v>
      </c>
      <c r="L1370" s="5">
        <v>0</v>
      </c>
      <c r="M1370" s="5">
        <v>0</v>
      </c>
      <c r="N1370" t="s">
        <v>9</v>
      </c>
      <c r="O1370" s="8">
        <v>18.964383561643835</v>
      </c>
      <c r="P1370" t="s">
        <v>32</v>
      </c>
      <c r="Q1370">
        <v>1</v>
      </c>
      <c r="R1370" s="2">
        <v>38979</v>
      </c>
    </row>
    <row r="1371" spans="1:18" x14ac:dyDescent="0.3">
      <c r="A1371" t="s">
        <v>7</v>
      </c>
      <c r="B1371">
        <v>18960830</v>
      </c>
      <c r="C1371" t="s">
        <v>8</v>
      </c>
      <c r="D1371" s="4">
        <v>45901</v>
      </c>
      <c r="E1371" s="11">
        <f t="shared" si="84"/>
        <v>2025</v>
      </c>
      <c r="F1371" s="11">
        <f t="shared" si="85"/>
        <v>9</v>
      </c>
      <c r="G1371" s="11" t="str">
        <f t="shared" si="86"/>
        <v>202509</v>
      </c>
      <c r="H1371" s="4">
        <v>45909</v>
      </c>
      <c r="I1371" s="5">
        <v>8</v>
      </c>
      <c r="J1371" s="5">
        <v>0.26666666666666666</v>
      </c>
      <c r="K1371" s="5">
        <f t="shared" si="87"/>
        <v>1</v>
      </c>
      <c r="L1371" s="5">
        <v>1</v>
      </c>
      <c r="M1371" s="5">
        <v>1</v>
      </c>
      <c r="N1371" t="s">
        <v>9</v>
      </c>
      <c r="O1371" s="8">
        <v>27.252054794520546</v>
      </c>
      <c r="P1371" t="s">
        <v>34</v>
      </c>
      <c r="Q1371">
        <v>3</v>
      </c>
      <c r="R1371" s="2">
        <v>35954</v>
      </c>
    </row>
    <row r="1372" spans="1:18" x14ac:dyDescent="0.3">
      <c r="A1372" t="s">
        <v>11</v>
      </c>
      <c r="B1372">
        <v>18960833</v>
      </c>
      <c r="C1372" t="s">
        <v>8</v>
      </c>
      <c r="D1372" s="4">
        <v>45901</v>
      </c>
      <c r="E1372" s="11">
        <f t="shared" si="84"/>
        <v>2025</v>
      </c>
      <c r="F1372" s="11">
        <f t="shared" si="85"/>
        <v>9</v>
      </c>
      <c r="G1372" s="11" t="str">
        <f t="shared" si="86"/>
        <v>202509</v>
      </c>
      <c r="H1372" s="4">
        <v>46023</v>
      </c>
      <c r="I1372" s="5">
        <v>122</v>
      </c>
      <c r="J1372" s="5">
        <v>4.0666666666666664</v>
      </c>
      <c r="K1372" s="5">
        <f t="shared" si="87"/>
        <v>0</v>
      </c>
      <c r="L1372" s="5">
        <v>0</v>
      </c>
      <c r="M1372" s="5">
        <v>1</v>
      </c>
      <c r="N1372" t="s">
        <v>9</v>
      </c>
      <c r="O1372" s="8">
        <v>21.158904109589042</v>
      </c>
      <c r="P1372" t="s">
        <v>33</v>
      </c>
      <c r="Q1372">
        <v>2</v>
      </c>
      <c r="R1372" s="2">
        <v>38178</v>
      </c>
    </row>
    <row r="1373" spans="1:18" x14ac:dyDescent="0.3">
      <c r="A1373" t="s">
        <v>11</v>
      </c>
      <c r="B1373">
        <v>18960834</v>
      </c>
      <c r="C1373" t="s">
        <v>8</v>
      </c>
      <c r="D1373" s="4">
        <v>45901</v>
      </c>
      <c r="E1373" s="11">
        <f t="shared" si="84"/>
        <v>2025</v>
      </c>
      <c r="F1373" s="11">
        <f t="shared" si="85"/>
        <v>9</v>
      </c>
      <c r="G1373" s="11" t="str">
        <f t="shared" si="86"/>
        <v>202509</v>
      </c>
      <c r="H1373" s="4">
        <v>46053</v>
      </c>
      <c r="I1373" s="5">
        <v>152</v>
      </c>
      <c r="J1373" s="5">
        <v>5.0666666666666664</v>
      </c>
      <c r="K1373" s="5">
        <f t="shared" si="87"/>
        <v>0</v>
      </c>
      <c r="L1373" s="5">
        <v>0</v>
      </c>
      <c r="M1373" s="5">
        <v>1</v>
      </c>
      <c r="N1373" t="s">
        <v>9</v>
      </c>
      <c r="O1373" s="8">
        <v>24.276712328767122</v>
      </c>
      <c r="P1373" t="s">
        <v>33</v>
      </c>
      <c r="Q1373">
        <v>2</v>
      </c>
      <c r="R1373" s="2">
        <v>37040</v>
      </c>
    </row>
    <row r="1374" spans="1:18" x14ac:dyDescent="0.3">
      <c r="A1374" t="s">
        <v>7</v>
      </c>
      <c r="B1374">
        <v>18960836</v>
      </c>
      <c r="C1374" t="s">
        <v>8</v>
      </c>
      <c r="D1374" s="4">
        <v>45901</v>
      </c>
      <c r="E1374" s="11">
        <f t="shared" si="84"/>
        <v>2025</v>
      </c>
      <c r="F1374" s="11">
        <f t="shared" si="85"/>
        <v>9</v>
      </c>
      <c r="G1374" s="11" t="str">
        <f t="shared" si="86"/>
        <v>202509</v>
      </c>
      <c r="H1374" s="4">
        <v>45961</v>
      </c>
      <c r="I1374" s="5">
        <v>60</v>
      </c>
      <c r="J1374" s="5">
        <v>2</v>
      </c>
      <c r="K1374" s="5">
        <f t="shared" si="87"/>
        <v>0</v>
      </c>
      <c r="L1374" s="5">
        <v>1</v>
      </c>
      <c r="M1374" s="5">
        <v>1</v>
      </c>
      <c r="N1374" t="s">
        <v>9</v>
      </c>
      <c r="O1374" s="8">
        <v>21.093150684931508</v>
      </c>
      <c r="P1374" t="s">
        <v>33</v>
      </c>
      <c r="Q1374">
        <v>2</v>
      </c>
      <c r="R1374" s="2">
        <v>38202</v>
      </c>
    </row>
    <row r="1375" spans="1:18" x14ac:dyDescent="0.3">
      <c r="A1375" t="s">
        <v>7</v>
      </c>
      <c r="B1375">
        <v>18960838</v>
      </c>
      <c r="C1375" t="s">
        <v>8</v>
      </c>
      <c r="D1375" s="4">
        <v>45901</v>
      </c>
      <c r="E1375" s="11">
        <f t="shared" si="84"/>
        <v>2025</v>
      </c>
      <c r="F1375" s="11">
        <f t="shared" si="85"/>
        <v>9</v>
      </c>
      <c r="G1375" s="11" t="str">
        <f t="shared" si="86"/>
        <v>202509</v>
      </c>
      <c r="H1375" s="4">
        <v>45961</v>
      </c>
      <c r="I1375" s="5">
        <v>60</v>
      </c>
      <c r="J1375" s="5">
        <v>2</v>
      </c>
      <c r="K1375" s="5">
        <f t="shared" si="87"/>
        <v>0</v>
      </c>
      <c r="L1375" s="5">
        <v>1</v>
      </c>
      <c r="M1375" s="5">
        <v>1</v>
      </c>
      <c r="N1375" t="s">
        <v>9</v>
      </c>
      <c r="O1375" s="8">
        <v>22.69041095890411</v>
      </c>
      <c r="P1375" t="s">
        <v>33</v>
      </c>
      <c r="Q1375">
        <v>2</v>
      </c>
      <c r="R1375" s="2">
        <v>37619</v>
      </c>
    </row>
    <row r="1376" spans="1:18" x14ac:dyDescent="0.3">
      <c r="A1376" t="s">
        <v>7</v>
      </c>
      <c r="B1376">
        <v>18960868</v>
      </c>
      <c r="C1376" t="s">
        <v>8</v>
      </c>
      <c r="D1376" s="4">
        <v>45901</v>
      </c>
      <c r="E1376" s="11">
        <f t="shared" si="84"/>
        <v>2025</v>
      </c>
      <c r="F1376" s="11">
        <f t="shared" si="85"/>
        <v>9</v>
      </c>
      <c r="G1376" s="11" t="str">
        <f t="shared" si="86"/>
        <v>202509</v>
      </c>
      <c r="H1376" s="4">
        <v>46085</v>
      </c>
      <c r="I1376" s="5">
        <v>184</v>
      </c>
      <c r="J1376" s="5">
        <v>6.1333333333333337</v>
      </c>
      <c r="K1376" s="5">
        <f t="shared" si="87"/>
        <v>0</v>
      </c>
      <c r="L1376" s="5">
        <v>0</v>
      </c>
      <c r="M1376" s="5">
        <v>0</v>
      </c>
      <c r="N1376" t="s">
        <v>9</v>
      </c>
      <c r="O1376" s="8">
        <v>22.627397260273973</v>
      </c>
      <c r="P1376" t="s">
        <v>33</v>
      </c>
      <c r="Q1376">
        <v>2</v>
      </c>
      <c r="R1376" s="2">
        <v>37642</v>
      </c>
    </row>
    <row r="1377" spans="1:18" x14ac:dyDescent="0.3">
      <c r="A1377" t="s">
        <v>7</v>
      </c>
      <c r="B1377">
        <v>18960871</v>
      </c>
      <c r="C1377" t="s">
        <v>10</v>
      </c>
      <c r="D1377" s="4">
        <v>46155</v>
      </c>
      <c r="E1377" s="11">
        <f t="shared" si="84"/>
        <v>2026</v>
      </c>
      <c r="F1377" s="11">
        <f t="shared" si="85"/>
        <v>5</v>
      </c>
      <c r="G1377" s="11" t="str">
        <f t="shared" si="86"/>
        <v>202605</v>
      </c>
      <c r="I1377" s="5">
        <v>9999</v>
      </c>
      <c r="J1377" s="5">
        <v>333.3</v>
      </c>
      <c r="K1377" s="5">
        <f t="shared" si="87"/>
        <v>0</v>
      </c>
      <c r="L1377" s="5">
        <v>0</v>
      </c>
      <c r="M1377" s="5">
        <v>0</v>
      </c>
      <c r="N1377" t="s">
        <v>9</v>
      </c>
      <c r="O1377" s="8">
        <v>18.769863013698629</v>
      </c>
      <c r="P1377" t="s">
        <v>32</v>
      </c>
      <c r="Q1377">
        <v>1</v>
      </c>
      <c r="R1377" s="2">
        <v>39304</v>
      </c>
    </row>
    <row r="1378" spans="1:18" x14ac:dyDescent="0.3">
      <c r="A1378" t="s">
        <v>7</v>
      </c>
      <c r="B1378">
        <v>18960887</v>
      </c>
      <c r="C1378" t="s">
        <v>10</v>
      </c>
      <c r="D1378" s="4">
        <v>45901</v>
      </c>
      <c r="E1378" s="11">
        <f t="shared" si="84"/>
        <v>2025</v>
      </c>
      <c r="F1378" s="11">
        <f t="shared" si="85"/>
        <v>9</v>
      </c>
      <c r="G1378" s="11" t="str">
        <f t="shared" si="86"/>
        <v>202509</v>
      </c>
      <c r="H1378" s="4">
        <v>45961</v>
      </c>
      <c r="I1378" s="5">
        <v>60</v>
      </c>
      <c r="J1378" s="5">
        <v>2</v>
      </c>
      <c r="K1378" s="5">
        <f t="shared" si="87"/>
        <v>0</v>
      </c>
      <c r="L1378" s="5">
        <v>1</v>
      </c>
      <c r="M1378" s="5">
        <v>1</v>
      </c>
      <c r="N1378" t="s">
        <v>12</v>
      </c>
      <c r="O1378" s="8">
        <v>19.490410958904111</v>
      </c>
      <c r="P1378" t="s">
        <v>32</v>
      </c>
      <c r="Q1378">
        <v>1</v>
      </c>
      <c r="R1378" s="2">
        <v>38787</v>
      </c>
    </row>
    <row r="1379" spans="1:18" x14ac:dyDescent="0.3">
      <c r="A1379" t="s">
        <v>7</v>
      </c>
      <c r="B1379">
        <v>18960889</v>
      </c>
      <c r="C1379" t="s">
        <v>8</v>
      </c>
      <c r="D1379" s="4">
        <v>45901</v>
      </c>
      <c r="E1379" s="11">
        <f t="shared" si="84"/>
        <v>2025</v>
      </c>
      <c r="F1379" s="11">
        <f t="shared" si="85"/>
        <v>9</v>
      </c>
      <c r="G1379" s="11" t="str">
        <f t="shared" si="86"/>
        <v>202509</v>
      </c>
      <c r="I1379" s="5">
        <v>9999</v>
      </c>
      <c r="J1379" s="5">
        <v>333.3</v>
      </c>
      <c r="K1379" s="5">
        <f t="shared" si="87"/>
        <v>0</v>
      </c>
      <c r="L1379" s="5">
        <v>0</v>
      </c>
      <c r="M1379" s="5">
        <v>0</v>
      </c>
      <c r="N1379" t="s">
        <v>9</v>
      </c>
      <c r="O1379" s="8">
        <v>18.473972602739725</v>
      </c>
      <c r="P1379" t="s">
        <v>32</v>
      </c>
      <c r="Q1379">
        <v>1</v>
      </c>
      <c r="R1379" s="2">
        <v>39158</v>
      </c>
    </row>
    <row r="1380" spans="1:18" x14ac:dyDescent="0.3">
      <c r="A1380" t="s">
        <v>7</v>
      </c>
      <c r="B1380">
        <v>18960892</v>
      </c>
      <c r="C1380" t="s">
        <v>8</v>
      </c>
      <c r="D1380" s="4">
        <v>45901</v>
      </c>
      <c r="E1380" s="11">
        <f t="shared" si="84"/>
        <v>2025</v>
      </c>
      <c r="F1380" s="11">
        <f t="shared" si="85"/>
        <v>9</v>
      </c>
      <c r="G1380" s="11" t="str">
        <f t="shared" si="86"/>
        <v>202509</v>
      </c>
      <c r="H1380" s="4">
        <v>46047</v>
      </c>
      <c r="I1380" s="5">
        <v>146</v>
      </c>
      <c r="J1380" s="5">
        <v>4.8666666666666663</v>
      </c>
      <c r="K1380" s="5">
        <f t="shared" si="87"/>
        <v>0</v>
      </c>
      <c r="L1380" s="5">
        <v>0</v>
      </c>
      <c r="M1380" s="5">
        <v>1</v>
      </c>
      <c r="N1380" t="s">
        <v>9</v>
      </c>
      <c r="O1380" s="8">
        <v>18.495890410958904</v>
      </c>
      <c r="P1380" t="s">
        <v>32</v>
      </c>
      <c r="Q1380">
        <v>1</v>
      </c>
      <c r="R1380" s="2">
        <v>39150</v>
      </c>
    </row>
    <row r="1381" spans="1:18" x14ac:dyDescent="0.3">
      <c r="A1381" t="s">
        <v>11</v>
      </c>
      <c r="B1381">
        <v>18961452</v>
      </c>
      <c r="C1381" t="s">
        <v>10</v>
      </c>
      <c r="D1381" s="4">
        <v>45902</v>
      </c>
      <c r="E1381" s="11">
        <f t="shared" si="84"/>
        <v>2025</v>
      </c>
      <c r="F1381" s="11">
        <f t="shared" si="85"/>
        <v>9</v>
      </c>
      <c r="G1381" s="11" t="str">
        <f t="shared" si="86"/>
        <v>202509</v>
      </c>
      <c r="H1381" s="4">
        <v>46138</v>
      </c>
      <c r="I1381" s="5">
        <v>236</v>
      </c>
      <c r="J1381" s="5">
        <v>7.8666666666666663</v>
      </c>
      <c r="K1381" s="5">
        <f t="shared" si="87"/>
        <v>0</v>
      </c>
      <c r="L1381" s="5">
        <v>0</v>
      </c>
      <c r="M1381" s="5">
        <v>0</v>
      </c>
      <c r="N1381" t="s">
        <v>9</v>
      </c>
      <c r="O1381" s="8">
        <v>20.854794520547944</v>
      </c>
      <c r="P1381" t="s">
        <v>32</v>
      </c>
      <c r="Q1381">
        <v>1</v>
      </c>
      <c r="R1381" s="2">
        <v>38290</v>
      </c>
    </row>
    <row r="1382" spans="1:18" x14ac:dyDescent="0.3">
      <c r="A1382" t="s">
        <v>7</v>
      </c>
      <c r="B1382">
        <v>18961464</v>
      </c>
      <c r="C1382" t="s">
        <v>8</v>
      </c>
      <c r="D1382" s="4">
        <v>45902</v>
      </c>
      <c r="E1382" s="11">
        <f t="shared" si="84"/>
        <v>2025</v>
      </c>
      <c r="F1382" s="11">
        <f t="shared" si="85"/>
        <v>9</v>
      </c>
      <c r="G1382" s="11" t="str">
        <f t="shared" si="86"/>
        <v>202509</v>
      </c>
      <c r="H1382" s="4">
        <v>46023</v>
      </c>
      <c r="I1382" s="5">
        <v>121</v>
      </c>
      <c r="J1382" s="5">
        <v>4.0333333333333332</v>
      </c>
      <c r="K1382" s="5">
        <f t="shared" si="87"/>
        <v>0</v>
      </c>
      <c r="L1382" s="5">
        <v>0</v>
      </c>
      <c r="M1382" s="5">
        <v>1</v>
      </c>
      <c r="N1382" t="s">
        <v>12</v>
      </c>
      <c r="O1382" s="8">
        <v>21.961643835616439</v>
      </c>
      <c r="P1382" t="s">
        <v>33</v>
      </c>
      <c r="Q1382">
        <v>2</v>
      </c>
      <c r="R1382" s="2">
        <v>37886</v>
      </c>
    </row>
    <row r="1383" spans="1:18" x14ac:dyDescent="0.3">
      <c r="A1383" t="s">
        <v>7</v>
      </c>
      <c r="B1383">
        <v>18961477</v>
      </c>
      <c r="C1383" t="s">
        <v>10</v>
      </c>
      <c r="D1383" s="4">
        <v>45902</v>
      </c>
      <c r="E1383" s="11">
        <f t="shared" si="84"/>
        <v>2025</v>
      </c>
      <c r="F1383" s="11">
        <f t="shared" si="85"/>
        <v>9</v>
      </c>
      <c r="G1383" s="11" t="str">
        <f t="shared" si="86"/>
        <v>202509</v>
      </c>
      <c r="H1383" s="4">
        <v>45931</v>
      </c>
      <c r="I1383" s="5">
        <v>29</v>
      </c>
      <c r="J1383" s="5">
        <v>0.96666666666666667</v>
      </c>
      <c r="K1383" s="5">
        <f t="shared" si="87"/>
        <v>1</v>
      </c>
      <c r="L1383" s="5">
        <v>1</v>
      </c>
      <c r="M1383" s="5">
        <v>1</v>
      </c>
      <c r="N1383" t="s">
        <v>12</v>
      </c>
      <c r="O1383" s="8">
        <v>21.024657534246575</v>
      </c>
      <c r="P1383" t="s">
        <v>33</v>
      </c>
      <c r="Q1383">
        <v>2</v>
      </c>
      <c r="R1383" s="2">
        <v>38228</v>
      </c>
    </row>
    <row r="1384" spans="1:18" x14ac:dyDescent="0.3">
      <c r="A1384" t="s">
        <v>11</v>
      </c>
      <c r="B1384">
        <v>18961478</v>
      </c>
      <c r="C1384" t="s">
        <v>8</v>
      </c>
      <c r="D1384" s="4">
        <v>45902</v>
      </c>
      <c r="E1384" s="11">
        <f t="shared" si="84"/>
        <v>2025</v>
      </c>
      <c r="F1384" s="11">
        <f t="shared" si="85"/>
        <v>9</v>
      </c>
      <c r="G1384" s="11" t="str">
        <f t="shared" si="86"/>
        <v>202509</v>
      </c>
      <c r="I1384" s="5">
        <v>9999</v>
      </c>
      <c r="J1384" s="5">
        <v>333.3</v>
      </c>
      <c r="K1384" s="5">
        <f t="shared" si="87"/>
        <v>0</v>
      </c>
      <c r="L1384" s="5">
        <v>0</v>
      </c>
      <c r="M1384" s="5">
        <v>0</v>
      </c>
      <c r="N1384" t="s">
        <v>9</v>
      </c>
      <c r="O1384" s="8">
        <v>48.021917808219179</v>
      </c>
      <c r="P1384" t="s">
        <v>35</v>
      </c>
      <c r="Q1384">
        <v>4</v>
      </c>
      <c r="R1384" s="2">
        <v>28374</v>
      </c>
    </row>
    <row r="1385" spans="1:18" x14ac:dyDescent="0.3">
      <c r="A1385" t="s">
        <v>7</v>
      </c>
      <c r="B1385">
        <v>18961508</v>
      </c>
      <c r="C1385" t="s">
        <v>10</v>
      </c>
      <c r="D1385" s="4">
        <v>45902</v>
      </c>
      <c r="E1385" s="11">
        <f t="shared" si="84"/>
        <v>2025</v>
      </c>
      <c r="F1385" s="11">
        <f t="shared" si="85"/>
        <v>9</v>
      </c>
      <c r="G1385" s="11" t="str">
        <f t="shared" si="86"/>
        <v>202509</v>
      </c>
      <c r="H1385" s="4">
        <v>45932</v>
      </c>
      <c r="I1385" s="5">
        <v>30</v>
      </c>
      <c r="J1385" s="5">
        <v>1</v>
      </c>
      <c r="K1385" s="5">
        <f t="shared" si="87"/>
        <v>1</v>
      </c>
      <c r="L1385" s="5">
        <v>1</v>
      </c>
      <c r="M1385" s="5">
        <v>1</v>
      </c>
      <c r="N1385" t="s">
        <v>9</v>
      </c>
      <c r="O1385" s="8">
        <v>18.758904109589039</v>
      </c>
      <c r="P1385" t="s">
        <v>32</v>
      </c>
      <c r="Q1385">
        <v>1</v>
      </c>
      <c r="R1385" s="2">
        <v>39055</v>
      </c>
    </row>
    <row r="1386" spans="1:18" x14ac:dyDescent="0.3">
      <c r="A1386" t="s">
        <v>7</v>
      </c>
      <c r="B1386">
        <v>18961509</v>
      </c>
      <c r="C1386" t="s">
        <v>8</v>
      </c>
      <c r="D1386" s="4">
        <v>45902</v>
      </c>
      <c r="E1386" s="11">
        <f t="shared" si="84"/>
        <v>2025</v>
      </c>
      <c r="F1386" s="11">
        <f t="shared" si="85"/>
        <v>9</v>
      </c>
      <c r="G1386" s="11" t="str">
        <f t="shared" si="86"/>
        <v>202509</v>
      </c>
      <c r="H1386" s="4">
        <v>45932</v>
      </c>
      <c r="I1386" s="5">
        <v>30</v>
      </c>
      <c r="J1386" s="5">
        <v>1</v>
      </c>
      <c r="K1386" s="5">
        <f t="shared" si="87"/>
        <v>1</v>
      </c>
      <c r="L1386" s="5">
        <v>1</v>
      </c>
      <c r="M1386" s="5">
        <v>1</v>
      </c>
      <c r="N1386" t="s">
        <v>9</v>
      </c>
      <c r="O1386" s="8">
        <v>19.391780821917809</v>
      </c>
      <c r="P1386" t="s">
        <v>32</v>
      </c>
      <c r="Q1386">
        <v>1</v>
      </c>
      <c r="R1386" s="2">
        <v>38824</v>
      </c>
    </row>
    <row r="1387" spans="1:18" x14ac:dyDescent="0.3">
      <c r="A1387" t="s">
        <v>7</v>
      </c>
      <c r="B1387">
        <v>18961510</v>
      </c>
      <c r="C1387" t="s">
        <v>8</v>
      </c>
      <c r="D1387" s="4">
        <v>45902</v>
      </c>
      <c r="E1387" s="11">
        <f t="shared" si="84"/>
        <v>2025</v>
      </c>
      <c r="F1387" s="11">
        <f t="shared" si="85"/>
        <v>9</v>
      </c>
      <c r="G1387" s="11" t="str">
        <f t="shared" si="86"/>
        <v>202509</v>
      </c>
      <c r="I1387" s="5">
        <v>9999</v>
      </c>
      <c r="J1387" s="5">
        <v>333.3</v>
      </c>
      <c r="K1387" s="5">
        <f t="shared" si="87"/>
        <v>0</v>
      </c>
      <c r="L1387" s="5">
        <v>0</v>
      </c>
      <c r="M1387" s="5">
        <v>0</v>
      </c>
      <c r="N1387" t="s">
        <v>9</v>
      </c>
      <c r="O1387" s="8">
        <v>23.002739726027396</v>
      </c>
      <c r="P1387" t="s">
        <v>33</v>
      </c>
      <c r="Q1387">
        <v>2</v>
      </c>
      <c r="R1387" s="2">
        <v>37506</v>
      </c>
    </row>
    <row r="1388" spans="1:18" x14ac:dyDescent="0.3">
      <c r="A1388" t="s">
        <v>7</v>
      </c>
      <c r="B1388">
        <v>18961511</v>
      </c>
      <c r="C1388" t="s">
        <v>10</v>
      </c>
      <c r="D1388" s="4">
        <v>45902</v>
      </c>
      <c r="E1388" s="11">
        <f t="shared" si="84"/>
        <v>2025</v>
      </c>
      <c r="F1388" s="11">
        <f t="shared" si="85"/>
        <v>9</v>
      </c>
      <c r="G1388" s="11" t="str">
        <f t="shared" si="86"/>
        <v>202509</v>
      </c>
      <c r="I1388" s="5">
        <v>9999</v>
      </c>
      <c r="J1388" s="5">
        <v>333.3</v>
      </c>
      <c r="K1388" s="5">
        <f t="shared" si="87"/>
        <v>0</v>
      </c>
      <c r="L1388" s="5">
        <v>0</v>
      </c>
      <c r="M1388" s="5">
        <v>0</v>
      </c>
      <c r="N1388" t="s">
        <v>9</v>
      </c>
      <c r="O1388" s="8">
        <v>20.597260273972601</v>
      </c>
      <c r="P1388" t="s">
        <v>32</v>
      </c>
      <c r="Q1388">
        <v>1</v>
      </c>
      <c r="R1388" s="2">
        <v>38384</v>
      </c>
    </row>
    <row r="1389" spans="1:18" x14ac:dyDescent="0.3">
      <c r="A1389" t="s">
        <v>7</v>
      </c>
      <c r="B1389">
        <v>18961512</v>
      </c>
      <c r="C1389" t="s">
        <v>8</v>
      </c>
      <c r="D1389" s="4">
        <v>45902</v>
      </c>
      <c r="E1389" s="11">
        <f t="shared" si="84"/>
        <v>2025</v>
      </c>
      <c r="F1389" s="11">
        <f t="shared" si="85"/>
        <v>9</v>
      </c>
      <c r="G1389" s="11" t="str">
        <f t="shared" si="86"/>
        <v>202509</v>
      </c>
      <c r="H1389" s="4">
        <v>45909</v>
      </c>
      <c r="I1389" s="5">
        <v>7</v>
      </c>
      <c r="J1389" s="5">
        <v>0.23333333333333334</v>
      </c>
      <c r="K1389" s="5">
        <f t="shared" si="87"/>
        <v>1</v>
      </c>
      <c r="L1389" s="5">
        <v>1</v>
      </c>
      <c r="M1389" s="5">
        <v>1</v>
      </c>
      <c r="N1389" t="s">
        <v>9</v>
      </c>
      <c r="O1389" s="8">
        <v>22.865753424657534</v>
      </c>
      <c r="P1389" t="s">
        <v>33</v>
      </c>
      <c r="Q1389">
        <v>2</v>
      </c>
      <c r="R1389" s="2">
        <v>37556</v>
      </c>
    </row>
    <row r="1390" spans="1:18" x14ac:dyDescent="0.3">
      <c r="A1390" t="s">
        <v>7</v>
      </c>
      <c r="B1390">
        <v>18961513</v>
      </c>
      <c r="C1390" t="s">
        <v>10</v>
      </c>
      <c r="D1390" s="4">
        <v>45902</v>
      </c>
      <c r="E1390" s="11">
        <f t="shared" si="84"/>
        <v>2025</v>
      </c>
      <c r="F1390" s="11">
        <f t="shared" si="85"/>
        <v>9</v>
      </c>
      <c r="G1390" s="11" t="str">
        <f t="shared" si="86"/>
        <v>202509</v>
      </c>
      <c r="H1390" s="4">
        <v>46096</v>
      </c>
      <c r="I1390" s="5">
        <v>194</v>
      </c>
      <c r="J1390" s="5">
        <v>6.4666666666666668</v>
      </c>
      <c r="K1390" s="5">
        <f t="shared" si="87"/>
        <v>0</v>
      </c>
      <c r="L1390" s="5">
        <v>0</v>
      </c>
      <c r="M1390" s="5">
        <v>0</v>
      </c>
      <c r="N1390" t="s">
        <v>9</v>
      </c>
      <c r="O1390" s="8">
        <v>22.019178082191782</v>
      </c>
      <c r="P1390" t="s">
        <v>33</v>
      </c>
      <c r="Q1390">
        <v>2</v>
      </c>
      <c r="R1390" s="2">
        <v>37865</v>
      </c>
    </row>
    <row r="1391" spans="1:18" x14ac:dyDescent="0.3">
      <c r="A1391" t="s">
        <v>7</v>
      </c>
      <c r="B1391">
        <v>18961579</v>
      </c>
      <c r="C1391" t="s">
        <v>10</v>
      </c>
      <c r="D1391" s="4">
        <v>45902</v>
      </c>
      <c r="E1391" s="11">
        <f t="shared" si="84"/>
        <v>2025</v>
      </c>
      <c r="F1391" s="11">
        <f t="shared" si="85"/>
        <v>9</v>
      </c>
      <c r="G1391" s="11" t="str">
        <f t="shared" si="86"/>
        <v>202509</v>
      </c>
      <c r="H1391" s="4">
        <v>45996</v>
      </c>
      <c r="I1391" s="5">
        <v>94</v>
      </c>
      <c r="J1391" s="5">
        <v>3.1333333333333333</v>
      </c>
      <c r="K1391" s="5">
        <f t="shared" si="87"/>
        <v>0</v>
      </c>
      <c r="L1391" s="5">
        <v>0</v>
      </c>
      <c r="M1391" s="5">
        <v>1</v>
      </c>
      <c r="N1391" t="s">
        <v>9</v>
      </c>
      <c r="O1391" s="8">
        <v>18.254794520547946</v>
      </c>
      <c r="P1391" t="s">
        <v>32</v>
      </c>
      <c r="Q1391">
        <v>1</v>
      </c>
      <c r="R1391" s="2">
        <v>39239</v>
      </c>
    </row>
    <row r="1392" spans="1:18" x14ac:dyDescent="0.3">
      <c r="A1392" t="s">
        <v>7</v>
      </c>
      <c r="B1392">
        <v>18961608</v>
      </c>
      <c r="C1392" t="s">
        <v>8</v>
      </c>
      <c r="D1392" s="4">
        <v>46151</v>
      </c>
      <c r="E1392" s="11">
        <f t="shared" si="84"/>
        <v>2026</v>
      </c>
      <c r="F1392" s="11">
        <f t="shared" si="85"/>
        <v>5</v>
      </c>
      <c r="G1392" s="11" t="str">
        <f t="shared" si="86"/>
        <v>202605</v>
      </c>
      <c r="H1392" s="4">
        <v>46157</v>
      </c>
      <c r="I1392" s="5">
        <v>6</v>
      </c>
      <c r="J1392" s="5">
        <v>0.2</v>
      </c>
      <c r="K1392" s="5">
        <f t="shared" si="87"/>
        <v>1</v>
      </c>
      <c r="L1392" s="5">
        <v>1</v>
      </c>
      <c r="M1392" s="5">
        <v>1</v>
      </c>
      <c r="N1392" t="s">
        <v>9</v>
      </c>
      <c r="O1392" s="8">
        <v>28.93972602739726</v>
      </c>
      <c r="P1392" t="s">
        <v>34</v>
      </c>
      <c r="Q1392">
        <v>3</v>
      </c>
      <c r="R1392" s="2">
        <v>35588</v>
      </c>
    </row>
    <row r="1393" spans="1:18" x14ac:dyDescent="0.3">
      <c r="A1393" t="s">
        <v>7</v>
      </c>
      <c r="B1393">
        <v>18961665</v>
      </c>
      <c r="C1393" t="s">
        <v>8</v>
      </c>
      <c r="D1393" s="4">
        <v>45903</v>
      </c>
      <c r="E1393" s="11">
        <f t="shared" si="84"/>
        <v>2025</v>
      </c>
      <c r="F1393" s="11">
        <f t="shared" si="85"/>
        <v>9</v>
      </c>
      <c r="G1393" s="11" t="str">
        <f t="shared" si="86"/>
        <v>202509</v>
      </c>
      <c r="I1393" s="5">
        <v>9999</v>
      </c>
      <c r="J1393" s="5">
        <v>333.3</v>
      </c>
      <c r="K1393" s="5">
        <f t="shared" si="87"/>
        <v>0</v>
      </c>
      <c r="L1393" s="5">
        <v>0</v>
      </c>
      <c r="M1393" s="5">
        <v>0</v>
      </c>
      <c r="N1393" t="s">
        <v>12</v>
      </c>
      <c r="O1393" s="8">
        <v>24.523287671232875</v>
      </c>
      <c r="P1393" t="s">
        <v>33</v>
      </c>
      <c r="Q1393">
        <v>2</v>
      </c>
      <c r="R1393" s="2">
        <v>36952</v>
      </c>
    </row>
    <row r="1394" spans="1:18" x14ac:dyDescent="0.3">
      <c r="A1394" t="s">
        <v>7</v>
      </c>
      <c r="B1394">
        <v>18961670</v>
      </c>
      <c r="C1394" t="s">
        <v>10</v>
      </c>
      <c r="D1394" s="4">
        <v>45903</v>
      </c>
      <c r="E1394" s="11">
        <f t="shared" si="84"/>
        <v>2025</v>
      </c>
      <c r="F1394" s="11">
        <f t="shared" si="85"/>
        <v>9</v>
      </c>
      <c r="G1394" s="11" t="str">
        <f t="shared" si="86"/>
        <v>202509</v>
      </c>
      <c r="I1394" s="5">
        <v>9999</v>
      </c>
      <c r="J1394" s="5">
        <v>333.3</v>
      </c>
      <c r="K1394" s="5">
        <f t="shared" si="87"/>
        <v>0</v>
      </c>
      <c r="L1394" s="5">
        <v>0</v>
      </c>
      <c r="M1394" s="5">
        <v>0</v>
      </c>
      <c r="N1394" t="s">
        <v>12</v>
      </c>
      <c r="O1394" s="8">
        <v>18.104109589041094</v>
      </c>
      <c r="P1394" t="s">
        <v>32</v>
      </c>
      <c r="Q1394">
        <v>1</v>
      </c>
      <c r="R1394" s="2">
        <v>39295</v>
      </c>
    </row>
    <row r="1395" spans="1:18" x14ac:dyDescent="0.3">
      <c r="A1395" t="s">
        <v>7</v>
      </c>
      <c r="B1395">
        <v>18961723</v>
      </c>
      <c r="C1395" t="s">
        <v>8</v>
      </c>
      <c r="D1395" s="4">
        <v>45903</v>
      </c>
      <c r="E1395" s="11">
        <f t="shared" si="84"/>
        <v>2025</v>
      </c>
      <c r="F1395" s="11">
        <f t="shared" si="85"/>
        <v>9</v>
      </c>
      <c r="G1395" s="11" t="str">
        <f t="shared" si="86"/>
        <v>202509</v>
      </c>
      <c r="I1395" s="5">
        <v>9999</v>
      </c>
      <c r="J1395" s="5">
        <v>333.3</v>
      </c>
      <c r="K1395" s="5">
        <f t="shared" si="87"/>
        <v>0</v>
      </c>
      <c r="L1395" s="5">
        <v>0</v>
      </c>
      <c r="M1395" s="5">
        <v>0</v>
      </c>
      <c r="N1395" t="s">
        <v>12</v>
      </c>
      <c r="O1395" s="8">
        <v>20.956164383561642</v>
      </c>
      <c r="P1395" t="s">
        <v>32</v>
      </c>
      <c r="Q1395">
        <v>1</v>
      </c>
      <c r="R1395" s="2">
        <v>38254</v>
      </c>
    </row>
    <row r="1396" spans="1:18" x14ac:dyDescent="0.3">
      <c r="A1396" t="s">
        <v>7</v>
      </c>
      <c r="B1396">
        <v>18961726</v>
      </c>
      <c r="C1396" t="s">
        <v>8</v>
      </c>
      <c r="D1396" s="4">
        <v>45903</v>
      </c>
      <c r="E1396" s="11">
        <f t="shared" si="84"/>
        <v>2025</v>
      </c>
      <c r="F1396" s="11">
        <f t="shared" si="85"/>
        <v>9</v>
      </c>
      <c r="G1396" s="11" t="str">
        <f t="shared" si="86"/>
        <v>202509</v>
      </c>
      <c r="H1396" s="4">
        <v>46068</v>
      </c>
      <c r="I1396" s="5">
        <v>165</v>
      </c>
      <c r="J1396" s="5">
        <v>5.5</v>
      </c>
      <c r="K1396" s="5">
        <f t="shared" si="87"/>
        <v>0</v>
      </c>
      <c r="L1396" s="5">
        <v>0</v>
      </c>
      <c r="M1396" s="5">
        <v>1</v>
      </c>
      <c r="N1396" t="s">
        <v>12</v>
      </c>
      <c r="O1396" s="8">
        <v>20.315068493150687</v>
      </c>
      <c r="P1396" t="s">
        <v>32</v>
      </c>
      <c r="Q1396">
        <v>1</v>
      </c>
      <c r="R1396" s="2">
        <v>38488</v>
      </c>
    </row>
    <row r="1397" spans="1:18" x14ac:dyDescent="0.3">
      <c r="A1397" t="s">
        <v>7</v>
      </c>
      <c r="B1397">
        <v>18961727</v>
      </c>
      <c r="C1397" t="s">
        <v>10</v>
      </c>
      <c r="D1397" s="4">
        <v>45903</v>
      </c>
      <c r="E1397" s="11">
        <f t="shared" si="84"/>
        <v>2025</v>
      </c>
      <c r="F1397" s="11">
        <f t="shared" si="85"/>
        <v>9</v>
      </c>
      <c r="G1397" s="11" t="str">
        <f t="shared" si="86"/>
        <v>202509</v>
      </c>
      <c r="H1397" s="4">
        <v>46113</v>
      </c>
      <c r="I1397" s="5">
        <v>210</v>
      </c>
      <c r="J1397" s="5">
        <v>7</v>
      </c>
      <c r="K1397" s="5">
        <f t="shared" si="87"/>
        <v>0</v>
      </c>
      <c r="L1397" s="5">
        <v>0</v>
      </c>
      <c r="M1397" s="5">
        <v>0</v>
      </c>
      <c r="N1397" t="s">
        <v>12</v>
      </c>
      <c r="O1397" s="8">
        <v>18.964383561643835</v>
      </c>
      <c r="P1397" t="s">
        <v>32</v>
      </c>
      <c r="Q1397">
        <v>1</v>
      </c>
      <c r="R1397" s="2">
        <v>38981</v>
      </c>
    </row>
    <row r="1398" spans="1:18" x14ac:dyDescent="0.3">
      <c r="A1398" t="s">
        <v>7</v>
      </c>
      <c r="B1398">
        <v>18961748</v>
      </c>
      <c r="C1398" t="s">
        <v>8</v>
      </c>
      <c r="D1398" s="4">
        <v>45903</v>
      </c>
      <c r="E1398" s="11">
        <f t="shared" si="84"/>
        <v>2025</v>
      </c>
      <c r="F1398" s="11">
        <f t="shared" si="85"/>
        <v>9</v>
      </c>
      <c r="G1398" s="11" t="str">
        <f t="shared" si="86"/>
        <v>202509</v>
      </c>
      <c r="H1398" s="4">
        <v>46022</v>
      </c>
      <c r="I1398" s="5">
        <v>119</v>
      </c>
      <c r="J1398" s="5">
        <v>3.9666666666666668</v>
      </c>
      <c r="K1398" s="5">
        <f t="shared" si="87"/>
        <v>0</v>
      </c>
      <c r="L1398" s="5">
        <v>0</v>
      </c>
      <c r="M1398" s="5">
        <v>1</v>
      </c>
      <c r="N1398" t="s">
        <v>12</v>
      </c>
      <c r="O1398" s="8">
        <v>21.301369863013697</v>
      </c>
      <c r="P1398" t="s">
        <v>33</v>
      </c>
      <c r="Q1398">
        <v>2</v>
      </c>
      <c r="R1398" s="2">
        <v>38128</v>
      </c>
    </row>
    <row r="1399" spans="1:18" x14ac:dyDescent="0.3">
      <c r="A1399" t="s">
        <v>7</v>
      </c>
      <c r="B1399">
        <v>18961749</v>
      </c>
      <c r="C1399" t="s">
        <v>8</v>
      </c>
      <c r="D1399" s="4">
        <v>45903</v>
      </c>
      <c r="E1399" s="11">
        <f t="shared" si="84"/>
        <v>2025</v>
      </c>
      <c r="F1399" s="11">
        <f t="shared" si="85"/>
        <v>9</v>
      </c>
      <c r="G1399" s="11" t="str">
        <f t="shared" si="86"/>
        <v>202509</v>
      </c>
      <c r="H1399" s="4">
        <v>46086</v>
      </c>
      <c r="I1399" s="5">
        <v>183</v>
      </c>
      <c r="J1399" s="5">
        <v>6.1</v>
      </c>
      <c r="K1399" s="5">
        <f t="shared" si="87"/>
        <v>0</v>
      </c>
      <c r="L1399" s="5">
        <v>0</v>
      </c>
      <c r="M1399" s="5">
        <v>0</v>
      </c>
      <c r="N1399" t="s">
        <v>12</v>
      </c>
      <c r="O1399" s="8">
        <v>22.246575342465754</v>
      </c>
      <c r="P1399" t="s">
        <v>33</v>
      </c>
      <c r="Q1399">
        <v>2</v>
      </c>
      <c r="R1399" s="2">
        <v>37783</v>
      </c>
    </row>
    <row r="1400" spans="1:18" x14ac:dyDescent="0.3">
      <c r="A1400" t="s">
        <v>7</v>
      </c>
      <c r="B1400">
        <v>18961750</v>
      </c>
      <c r="C1400" t="s">
        <v>10</v>
      </c>
      <c r="D1400" s="4">
        <v>45903</v>
      </c>
      <c r="E1400" s="11">
        <f t="shared" si="84"/>
        <v>2025</v>
      </c>
      <c r="F1400" s="11">
        <f t="shared" si="85"/>
        <v>9</v>
      </c>
      <c r="G1400" s="11" t="str">
        <f t="shared" si="86"/>
        <v>202509</v>
      </c>
      <c r="H1400" s="4">
        <v>45909</v>
      </c>
      <c r="I1400" s="5">
        <v>6</v>
      </c>
      <c r="J1400" s="5">
        <v>0.2</v>
      </c>
      <c r="K1400" s="5">
        <f t="shared" si="87"/>
        <v>1</v>
      </c>
      <c r="L1400" s="5">
        <v>1</v>
      </c>
      <c r="M1400" s="5">
        <v>1</v>
      </c>
      <c r="N1400" t="s">
        <v>12</v>
      </c>
      <c r="O1400" s="8">
        <v>23.090410958904108</v>
      </c>
      <c r="P1400" t="s">
        <v>33</v>
      </c>
      <c r="Q1400">
        <v>2</v>
      </c>
      <c r="R1400" s="2">
        <v>37475</v>
      </c>
    </row>
    <row r="1401" spans="1:18" x14ac:dyDescent="0.3">
      <c r="A1401" t="s">
        <v>7</v>
      </c>
      <c r="B1401">
        <v>18961751</v>
      </c>
      <c r="C1401" t="s">
        <v>8</v>
      </c>
      <c r="D1401" s="4">
        <v>45903</v>
      </c>
      <c r="E1401" s="11">
        <f t="shared" si="84"/>
        <v>2025</v>
      </c>
      <c r="F1401" s="11">
        <f t="shared" si="85"/>
        <v>9</v>
      </c>
      <c r="G1401" s="11" t="str">
        <f t="shared" si="86"/>
        <v>202509</v>
      </c>
      <c r="H1401" s="4">
        <v>46033</v>
      </c>
      <c r="I1401" s="5">
        <v>130</v>
      </c>
      <c r="J1401" s="5">
        <v>4.333333333333333</v>
      </c>
      <c r="K1401" s="5">
        <f t="shared" si="87"/>
        <v>0</v>
      </c>
      <c r="L1401" s="5">
        <v>0</v>
      </c>
      <c r="M1401" s="5">
        <v>1</v>
      </c>
      <c r="N1401" t="s">
        <v>9</v>
      </c>
      <c r="O1401" s="8">
        <v>19.054794520547944</v>
      </c>
      <c r="P1401" t="s">
        <v>32</v>
      </c>
      <c r="Q1401">
        <v>1</v>
      </c>
      <c r="R1401" s="2">
        <v>38948</v>
      </c>
    </row>
    <row r="1402" spans="1:18" x14ac:dyDescent="0.3">
      <c r="A1402" t="s">
        <v>7</v>
      </c>
      <c r="B1402">
        <v>18961753</v>
      </c>
      <c r="C1402" t="s">
        <v>10</v>
      </c>
      <c r="D1402" s="4">
        <v>45903</v>
      </c>
      <c r="E1402" s="11">
        <f t="shared" si="84"/>
        <v>2025</v>
      </c>
      <c r="F1402" s="11">
        <f t="shared" si="85"/>
        <v>9</v>
      </c>
      <c r="G1402" s="11" t="str">
        <f t="shared" si="86"/>
        <v>202509</v>
      </c>
      <c r="H1402" s="4">
        <v>46089</v>
      </c>
      <c r="I1402" s="5">
        <v>186</v>
      </c>
      <c r="J1402" s="5">
        <v>6.2</v>
      </c>
      <c r="K1402" s="5">
        <f t="shared" si="87"/>
        <v>0</v>
      </c>
      <c r="L1402" s="5">
        <v>0</v>
      </c>
      <c r="M1402" s="5">
        <v>0</v>
      </c>
      <c r="N1402" t="s">
        <v>9</v>
      </c>
      <c r="O1402" s="8">
        <v>20.273972602739725</v>
      </c>
      <c r="P1402" t="s">
        <v>32</v>
      </c>
      <c r="Q1402">
        <v>1</v>
      </c>
      <c r="R1402" s="2">
        <v>38503</v>
      </c>
    </row>
    <row r="1403" spans="1:18" x14ac:dyDescent="0.3">
      <c r="A1403" t="s">
        <v>7</v>
      </c>
      <c r="B1403">
        <v>18961754</v>
      </c>
      <c r="C1403" t="s">
        <v>10</v>
      </c>
      <c r="D1403" s="4">
        <v>45903</v>
      </c>
      <c r="E1403" s="11">
        <f t="shared" si="84"/>
        <v>2025</v>
      </c>
      <c r="F1403" s="11">
        <f t="shared" si="85"/>
        <v>9</v>
      </c>
      <c r="G1403" s="11" t="str">
        <f t="shared" si="86"/>
        <v>202509</v>
      </c>
      <c r="H1403" s="4">
        <v>46023</v>
      </c>
      <c r="I1403" s="5">
        <v>120</v>
      </c>
      <c r="J1403" s="5">
        <v>4</v>
      </c>
      <c r="K1403" s="5">
        <f t="shared" si="87"/>
        <v>0</v>
      </c>
      <c r="L1403" s="5">
        <v>0</v>
      </c>
      <c r="M1403" s="5">
        <v>1</v>
      </c>
      <c r="N1403" t="s">
        <v>12</v>
      </c>
      <c r="O1403" s="8">
        <v>20.350684931506848</v>
      </c>
      <c r="P1403" t="s">
        <v>32</v>
      </c>
      <c r="Q1403">
        <v>1</v>
      </c>
      <c r="R1403" s="2">
        <v>38475</v>
      </c>
    </row>
    <row r="1404" spans="1:18" x14ac:dyDescent="0.3">
      <c r="A1404" t="s">
        <v>7</v>
      </c>
      <c r="B1404">
        <v>18961755</v>
      </c>
      <c r="C1404" t="s">
        <v>10</v>
      </c>
      <c r="D1404" s="4">
        <v>45903</v>
      </c>
      <c r="E1404" s="11">
        <f t="shared" si="84"/>
        <v>2025</v>
      </c>
      <c r="F1404" s="11">
        <f t="shared" si="85"/>
        <v>9</v>
      </c>
      <c r="G1404" s="11" t="str">
        <f t="shared" si="86"/>
        <v>202509</v>
      </c>
      <c r="I1404" s="5">
        <v>9999</v>
      </c>
      <c r="J1404" s="5">
        <v>333.3</v>
      </c>
      <c r="K1404" s="5">
        <f t="shared" si="87"/>
        <v>0</v>
      </c>
      <c r="L1404" s="5">
        <v>0</v>
      </c>
      <c r="M1404" s="5">
        <v>0</v>
      </c>
      <c r="N1404" t="s">
        <v>9</v>
      </c>
      <c r="O1404" s="8">
        <v>21.079452054794519</v>
      </c>
      <c r="P1404" t="s">
        <v>33</v>
      </c>
      <c r="Q1404">
        <v>2</v>
      </c>
      <c r="R1404" s="2">
        <v>38209</v>
      </c>
    </row>
    <row r="1405" spans="1:18" x14ac:dyDescent="0.3">
      <c r="A1405" t="s">
        <v>7</v>
      </c>
      <c r="B1405">
        <v>18961756</v>
      </c>
      <c r="C1405" t="s">
        <v>8</v>
      </c>
      <c r="D1405" s="4">
        <v>45903</v>
      </c>
      <c r="E1405" s="11">
        <f t="shared" si="84"/>
        <v>2025</v>
      </c>
      <c r="F1405" s="11">
        <f t="shared" si="85"/>
        <v>9</v>
      </c>
      <c r="G1405" s="11" t="str">
        <f t="shared" si="86"/>
        <v>202509</v>
      </c>
      <c r="I1405" s="5">
        <v>9999</v>
      </c>
      <c r="J1405" s="5">
        <v>333.3</v>
      </c>
      <c r="K1405" s="5">
        <f t="shared" si="87"/>
        <v>0</v>
      </c>
      <c r="L1405" s="5">
        <v>0</v>
      </c>
      <c r="M1405" s="5">
        <v>0</v>
      </c>
      <c r="N1405" t="s">
        <v>9</v>
      </c>
      <c r="O1405" s="8">
        <v>23.413698630136988</v>
      </c>
      <c r="P1405" t="s">
        <v>33</v>
      </c>
      <c r="Q1405">
        <v>2</v>
      </c>
      <c r="R1405" s="2">
        <v>37357</v>
      </c>
    </row>
    <row r="1406" spans="1:18" x14ac:dyDescent="0.3">
      <c r="A1406" t="s">
        <v>7</v>
      </c>
      <c r="B1406">
        <v>18961758</v>
      </c>
      <c r="C1406" t="s">
        <v>8</v>
      </c>
      <c r="D1406" s="4">
        <v>45903</v>
      </c>
      <c r="E1406" s="11">
        <f t="shared" si="84"/>
        <v>2025</v>
      </c>
      <c r="F1406" s="11">
        <f t="shared" si="85"/>
        <v>9</v>
      </c>
      <c r="G1406" s="11" t="str">
        <f t="shared" si="86"/>
        <v>202509</v>
      </c>
      <c r="H1406" s="4">
        <v>45930</v>
      </c>
      <c r="I1406" s="5">
        <v>27</v>
      </c>
      <c r="J1406" s="5">
        <v>0.9</v>
      </c>
      <c r="K1406" s="5">
        <f t="shared" si="87"/>
        <v>1</v>
      </c>
      <c r="L1406" s="5">
        <v>1</v>
      </c>
      <c r="M1406" s="5">
        <v>1</v>
      </c>
      <c r="N1406" t="s">
        <v>9</v>
      </c>
      <c r="O1406" s="8">
        <v>21.55890410958904</v>
      </c>
      <c r="P1406" t="s">
        <v>33</v>
      </c>
      <c r="Q1406">
        <v>2</v>
      </c>
      <c r="R1406" s="2">
        <v>38034</v>
      </c>
    </row>
    <row r="1407" spans="1:18" x14ac:dyDescent="0.3">
      <c r="A1407" t="s">
        <v>7</v>
      </c>
      <c r="B1407">
        <v>18961764</v>
      </c>
      <c r="C1407" t="s">
        <v>8</v>
      </c>
      <c r="D1407" s="4">
        <v>45903</v>
      </c>
      <c r="E1407" s="11">
        <f t="shared" si="84"/>
        <v>2025</v>
      </c>
      <c r="F1407" s="11">
        <f t="shared" si="85"/>
        <v>9</v>
      </c>
      <c r="G1407" s="11" t="str">
        <f t="shared" si="86"/>
        <v>202509</v>
      </c>
      <c r="H1407" s="4">
        <v>46027</v>
      </c>
      <c r="I1407" s="5">
        <v>124</v>
      </c>
      <c r="J1407" s="5">
        <v>4.1333333333333337</v>
      </c>
      <c r="K1407" s="5">
        <f t="shared" si="87"/>
        <v>0</v>
      </c>
      <c r="L1407" s="5">
        <v>0</v>
      </c>
      <c r="M1407" s="5">
        <v>1</v>
      </c>
      <c r="N1407" t="s">
        <v>9</v>
      </c>
      <c r="O1407" s="8">
        <v>24.334246575342465</v>
      </c>
      <c r="P1407" t="s">
        <v>33</v>
      </c>
      <c r="Q1407">
        <v>2</v>
      </c>
      <c r="R1407" s="2">
        <v>37021</v>
      </c>
    </row>
    <row r="1408" spans="1:18" x14ac:dyDescent="0.3">
      <c r="A1408" t="s">
        <v>7</v>
      </c>
      <c r="B1408">
        <v>18961765</v>
      </c>
      <c r="C1408" t="s">
        <v>8</v>
      </c>
      <c r="D1408" s="4">
        <v>45903</v>
      </c>
      <c r="E1408" s="11">
        <f t="shared" si="84"/>
        <v>2025</v>
      </c>
      <c r="F1408" s="11">
        <f t="shared" si="85"/>
        <v>9</v>
      </c>
      <c r="G1408" s="11" t="str">
        <f t="shared" si="86"/>
        <v>202509</v>
      </c>
      <c r="H1408" s="4">
        <v>45961</v>
      </c>
      <c r="I1408" s="5">
        <v>58</v>
      </c>
      <c r="J1408" s="5">
        <v>1.9333333333333333</v>
      </c>
      <c r="K1408" s="5">
        <f t="shared" si="87"/>
        <v>0</v>
      </c>
      <c r="L1408" s="5">
        <v>1</v>
      </c>
      <c r="M1408" s="5">
        <v>1</v>
      </c>
      <c r="N1408" t="s">
        <v>9</v>
      </c>
      <c r="O1408" s="8">
        <v>18.81917808219178</v>
      </c>
      <c r="P1408" t="s">
        <v>32</v>
      </c>
      <c r="Q1408">
        <v>1</v>
      </c>
      <c r="R1408" s="2">
        <v>39034</v>
      </c>
    </row>
    <row r="1409" spans="1:18" x14ac:dyDescent="0.3">
      <c r="A1409" t="s">
        <v>7</v>
      </c>
      <c r="B1409">
        <v>18961772</v>
      </c>
      <c r="C1409" t="s">
        <v>8</v>
      </c>
      <c r="D1409" s="4">
        <v>45903</v>
      </c>
      <c r="E1409" s="11">
        <f t="shared" si="84"/>
        <v>2025</v>
      </c>
      <c r="F1409" s="11">
        <f t="shared" si="85"/>
        <v>9</v>
      </c>
      <c r="G1409" s="11" t="str">
        <f t="shared" si="86"/>
        <v>202509</v>
      </c>
      <c r="H1409" s="4">
        <v>45945</v>
      </c>
      <c r="I1409" s="5">
        <v>42</v>
      </c>
      <c r="J1409" s="5">
        <v>1.4</v>
      </c>
      <c r="K1409" s="5">
        <f t="shared" si="87"/>
        <v>0</v>
      </c>
      <c r="L1409" s="5">
        <v>1</v>
      </c>
      <c r="M1409" s="5">
        <v>1</v>
      </c>
      <c r="N1409" t="s">
        <v>9</v>
      </c>
      <c r="O1409" s="8">
        <v>21.087671232876712</v>
      </c>
      <c r="P1409" t="s">
        <v>33</v>
      </c>
      <c r="Q1409">
        <v>2</v>
      </c>
      <c r="R1409" s="2">
        <v>38206</v>
      </c>
    </row>
    <row r="1410" spans="1:18" x14ac:dyDescent="0.3">
      <c r="A1410" t="s">
        <v>7</v>
      </c>
      <c r="B1410">
        <v>18961773</v>
      </c>
      <c r="C1410" t="s">
        <v>8</v>
      </c>
      <c r="D1410" s="4">
        <v>45903</v>
      </c>
      <c r="E1410" s="11">
        <f t="shared" si="84"/>
        <v>2025</v>
      </c>
      <c r="F1410" s="11">
        <f t="shared" si="85"/>
        <v>9</v>
      </c>
      <c r="G1410" s="11" t="str">
        <f t="shared" si="86"/>
        <v>202509</v>
      </c>
      <c r="I1410" s="5">
        <v>9999</v>
      </c>
      <c r="J1410" s="5">
        <v>333.3</v>
      </c>
      <c r="K1410" s="5">
        <f t="shared" si="87"/>
        <v>0</v>
      </c>
      <c r="L1410" s="5">
        <v>0</v>
      </c>
      <c r="M1410" s="5">
        <v>0</v>
      </c>
      <c r="N1410" t="s">
        <v>9</v>
      </c>
      <c r="O1410" s="8">
        <v>18.586301369863012</v>
      </c>
      <c r="P1410" t="s">
        <v>32</v>
      </c>
      <c r="Q1410">
        <v>1</v>
      </c>
      <c r="R1410" s="2">
        <v>39119</v>
      </c>
    </row>
    <row r="1411" spans="1:18" x14ac:dyDescent="0.3">
      <c r="A1411" t="s">
        <v>7</v>
      </c>
      <c r="B1411">
        <v>18961774</v>
      </c>
      <c r="C1411" t="s">
        <v>8</v>
      </c>
      <c r="D1411" s="4">
        <v>45903</v>
      </c>
      <c r="E1411" s="11">
        <f t="shared" ref="E1411:E1474" si="88">+YEAR(D1411)</f>
        <v>2025</v>
      </c>
      <c r="F1411" s="11">
        <f t="shared" ref="F1411:F1474" si="89">+MONTH(D1411)</f>
        <v>9</v>
      </c>
      <c r="G1411" s="11" t="str">
        <f t="shared" ref="G1411:G1474" si="90">+TEXT(D1411, "yyymm")</f>
        <v>202509</v>
      </c>
      <c r="I1411" s="5">
        <v>9999</v>
      </c>
      <c r="J1411" s="5">
        <v>333.3</v>
      </c>
      <c r="K1411" s="5">
        <f t="shared" ref="K1411:K1474" si="91">IF(J1411&lt;=1,1,0)</f>
        <v>0</v>
      </c>
      <c r="L1411" s="5">
        <v>0</v>
      </c>
      <c r="M1411" s="5">
        <v>0</v>
      </c>
      <c r="N1411" t="s">
        <v>9</v>
      </c>
      <c r="O1411" s="8">
        <v>26.786301369863015</v>
      </c>
      <c r="P1411" t="s">
        <v>34</v>
      </c>
      <c r="Q1411">
        <v>3</v>
      </c>
      <c r="R1411" s="2">
        <v>36126</v>
      </c>
    </row>
    <row r="1412" spans="1:18" x14ac:dyDescent="0.3">
      <c r="A1412" t="s">
        <v>7</v>
      </c>
      <c r="B1412">
        <v>18961776</v>
      </c>
      <c r="C1412" t="s">
        <v>8</v>
      </c>
      <c r="D1412" s="4">
        <v>45903</v>
      </c>
      <c r="E1412" s="11">
        <f t="shared" si="88"/>
        <v>2025</v>
      </c>
      <c r="F1412" s="11">
        <f t="shared" si="89"/>
        <v>9</v>
      </c>
      <c r="G1412" s="11" t="str">
        <f t="shared" si="90"/>
        <v>202509</v>
      </c>
      <c r="H1412" s="4">
        <v>46023</v>
      </c>
      <c r="I1412" s="5">
        <v>120</v>
      </c>
      <c r="J1412" s="5">
        <v>4</v>
      </c>
      <c r="K1412" s="5">
        <f t="shared" si="91"/>
        <v>0</v>
      </c>
      <c r="L1412" s="5">
        <v>0</v>
      </c>
      <c r="M1412" s="5">
        <v>1</v>
      </c>
      <c r="N1412" t="s">
        <v>9</v>
      </c>
      <c r="O1412" s="8">
        <v>18.539726027397261</v>
      </c>
      <c r="P1412" t="s">
        <v>32</v>
      </c>
      <c r="Q1412">
        <v>1</v>
      </c>
      <c r="R1412" s="2">
        <v>39136</v>
      </c>
    </row>
    <row r="1413" spans="1:18" x14ac:dyDescent="0.3">
      <c r="A1413" t="s">
        <v>7</v>
      </c>
      <c r="B1413">
        <v>18961777</v>
      </c>
      <c r="C1413" t="s">
        <v>10</v>
      </c>
      <c r="D1413" s="4">
        <v>45903</v>
      </c>
      <c r="E1413" s="11">
        <f t="shared" si="88"/>
        <v>2025</v>
      </c>
      <c r="F1413" s="11">
        <f t="shared" si="89"/>
        <v>9</v>
      </c>
      <c r="G1413" s="11" t="str">
        <f t="shared" si="90"/>
        <v>202509</v>
      </c>
      <c r="H1413" s="4">
        <v>46023</v>
      </c>
      <c r="I1413" s="5">
        <v>120</v>
      </c>
      <c r="J1413" s="5">
        <v>4</v>
      </c>
      <c r="K1413" s="5">
        <f t="shared" si="91"/>
        <v>0</v>
      </c>
      <c r="L1413" s="5">
        <v>0</v>
      </c>
      <c r="M1413" s="5">
        <v>1</v>
      </c>
      <c r="N1413" t="s">
        <v>9</v>
      </c>
      <c r="O1413" s="8">
        <v>21.115068493150684</v>
      </c>
      <c r="P1413" t="s">
        <v>33</v>
      </c>
      <c r="Q1413">
        <v>2</v>
      </c>
      <c r="R1413" s="2">
        <v>38196</v>
      </c>
    </row>
    <row r="1414" spans="1:18" x14ac:dyDescent="0.3">
      <c r="A1414" t="s">
        <v>7</v>
      </c>
      <c r="B1414">
        <v>18961794</v>
      </c>
      <c r="C1414" t="s">
        <v>8</v>
      </c>
      <c r="D1414" s="4">
        <v>45903</v>
      </c>
      <c r="E1414" s="11">
        <f t="shared" si="88"/>
        <v>2025</v>
      </c>
      <c r="F1414" s="11">
        <f t="shared" si="89"/>
        <v>9</v>
      </c>
      <c r="G1414" s="11" t="str">
        <f t="shared" si="90"/>
        <v>202509</v>
      </c>
      <c r="H1414" s="4">
        <v>45967</v>
      </c>
      <c r="I1414" s="5">
        <v>64</v>
      </c>
      <c r="J1414" s="5">
        <v>2.1333333333333333</v>
      </c>
      <c r="K1414" s="5">
        <f t="shared" si="91"/>
        <v>0</v>
      </c>
      <c r="L1414" s="5">
        <v>1</v>
      </c>
      <c r="M1414" s="5">
        <v>1</v>
      </c>
      <c r="N1414" t="s">
        <v>12</v>
      </c>
      <c r="O1414" s="8">
        <v>22.019178082191782</v>
      </c>
      <c r="P1414" t="s">
        <v>33</v>
      </c>
      <c r="Q1414">
        <v>2</v>
      </c>
      <c r="R1414" s="2">
        <v>37866</v>
      </c>
    </row>
    <row r="1415" spans="1:18" x14ac:dyDescent="0.3">
      <c r="A1415" t="s">
        <v>7</v>
      </c>
      <c r="B1415">
        <v>18961827</v>
      </c>
      <c r="C1415" t="s">
        <v>8</v>
      </c>
      <c r="D1415" s="4">
        <v>45903</v>
      </c>
      <c r="E1415" s="11">
        <f t="shared" si="88"/>
        <v>2025</v>
      </c>
      <c r="F1415" s="11">
        <f t="shared" si="89"/>
        <v>9</v>
      </c>
      <c r="G1415" s="11" t="str">
        <f t="shared" si="90"/>
        <v>202509</v>
      </c>
      <c r="H1415" s="4">
        <v>45964</v>
      </c>
      <c r="I1415" s="5">
        <v>61</v>
      </c>
      <c r="J1415" s="5">
        <v>2.0333333333333332</v>
      </c>
      <c r="K1415" s="5">
        <f t="shared" si="91"/>
        <v>0</v>
      </c>
      <c r="L1415" s="5">
        <v>1</v>
      </c>
      <c r="M1415" s="5">
        <v>1</v>
      </c>
      <c r="N1415" t="s">
        <v>12</v>
      </c>
      <c r="O1415" s="8">
        <v>19.038356164383561</v>
      </c>
      <c r="P1415" t="s">
        <v>32</v>
      </c>
      <c r="Q1415">
        <v>1</v>
      </c>
      <c r="R1415" s="2">
        <v>38954</v>
      </c>
    </row>
    <row r="1416" spans="1:18" x14ac:dyDescent="0.3">
      <c r="A1416" t="s">
        <v>7</v>
      </c>
      <c r="B1416">
        <v>18962082</v>
      </c>
      <c r="C1416" t="s">
        <v>8</v>
      </c>
      <c r="D1416" s="4">
        <v>45903</v>
      </c>
      <c r="E1416" s="11">
        <f t="shared" si="88"/>
        <v>2025</v>
      </c>
      <c r="F1416" s="11">
        <f t="shared" si="89"/>
        <v>9</v>
      </c>
      <c r="G1416" s="11" t="str">
        <f t="shared" si="90"/>
        <v>202509</v>
      </c>
      <c r="H1416" s="4">
        <v>46067</v>
      </c>
      <c r="I1416" s="5">
        <v>164</v>
      </c>
      <c r="J1416" s="5">
        <v>5.4666666666666668</v>
      </c>
      <c r="K1416" s="5">
        <f t="shared" si="91"/>
        <v>0</v>
      </c>
      <c r="L1416" s="5">
        <v>0</v>
      </c>
      <c r="M1416" s="5">
        <v>1</v>
      </c>
      <c r="N1416" t="s">
        <v>12</v>
      </c>
      <c r="O1416" s="8">
        <v>19.671232876712327</v>
      </c>
      <c r="P1416" t="s">
        <v>32</v>
      </c>
      <c r="Q1416">
        <v>1</v>
      </c>
      <c r="R1416" s="2">
        <v>38723</v>
      </c>
    </row>
    <row r="1417" spans="1:18" x14ac:dyDescent="0.3">
      <c r="A1417" t="s">
        <v>7</v>
      </c>
      <c r="B1417">
        <v>18962083</v>
      </c>
      <c r="C1417" t="s">
        <v>10</v>
      </c>
      <c r="D1417" s="4">
        <v>45903</v>
      </c>
      <c r="E1417" s="11">
        <f t="shared" si="88"/>
        <v>2025</v>
      </c>
      <c r="F1417" s="11">
        <f t="shared" si="89"/>
        <v>9</v>
      </c>
      <c r="G1417" s="11" t="str">
        <f t="shared" si="90"/>
        <v>202509</v>
      </c>
      <c r="H1417" s="4">
        <v>46081</v>
      </c>
      <c r="I1417" s="5">
        <v>178</v>
      </c>
      <c r="J1417" s="5">
        <v>5.9333333333333336</v>
      </c>
      <c r="K1417" s="5">
        <f t="shared" si="91"/>
        <v>0</v>
      </c>
      <c r="L1417" s="5">
        <v>0</v>
      </c>
      <c r="M1417" s="5">
        <v>1</v>
      </c>
      <c r="N1417" t="s">
        <v>9</v>
      </c>
      <c r="O1417" s="8">
        <v>18.526027397260275</v>
      </c>
      <c r="P1417" t="s">
        <v>32</v>
      </c>
      <c r="Q1417">
        <v>1</v>
      </c>
      <c r="R1417" s="2">
        <v>39141</v>
      </c>
    </row>
    <row r="1418" spans="1:18" x14ac:dyDescent="0.3">
      <c r="A1418" t="s">
        <v>7</v>
      </c>
      <c r="B1418">
        <v>18962090</v>
      </c>
      <c r="C1418" t="s">
        <v>10</v>
      </c>
      <c r="D1418" s="4">
        <v>45903</v>
      </c>
      <c r="E1418" s="11">
        <f t="shared" si="88"/>
        <v>2025</v>
      </c>
      <c r="F1418" s="11">
        <f t="shared" si="89"/>
        <v>9</v>
      </c>
      <c r="G1418" s="11" t="str">
        <f t="shared" si="90"/>
        <v>202509</v>
      </c>
      <c r="H1418" s="4">
        <v>46173</v>
      </c>
      <c r="I1418" s="5">
        <v>270</v>
      </c>
      <c r="J1418" s="5">
        <v>9</v>
      </c>
      <c r="K1418" s="5">
        <f t="shared" si="91"/>
        <v>0</v>
      </c>
      <c r="L1418" s="5">
        <v>0</v>
      </c>
      <c r="M1418" s="5">
        <v>0</v>
      </c>
      <c r="N1418" t="s">
        <v>9</v>
      </c>
      <c r="O1418" s="8">
        <v>23.342465753424658</v>
      </c>
      <c r="P1418" t="s">
        <v>33</v>
      </c>
      <c r="Q1418">
        <v>2</v>
      </c>
      <c r="R1418" s="2">
        <v>37383</v>
      </c>
    </row>
    <row r="1419" spans="1:18" x14ac:dyDescent="0.3">
      <c r="A1419" t="s">
        <v>7</v>
      </c>
      <c r="B1419">
        <v>18962120</v>
      </c>
      <c r="C1419" t="s">
        <v>10</v>
      </c>
      <c r="D1419" s="4">
        <v>45904</v>
      </c>
      <c r="E1419" s="11">
        <f t="shared" si="88"/>
        <v>2025</v>
      </c>
      <c r="F1419" s="11">
        <f t="shared" si="89"/>
        <v>9</v>
      </c>
      <c r="G1419" s="11" t="str">
        <f t="shared" si="90"/>
        <v>202509</v>
      </c>
      <c r="I1419" s="5">
        <v>9999</v>
      </c>
      <c r="J1419" s="5">
        <v>333.3</v>
      </c>
      <c r="K1419" s="5">
        <f t="shared" si="91"/>
        <v>0</v>
      </c>
      <c r="L1419" s="5">
        <v>0</v>
      </c>
      <c r="M1419" s="5">
        <v>0</v>
      </c>
      <c r="N1419" t="s">
        <v>12</v>
      </c>
      <c r="O1419" s="8">
        <v>20.717808219178082</v>
      </c>
      <c r="P1419" t="s">
        <v>32</v>
      </c>
      <c r="Q1419">
        <v>1</v>
      </c>
      <c r="R1419" s="2">
        <v>38342</v>
      </c>
    </row>
    <row r="1420" spans="1:18" x14ac:dyDescent="0.3">
      <c r="A1420" t="s">
        <v>7</v>
      </c>
      <c r="B1420">
        <v>18962121</v>
      </c>
      <c r="C1420" t="s">
        <v>8</v>
      </c>
      <c r="D1420" s="4">
        <v>45904</v>
      </c>
      <c r="E1420" s="11">
        <f t="shared" si="88"/>
        <v>2025</v>
      </c>
      <c r="F1420" s="11">
        <f t="shared" si="89"/>
        <v>9</v>
      </c>
      <c r="G1420" s="11" t="str">
        <f t="shared" si="90"/>
        <v>202509</v>
      </c>
      <c r="H1420" s="4">
        <v>46127</v>
      </c>
      <c r="I1420" s="5">
        <v>223</v>
      </c>
      <c r="J1420" s="5">
        <v>7.4333333333333336</v>
      </c>
      <c r="K1420" s="5">
        <f t="shared" si="91"/>
        <v>0</v>
      </c>
      <c r="L1420" s="5">
        <v>0</v>
      </c>
      <c r="M1420" s="5">
        <v>0</v>
      </c>
      <c r="N1420" t="s">
        <v>12</v>
      </c>
      <c r="O1420" s="8">
        <v>19.416438356164385</v>
      </c>
      <c r="P1420" t="s">
        <v>32</v>
      </c>
      <c r="Q1420">
        <v>1</v>
      </c>
      <c r="R1420" s="2">
        <v>38817</v>
      </c>
    </row>
    <row r="1421" spans="1:18" x14ac:dyDescent="0.3">
      <c r="A1421" t="s">
        <v>7</v>
      </c>
      <c r="B1421">
        <v>18962130</v>
      </c>
      <c r="C1421" t="s">
        <v>8</v>
      </c>
      <c r="D1421" s="4">
        <v>45904</v>
      </c>
      <c r="E1421" s="11">
        <f t="shared" si="88"/>
        <v>2025</v>
      </c>
      <c r="F1421" s="11">
        <f t="shared" si="89"/>
        <v>9</v>
      </c>
      <c r="G1421" s="11" t="str">
        <f t="shared" si="90"/>
        <v>202509</v>
      </c>
      <c r="I1421" s="5">
        <v>9999</v>
      </c>
      <c r="J1421" s="5">
        <v>333.3</v>
      </c>
      <c r="K1421" s="5">
        <f t="shared" si="91"/>
        <v>0</v>
      </c>
      <c r="L1421" s="5">
        <v>0</v>
      </c>
      <c r="M1421" s="5">
        <v>0</v>
      </c>
      <c r="N1421" t="s">
        <v>12</v>
      </c>
      <c r="O1421" s="8">
        <v>20.13150684931507</v>
      </c>
      <c r="P1421" t="s">
        <v>32</v>
      </c>
      <c r="Q1421">
        <v>1</v>
      </c>
      <c r="R1421" s="2">
        <v>38556</v>
      </c>
    </row>
    <row r="1422" spans="1:18" x14ac:dyDescent="0.3">
      <c r="A1422" t="s">
        <v>7</v>
      </c>
      <c r="B1422">
        <v>18962217</v>
      </c>
      <c r="C1422" t="s">
        <v>8</v>
      </c>
      <c r="D1422" s="4">
        <v>45904</v>
      </c>
      <c r="E1422" s="11">
        <f t="shared" si="88"/>
        <v>2025</v>
      </c>
      <c r="F1422" s="11">
        <f t="shared" si="89"/>
        <v>9</v>
      </c>
      <c r="G1422" s="11" t="str">
        <f t="shared" si="90"/>
        <v>202509</v>
      </c>
      <c r="H1422" s="4">
        <v>46153</v>
      </c>
      <c r="I1422" s="5">
        <v>249</v>
      </c>
      <c r="J1422" s="5">
        <v>8.3000000000000007</v>
      </c>
      <c r="K1422" s="5">
        <f t="shared" si="91"/>
        <v>0</v>
      </c>
      <c r="L1422" s="5">
        <v>0</v>
      </c>
      <c r="M1422" s="5">
        <v>0</v>
      </c>
      <c r="N1422" t="s">
        <v>9</v>
      </c>
      <c r="O1422" s="8">
        <v>28.024657534246575</v>
      </c>
      <c r="P1422" t="s">
        <v>34</v>
      </c>
      <c r="Q1422">
        <v>3</v>
      </c>
      <c r="R1422" s="2">
        <v>35675</v>
      </c>
    </row>
    <row r="1423" spans="1:18" x14ac:dyDescent="0.3">
      <c r="A1423" t="s">
        <v>7</v>
      </c>
      <c r="B1423">
        <v>18962450</v>
      </c>
      <c r="C1423" t="s">
        <v>8</v>
      </c>
      <c r="D1423" s="4">
        <v>45905</v>
      </c>
      <c r="E1423" s="11">
        <f t="shared" si="88"/>
        <v>2025</v>
      </c>
      <c r="F1423" s="11">
        <f t="shared" si="89"/>
        <v>9</v>
      </c>
      <c r="G1423" s="11" t="str">
        <f t="shared" si="90"/>
        <v>202509</v>
      </c>
      <c r="H1423" s="4">
        <v>46012</v>
      </c>
      <c r="I1423" s="5">
        <v>107</v>
      </c>
      <c r="J1423" s="5">
        <v>3.5666666666666669</v>
      </c>
      <c r="K1423" s="5">
        <f t="shared" si="91"/>
        <v>0</v>
      </c>
      <c r="L1423" s="5">
        <v>0</v>
      </c>
      <c r="M1423" s="5">
        <v>1</v>
      </c>
      <c r="N1423" t="s">
        <v>9</v>
      </c>
      <c r="O1423" s="8">
        <v>22.783561643835615</v>
      </c>
      <c r="P1423" t="s">
        <v>33</v>
      </c>
      <c r="Q1423">
        <v>2</v>
      </c>
      <c r="R1423" s="2">
        <v>37589</v>
      </c>
    </row>
    <row r="1424" spans="1:18" x14ac:dyDescent="0.3">
      <c r="A1424" t="s">
        <v>7</v>
      </c>
      <c r="B1424">
        <v>18962451</v>
      </c>
      <c r="C1424" t="s">
        <v>8</v>
      </c>
      <c r="D1424" s="4">
        <v>45905</v>
      </c>
      <c r="E1424" s="11">
        <f t="shared" si="88"/>
        <v>2025</v>
      </c>
      <c r="F1424" s="11">
        <f t="shared" si="89"/>
        <v>9</v>
      </c>
      <c r="G1424" s="11" t="str">
        <f t="shared" si="90"/>
        <v>202509</v>
      </c>
      <c r="I1424" s="5">
        <v>9999</v>
      </c>
      <c r="J1424" s="5">
        <v>333.3</v>
      </c>
      <c r="K1424" s="5">
        <f t="shared" si="91"/>
        <v>0</v>
      </c>
      <c r="L1424" s="5">
        <v>0</v>
      </c>
      <c r="M1424" s="5">
        <v>0</v>
      </c>
      <c r="N1424" t="s">
        <v>9</v>
      </c>
      <c r="O1424" s="8">
        <v>46.479452054794521</v>
      </c>
      <c r="P1424" t="s">
        <v>35</v>
      </c>
      <c r="Q1424">
        <v>4</v>
      </c>
      <c r="R1424" s="2">
        <v>28940</v>
      </c>
    </row>
    <row r="1425" spans="1:18" x14ac:dyDescent="0.3">
      <c r="A1425" t="s">
        <v>7</v>
      </c>
      <c r="B1425">
        <v>18962475</v>
      </c>
      <c r="C1425" t="s">
        <v>8</v>
      </c>
      <c r="D1425" s="4">
        <v>45905</v>
      </c>
      <c r="E1425" s="11">
        <f t="shared" si="88"/>
        <v>2025</v>
      </c>
      <c r="F1425" s="11">
        <f t="shared" si="89"/>
        <v>9</v>
      </c>
      <c r="G1425" s="11" t="str">
        <f t="shared" si="90"/>
        <v>202509</v>
      </c>
      <c r="H1425" s="4">
        <v>46081</v>
      </c>
      <c r="I1425" s="5">
        <v>176</v>
      </c>
      <c r="J1425" s="5">
        <v>5.8666666666666663</v>
      </c>
      <c r="K1425" s="5">
        <f t="shared" si="91"/>
        <v>0</v>
      </c>
      <c r="L1425" s="5">
        <v>0</v>
      </c>
      <c r="M1425" s="5">
        <v>1</v>
      </c>
      <c r="N1425" t="s">
        <v>9</v>
      </c>
      <c r="O1425" s="8">
        <v>29.010958904109589</v>
      </c>
      <c r="P1425" t="s">
        <v>34</v>
      </c>
      <c r="Q1425">
        <v>3</v>
      </c>
      <c r="R1425" s="2">
        <v>35316</v>
      </c>
    </row>
    <row r="1426" spans="1:18" x14ac:dyDescent="0.3">
      <c r="A1426" t="s">
        <v>7</v>
      </c>
      <c r="B1426">
        <v>18962529</v>
      </c>
      <c r="C1426" t="s">
        <v>10</v>
      </c>
      <c r="D1426" s="4">
        <v>45905</v>
      </c>
      <c r="E1426" s="11">
        <f t="shared" si="88"/>
        <v>2025</v>
      </c>
      <c r="F1426" s="11">
        <f t="shared" si="89"/>
        <v>9</v>
      </c>
      <c r="G1426" s="11" t="str">
        <f t="shared" si="90"/>
        <v>202509</v>
      </c>
      <c r="I1426" s="5">
        <v>9999</v>
      </c>
      <c r="J1426" s="5">
        <v>333.3</v>
      </c>
      <c r="K1426" s="5">
        <f t="shared" si="91"/>
        <v>0</v>
      </c>
      <c r="L1426" s="5">
        <v>0</v>
      </c>
      <c r="M1426" s="5">
        <v>0</v>
      </c>
      <c r="N1426" t="s">
        <v>12</v>
      </c>
      <c r="O1426" s="8">
        <v>21.13150684931507</v>
      </c>
      <c r="P1426" t="s">
        <v>33</v>
      </c>
      <c r="Q1426">
        <v>2</v>
      </c>
      <c r="R1426" s="2">
        <v>38192</v>
      </c>
    </row>
    <row r="1427" spans="1:18" x14ac:dyDescent="0.3">
      <c r="A1427" t="s">
        <v>7</v>
      </c>
      <c r="B1427">
        <v>18962763</v>
      </c>
      <c r="C1427" t="s">
        <v>10</v>
      </c>
      <c r="D1427" s="4">
        <v>45905</v>
      </c>
      <c r="E1427" s="11">
        <f t="shared" si="88"/>
        <v>2025</v>
      </c>
      <c r="F1427" s="11">
        <f t="shared" si="89"/>
        <v>9</v>
      </c>
      <c r="G1427" s="11" t="str">
        <f t="shared" si="90"/>
        <v>202509</v>
      </c>
      <c r="I1427" s="5">
        <v>9999</v>
      </c>
      <c r="J1427" s="5">
        <v>333.3</v>
      </c>
      <c r="K1427" s="5">
        <f t="shared" si="91"/>
        <v>0</v>
      </c>
      <c r="L1427" s="5">
        <v>0</v>
      </c>
      <c r="M1427" s="5">
        <v>0</v>
      </c>
      <c r="N1427" t="s">
        <v>12</v>
      </c>
      <c r="O1427" s="8">
        <v>21.701369863013699</v>
      </c>
      <c r="P1427" t="s">
        <v>33</v>
      </c>
      <c r="Q1427">
        <v>2</v>
      </c>
      <c r="R1427" s="2">
        <v>37984</v>
      </c>
    </row>
    <row r="1428" spans="1:18" x14ac:dyDescent="0.3">
      <c r="A1428" t="s">
        <v>7</v>
      </c>
      <c r="B1428">
        <v>18962797</v>
      </c>
      <c r="C1428" t="s">
        <v>8</v>
      </c>
      <c r="D1428" s="4">
        <v>45906</v>
      </c>
      <c r="E1428" s="11">
        <f t="shared" si="88"/>
        <v>2025</v>
      </c>
      <c r="F1428" s="11">
        <f t="shared" si="89"/>
        <v>9</v>
      </c>
      <c r="G1428" s="11" t="str">
        <f t="shared" si="90"/>
        <v>202509</v>
      </c>
      <c r="H1428" s="4">
        <v>45912</v>
      </c>
      <c r="I1428" s="5">
        <v>6</v>
      </c>
      <c r="J1428" s="5">
        <v>0.2</v>
      </c>
      <c r="K1428" s="5">
        <f t="shared" si="91"/>
        <v>1</v>
      </c>
      <c r="L1428" s="5">
        <v>1</v>
      </c>
      <c r="M1428" s="5">
        <v>1</v>
      </c>
      <c r="N1428" t="s">
        <v>9</v>
      </c>
      <c r="O1428" s="8">
        <v>22.254794520547946</v>
      </c>
      <c r="P1428" t="s">
        <v>33</v>
      </c>
      <c r="Q1428">
        <v>2</v>
      </c>
      <c r="R1428" s="2">
        <v>37783</v>
      </c>
    </row>
    <row r="1429" spans="1:18" x14ac:dyDescent="0.3">
      <c r="A1429" t="s">
        <v>7</v>
      </c>
      <c r="B1429">
        <v>18962871</v>
      </c>
      <c r="C1429" t="s">
        <v>10</v>
      </c>
      <c r="D1429" s="4">
        <v>45905</v>
      </c>
      <c r="E1429" s="11">
        <f t="shared" si="88"/>
        <v>2025</v>
      </c>
      <c r="F1429" s="11">
        <f t="shared" si="89"/>
        <v>9</v>
      </c>
      <c r="G1429" s="11" t="str">
        <f t="shared" si="90"/>
        <v>202509</v>
      </c>
      <c r="I1429" s="5">
        <v>9999</v>
      </c>
      <c r="J1429" s="5">
        <v>333.3</v>
      </c>
      <c r="K1429" s="5">
        <f t="shared" si="91"/>
        <v>0</v>
      </c>
      <c r="L1429" s="5">
        <v>0</v>
      </c>
      <c r="M1429" s="5">
        <v>0</v>
      </c>
      <c r="N1429" t="s">
        <v>12</v>
      </c>
      <c r="O1429" s="8">
        <v>20.490410958904111</v>
      </c>
      <c r="P1429" t="s">
        <v>32</v>
      </c>
      <c r="Q1429">
        <v>1</v>
      </c>
      <c r="R1429" s="2">
        <v>38426</v>
      </c>
    </row>
    <row r="1430" spans="1:18" x14ac:dyDescent="0.3">
      <c r="A1430" t="s">
        <v>7</v>
      </c>
      <c r="B1430">
        <v>18962872</v>
      </c>
      <c r="C1430" t="s">
        <v>8</v>
      </c>
      <c r="D1430" s="4">
        <v>45905</v>
      </c>
      <c r="E1430" s="11">
        <f t="shared" si="88"/>
        <v>2025</v>
      </c>
      <c r="F1430" s="11">
        <f t="shared" si="89"/>
        <v>9</v>
      </c>
      <c r="G1430" s="11" t="str">
        <f t="shared" si="90"/>
        <v>202509</v>
      </c>
      <c r="H1430" s="4">
        <v>46142</v>
      </c>
      <c r="I1430" s="5">
        <v>237</v>
      </c>
      <c r="J1430" s="5">
        <v>7.9</v>
      </c>
      <c r="K1430" s="5">
        <f t="shared" si="91"/>
        <v>0</v>
      </c>
      <c r="L1430" s="5">
        <v>0</v>
      </c>
      <c r="M1430" s="5">
        <v>0</v>
      </c>
      <c r="N1430" t="s">
        <v>12</v>
      </c>
      <c r="O1430" s="8">
        <v>26.304109589041097</v>
      </c>
      <c r="P1430" t="s">
        <v>34</v>
      </c>
      <c r="Q1430">
        <v>3</v>
      </c>
      <c r="R1430" s="2">
        <v>36304</v>
      </c>
    </row>
    <row r="1431" spans="1:18" x14ac:dyDescent="0.3">
      <c r="A1431" t="s">
        <v>7</v>
      </c>
      <c r="B1431">
        <v>18962895</v>
      </c>
      <c r="C1431" t="s">
        <v>8</v>
      </c>
      <c r="D1431" s="4">
        <v>45905</v>
      </c>
      <c r="E1431" s="11">
        <f t="shared" si="88"/>
        <v>2025</v>
      </c>
      <c r="F1431" s="11">
        <f t="shared" si="89"/>
        <v>9</v>
      </c>
      <c r="G1431" s="11" t="str">
        <f t="shared" si="90"/>
        <v>202509</v>
      </c>
      <c r="H1431" s="4">
        <v>46145</v>
      </c>
      <c r="I1431" s="5">
        <v>240</v>
      </c>
      <c r="J1431" s="5">
        <v>8</v>
      </c>
      <c r="K1431" s="5">
        <f t="shared" si="91"/>
        <v>0</v>
      </c>
      <c r="L1431" s="5">
        <v>0</v>
      </c>
      <c r="M1431" s="5">
        <v>0</v>
      </c>
      <c r="N1431" t="s">
        <v>12</v>
      </c>
      <c r="O1431" s="8">
        <v>21.175342465753424</v>
      </c>
      <c r="P1431" t="s">
        <v>33</v>
      </c>
      <c r="Q1431">
        <v>2</v>
      </c>
      <c r="R1431" s="2">
        <v>38176</v>
      </c>
    </row>
    <row r="1432" spans="1:18" x14ac:dyDescent="0.3">
      <c r="A1432" t="s">
        <v>7</v>
      </c>
      <c r="B1432">
        <v>18962987</v>
      </c>
      <c r="C1432" t="s">
        <v>10</v>
      </c>
      <c r="D1432" s="4">
        <v>45905</v>
      </c>
      <c r="E1432" s="11">
        <f t="shared" si="88"/>
        <v>2025</v>
      </c>
      <c r="F1432" s="11">
        <f t="shared" si="89"/>
        <v>9</v>
      </c>
      <c r="G1432" s="11" t="str">
        <f t="shared" si="90"/>
        <v>202509</v>
      </c>
      <c r="I1432" s="5">
        <v>9999</v>
      </c>
      <c r="J1432" s="5">
        <v>333.3</v>
      </c>
      <c r="K1432" s="5">
        <f t="shared" si="91"/>
        <v>0</v>
      </c>
      <c r="L1432" s="5">
        <v>0</v>
      </c>
      <c r="M1432" s="5">
        <v>0</v>
      </c>
      <c r="N1432" t="s">
        <v>9</v>
      </c>
      <c r="O1432" s="8">
        <v>20.145205479452056</v>
      </c>
      <c r="P1432" t="s">
        <v>32</v>
      </c>
      <c r="Q1432">
        <v>1</v>
      </c>
      <c r="R1432" s="2">
        <v>38552</v>
      </c>
    </row>
    <row r="1433" spans="1:18" x14ac:dyDescent="0.3">
      <c r="A1433" t="s">
        <v>7</v>
      </c>
      <c r="B1433">
        <v>18962990</v>
      </c>
      <c r="C1433" t="s">
        <v>8</v>
      </c>
      <c r="D1433" s="4">
        <v>45905</v>
      </c>
      <c r="E1433" s="11">
        <f t="shared" si="88"/>
        <v>2025</v>
      </c>
      <c r="F1433" s="11">
        <f t="shared" si="89"/>
        <v>9</v>
      </c>
      <c r="G1433" s="11" t="str">
        <f t="shared" si="90"/>
        <v>202509</v>
      </c>
      <c r="H1433" s="4">
        <v>45912</v>
      </c>
      <c r="I1433" s="5">
        <v>7</v>
      </c>
      <c r="J1433" s="5">
        <v>0.23333333333333334</v>
      </c>
      <c r="K1433" s="5">
        <f t="shared" si="91"/>
        <v>1</v>
      </c>
      <c r="L1433" s="5">
        <v>1</v>
      </c>
      <c r="M1433" s="5">
        <v>1</v>
      </c>
      <c r="N1433" t="s">
        <v>9</v>
      </c>
      <c r="O1433" s="8">
        <v>20.328767123287673</v>
      </c>
      <c r="P1433" t="s">
        <v>32</v>
      </c>
      <c r="Q1433">
        <v>1</v>
      </c>
      <c r="R1433" s="2">
        <v>38485</v>
      </c>
    </row>
    <row r="1434" spans="1:18" x14ac:dyDescent="0.3">
      <c r="A1434" t="s">
        <v>7</v>
      </c>
      <c r="B1434">
        <v>18962996</v>
      </c>
      <c r="C1434" t="s">
        <v>8</v>
      </c>
      <c r="D1434" s="4">
        <v>45905</v>
      </c>
      <c r="E1434" s="11">
        <f t="shared" si="88"/>
        <v>2025</v>
      </c>
      <c r="F1434" s="11">
        <f t="shared" si="89"/>
        <v>9</v>
      </c>
      <c r="G1434" s="11" t="str">
        <f t="shared" si="90"/>
        <v>202509</v>
      </c>
      <c r="H1434" s="4">
        <v>46024</v>
      </c>
      <c r="I1434" s="5">
        <v>119</v>
      </c>
      <c r="J1434" s="5">
        <v>3.9666666666666668</v>
      </c>
      <c r="K1434" s="5">
        <f t="shared" si="91"/>
        <v>0</v>
      </c>
      <c r="L1434" s="5">
        <v>0</v>
      </c>
      <c r="M1434" s="5">
        <v>1</v>
      </c>
      <c r="N1434" t="s">
        <v>9</v>
      </c>
      <c r="O1434" s="8">
        <v>22.246575342465754</v>
      </c>
      <c r="P1434" t="s">
        <v>33</v>
      </c>
      <c r="Q1434">
        <v>2</v>
      </c>
      <c r="R1434" s="2">
        <v>37785</v>
      </c>
    </row>
    <row r="1435" spans="1:18" x14ac:dyDescent="0.3">
      <c r="A1435" t="s">
        <v>7</v>
      </c>
      <c r="B1435">
        <v>18963001</v>
      </c>
      <c r="C1435" t="s">
        <v>8</v>
      </c>
      <c r="D1435" s="4">
        <v>45905</v>
      </c>
      <c r="E1435" s="11">
        <f t="shared" si="88"/>
        <v>2025</v>
      </c>
      <c r="F1435" s="11">
        <f t="shared" si="89"/>
        <v>9</v>
      </c>
      <c r="G1435" s="11" t="str">
        <f t="shared" si="90"/>
        <v>202509</v>
      </c>
      <c r="I1435" s="5">
        <v>9999</v>
      </c>
      <c r="J1435" s="5">
        <v>333.3</v>
      </c>
      <c r="K1435" s="5">
        <f t="shared" si="91"/>
        <v>0</v>
      </c>
      <c r="L1435" s="5">
        <v>0</v>
      </c>
      <c r="M1435" s="5">
        <v>0</v>
      </c>
      <c r="N1435" t="s">
        <v>9</v>
      </c>
      <c r="O1435" s="8">
        <v>19.942465753424656</v>
      </c>
      <c r="P1435" t="s">
        <v>32</v>
      </c>
      <c r="Q1435">
        <v>1</v>
      </c>
      <c r="R1435" s="2">
        <v>38626</v>
      </c>
    </row>
    <row r="1436" spans="1:18" x14ac:dyDescent="0.3">
      <c r="A1436" t="s">
        <v>7</v>
      </c>
      <c r="B1436">
        <v>18963005</v>
      </c>
      <c r="C1436" t="s">
        <v>10</v>
      </c>
      <c r="D1436" s="4">
        <v>45906</v>
      </c>
      <c r="E1436" s="11">
        <f t="shared" si="88"/>
        <v>2025</v>
      </c>
      <c r="F1436" s="11">
        <f t="shared" si="89"/>
        <v>9</v>
      </c>
      <c r="G1436" s="11" t="str">
        <f t="shared" si="90"/>
        <v>202509</v>
      </c>
      <c r="I1436" s="5">
        <v>9999</v>
      </c>
      <c r="J1436" s="5">
        <v>333.3</v>
      </c>
      <c r="K1436" s="5">
        <f t="shared" si="91"/>
        <v>0</v>
      </c>
      <c r="L1436" s="5">
        <v>0</v>
      </c>
      <c r="M1436" s="5">
        <v>0</v>
      </c>
      <c r="N1436" t="s">
        <v>9</v>
      </c>
      <c r="O1436" s="8">
        <v>20.967123287671232</v>
      </c>
      <c r="P1436" t="s">
        <v>32</v>
      </c>
      <c r="Q1436">
        <v>1</v>
      </c>
      <c r="R1436" s="2">
        <v>38253</v>
      </c>
    </row>
    <row r="1437" spans="1:18" x14ac:dyDescent="0.3">
      <c r="A1437" t="s">
        <v>7</v>
      </c>
      <c r="B1437">
        <v>18963089</v>
      </c>
      <c r="C1437" t="s">
        <v>8</v>
      </c>
      <c r="D1437" s="4">
        <v>45908</v>
      </c>
      <c r="E1437" s="11">
        <f t="shared" si="88"/>
        <v>2025</v>
      </c>
      <c r="F1437" s="11">
        <f t="shared" si="89"/>
        <v>9</v>
      </c>
      <c r="G1437" s="11" t="str">
        <f t="shared" si="90"/>
        <v>202509</v>
      </c>
      <c r="H1437" s="4">
        <v>46038</v>
      </c>
      <c r="I1437" s="5">
        <v>130</v>
      </c>
      <c r="J1437" s="5">
        <v>4.333333333333333</v>
      </c>
      <c r="K1437" s="5">
        <f t="shared" si="91"/>
        <v>0</v>
      </c>
      <c r="L1437" s="5">
        <v>0</v>
      </c>
      <c r="M1437" s="5">
        <v>1</v>
      </c>
      <c r="N1437" t="s">
        <v>9</v>
      </c>
      <c r="O1437" s="8">
        <v>18.235616438356164</v>
      </c>
      <c r="P1437" t="s">
        <v>32</v>
      </c>
      <c r="Q1437">
        <v>1</v>
      </c>
      <c r="R1437" s="2">
        <v>39252</v>
      </c>
    </row>
    <row r="1438" spans="1:18" x14ac:dyDescent="0.3">
      <c r="A1438" t="s">
        <v>7</v>
      </c>
      <c r="B1438">
        <v>18963828</v>
      </c>
      <c r="C1438" t="s">
        <v>8</v>
      </c>
      <c r="D1438" s="4">
        <v>45909</v>
      </c>
      <c r="E1438" s="11">
        <f t="shared" si="88"/>
        <v>2025</v>
      </c>
      <c r="F1438" s="11">
        <f t="shared" si="89"/>
        <v>9</v>
      </c>
      <c r="G1438" s="11" t="str">
        <f t="shared" si="90"/>
        <v>202509</v>
      </c>
      <c r="H1438" s="4">
        <v>46054</v>
      </c>
      <c r="I1438" s="5">
        <v>145</v>
      </c>
      <c r="J1438" s="5">
        <v>4.833333333333333</v>
      </c>
      <c r="K1438" s="5">
        <f t="shared" si="91"/>
        <v>0</v>
      </c>
      <c r="L1438" s="5">
        <v>0</v>
      </c>
      <c r="M1438" s="5">
        <v>1</v>
      </c>
      <c r="N1438" t="s">
        <v>9</v>
      </c>
      <c r="O1438" s="8">
        <v>19.279452054794522</v>
      </c>
      <c r="P1438" t="s">
        <v>32</v>
      </c>
      <c r="Q1438">
        <v>1</v>
      </c>
      <c r="R1438" s="2">
        <v>38872</v>
      </c>
    </row>
    <row r="1439" spans="1:18" x14ac:dyDescent="0.3">
      <c r="A1439" t="s">
        <v>7</v>
      </c>
      <c r="B1439">
        <v>18963867</v>
      </c>
      <c r="C1439" t="s">
        <v>10</v>
      </c>
      <c r="D1439" s="4">
        <v>45909</v>
      </c>
      <c r="E1439" s="11">
        <f t="shared" si="88"/>
        <v>2025</v>
      </c>
      <c r="F1439" s="11">
        <f t="shared" si="89"/>
        <v>9</v>
      </c>
      <c r="G1439" s="11" t="str">
        <f t="shared" si="90"/>
        <v>202509</v>
      </c>
      <c r="H1439" s="4">
        <v>46023</v>
      </c>
      <c r="I1439" s="5">
        <v>114</v>
      </c>
      <c r="J1439" s="5">
        <v>3.8</v>
      </c>
      <c r="K1439" s="5">
        <f t="shared" si="91"/>
        <v>0</v>
      </c>
      <c r="L1439" s="5">
        <v>0</v>
      </c>
      <c r="M1439" s="5">
        <v>1</v>
      </c>
      <c r="N1439" t="s">
        <v>9</v>
      </c>
      <c r="O1439" s="8">
        <v>18.775342465753425</v>
      </c>
      <c r="P1439" t="s">
        <v>32</v>
      </c>
      <c r="Q1439">
        <v>1</v>
      </c>
      <c r="R1439" s="2">
        <v>39056</v>
      </c>
    </row>
    <row r="1440" spans="1:18" x14ac:dyDescent="0.3">
      <c r="A1440" t="s">
        <v>7</v>
      </c>
      <c r="B1440">
        <v>18963883</v>
      </c>
      <c r="C1440" t="s">
        <v>8</v>
      </c>
      <c r="D1440" s="4">
        <v>45909</v>
      </c>
      <c r="E1440" s="11">
        <f t="shared" si="88"/>
        <v>2025</v>
      </c>
      <c r="F1440" s="11">
        <f t="shared" si="89"/>
        <v>9</v>
      </c>
      <c r="G1440" s="11" t="str">
        <f t="shared" si="90"/>
        <v>202509</v>
      </c>
      <c r="H1440" s="4">
        <v>46048</v>
      </c>
      <c r="I1440" s="5">
        <v>139</v>
      </c>
      <c r="J1440" s="5">
        <v>4.6333333333333337</v>
      </c>
      <c r="K1440" s="5">
        <f t="shared" si="91"/>
        <v>0</v>
      </c>
      <c r="L1440" s="5">
        <v>0</v>
      </c>
      <c r="M1440" s="5">
        <v>1</v>
      </c>
      <c r="N1440" t="s">
        <v>9</v>
      </c>
      <c r="O1440" s="8">
        <v>19.534246575342465</v>
      </c>
      <c r="P1440" t="s">
        <v>32</v>
      </c>
      <c r="Q1440">
        <v>1</v>
      </c>
      <c r="R1440" s="2">
        <v>38779</v>
      </c>
    </row>
    <row r="1441" spans="1:18" x14ac:dyDescent="0.3">
      <c r="A1441" t="s">
        <v>7</v>
      </c>
      <c r="B1441">
        <v>18963884</v>
      </c>
      <c r="C1441" t="s">
        <v>10</v>
      </c>
      <c r="D1441" s="4">
        <v>45909</v>
      </c>
      <c r="E1441" s="11">
        <f t="shared" si="88"/>
        <v>2025</v>
      </c>
      <c r="F1441" s="11">
        <f t="shared" si="89"/>
        <v>9</v>
      </c>
      <c r="G1441" s="11" t="str">
        <f t="shared" si="90"/>
        <v>202509</v>
      </c>
      <c r="H1441" s="4">
        <v>46081</v>
      </c>
      <c r="I1441" s="5">
        <v>172</v>
      </c>
      <c r="J1441" s="5">
        <v>5.7333333333333334</v>
      </c>
      <c r="K1441" s="5">
        <f t="shared" si="91"/>
        <v>0</v>
      </c>
      <c r="L1441" s="5">
        <v>0</v>
      </c>
      <c r="M1441" s="5">
        <v>1</v>
      </c>
      <c r="N1441" t="s">
        <v>9</v>
      </c>
      <c r="O1441" s="8">
        <v>19.421917808219177</v>
      </c>
      <c r="P1441" t="s">
        <v>32</v>
      </c>
      <c r="Q1441">
        <v>1</v>
      </c>
      <c r="R1441" s="2">
        <v>38820</v>
      </c>
    </row>
    <row r="1442" spans="1:18" x14ac:dyDescent="0.3">
      <c r="A1442" t="s">
        <v>7</v>
      </c>
      <c r="B1442">
        <v>18963886</v>
      </c>
      <c r="C1442" t="s">
        <v>8</v>
      </c>
      <c r="D1442" s="4">
        <v>45909</v>
      </c>
      <c r="E1442" s="11">
        <f t="shared" si="88"/>
        <v>2025</v>
      </c>
      <c r="F1442" s="11">
        <f t="shared" si="89"/>
        <v>9</v>
      </c>
      <c r="G1442" s="11" t="str">
        <f t="shared" si="90"/>
        <v>202509</v>
      </c>
      <c r="H1442" s="4">
        <v>45930</v>
      </c>
      <c r="I1442" s="5">
        <v>21</v>
      </c>
      <c r="J1442" s="5">
        <v>0.7</v>
      </c>
      <c r="K1442" s="5">
        <f t="shared" si="91"/>
        <v>1</v>
      </c>
      <c r="L1442" s="5">
        <v>1</v>
      </c>
      <c r="M1442" s="5">
        <v>1</v>
      </c>
      <c r="N1442" t="s">
        <v>9</v>
      </c>
      <c r="O1442" s="8">
        <v>24.331506849315069</v>
      </c>
      <c r="P1442" t="s">
        <v>33</v>
      </c>
      <c r="Q1442">
        <v>2</v>
      </c>
      <c r="R1442" s="2">
        <v>37028</v>
      </c>
    </row>
    <row r="1443" spans="1:18" x14ac:dyDescent="0.3">
      <c r="A1443" t="s">
        <v>7</v>
      </c>
      <c r="B1443">
        <v>18963893</v>
      </c>
      <c r="C1443" t="s">
        <v>8</v>
      </c>
      <c r="D1443" s="4">
        <v>45909</v>
      </c>
      <c r="E1443" s="11">
        <f t="shared" si="88"/>
        <v>2025</v>
      </c>
      <c r="F1443" s="11">
        <f t="shared" si="89"/>
        <v>9</v>
      </c>
      <c r="G1443" s="11" t="str">
        <f t="shared" si="90"/>
        <v>202509</v>
      </c>
      <c r="H1443" s="4">
        <v>46023</v>
      </c>
      <c r="I1443" s="5">
        <v>114</v>
      </c>
      <c r="J1443" s="5">
        <v>3.8</v>
      </c>
      <c r="K1443" s="5">
        <f t="shared" si="91"/>
        <v>0</v>
      </c>
      <c r="L1443" s="5">
        <v>0</v>
      </c>
      <c r="M1443" s="5">
        <v>1</v>
      </c>
      <c r="N1443" t="s">
        <v>9</v>
      </c>
      <c r="O1443" s="8">
        <v>25.049315068493151</v>
      </c>
      <c r="P1443" t="s">
        <v>33</v>
      </c>
      <c r="Q1443">
        <v>2</v>
      </c>
      <c r="R1443" s="2">
        <v>36766</v>
      </c>
    </row>
    <row r="1444" spans="1:18" x14ac:dyDescent="0.3">
      <c r="A1444" t="s">
        <v>11</v>
      </c>
      <c r="B1444">
        <v>18963894</v>
      </c>
      <c r="C1444" t="s">
        <v>10</v>
      </c>
      <c r="D1444" s="4">
        <v>45909</v>
      </c>
      <c r="E1444" s="11">
        <f t="shared" si="88"/>
        <v>2025</v>
      </c>
      <c r="F1444" s="11">
        <f t="shared" si="89"/>
        <v>9</v>
      </c>
      <c r="G1444" s="11" t="str">
        <f t="shared" si="90"/>
        <v>202509</v>
      </c>
      <c r="I1444" s="5">
        <v>9999</v>
      </c>
      <c r="J1444" s="5">
        <v>333.3</v>
      </c>
      <c r="K1444" s="5">
        <f t="shared" si="91"/>
        <v>0</v>
      </c>
      <c r="L1444" s="5">
        <v>0</v>
      </c>
      <c r="M1444" s="5">
        <v>0</v>
      </c>
      <c r="N1444" t="s">
        <v>9</v>
      </c>
      <c r="O1444" s="8">
        <v>20.098630136986301</v>
      </c>
      <c r="P1444" t="s">
        <v>32</v>
      </c>
      <c r="Q1444">
        <v>1</v>
      </c>
      <c r="R1444" s="2">
        <v>38573</v>
      </c>
    </row>
    <row r="1445" spans="1:18" x14ac:dyDescent="0.3">
      <c r="A1445" t="s">
        <v>7</v>
      </c>
      <c r="B1445">
        <v>18963901</v>
      </c>
      <c r="C1445" t="s">
        <v>8</v>
      </c>
      <c r="D1445" s="4">
        <v>45909</v>
      </c>
      <c r="E1445" s="11">
        <f t="shared" si="88"/>
        <v>2025</v>
      </c>
      <c r="F1445" s="11">
        <f t="shared" si="89"/>
        <v>9</v>
      </c>
      <c r="G1445" s="11" t="str">
        <f t="shared" si="90"/>
        <v>202509</v>
      </c>
      <c r="I1445" s="5">
        <v>9999</v>
      </c>
      <c r="J1445" s="5">
        <v>333.3</v>
      </c>
      <c r="K1445" s="5">
        <f t="shared" si="91"/>
        <v>0</v>
      </c>
      <c r="L1445" s="5">
        <v>0</v>
      </c>
      <c r="M1445" s="5">
        <v>0</v>
      </c>
      <c r="N1445" t="s">
        <v>9</v>
      </c>
      <c r="O1445" s="8">
        <v>18.964383561643835</v>
      </c>
      <c r="P1445" t="s">
        <v>32</v>
      </c>
      <c r="Q1445">
        <v>1</v>
      </c>
      <c r="R1445" s="2">
        <v>38987</v>
      </c>
    </row>
    <row r="1446" spans="1:18" x14ac:dyDescent="0.3">
      <c r="A1446" t="s">
        <v>11</v>
      </c>
      <c r="B1446">
        <v>18963902</v>
      </c>
      <c r="C1446" t="s">
        <v>8</v>
      </c>
      <c r="D1446" s="4">
        <v>45909</v>
      </c>
      <c r="E1446" s="11">
        <f t="shared" si="88"/>
        <v>2025</v>
      </c>
      <c r="F1446" s="11">
        <f t="shared" si="89"/>
        <v>9</v>
      </c>
      <c r="G1446" s="11" t="str">
        <f t="shared" si="90"/>
        <v>202509</v>
      </c>
      <c r="H1446" s="4">
        <v>46081</v>
      </c>
      <c r="I1446" s="5">
        <v>172</v>
      </c>
      <c r="J1446" s="5">
        <v>5.7333333333333334</v>
      </c>
      <c r="K1446" s="5">
        <f t="shared" si="91"/>
        <v>0</v>
      </c>
      <c r="L1446" s="5">
        <v>0</v>
      </c>
      <c r="M1446" s="5">
        <v>1</v>
      </c>
      <c r="N1446" t="s">
        <v>9</v>
      </c>
      <c r="O1446" s="8">
        <v>20.468493150684932</v>
      </c>
      <c r="P1446" t="s">
        <v>32</v>
      </c>
      <c r="Q1446">
        <v>1</v>
      </c>
      <c r="R1446" s="2">
        <v>38438</v>
      </c>
    </row>
    <row r="1447" spans="1:18" x14ac:dyDescent="0.3">
      <c r="A1447" t="s">
        <v>7</v>
      </c>
      <c r="B1447">
        <v>18963904</v>
      </c>
      <c r="C1447" t="s">
        <v>10</v>
      </c>
      <c r="D1447" s="4">
        <v>45909</v>
      </c>
      <c r="E1447" s="11">
        <f t="shared" si="88"/>
        <v>2025</v>
      </c>
      <c r="F1447" s="11">
        <f t="shared" si="89"/>
        <v>9</v>
      </c>
      <c r="G1447" s="11" t="str">
        <f t="shared" si="90"/>
        <v>202509</v>
      </c>
      <c r="I1447" s="5">
        <v>9999</v>
      </c>
      <c r="J1447" s="5">
        <v>333.3</v>
      </c>
      <c r="K1447" s="5">
        <f t="shared" si="91"/>
        <v>0</v>
      </c>
      <c r="L1447" s="5">
        <v>0</v>
      </c>
      <c r="M1447" s="5">
        <v>0</v>
      </c>
      <c r="N1447" t="s">
        <v>9</v>
      </c>
      <c r="O1447" s="8">
        <v>22.279452054794522</v>
      </c>
      <c r="P1447" t="s">
        <v>33</v>
      </c>
      <c r="Q1447">
        <v>2</v>
      </c>
      <c r="R1447" s="2">
        <v>37777</v>
      </c>
    </row>
    <row r="1448" spans="1:18" x14ac:dyDescent="0.3">
      <c r="A1448" t="s">
        <v>7</v>
      </c>
      <c r="B1448">
        <v>18963905</v>
      </c>
      <c r="C1448" t="s">
        <v>10</v>
      </c>
      <c r="D1448" s="4">
        <v>45909</v>
      </c>
      <c r="E1448" s="11">
        <f t="shared" si="88"/>
        <v>2025</v>
      </c>
      <c r="F1448" s="11">
        <f t="shared" si="89"/>
        <v>9</v>
      </c>
      <c r="G1448" s="11" t="str">
        <f t="shared" si="90"/>
        <v>202509</v>
      </c>
      <c r="H1448" s="4">
        <v>45991</v>
      </c>
      <c r="I1448" s="5">
        <v>82</v>
      </c>
      <c r="J1448" s="5">
        <v>2.7333333333333334</v>
      </c>
      <c r="K1448" s="5">
        <f t="shared" si="91"/>
        <v>0</v>
      </c>
      <c r="L1448" s="5">
        <v>1</v>
      </c>
      <c r="M1448" s="5">
        <v>1</v>
      </c>
      <c r="N1448" t="s">
        <v>9</v>
      </c>
      <c r="O1448" s="8">
        <v>34.843835616438355</v>
      </c>
      <c r="P1448" t="s">
        <v>35</v>
      </c>
      <c r="Q1448">
        <v>4</v>
      </c>
      <c r="R1448" s="2">
        <v>33191</v>
      </c>
    </row>
    <row r="1449" spans="1:18" x14ac:dyDescent="0.3">
      <c r="A1449" t="s">
        <v>7</v>
      </c>
      <c r="B1449">
        <v>18963929</v>
      </c>
      <c r="C1449" t="s">
        <v>8</v>
      </c>
      <c r="D1449" s="4">
        <v>45909</v>
      </c>
      <c r="E1449" s="11">
        <f t="shared" si="88"/>
        <v>2025</v>
      </c>
      <c r="F1449" s="11">
        <f t="shared" si="89"/>
        <v>9</v>
      </c>
      <c r="G1449" s="11" t="str">
        <f t="shared" si="90"/>
        <v>202509</v>
      </c>
      <c r="H1449" s="4">
        <v>46053</v>
      </c>
      <c r="I1449" s="5">
        <v>144</v>
      </c>
      <c r="J1449" s="5">
        <v>4.8</v>
      </c>
      <c r="K1449" s="5">
        <f t="shared" si="91"/>
        <v>0</v>
      </c>
      <c r="L1449" s="5">
        <v>0</v>
      </c>
      <c r="M1449" s="5">
        <v>1</v>
      </c>
      <c r="N1449" t="s">
        <v>9</v>
      </c>
      <c r="O1449" s="8">
        <v>18.512328767123286</v>
      </c>
      <c r="P1449" t="s">
        <v>32</v>
      </c>
      <c r="Q1449">
        <v>1</v>
      </c>
      <c r="R1449" s="2">
        <v>39152</v>
      </c>
    </row>
    <row r="1450" spans="1:18" x14ac:dyDescent="0.3">
      <c r="A1450" t="s">
        <v>7</v>
      </c>
      <c r="B1450">
        <v>18963966</v>
      </c>
      <c r="C1450" t="s">
        <v>10</v>
      </c>
      <c r="D1450" s="4">
        <v>45909</v>
      </c>
      <c r="E1450" s="11">
        <f t="shared" si="88"/>
        <v>2025</v>
      </c>
      <c r="F1450" s="11">
        <f t="shared" si="89"/>
        <v>9</v>
      </c>
      <c r="G1450" s="11" t="str">
        <f t="shared" si="90"/>
        <v>202509</v>
      </c>
      <c r="I1450" s="5">
        <v>9999</v>
      </c>
      <c r="J1450" s="5">
        <v>333.3</v>
      </c>
      <c r="K1450" s="5">
        <f t="shared" si="91"/>
        <v>0</v>
      </c>
      <c r="L1450" s="5">
        <v>0</v>
      </c>
      <c r="M1450" s="5">
        <v>0</v>
      </c>
      <c r="N1450" t="s">
        <v>9</v>
      </c>
      <c r="O1450" s="8">
        <v>22.860273972602741</v>
      </c>
      <c r="P1450" t="s">
        <v>33</v>
      </c>
      <c r="Q1450">
        <v>2</v>
      </c>
      <c r="R1450" s="2">
        <v>37565</v>
      </c>
    </row>
    <row r="1451" spans="1:18" x14ac:dyDescent="0.3">
      <c r="A1451" t="s">
        <v>7</v>
      </c>
      <c r="B1451">
        <v>18963982</v>
      </c>
      <c r="C1451" t="s">
        <v>8</v>
      </c>
      <c r="D1451" s="4">
        <v>45909</v>
      </c>
      <c r="E1451" s="11">
        <f t="shared" si="88"/>
        <v>2025</v>
      </c>
      <c r="F1451" s="11">
        <f t="shared" si="89"/>
        <v>9</v>
      </c>
      <c r="G1451" s="11" t="str">
        <f t="shared" si="90"/>
        <v>202509</v>
      </c>
      <c r="I1451" s="5">
        <v>9999</v>
      </c>
      <c r="J1451" s="5">
        <v>333.3</v>
      </c>
      <c r="K1451" s="5">
        <f t="shared" si="91"/>
        <v>0</v>
      </c>
      <c r="L1451" s="5">
        <v>0</v>
      </c>
      <c r="M1451" s="5">
        <v>0</v>
      </c>
      <c r="N1451" t="s">
        <v>9</v>
      </c>
      <c r="O1451" s="8">
        <v>21.117808219178084</v>
      </c>
      <c r="P1451" t="s">
        <v>33</v>
      </c>
      <c r="Q1451">
        <v>2</v>
      </c>
      <c r="R1451" s="2">
        <v>38201</v>
      </c>
    </row>
    <row r="1452" spans="1:18" x14ac:dyDescent="0.3">
      <c r="A1452" t="s">
        <v>7</v>
      </c>
      <c r="B1452">
        <v>18964006</v>
      </c>
      <c r="C1452" t="s">
        <v>10</v>
      </c>
      <c r="D1452" s="4">
        <v>45909</v>
      </c>
      <c r="E1452" s="11">
        <f t="shared" si="88"/>
        <v>2025</v>
      </c>
      <c r="F1452" s="11">
        <f t="shared" si="89"/>
        <v>9</v>
      </c>
      <c r="G1452" s="11" t="str">
        <f t="shared" si="90"/>
        <v>202509</v>
      </c>
      <c r="H1452" s="4">
        <v>46006</v>
      </c>
      <c r="I1452" s="5">
        <v>97</v>
      </c>
      <c r="J1452" s="5">
        <v>3.2333333333333334</v>
      </c>
      <c r="K1452" s="5">
        <f t="shared" si="91"/>
        <v>0</v>
      </c>
      <c r="L1452" s="5">
        <v>0</v>
      </c>
      <c r="M1452" s="5">
        <v>1</v>
      </c>
      <c r="N1452" t="s">
        <v>9</v>
      </c>
      <c r="O1452" s="8">
        <v>23.208219178082192</v>
      </c>
      <c r="P1452" t="s">
        <v>33</v>
      </c>
      <c r="Q1452">
        <v>2</v>
      </c>
      <c r="R1452" s="2">
        <v>37438</v>
      </c>
    </row>
    <row r="1453" spans="1:18" x14ac:dyDescent="0.3">
      <c r="A1453" t="s">
        <v>11</v>
      </c>
      <c r="B1453">
        <v>18964009</v>
      </c>
      <c r="C1453" t="s">
        <v>10</v>
      </c>
      <c r="D1453" s="4">
        <v>45909</v>
      </c>
      <c r="E1453" s="11">
        <f t="shared" si="88"/>
        <v>2025</v>
      </c>
      <c r="F1453" s="11">
        <f t="shared" si="89"/>
        <v>9</v>
      </c>
      <c r="G1453" s="11" t="str">
        <f t="shared" si="90"/>
        <v>202509</v>
      </c>
      <c r="H1453" s="4">
        <v>46081</v>
      </c>
      <c r="I1453" s="5">
        <v>172</v>
      </c>
      <c r="J1453" s="5">
        <v>5.7333333333333334</v>
      </c>
      <c r="K1453" s="5">
        <f t="shared" si="91"/>
        <v>0</v>
      </c>
      <c r="L1453" s="5">
        <v>0</v>
      </c>
      <c r="M1453" s="5">
        <v>1</v>
      </c>
      <c r="N1453" t="s">
        <v>9</v>
      </c>
      <c r="O1453" s="8">
        <v>23.328767123287673</v>
      </c>
      <c r="P1453" t="s">
        <v>33</v>
      </c>
      <c r="Q1453">
        <v>2</v>
      </c>
      <c r="R1453" s="2">
        <v>37394</v>
      </c>
    </row>
    <row r="1454" spans="1:18" x14ac:dyDescent="0.3">
      <c r="A1454" t="s">
        <v>7</v>
      </c>
      <c r="B1454">
        <v>18964024</v>
      </c>
      <c r="C1454" t="s">
        <v>8</v>
      </c>
      <c r="D1454" s="4">
        <v>45909</v>
      </c>
      <c r="E1454" s="11">
        <f t="shared" si="88"/>
        <v>2025</v>
      </c>
      <c r="F1454" s="11">
        <f t="shared" si="89"/>
        <v>9</v>
      </c>
      <c r="G1454" s="11" t="str">
        <f t="shared" si="90"/>
        <v>202509</v>
      </c>
      <c r="I1454" s="5">
        <v>9999</v>
      </c>
      <c r="J1454" s="5">
        <v>333.3</v>
      </c>
      <c r="K1454" s="5">
        <f t="shared" si="91"/>
        <v>0</v>
      </c>
      <c r="L1454" s="5">
        <v>0</v>
      </c>
      <c r="M1454" s="5">
        <v>0</v>
      </c>
      <c r="N1454" t="s">
        <v>12</v>
      </c>
      <c r="O1454" s="8">
        <v>33.369863013698627</v>
      </c>
      <c r="P1454" t="s">
        <v>35</v>
      </c>
      <c r="Q1454">
        <v>4</v>
      </c>
      <c r="R1454" s="2">
        <v>33729</v>
      </c>
    </row>
    <row r="1455" spans="1:18" x14ac:dyDescent="0.3">
      <c r="A1455" t="s">
        <v>7</v>
      </c>
      <c r="B1455">
        <v>18964037</v>
      </c>
      <c r="C1455" t="s">
        <v>8</v>
      </c>
      <c r="D1455" s="4">
        <v>45909</v>
      </c>
      <c r="E1455" s="11">
        <f t="shared" si="88"/>
        <v>2025</v>
      </c>
      <c r="F1455" s="11">
        <f t="shared" si="89"/>
        <v>9</v>
      </c>
      <c r="G1455" s="11" t="str">
        <f t="shared" si="90"/>
        <v>202509</v>
      </c>
      <c r="I1455" s="5">
        <v>9999</v>
      </c>
      <c r="J1455" s="5">
        <v>333.3</v>
      </c>
      <c r="K1455" s="5">
        <f t="shared" si="91"/>
        <v>0</v>
      </c>
      <c r="L1455" s="5">
        <v>0</v>
      </c>
      <c r="M1455" s="5">
        <v>0</v>
      </c>
      <c r="N1455" t="s">
        <v>12</v>
      </c>
      <c r="O1455" s="8">
        <v>22.161643835616438</v>
      </c>
      <c r="P1455" t="s">
        <v>33</v>
      </c>
      <c r="Q1455">
        <v>2</v>
      </c>
      <c r="R1455" s="2">
        <v>37820</v>
      </c>
    </row>
    <row r="1456" spans="1:18" x14ac:dyDescent="0.3">
      <c r="A1456" t="s">
        <v>7</v>
      </c>
      <c r="B1456">
        <v>18964038</v>
      </c>
      <c r="C1456" t="s">
        <v>8</v>
      </c>
      <c r="D1456" s="4">
        <v>45909</v>
      </c>
      <c r="E1456" s="11">
        <f t="shared" si="88"/>
        <v>2025</v>
      </c>
      <c r="F1456" s="11">
        <f t="shared" si="89"/>
        <v>9</v>
      </c>
      <c r="G1456" s="11" t="str">
        <f t="shared" si="90"/>
        <v>202509</v>
      </c>
      <c r="H1456" s="4">
        <v>45912</v>
      </c>
      <c r="I1456" s="5">
        <v>3</v>
      </c>
      <c r="J1456" s="5">
        <v>0.1</v>
      </c>
      <c r="K1456" s="5">
        <f t="shared" si="91"/>
        <v>1</v>
      </c>
      <c r="L1456" s="5">
        <v>1</v>
      </c>
      <c r="M1456" s="5">
        <v>1</v>
      </c>
      <c r="N1456" t="s">
        <v>12</v>
      </c>
      <c r="O1456" s="8">
        <v>20.843835616438355</v>
      </c>
      <c r="P1456" t="s">
        <v>32</v>
      </c>
      <c r="Q1456">
        <v>1</v>
      </c>
      <c r="R1456" s="2">
        <v>38301</v>
      </c>
    </row>
    <row r="1457" spans="1:18" x14ac:dyDescent="0.3">
      <c r="A1457" t="s">
        <v>7</v>
      </c>
      <c r="B1457">
        <v>18964110</v>
      </c>
      <c r="C1457" t="s">
        <v>8</v>
      </c>
      <c r="D1457" s="4">
        <v>45909</v>
      </c>
      <c r="E1457" s="11">
        <f t="shared" si="88"/>
        <v>2025</v>
      </c>
      <c r="F1457" s="11">
        <f t="shared" si="89"/>
        <v>9</v>
      </c>
      <c r="G1457" s="11" t="str">
        <f t="shared" si="90"/>
        <v>202509</v>
      </c>
      <c r="I1457" s="5">
        <v>9999</v>
      </c>
      <c r="J1457" s="5">
        <v>333.3</v>
      </c>
      <c r="K1457" s="5">
        <f t="shared" si="91"/>
        <v>0</v>
      </c>
      <c r="L1457" s="5">
        <v>0</v>
      </c>
      <c r="M1457" s="5">
        <v>0</v>
      </c>
      <c r="N1457" t="s">
        <v>9</v>
      </c>
      <c r="O1457" s="8">
        <v>18.652054794520549</v>
      </c>
      <c r="P1457" t="s">
        <v>32</v>
      </c>
      <c r="Q1457">
        <v>1</v>
      </c>
      <c r="R1457" s="2">
        <v>39101</v>
      </c>
    </row>
    <row r="1458" spans="1:18" x14ac:dyDescent="0.3">
      <c r="A1458" t="s">
        <v>7</v>
      </c>
      <c r="B1458">
        <v>18964114</v>
      </c>
      <c r="C1458" t="s">
        <v>10</v>
      </c>
      <c r="D1458" s="4">
        <v>45909</v>
      </c>
      <c r="E1458" s="11">
        <f t="shared" si="88"/>
        <v>2025</v>
      </c>
      <c r="F1458" s="11">
        <f t="shared" si="89"/>
        <v>9</v>
      </c>
      <c r="G1458" s="11" t="str">
        <f t="shared" si="90"/>
        <v>202509</v>
      </c>
      <c r="H1458" s="4">
        <v>45992</v>
      </c>
      <c r="I1458" s="5">
        <v>83</v>
      </c>
      <c r="J1458" s="5">
        <v>2.7666666666666666</v>
      </c>
      <c r="K1458" s="5">
        <f t="shared" si="91"/>
        <v>0</v>
      </c>
      <c r="L1458" s="5">
        <v>1</v>
      </c>
      <c r="M1458" s="5">
        <v>1</v>
      </c>
      <c r="N1458" t="s">
        <v>9</v>
      </c>
      <c r="O1458" s="8">
        <v>19.063013698630137</v>
      </c>
      <c r="P1458" t="s">
        <v>32</v>
      </c>
      <c r="Q1458">
        <v>1</v>
      </c>
      <c r="R1458" s="2">
        <v>38951</v>
      </c>
    </row>
    <row r="1459" spans="1:18" x14ac:dyDescent="0.3">
      <c r="A1459" t="s">
        <v>7</v>
      </c>
      <c r="B1459">
        <v>18964117</v>
      </c>
      <c r="C1459" t="s">
        <v>8</v>
      </c>
      <c r="D1459" s="4">
        <v>45909</v>
      </c>
      <c r="E1459" s="11">
        <f t="shared" si="88"/>
        <v>2025</v>
      </c>
      <c r="F1459" s="11">
        <f t="shared" si="89"/>
        <v>9</v>
      </c>
      <c r="G1459" s="11" t="str">
        <f t="shared" si="90"/>
        <v>202509</v>
      </c>
      <c r="I1459" s="5">
        <v>9999</v>
      </c>
      <c r="J1459" s="5">
        <v>333.3</v>
      </c>
      <c r="K1459" s="5">
        <f t="shared" si="91"/>
        <v>0</v>
      </c>
      <c r="L1459" s="5">
        <v>0</v>
      </c>
      <c r="M1459" s="5">
        <v>0</v>
      </c>
      <c r="N1459" t="s">
        <v>9</v>
      </c>
      <c r="O1459" s="8">
        <v>18.153424657534245</v>
      </c>
      <c r="P1459" t="s">
        <v>32</v>
      </c>
      <c r="Q1459">
        <v>1</v>
      </c>
      <c r="R1459" s="2">
        <v>39283</v>
      </c>
    </row>
    <row r="1460" spans="1:18" x14ac:dyDescent="0.3">
      <c r="A1460" t="s">
        <v>7</v>
      </c>
      <c r="B1460">
        <v>18964121</v>
      </c>
      <c r="C1460" t="s">
        <v>8</v>
      </c>
      <c r="D1460" s="4">
        <v>45909</v>
      </c>
      <c r="E1460" s="11">
        <f t="shared" si="88"/>
        <v>2025</v>
      </c>
      <c r="F1460" s="11">
        <f t="shared" si="89"/>
        <v>9</v>
      </c>
      <c r="G1460" s="11" t="str">
        <f t="shared" si="90"/>
        <v>202509</v>
      </c>
      <c r="H1460" s="4">
        <v>46033</v>
      </c>
      <c r="I1460" s="5">
        <v>124</v>
      </c>
      <c r="J1460" s="5">
        <v>4.1333333333333337</v>
      </c>
      <c r="K1460" s="5">
        <f t="shared" si="91"/>
        <v>0</v>
      </c>
      <c r="L1460" s="5">
        <v>0</v>
      </c>
      <c r="M1460" s="5">
        <v>1</v>
      </c>
      <c r="N1460" t="s">
        <v>9</v>
      </c>
      <c r="O1460" s="8">
        <v>20.712328767123289</v>
      </c>
      <c r="P1460" t="s">
        <v>32</v>
      </c>
      <c r="Q1460">
        <v>1</v>
      </c>
      <c r="R1460" s="2">
        <v>38349</v>
      </c>
    </row>
    <row r="1461" spans="1:18" x14ac:dyDescent="0.3">
      <c r="A1461" t="s">
        <v>7</v>
      </c>
      <c r="B1461">
        <v>18964128</v>
      </c>
      <c r="C1461" t="s">
        <v>8</v>
      </c>
      <c r="D1461" s="4">
        <v>45909</v>
      </c>
      <c r="E1461" s="11">
        <f t="shared" si="88"/>
        <v>2025</v>
      </c>
      <c r="F1461" s="11">
        <f t="shared" si="89"/>
        <v>9</v>
      </c>
      <c r="G1461" s="11" t="str">
        <f t="shared" si="90"/>
        <v>202509</v>
      </c>
      <c r="H1461" s="4">
        <v>46022</v>
      </c>
      <c r="I1461" s="5">
        <v>113</v>
      </c>
      <c r="J1461" s="5">
        <v>3.7666666666666666</v>
      </c>
      <c r="K1461" s="5">
        <f t="shared" si="91"/>
        <v>0</v>
      </c>
      <c r="L1461" s="5">
        <v>0</v>
      </c>
      <c r="M1461" s="5">
        <v>1</v>
      </c>
      <c r="N1461" t="s">
        <v>9</v>
      </c>
      <c r="O1461" s="8">
        <v>25.87123287671233</v>
      </c>
      <c r="P1461" t="s">
        <v>33</v>
      </c>
      <c r="Q1461">
        <v>2</v>
      </c>
      <c r="R1461" s="2">
        <v>36466</v>
      </c>
    </row>
    <row r="1462" spans="1:18" x14ac:dyDescent="0.3">
      <c r="A1462" t="s">
        <v>7</v>
      </c>
      <c r="B1462">
        <v>18964133</v>
      </c>
      <c r="C1462" t="s">
        <v>8</v>
      </c>
      <c r="D1462" s="4">
        <v>45909</v>
      </c>
      <c r="E1462" s="11">
        <f t="shared" si="88"/>
        <v>2025</v>
      </c>
      <c r="F1462" s="11">
        <f t="shared" si="89"/>
        <v>9</v>
      </c>
      <c r="G1462" s="11" t="str">
        <f t="shared" si="90"/>
        <v>202509</v>
      </c>
      <c r="I1462" s="5">
        <v>9999</v>
      </c>
      <c r="J1462" s="5">
        <v>333.3</v>
      </c>
      <c r="K1462" s="5">
        <f t="shared" si="91"/>
        <v>0</v>
      </c>
      <c r="L1462" s="5">
        <v>0</v>
      </c>
      <c r="M1462" s="5">
        <v>0</v>
      </c>
      <c r="N1462" t="s">
        <v>9</v>
      </c>
      <c r="O1462" s="8">
        <v>18.586301369863012</v>
      </c>
      <c r="P1462" t="s">
        <v>32</v>
      </c>
      <c r="Q1462">
        <v>1</v>
      </c>
      <c r="R1462" s="2">
        <v>39125</v>
      </c>
    </row>
    <row r="1463" spans="1:18" x14ac:dyDescent="0.3">
      <c r="A1463" t="s">
        <v>7</v>
      </c>
      <c r="B1463">
        <v>18964367</v>
      </c>
      <c r="C1463" t="s">
        <v>8</v>
      </c>
      <c r="D1463" s="4">
        <v>45910</v>
      </c>
      <c r="E1463" s="11">
        <f t="shared" si="88"/>
        <v>2025</v>
      </c>
      <c r="F1463" s="11">
        <f t="shared" si="89"/>
        <v>9</v>
      </c>
      <c r="G1463" s="11" t="str">
        <f t="shared" si="90"/>
        <v>202509</v>
      </c>
      <c r="I1463" s="5">
        <v>9999</v>
      </c>
      <c r="J1463" s="5">
        <v>333.3</v>
      </c>
      <c r="K1463" s="5">
        <f t="shared" si="91"/>
        <v>0</v>
      </c>
      <c r="L1463" s="5">
        <v>0</v>
      </c>
      <c r="M1463" s="5">
        <v>0</v>
      </c>
      <c r="N1463" t="s">
        <v>9</v>
      </c>
      <c r="O1463" s="8">
        <v>19.328767123287673</v>
      </c>
      <c r="P1463" t="s">
        <v>32</v>
      </c>
      <c r="Q1463">
        <v>1</v>
      </c>
      <c r="R1463" s="2">
        <v>38855</v>
      </c>
    </row>
    <row r="1464" spans="1:18" x14ac:dyDescent="0.3">
      <c r="A1464" t="s">
        <v>7</v>
      </c>
      <c r="B1464">
        <v>18964368</v>
      </c>
      <c r="C1464" t="s">
        <v>10</v>
      </c>
      <c r="D1464" s="4">
        <v>45910</v>
      </c>
      <c r="E1464" s="11">
        <f t="shared" si="88"/>
        <v>2025</v>
      </c>
      <c r="F1464" s="11">
        <f t="shared" si="89"/>
        <v>9</v>
      </c>
      <c r="G1464" s="11" t="str">
        <f t="shared" si="90"/>
        <v>202509</v>
      </c>
      <c r="H1464" s="4">
        <v>46173</v>
      </c>
      <c r="I1464" s="5">
        <v>263</v>
      </c>
      <c r="J1464" s="5">
        <v>8.7666666666666675</v>
      </c>
      <c r="K1464" s="5">
        <f t="shared" si="91"/>
        <v>0</v>
      </c>
      <c r="L1464" s="5">
        <v>0</v>
      </c>
      <c r="M1464" s="5">
        <v>0</v>
      </c>
      <c r="N1464" t="s">
        <v>9</v>
      </c>
      <c r="O1464" s="8">
        <v>20.232876712328768</v>
      </c>
      <c r="P1464" t="s">
        <v>32</v>
      </c>
      <c r="Q1464">
        <v>1</v>
      </c>
      <c r="R1464" s="2">
        <v>38525</v>
      </c>
    </row>
    <row r="1465" spans="1:18" x14ac:dyDescent="0.3">
      <c r="A1465" t="s">
        <v>7</v>
      </c>
      <c r="B1465">
        <v>18964369</v>
      </c>
      <c r="C1465" t="s">
        <v>8</v>
      </c>
      <c r="D1465" s="4">
        <v>45910</v>
      </c>
      <c r="E1465" s="11">
        <f t="shared" si="88"/>
        <v>2025</v>
      </c>
      <c r="F1465" s="11">
        <f t="shared" si="89"/>
        <v>9</v>
      </c>
      <c r="G1465" s="11" t="str">
        <f t="shared" si="90"/>
        <v>202509</v>
      </c>
      <c r="H1465" s="4">
        <v>46118</v>
      </c>
      <c r="I1465" s="5">
        <v>208</v>
      </c>
      <c r="J1465" s="5">
        <v>6.9333333333333336</v>
      </c>
      <c r="K1465" s="5">
        <f t="shared" si="91"/>
        <v>0</v>
      </c>
      <c r="L1465" s="5">
        <v>0</v>
      </c>
      <c r="M1465" s="5">
        <v>0</v>
      </c>
      <c r="N1465" t="s">
        <v>9</v>
      </c>
      <c r="O1465" s="8">
        <v>20.852054794520548</v>
      </c>
      <c r="P1465" t="s">
        <v>32</v>
      </c>
      <c r="Q1465">
        <v>1</v>
      </c>
      <c r="R1465" s="2">
        <v>38299</v>
      </c>
    </row>
    <row r="1466" spans="1:18" x14ac:dyDescent="0.3">
      <c r="A1466" t="s">
        <v>7</v>
      </c>
      <c r="B1466">
        <v>18964370</v>
      </c>
      <c r="C1466" t="s">
        <v>10</v>
      </c>
      <c r="D1466" s="4">
        <v>45910</v>
      </c>
      <c r="E1466" s="11">
        <f t="shared" si="88"/>
        <v>2025</v>
      </c>
      <c r="F1466" s="11">
        <f t="shared" si="89"/>
        <v>9</v>
      </c>
      <c r="G1466" s="11" t="str">
        <f t="shared" si="90"/>
        <v>202509</v>
      </c>
      <c r="H1466" s="4">
        <v>46159</v>
      </c>
      <c r="I1466" s="5">
        <v>249</v>
      </c>
      <c r="J1466" s="5">
        <v>8.3000000000000007</v>
      </c>
      <c r="K1466" s="5">
        <f t="shared" si="91"/>
        <v>0</v>
      </c>
      <c r="L1466" s="5">
        <v>0</v>
      </c>
      <c r="M1466" s="5">
        <v>0</v>
      </c>
      <c r="N1466" t="s">
        <v>9</v>
      </c>
      <c r="O1466" s="8">
        <v>20.517808219178082</v>
      </c>
      <c r="P1466" t="s">
        <v>32</v>
      </c>
      <c r="Q1466">
        <v>1</v>
      </c>
      <c r="R1466" s="2">
        <v>38421</v>
      </c>
    </row>
    <row r="1467" spans="1:18" x14ac:dyDescent="0.3">
      <c r="A1467" t="s">
        <v>7</v>
      </c>
      <c r="B1467">
        <v>18964393</v>
      </c>
      <c r="C1467" t="s">
        <v>10</v>
      </c>
      <c r="D1467" s="4">
        <v>45910</v>
      </c>
      <c r="E1467" s="11">
        <f t="shared" si="88"/>
        <v>2025</v>
      </c>
      <c r="F1467" s="11">
        <f t="shared" si="89"/>
        <v>9</v>
      </c>
      <c r="G1467" s="11" t="str">
        <f t="shared" si="90"/>
        <v>202509</v>
      </c>
      <c r="H1467" s="4">
        <v>45992</v>
      </c>
      <c r="I1467" s="5">
        <v>82</v>
      </c>
      <c r="J1467" s="5">
        <v>2.7333333333333334</v>
      </c>
      <c r="K1467" s="5">
        <f t="shared" si="91"/>
        <v>0</v>
      </c>
      <c r="L1467" s="5">
        <v>1</v>
      </c>
      <c r="M1467" s="5">
        <v>1</v>
      </c>
      <c r="N1467" t="s">
        <v>9</v>
      </c>
      <c r="O1467" s="8">
        <v>19.556164383561644</v>
      </c>
      <c r="P1467" t="s">
        <v>32</v>
      </c>
      <c r="Q1467">
        <v>1</v>
      </c>
      <c r="R1467" s="2">
        <v>38772</v>
      </c>
    </row>
    <row r="1468" spans="1:18" x14ac:dyDescent="0.3">
      <c r="A1468" t="s">
        <v>7</v>
      </c>
      <c r="B1468">
        <v>18964394</v>
      </c>
      <c r="C1468" t="s">
        <v>8</v>
      </c>
      <c r="D1468" s="4">
        <v>45910</v>
      </c>
      <c r="E1468" s="11">
        <f t="shared" si="88"/>
        <v>2025</v>
      </c>
      <c r="F1468" s="11">
        <f t="shared" si="89"/>
        <v>9</v>
      </c>
      <c r="G1468" s="11" t="str">
        <f t="shared" si="90"/>
        <v>202509</v>
      </c>
      <c r="I1468" s="5">
        <v>9999</v>
      </c>
      <c r="J1468" s="5">
        <v>333.3</v>
      </c>
      <c r="K1468" s="5">
        <f t="shared" si="91"/>
        <v>0</v>
      </c>
      <c r="L1468" s="5">
        <v>0</v>
      </c>
      <c r="M1468" s="5">
        <v>0</v>
      </c>
      <c r="N1468" t="s">
        <v>9</v>
      </c>
      <c r="O1468" s="8">
        <v>19.860273972602741</v>
      </c>
      <c r="P1468" t="s">
        <v>32</v>
      </c>
      <c r="Q1468">
        <v>1</v>
      </c>
      <c r="R1468" s="2">
        <v>38661</v>
      </c>
    </row>
    <row r="1469" spans="1:18" x14ac:dyDescent="0.3">
      <c r="A1469" t="s">
        <v>7</v>
      </c>
      <c r="B1469">
        <v>18964397</v>
      </c>
      <c r="C1469" t="s">
        <v>8</v>
      </c>
      <c r="D1469" s="4">
        <v>45910</v>
      </c>
      <c r="E1469" s="11">
        <f t="shared" si="88"/>
        <v>2025</v>
      </c>
      <c r="F1469" s="11">
        <f t="shared" si="89"/>
        <v>9</v>
      </c>
      <c r="G1469" s="11" t="str">
        <f t="shared" si="90"/>
        <v>202509</v>
      </c>
      <c r="H1469" s="4">
        <v>46112</v>
      </c>
      <c r="I1469" s="5">
        <v>202</v>
      </c>
      <c r="J1469" s="5">
        <v>6.7333333333333334</v>
      </c>
      <c r="K1469" s="5">
        <f t="shared" si="91"/>
        <v>0</v>
      </c>
      <c r="L1469" s="5">
        <v>0</v>
      </c>
      <c r="M1469" s="5">
        <v>0</v>
      </c>
      <c r="N1469" t="s">
        <v>9</v>
      </c>
      <c r="O1469" s="8">
        <v>20.912328767123288</v>
      </c>
      <c r="P1469" t="s">
        <v>32</v>
      </c>
      <c r="Q1469">
        <v>1</v>
      </c>
      <c r="R1469" s="2">
        <v>38277</v>
      </c>
    </row>
    <row r="1470" spans="1:18" x14ac:dyDescent="0.3">
      <c r="A1470" t="s">
        <v>7</v>
      </c>
      <c r="B1470">
        <v>18964401</v>
      </c>
      <c r="C1470" t="s">
        <v>10</v>
      </c>
      <c r="D1470" s="4">
        <v>45910</v>
      </c>
      <c r="E1470" s="11">
        <f t="shared" si="88"/>
        <v>2025</v>
      </c>
      <c r="F1470" s="11">
        <f t="shared" si="89"/>
        <v>9</v>
      </c>
      <c r="G1470" s="11" t="str">
        <f t="shared" si="90"/>
        <v>202509</v>
      </c>
      <c r="H1470" s="4">
        <v>46023</v>
      </c>
      <c r="I1470" s="5">
        <v>113</v>
      </c>
      <c r="J1470" s="5">
        <v>3.7666666666666666</v>
      </c>
      <c r="K1470" s="5">
        <f t="shared" si="91"/>
        <v>0</v>
      </c>
      <c r="L1470" s="5">
        <v>0</v>
      </c>
      <c r="M1470" s="5">
        <v>1</v>
      </c>
      <c r="N1470" t="s">
        <v>12</v>
      </c>
      <c r="O1470" s="8">
        <v>22.81095890410959</v>
      </c>
      <c r="P1470" t="s">
        <v>33</v>
      </c>
      <c r="Q1470">
        <v>2</v>
      </c>
      <c r="R1470" s="2">
        <v>37584</v>
      </c>
    </row>
    <row r="1471" spans="1:18" x14ac:dyDescent="0.3">
      <c r="A1471" t="s">
        <v>7</v>
      </c>
      <c r="B1471">
        <v>18964450</v>
      </c>
      <c r="C1471" t="s">
        <v>10</v>
      </c>
      <c r="D1471" s="4">
        <v>45910</v>
      </c>
      <c r="E1471" s="11">
        <f t="shared" si="88"/>
        <v>2025</v>
      </c>
      <c r="F1471" s="11">
        <f t="shared" si="89"/>
        <v>9</v>
      </c>
      <c r="G1471" s="11" t="str">
        <f t="shared" si="90"/>
        <v>202509</v>
      </c>
      <c r="H1471" s="4">
        <v>46023</v>
      </c>
      <c r="I1471" s="5">
        <v>113</v>
      </c>
      <c r="J1471" s="5">
        <v>3.7666666666666666</v>
      </c>
      <c r="K1471" s="5">
        <f t="shared" si="91"/>
        <v>0</v>
      </c>
      <c r="L1471" s="5">
        <v>0</v>
      </c>
      <c r="M1471" s="5">
        <v>1</v>
      </c>
      <c r="N1471" t="s">
        <v>9</v>
      </c>
      <c r="O1471" s="8">
        <v>26.852054794520548</v>
      </c>
      <c r="P1471" t="s">
        <v>34</v>
      </c>
      <c r="Q1471">
        <v>3</v>
      </c>
      <c r="R1471" s="2">
        <v>36109</v>
      </c>
    </row>
    <row r="1472" spans="1:18" x14ac:dyDescent="0.3">
      <c r="A1472" t="s">
        <v>7</v>
      </c>
      <c r="B1472">
        <v>18964451</v>
      </c>
      <c r="C1472" t="s">
        <v>10</v>
      </c>
      <c r="D1472" s="4">
        <v>45910</v>
      </c>
      <c r="E1472" s="11">
        <f t="shared" si="88"/>
        <v>2025</v>
      </c>
      <c r="F1472" s="11">
        <f t="shared" si="89"/>
        <v>9</v>
      </c>
      <c r="G1472" s="11" t="str">
        <f t="shared" si="90"/>
        <v>202509</v>
      </c>
      <c r="H1472" s="4">
        <v>46120</v>
      </c>
      <c r="I1472" s="5">
        <v>210</v>
      </c>
      <c r="J1472" s="5">
        <v>7</v>
      </c>
      <c r="K1472" s="5">
        <f t="shared" si="91"/>
        <v>0</v>
      </c>
      <c r="L1472" s="5">
        <v>0</v>
      </c>
      <c r="M1472" s="5">
        <v>0</v>
      </c>
      <c r="N1472" t="s">
        <v>9</v>
      </c>
      <c r="O1472" s="8">
        <v>21.4</v>
      </c>
      <c r="P1472" t="s">
        <v>33</v>
      </c>
      <c r="Q1472">
        <v>2</v>
      </c>
      <c r="R1472" s="2">
        <v>38099</v>
      </c>
    </row>
    <row r="1473" spans="1:18" x14ac:dyDescent="0.3">
      <c r="A1473" t="s">
        <v>7</v>
      </c>
      <c r="B1473">
        <v>18964452</v>
      </c>
      <c r="C1473" t="s">
        <v>8</v>
      </c>
      <c r="D1473" s="4">
        <v>45910</v>
      </c>
      <c r="E1473" s="11">
        <f t="shared" si="88"/>
        <v>2025</v>
      </c>
      <c r="F1473" s="11">
        <f t="shared" si="89"/>
        <v>9</v>
      </c>
      <c r="G1473" s="11" t="str">
        <f t="shared" si="90"/>
        <v>202509</v>
      </c>
      <c r="I1473" s="5">
        <v>9999</v>
      </c>
      <c r="J1473" s="5">
        <v>333.3</v>
      </c>
      <c r="K1473" s="5">
        <f t="shared" si="91"/>
        <v>0</v>
      </c>
      <c r="L1473" s="5">
        <v>0</v>
      </c>
      <c r="M1473" s="5">
        <v>0</v>
      </c>
      <c r="N1473" t="s">
        <v>9</v>
      </c>
      <c r="O1473" s="8">
        <v>19.139726027397259</v>
      </c>
      <c r="P1473" t="s">
        <v>32</v>
      </c>
      <c r="Q1473">
        <v>1</v>
      </c>
      <c r="R1473" s="2">
        <v>38924</v>
      </c>
    </row>
    <row r="1474" spans="1:18" x14ac:dyDescent="0.3">
      <c r="A1474" t="s">
        <v>7</v>
      </c>
      <c r="B1474">
        <v>18964535</v>
      </c>
      <c r="C1474" t="s">
        <v>8</v>
      </c>
      <c r="D1474" s="4">
        <v>45910</v>
      </c>
      <c r="E1474" s="11">
        <f t="shared" si="88"/>
        <v>2025</v>
      </c>
      <c r="F1474" s="11">
        <f t="shared" si="89"/>
        <v>9</v>
      </c>
      <c r="G1474" s="11" t="str">
        <f t="shared" si="90"/>
        <v>202509</v>
      </c>
      <c r="I1474" s="5">
        <v>9999</v>
      </c>
      <c r="J1474" s="5">
        <v>333.3</v>
      </c>
      <c r="K1474" s="5">
        <f t="shared" si="91"/>
        <v>0</v>
      </c>
      <c r="L1474" s="5">
        <v>0</v>
      </c>
      <c r="M1474" s="5">
        <v>0</v>
      </c>
      <c r="N1474" t="s">
        <v>9</v>
      </c>
      <c r="O1474" s="8">
        <v>19.978082191780821</v>
      </c>
      <c r="P1474" t="s">
        <v>32</v>
      </c>
      <c r="Q1474">
        <v>1</v>
      </c>
      <c r="R1474" s="2">
        <v>38618</v>
      </c>
    </row>
    <row r="1475" spans="1:18" x14ac:dyDescent="0.3">
      <c r="A1475" t="s">
        <v>7</v>
      </c>
      <c r="B1475">
        <v>18964542</v>
      </c>
      <c r="C1475" t="s">
        <v>10</v>
      </c>
      <c r="D1475" s="4">
        <v>45910</v>
      </c>
      <c r="E1475" s="11">
        <f t="shared" ref="E1475:E1538" si="92">+YEAR(D1475)</f>
        <v>2025</v>
      </c>
      <c r="F1475" s="11">
        <f t="shared" ref="F1475:F1538" si="93">+MONTH(D1475)</f>
        <v>9</v>
      </c>
      <c r="G1475" s="11" t="str">
        <f t="shared" ref="G1475:G1538" si="94">+TEXT(D1475, "yyymm")</f>
        <v>202509</v>
      </c>
      <c r="H1475" s="4">
        <v>46054</v>
      </c>
      <c r="I1475" s="5">
        <v>144</v>
      </c>
      <c r="J1475" s="5">
        <v>4.8</v>
      </c>
      <c r="K1475" s="5">
        <f t="shared" ref="K1475:K1538" si="95">IF(J1475&lt;=1,1,0)</f>
        <v>0</v>
      </c>
      <c r="L1475" s="5">
        <v>0</v>
      </c>
      <c r="M1475" s="5">
        <v>1</v>
      </c>
      <c r="N1475" t="s">
        <v>9</v>
      </c>
      <c r="O1475" s="8">
        <v>24.12054794520548</v>
      </c>
      <c r="P1475" t="s">
        <v>33</v>
      </c>
      <c r="Q1475">
        <v>2</v>
      </c>
      <c r="R1475" s="2">
        <v>37106</v>
      </c>
    </row>
    <row r="1476" spans="1:18" x14ac:dyDescent="0.3">
      <c r="A1476" t="s">
        <v>7</v>
      </c>
      <c r="B1476">
        <v>18964560</v>
      </c>
      <c r="C1476" t="s">
        <v>10</v>
      </c>
      <c r="D1476" s="4">
        <v>45910</v>
      </c>
      <c r="E1476" s="11">
        <f t="shared" si="92"/>
        <v>2025</v>
      </c>
      <c r="F1476" s="11">
        <f t="shared" si="93"/>
        <v>9</v>
      </c>
      <c r="G1476" s="11" t="str">
        <f t="shared" si="94"/>
        <v>202509</v>
      </c>
      <c r="H1476" s="4">
        <v>46053</v>
      </c>
      <c r="I1476" s="5">
        <v>143</v>
      </c>
      <c r="J1476" s="5">
        <v>4.7666666666666666</v>
      </c>
      <c r="K1476" s="5">
        <f t="shared" si="95"/>
        <v>0</v>
      </c>
      <c r="L1476" s="5">
        <v>0</v>
      </c>
      <c r="M1476" s="5">
        <v>1</v>
      </c>
      <c r="N1476" t="s">
        <v>9</v>
      </c>
      <c r="O1476" s="8">
        <v>23.553424657534247</v>
      </c>
      <c r="P1476" t="s">
        <v>33</v>
      </c>
      <c r="Q1476">
        <v>2</v>
      </c>
      <c r="R1476" s="2">
        <v>37313</v>
      </c>
    </row>
    <row r="1477" spans="1:18" x14ac:dyDescent="0.3">
      <c r="A1477" t="s">
        <v>7</v>
      </c>
      <c r="B1477">
        <v>18964572</v>
      </c>
      <c r="C1477" t="s">
        <v>10</v>
      </c>
      <c r="D1477" s="4">
        <v>45910</v>
      </c>
      <c r="E1477" s="11">
        <f t="shared" si="92"/>
        <v>2025</v>
      </c>
      <c r="F1477" s="11">
        <f t="shared" si="93"/>
        <v>9</v>
      </c>
      <c r="G1477" s="11" t="str">
        <f t="shared" si="94"/>
        <v>202509</v>
      </c>
      <c r="I1477" s="5">
        <v>9999</v>
      </c>
      <c r="J1477" s="5">
        <v>333.3</v>
      </c>
      <c r="K1477" s="5">
        <f t="shared" si="95"/>
        <v>0</v>
      </c>
      <c r="L1477" s="5">
        <v>0</v>
      </c>
      <c r="M1477" s="5">
        <v>0</v>
      </c>
      <c r="N1477" t="s">
        <v>9</v>
      </c>
      <c r="O1477" s="8">
        <v>18.887671232876713</v>
      </c>
      <c r="P1477" t="s">
        <v>32</v>
      </c>
      <c r="Q1477">
        <v>1</v>
      </c>
      <c r="R1477" s="2">
        <v>39016</v>
      </c>
    </row>
    <row r="1478" spans="1:18" x14ac:dyDescent="0.3">
      <c r="A1478" t="s">
        <v>7</v>
      </c>
      <c r="B1478">
        <v>18964573</v>
      </c>
      <c r="C1478" t="s">
        <v>10</v>
      </c>
      <c r="D1478" s="4">
        <v>45910</v>
      </c>
      <c r="E1478" s="11">
        <f t="shared" si="92"/>
        <v>2025</v>
      </c>
      <c r="F1478" s="11">
        <f t="shared" si="93"/>
        <v>9</v>
      </c>
      <c r="G1478" s="11" t="str">
        <f t="shared" si="94"/>
        <v>202509</v>
      </c>
      <c r="I1478" s="5">
        <v>9999</v>
      </c>
      <c r="J1478" s="5">
        <v>333.3</v>
      </c>
      <c r="K1478" s="5">
        <f t="shared" si="95"/>
        <v>0</v>
      </c>
      <c r="L1478" s="5">
        <v>0</v>
      </c>
      <c r="M1478" s="5">
        <v>0</v>
      </c>
      <c r="N1478" t="s">
        <v>9</v>
      </c>
      <c r="O1478" s="8">
        <v>19.465753424657535</v>
      </c>
      <c r="P1478" t="s">
        <v>32</v>
      </c>
      <c r="Q1478">
        <v>1</v>
      </c>
      <c r="R1478" s="2">
        <v>38805</v>
      </c>
    </row>
    <row r="1479" spans="1:18" x14ac:dyDescent="0.3">
      <c r="A1479" t="s">
        <v>7</v>
      </c>
      <c r="B1479">
        <v>18964574</v>
      </c>
      <c r="C1479" t="s">
        <v>10</v>
      </c>
      <c r="D1479" s="4">
        <v>45910</v>
      </c>
      <c r="E1479" s="11">
        <f t="shared" si="92"/>
        <v>2025</v>
      </c>
      <c r="F1479" s="11">
        <f t="shared" si="93"/>
        <v>9</v>
      </c>
      <c r="G1479" s="11" t="str">
        <f t="shared" si="94"/>
        <v>202509</v>
      </c>
      <c r="H1479" s="4">
        <v>46112</v>
      </c>
      <c r="I1479" s="5">
        <v>202</v>
      </c>
      <c r="J1479" s="5">
        <v>6.7333333333333334</v>
      </c>
      <c r="K1479" s="5">
        <f t="shared" si="95"/>
        <v>0</v>
      </c>
      <c r="L1479" s="5">
        <v>0</v>
      </c>
      <c r="M1479" s="5">
        <v>0</v>
      </c>
      <c r="N1479" t="s">
        <v>12</v>
      </c>
      <c r="O1479" s="8">
        <v>23.542465753424658</v>
      </c>
      <c r="P1479" t="s">
        <v>33</v>
      </c>
      <c r="Q1479">
        <v>2</v>
      </c>
      <c r="R1479" s="2">
        <v>37317</v>
      </c>
    </row>
    <row r="1480" spans="1:18" x14ac:dyDescent="0.3">
      <c r="A1480" t="s">
        <v>7</v>
      </c>
      <c r="B1480">
        <v>18964609</v>
      </c>
      <c r="C1480" t="s">
        <v>8</v>
      </c>
      <c r="D1480" s="4">
        <v>45910</v>
      </c>
      <c r="E1480" s="11">
        <f t="shared" si="92"/>
        <v>2025</v>
      </c>
      <c r="F1480" s="11">
        <f t="shared" si="93"/>
        <v>9</v>
      </c>
      <c r="G1480" s="11" t="str">
        <f t="shared" si="94"/>
        <v>202509</v>
      </c>
      <c r="H1480" s="4">
        <v>45912</v>
      </c>
      <c r="I1480" s="5">
        <v>2</v>
      </c>
      <c r="J1480" s="5">
        <v>6.6666666666666666E-2</v>
      </c>
      <c r="K1480" s="5">
        <f t="shared" si="95"/>
        <v>1</v>
      </c>
      <c r="L1480" s="5">
        <v>1</v>
      </c>
      <c r="M1480" s="5">
        <v>1</v>
      </c>
      <c r="N1480" t="s">
        <v>9</v>
      </c>
      <c r="O1480" s="8">
        <v>18.986301369863014</v>
      </c>
      <c r="P1480" t="s">
        <v>32</v>
      </c>
      <c r="Q1480">
        <v>1</v>
      </c>
      <c r="R1480" s="2">
        <v>38980</v>
      </c>
    </row>
    <row r="1481" spans="1:18" x14ac:dyDescent="0.3">
      <c r="A1481" t="s">
        <v>7</v>
      </c>
      <c r="B1481">
        <v>18964614</v>
      </c>
      <c r="C1481" t="s">
        <v>8</v>
      </c>
      <c r="D1481" s="4">
        <v>45910</v>
      </c>
      <c r="E1481" s="11">
        <f t="shared" si="92"/>
        <v>2025</v>
      </c>
      <c r="F1481" s="11">
        <f t="shared" si="93"/>
        <v>9</v>
      </c>
      <c r="G1481" s="11" t="str">
        <f t="shared" si="94"/>
        <v>202509</v>
      </c>
      <c r="H1481" s="4">
        <v>45918</v>
      </c>
      <c r="I1481" s="5">
        <v>8</v>
      </c>
      <c r="J1481" s="5">
        <v>0.26666666666666666</v>
      </c>
      <c r="K1481" s="5">
        <f t="shared" si="95"/>
        <v>1</v>
      </c>
      <c r="L1481" s="5">
        <v>1</v>
      </c>
      <c r="M1481" s="5">
        <v>1</v>
      </c>
      <c r="N1481" t="s">
        <v>9</v>
      </c>
      <c r="O1481" s="8">
        <v>23.794520547945204</v>
      </c>
      <c r="P1481" t="s">
        <v>33</v>
      </c>
      <c r="Q1481">
        <v>2</v>
      </c>
      <c r="R1481" s="2">
        <v>37225</v>
      </c>
    </row>
    <row r="1482" spans="1:18" x14ac:dyDescent="0.3">
      <c r="A1482" t="s">
        <v>7</v>
      </c>
      <c r="B1482">
        <v>18964842</v>
      </c>
      <c r="C1482" t="s">
        <v>8</v>
      </c>
      <c r="D1482" s="4">
        <v>46104</v>
      </c>
      <c r="E1482" s="11">
        <f t="shared" si="92"/>
        <v>2026</v>
      </c>
      <c r="F1482" s="11">
        <f t="shared" si="93"/>
        <v>3</v>
      </c>
      <c r="G1482" s="11" t="str">
        <f t="shared" si="94"/>
        <v>202603</v>
      </c>
      <c r="H1482" s="4">
        <v>46171</v>
      </c>
      <c r="I1482" s="5">
        <v>67</v>
      </c>
      <c r="J1482" s="5">
        <v>2.2333333333333334</v>
      </c>
      <c r="K1482" s="5">
        <f t="shared" si="95"/>
        <v>0</v>
      </c>
      <c r="L1482" s="5">
        <v>1</v>
      </c>
      <c r="M1482" s="5">
        <v>1</v>
      </c>
      <c r="N1482" t="s">
        <v>9</v>
      </c>
      <c r="O1482" s="8">
        <v>21.345205479452055</v>
      </c>
      <c r="P1482" t="s">
        <v>33</v>
      </c>
      <c r="Q1482">
        <v>2</v>
      </c>
      <c r="R1482" s="2">
        <v>38313</v>
      </c>
    </row>
    <row r="1483" spans="1:18" x14ac:dyDescent="0.3">
      <c r="A1483" t="s">
        <v>7</v>
      </c>
      <c r="B1483">
        <v>18964873</v>
      </c>
      <c r="C1483" t="s">
        <v>8</v>
      </c>
      <c r="D1483" s="4">
        <v>45910</v>
      </c>
      <c r="E1483" s="11">
        <f t="shared" si="92"/>
        <v>2025</v>
      </c>
      <c r="F1483" s="11">
        <f t="shared" si="93"/>
        <v>9</v>
      </c>
      <c r="G1483" s="11" t="str">
        <f t="shared" si="94"/>
        <v>202509</v>
      </c>
      <c r="H1483" s="4">
        <v>45912</v>
      </c>
      <c r="I1483" s="5">
        <v>2</v>
      </c>
      <c r="J1483" s="5">
        <v>6.6666666666666666E-2</v>
      </c>
      <c r="K1483" s="5">
        <f t="shared" si="95"/>
        <v>1</v>
      </c>
      <c r="L1483" s="5">
        <v>1</v>
      </c>
      <c r="M1483" s="5">
        <v>1</v>
      </c>
      <c r="N1483" t="s">
        <v>9</v>
      </c>
      <c r="O1483" s="8">
        <v>45.443835616438356</v>
      </c>
      <c r="P1483" t="s">
        <v>35</v>
      </c>
      <c r="Q1483">
        <v>4</v>
      </c>
      <c r="R1483" s="2">
        <v>29323</v>
      </c>
    </row>
    <row r="1484" spans="1:18" x14ac:dyDescent="0.3">
      <c r="A1484" t="s">
        <v>7</v>
      </c>
      <c r="B1484">
        <v>18964874</v>
      </c>
      <c r="C1484" t="s">
        <v>8</v>
      </c>
      <c r="D1484" s="4">
        <v>45910</v>
      </c>
      <c r="E1484" s="11">
        <f t="shared" si="92"/>
        <v>2025</v>
      </c>
      <c r="F1484" s="11">
        <f t="shared" si="93"/>
        <v>9</v>
      </c>
      <c r="G1484" s="11" t="str">
        <f t="shared" si="94"/>
        <v>202509</v>
      </c>
      <c r="I1484" s="5">
        <v>9999</v>
      </c>
      <c r="J1484" s="5">
        <v>333.3</v>
      </c>
      <c r="K1484" s="5">
        <f t="shared" si="95"/>
        <v>0</v>
      </c>
      <c r="L1484" s="5">
        <v>0</v>
      </c>
      <c r="M1484" s="5">
        <v>0</v>
      </c>
      <c r="N1484" t="s">
        <v>9</v>
      </c>
      <c r="O1484" s="8">
        <v>18.923287671232877</v>
      </c>
      <c r="P1484" t="s">
        <v>32</v>
      </c>
      <c r="Q1484">
        <v>1</v>
      </c>
      <c r="R1484" s="2">
        <v>39003</v>
      </c>
    </row>
    <row r="1485" spans="1:18" x14ac:dyDescent="0.3">
      <c r="A1485" t="s">
        <v>7</v>
      </c>
      <c r="B1485">
        <v>18964889</v>
      </c>
      <c r="C1485" t="s">
        <v>8</v>
      </c>
      <c r="D1485" s="4">
        <v>45911</v>
      </c>
      <c r="E1485" s="11">
        <f t="shared" si="92"/>
        <v>2025</v>
      </c>
      <c r="F1485" s="11">
        <f t="shared" si="93"/>
        <v>9</v>
      </c>
      <c r="G1485" s="11" t="str">
        <f t="shared" si="94"/>
        <v>202509</v>
      </c>
      <c r="H1485" s="4">
        <v>46040</v>
      </c>
      <c r="I1485" s="5">
        <v>129</v>
      </c>
      <c r="J1485" s="5">
        <v>4.3</v>
      </c>
      <c r="K1485" s="5">
        <f t="shared" si="95"/>
        <v>0</v>
      </c>
      <c r="L1485" s="5">
        <v>0</v>
      </c>
      <c r="M1485" s="5">
        <v>1</v>
      </c>
      <c r="N1485" t="s">
        <v>12</v>
      </c>
      <c r="O1485" s="8">
        <v>24.030136986301368</v>
      </c>
      <c r="P1485" t="s">
        <v>33</v>
      </c>
      <c r="Q1485">
        <v>2</v>
      </c>
      <c r="R1485" s="2">
        <v>37140</v>
      </c>
    </row>
    <row r="1486" spans="1:18" x14ac:dyDescent="0.3">
      <c r="A1486" t="s">
        <v>7</v>
      </c>
      <c r="B1486">
        <v>18964898</v>
      </c>
      <c r="C1486" t="s">
        <v>8</v>
      </c>
      <c r="D1486" s="4">
        <v>45911</v>
      </c>
      <c r="E1486" s="11">
        <f t="shared" si="92"/>
        <v>2025</v>
      </c>
      <c r="F1486" s="11">
        <f t="shared" si="93"/>
        <v>9</v>
      </c>
      <c r="G1486" s="11" t="str">
        <f t="shared" si="94"/>
        <v>202509</v>
      </c>
      <c r="I1486" s="5">
        <v>9999</v>
      </c>
      <c r="J1486" s="5">
        <v>333.3</v>
      </c>
      <c r="K1486" s="5">
        <f t="shared" si="95"/>
        <v>0</v>
      </c>
      <c r="L1486" s="5">
        <v>0</v>
      </c>
      <c r="M1486" s="5">
        <v>0</v>
      </c>
      <c r="N1486" t="s">
        <v>12</v>
      </c>
      <c r="O1486" s="8">
        <v>19.972602739726028</v>
      </c>
      <c r="P1486" t="s">
        <v>32</v>
      </c>
      <c r="Q1486">
        <v>1</v>
      </c>
      <c r="R1486" s="2">
        <v>38621</v>
      </c>
    </row>
    <row r="1487" spans="1:18" x14ac:dyDescent="0.3">
      <c r="A1487" t="s">
        <v>7</v>
      </c>
      <c r="B1487">
        <v>18965155</v>
      </c>
      <c r="C1487" t="s">
        <v>8</v>
      </c>
      <c r="D1487" s="4">
        <v>45912</v>
      </c>
      <c r="E1487" s="11">
        <f t="shared" si="92"/>
        <v>2025</v>
      </c>
      <c r="F1487" s="11">
        <f t="shared" si="93"/>
        <v>9</v>
      </c>
      <c r="G1487" s="11" t="str">
        <f t="shared" si="94"/>
        <v>202509</v>
      </c>
      <c r="I1487" s="5">
        <v>9999</v>
      </c>
      <c r="J1487" s="5">
        <v>333.3</v>
      </c>
      <c r="K1487" s="5">
        <f t="shared" si="95"/>
        <v>0</v>
      </c>
      <c r="L1487" s="5">
        <v>0</v>
      </c>
      <c r="M1487" s="5">
        <v>0</v>
      </c>
      <c r="N1487" t="s">
        <v>9</v>
      </c>
      <c r="O1487" s="8">
        <v>22.942465753424656</v>
      </c>
      <c r="P1487" t="s">
        <v>33</v>
      </c>
      <c r="Q1487">
        <v>2</v>
      </c>
      <c r="R1487" s="2">
        <v>37538</v>
      </c>
    </row>
    <row r="1488" spans="1:18" x14ac:dyDescent="0.3">
      <c r="A1488" t="s">
        <v>7</v>
      </c>
      <c r="B1488">
        <v>18965169</v>
      </c>
      <c r="C1488" t="s">
        <v>8</v>
      </c>
      <c r="D1488" s="4">
        <v>45912</v>
      </c>
      <c r="E1488" s="11">
        <f t="shared" si="92"/>
        <v>2025</v>
      </c>
      <c r="F1488" s="11">
        <f t="shared" si="93"/>
        <v>9</v>
      </c>
      <c r="G1488" s="11" t="str">
        <f t="shared" si="94"/>
        <v>202509</v>
      </c>
      <c r="H1488" s="4">
        <v>46053</v>
      </c>
      <c r="I1488" s="5">
        <v>141</v>
      </c>
      <c r="J1488" s="5">
        <v>4.7</v>
      </c>
      <c r="K1488" s="5">
        <f t="shared" si="95"/>
        <v>0</v>
      </c>
      <c r="L1488" s="5">
        <v>0</v>
      </c>
      <c r="M1488" s="5">
        <v>1</v>
      </c>
      <c r="N1488" t="s">
        <v>9</v>
      </c>
      <c r="O1488" s="8">
        <v>25.186301369863013</v>
      </c>
      <c r="P1488" t="s">
        <v>33</v>
      </c>
      <c r="Q1488">
        <v>2</v>
      </c>
      <c r="R1488" s="2">
        <v>36719</v>
      </c>
    </row>
    <row r="1489" spans="1:18" x14ac:dyDescent="0.3">
      <c r="A1489" t="s">
        <v>7</v>
      </c>
      <c r="B1489">
        <v>18965170</v>
      </c>
      <c r="C1489" t="s">
        <v>10</v>
      </c>
      <c r="D1489" s="4">
        <v>45912</v>
      </c>
      <c r="E1489" s="11">
        <f t="shared" si="92"/>
        <v>2025</v>
      </c>
      <c r="F1489" s="11">
        <f t="shared" si="93"/>
        <v>9</v>
      </c>
      <c r="G1489" s="11" t="str">
        <f t="shared" si="94"/>
        <v>202509</v>
      </c>
      <c r="H1489" s="4">
        <v>45916</v>
      </c>
      <c r="I1489" s="5">
        <v>4</v>
      </c>
      <c r="J1489" s="5">
        <v>0.13333333333333333</v>
      </c>
      <c r="K1489" s="5">
        <f t="shared" si="95"/>
        <v>1</v>
      </c>
      <c r="L1489" s="5">
        <v>1</v>
      </c>
      <c r="M1489" s="5">
        <v>1</v>
      </c>
      <c r="N1489" t="s">
        <v>9</v>
      </c>
      <c r="O1489" s="8">
        <v>20.531506849315068</v>
      </c>
      <c r="P1489" t="s">
        <v>32</v>
      </c>
      <c r="Q1489">
        <v>1</v>
      </c>
      <c r="R1489" s="2">
        <v>38418</v>
      </c>
    </row>
    <row r="1490" spans="1:18" x14ac:dyDescent="0.3">
      <c r="A1490" t="s">
        <v>7</v>
      </c>
      <c r="B1490">
        <v>18965289</v>
      </c>
      <c r="C1490" t="s">
        <v>8</v>
      </c>
      <c r="D1490" s="4">
        <v>45912</v>
      </c>
      <c r="E1490" s="11">
        <f t="shared" si="92"/>
        <v>2025</v>
      </c>
      <c r="F1490" s="11">
        <f t="shared" si="93"/>
        <v>9</v>
      </c>
      <c r="G1490" s="11" t="str">
        <f t="shared" si="94"/>
        <v>202509</v>
      </c>
      <c r="H1490" s="4">
        <v>46023</v>
      </c>
      <c r="I1490" s="5">
        <v>111</v>
      </c>
      <c r="J1490" s="5">
        <v>3.7</v>
      </c>
      <c r="K1490" s="5">
        <f t="shared" si="95"/>
        <v>0</v>
      </c>
      <c r="L1490" s="5">
        <v>0</v>
      </c>
      <c r="M1490" s="5">
        <v>1</v>
      </c>
      <c r="N1490" t="s">
        <v>9</v>
      </c>
      <c r="O1490" s="8">
        <v>20.046575342465754</v>
      </c>
      <c r="P1490" t="s">
        <v>32</v>
      </c>
      <c r="Q1490">
        <v>1</v>
      </c>
      <c r="R1490" s="2">
        <v>38595</v>
      </c>
    </row>
    <row r="1491" spans="1:18" x14ac:dyDescent="0.3">
      <c r="A1491" t="s">
        <v>7</v>
      </c>
      <c r="B1491">
        <v>18965349</v>
      </c>
      <c r="C1491" t="s">
        <v>10</v>
      </c>
      <c r="D1491" s="4">
        <v>45915</v>
      </c>
      <c r="E1491" s="11">
        <f t="shared" si="92"/>
        <v>2025</v>
      </c>
      <c r="F1491" s="11">
        <f t="shared" si="93"/>
        <v>9</v>
      </c>
      <c r="G1491" s="11" t="str">
        <f t="shared" si="94"/>
        <v>202509</v>
      </c>
      <c r="H1491" s="4">
        <v>46024</v>
      </c>
      <c r="I1491" s="5">
        <v>109</v>
      </c>
      <c r="J1491" s="5">
        <v>3.6333333333333333</v>
      </c>
      <c r="K1491" s="5">
        <f t="shared" si="95"/>
        <v>0</v>
      </c>
      <c r="L1491" s="5">
        <v>0</v>
      </c>
      <c r="M1491" s="5">
        <v>1</v>
      </c>
      <c r="N1491" t="s">
        <v>12</v>
      </c>
      <c r="O1491" s="8">
        <v>22.468493150684932</v>
      </c>
      <c r="P1491" t="s">
        <v>33</v>
      </c>
      <c r="Q1491">
        <v>2</v>
      </c>
      <c r="R1491" s="2">
        <v>37714</v>
      </c>
    </row>
    <row r="1492" spans="1:18" x14ac:dyDescent="0.3">
      <c r="A1492" t="s">
        <v>7</v>
      </c>
      <c r="B1492">
        <v>18965473</v>
      </c>
      <c r="C1492" t="s">
        <v>8</v>
      </c>
      <c r="D1492" s="4">
        <v>45915</v>
      </c>
      <c r="E1492" s="11">
        <f t="shared" si="92"/>
        <v>2025</v>
      </c>
      <c r="F1492" s="11">
        <f t="shared" si="93"/>
        <v>9</v>
      </c>
      <c r="G1492" s="11" t="str">
        <f t="shared" si="94"/>
        <v>202509</v>
      </c>
      <c r="I1492" s="5">
        <v>9999</v>
      </c>
      <c r="J1492" s="5">
        <v>333.3</v>
      </c>
      <c r="K1492" s="5">
        <f t="shared" si="95"/>
        <v>0</v>
      </c>
      <c r="L1492" s="5">
        <v>0</v>
      </c>
      <c r="M1492" s="5">
        <v>0</v>
      </c>
      <c r="N1492" t="s">
        <v>12</v>
      </c>
      <c r="O1492" s="8">
        <v>20.846575342465755</v>
      </c>
      <c r="P1492" t="s">
        <v>32</v>
      </c>
      <c r="Q1492">
        <v>1</v>
      </c>
      <c r="R1492" s="2">
        <v>38306</v>
      </c>
    </row>
    <row r="1493" spans="1:18" x14ac:dyDescent="0.3">
      <c r="A1493" t="s">
        <v>7</v>
      </c>
      <c r="B1493">
        <v>18965476</v>
      </c>
      <c r="C1493" t="s">
        <v>8</v>
      </c>
      <c r="D1493" s="4">
        <v>45915</v>
      </c>
      <c r="E1493" s="11">
        <f t="shared" si="92"/>
        <v>2025</v>
      </c>
      <c r="F1493" s="11">
        <f t="shared" si="93"/>
        <v>9</v>
      </c>
      <c r="G1493" s="11" t="str">
        <f t="shared" si="94"/>
        <v>202509</v>
      </c>
      <c r="H1493" s="4">
        <v>46060</v>
      </c>
      <c r="I1493" s="5">
        <v>145</v>
      </c>
      <c r="J1493" s="5">
        <v>4.833333333333333</v>
      </c>
      <c r="K1493" s="5">
        <f t="shared" si="95"/>
        <v>0</v>
      </c>
      <c r="L1493" s="5">
        <v>0</v>
      </c>
      <c r="M1493" s="5">
        <v>1</v>
      </c>
      <c r="N1493" t="s">
        <v>9</v>
      </c>
      <c r="O1493" s="8">
        <v>19.084931506849315</v>
      </c>
      <c r="P1493" t="s">
        <v>32</v>
      </c>
      <c r="Q1493">
        <v>1</v>
      </c>
      <c r="R1493" s="2">
        <v>38949</v>
      </c>
    </row>
    <row r="1494" spans="1:18" x14ac:dyDescent="0.3">
      <c r="A1494" t="s">
        <v>7</v>
      </c>
      <c r="B1494">
        <v>18965477</v>
      </c>
      <c r="C1494" t="s">
        <v>8</v>
      </c>
      <c r="D1494" s="4">
        <v>45915</v>
      </c>
      <c r="E1494" s="11">
        <f t="shared" si="92"/>
        <v>2025</v>
      </c>
      <c r="F1494" s="11">
        <f t="shared" si="93"/>
        <v>9</v>
      </c>
      <c r="G1494" s="11" t="str">
        <f t="shared" si="94"/>
        <v>202509</v>
      </c>
      <c r="I1494" s="5">
        <v>9999</v>
      </c>
      <c r="J1494" s="5">
        <v>333.3</v>
      </c>
      <c r="K1494" s="5">
        <f t="shared" si="95"/>
        <v>0</v>
      </c>
      <c r="L1494" s="5">
        <v>0</v>
      </c>
      <c r="M1494" s="5">
        <v>0</v>
      </c>
      <c r="N1494" t="s">
        <v>9</v>
      </c>
      <c r="O1494" s="8">
        <v>38.408219178082192</v>
      </c>
      <c r="P1494" t="s">
        <v>35</v>
      </c>
      <c r="Q1494">
        <v>4</v>
      </c>
      <c r="R1494" s="2">
        <v>31896</v>
      </c>
    </row>
    <row r="1495" spans="1:18" x14ac:dyDescent="0.3">
      <c r="A1495" t="s">
        <v>7</v>
      </c>
      <c r="B1495">
        <v>18965507</v>
      </c>
      <c r="C1495" t="s">
        <v>8</v>
      </c>
      <c r="D1495" s="4">
        <v>45915</v>
      </c>
      <c r="E1495" s="11">
        <f t="shared" si="92"/>
        <v>2025</v>
      </c>
      <c r="F1495" s="11">
        <f t="shared" si="93"/>
        <v>9</v>
      </c>
      <c r="G1495" s="11" t="str">
        <f t="shared" si="94"/>
        <v>202509</v>
      </c>
      <c r="H1495" s="4">
        <v>45991</v>
      </c>
      <c r="I1495" s="5">
        <v>76</v>
      </c>
      <c r="J1495" s="5">
        <v>2.5333333333333332</v>
      </c>
      <c r="K1495" s="5">
        <f t="shared" si="95"/>
        <v>0</v>
      </c>
      <c r="L1495" s="5">
        <v>1</v>
      </c>
      <c r="M1495" s="5">
        <v>1</v>
      </c>
      <c r="N1495" t="s">
        <v>9</v>
      </c>
      <c r="O1495" s="8">
        <v>18.068493150684933</v>
      </c>
      <c r="P1495" t="s">
        <v>32</v>
      </c>
      <c r="Q1495">
        <v>1</v>
      </c>
      <c r="R1495" s="2">
        <v>39320</v>
      </c>
    </row>
    <row r="1496" spans="1:18" x14ac:dyDescent="0.3">
      <c r="A1496" t="s">
        <v>7</v>
      </c>
      <c r="B1496">
        <v>18965508</v>
      </c>
      <c r="C1496" t="s">
        <v>8</v>
      </c>
      <c r="D1496" s="4">
        <v>45915</v>
      </c>
      <c r="E1496" s="11">
        <f t="shared" si="92"/>
        <v>2025</v>
      </c>
      <c r="F1496" s="11">
        <f t="shared" si="93"/>
        <v>9</v>
      </c>
      <c r="G1496" s="11" t="str">
        <f t="shared" si="94"/>
        <v>202509</v>
      </c>
      <c r="I1496" s="5">
        <v>9999</v>
      </c>
      <c r="J1496" s="5">
        <v>333.3</v>
      </c>
      <c r="K1496" s="5">
        <f t="shared" si="95"/>
        <v>0</v>
      </c>
      <c r="L1496" s="5">
        <v>0</v>
      </c>
      <c r="M1496" s="5">
        <v>0</v>
      </c>
      <c r="N1496" t="s">
        <v>12</v>
      </c>
      <c r="O1496" s="8">
        <v>28.471232876712328</v>
      </c>
      <c r="P1496" t="s">
        <v>34</v>
      </c>
      <c r="Q1496">
        <v>3</v>
      </c>
      <c r="R1496" s="2">
        <v>35523</v>
      </c>
    </row>
    <row r="1497" spans="1:18" x14ac:dyDescent="0.3">
      <c r="A1497" t="s">
        <v>7</v>
      </c>
      <c r="B1497">
        <v>18965591</v>
      </c>
      <c r="C1497" t="s">
        <v>8</v>
      </c>
      <c r="D1497" s="4">
        <v>45915</v>
      </c>
      <c r="E1497" s="11">
        <f t="shared" si="92"/>
        <v>2025</v>
      </c>
      <c r="F1497" s="11">
        <f t="shared" si="93"/>
        <v>9</v>
      </c>
      <c r="G1497" s="11" t="str">
        <f t="shared" si="94"/>
        <v>202509</v>
      </c>
      <c r="H1497" s="4">
        <v>46024</v>
      </c>
      <c r="I1497" s="5">
        <v>109</v>
      </c>
      <c r="J1497" s="5">
        <v>3.6333333333333333</v>
      </c>
      <c r="K1497" s="5">
        <f t="shared" si="95"/>
        <v>0</v>
      </c>
      <c r="L1497" s="5">
        <v>0</v>
      </c>
      <c r="M1497" s="5">
        <v>1</v>
      </c>
      <c r="N1497" t="s">
        <v>9</v>
      </c>
      <c r="O1497" s="8">
        <v>33.339726027397262</v>
      </c>
      <c r="P1497" t="s">
        <v>35</v>
      </c>
      <c r="Q1497">
        <v>4</v>
      </c>
      <c r="R1497" s="2">
        <v>33746</v>
      </c>
    </row>
    <row r="1498" spans="1:18" x14ac:dyDescent="0.3">
      <c r="A1498" t="s">
        <v>7</v>
      </c>
      <c r="B1498">
        <v>18965592</v>
      </c>
      <c r="C1498" t="s">
        <v>8</v>
      </c>
      <c r="D1498" s="4">
        <v>45915</v>
      </c>
      <c r="E1498" s="11">
        <f t="shared" si="92"/>
        <v>2025</v>
      </c>
      <c r="F1498" s="11">
        <f t="shared" si="93"/>
        <v>9</v>
      </c>
      <c r="G1498" s="11" t="str">
        <f t="shared" si="94"/>
        <v>202509</v>
      </c>
      <c r="I1498" s="5">
        <v>9999</v>
      </c>
      <c r="J1498" s="5">
        <v>333.3</v>
      </c>
      <c r="K1498" s="5">
        <f t="shared" si="95"/>
        <v>0</v>
      </c>
      <c r="L1498" s="5">
        <v>0</v>
      </c>
      <c r="M1498" s="5">
        <v>0</v>
      </c>
      <c r="N1498" t="s">
        <v>9</v>
      </c>
      <c r="O1498" s="8">
        <v>18.589041095890412</v>
      </c>
      <c r="P1498" t="s">
        <v>32</v>
      </c>
      <c r="Q1498">
        <v>1</v>
      </c>
      <c r="R1498" s="2">
        <v>39130</v>
      </c>
    </row>
    <row r="1499" spans="1:18" x14ac:dyDescent="0.3">
      <c r="A1499" t="s">
        <v>7</v>
      </c>
      <c r="B1499">
        <v>18965742</v>
      </c>
      <c r="C1499" t="s">
        <v>10</v>
      </c>
      <c r="D1499" s="4">
        <v>45912</v>
      </c>
      <c r="E1499" s="11">
        <f t="shared" si="92"/>
        <v>2025</v>
      </c>
      <c r="F1499" s="11">
        <f t="shared" si="93"/>
        <v>9</v>
      </c>
      <c r="G1499" s="11" t="str">
        <f t="shared" si="94"/>
        <v>202509</v>
      </c>
      <c r="H1499" s="4">
        <v>45962</v>
      </c>
      <c r="I1499" s="5">
        <v>50</v>
      </c>
      <c r="J1499" s="5">
        <v>1.6666666666666667</v>
      </c>
      <c r="K1499" s="5">
        <f t="shared" si="95"/>
        <v>0</v>
      </c>
      <c r="L1499" s="5">
        <v>1</v>
      </c>
      <c r="M1499" s="5">
        <v>1</v>
      </c>
      <c r="N1499" t="s">
        <v>12</v>
      </c>
      <c r="O1499" s="8">
        <v>19.315068493150687</v>
      </c>
      <c r="P1499" t="s">
        <v>32</v>
      </c>
      <c r="Q1499">
        <v>1</v>
      </c>
      <c r="R1499" s="2">
        <v>38862</v>
      </c>
    </row>
    <row r="1500" spans="1:18" x14ac:dyDescent="0.3">
      <c r="A1500" t="s">
        <v>7</v>
      </c>
      <c r="B1500">
        <v>18965743</v>
      </c>
      <c r="C1500" t="s">
        <v>8</v>
      </c>
      <c r="D1500" s="4">
        <v>45912</v>
      </c>
      <c r="E1500" s="11">
        <f t="shared" si="92"/>
        <v>2025</v>
      </c>
      <c r="F1500" s="11">
        <f t="shared" si="93"/>
        <v>9</v>
      </c>
      <c r="G1500" s="11" t="str">
        <f t="shared" si="94"/>
        <v>202509</v>
      </c>
      <c r="H1500" s="4">
        <v>46081</v>
      </c>
      <c r="I1500" s="5">
        <v>169</v>
      </c>
      <c r="J1500" s="5">
        <v>5.6333333333333337</v>
      </c>
      <c r="K1500" s="5">
        <f t="shared" si="95"/>
        <v>0</v>
      </c>
      <c r="L1500" s="5">
        <v>0</v>
      </c>
      <c r="M1500" s="5">
        <v>1</v>
      </c>
      <c r="N1500" t="s">
        <v>12</v>
      </c>
      <c r="O1500" s="8">
        <v>29.326027397260273</v>
      </c>
      <c r="P1500" t="s">
        <v>34</v>
      </c>
      <c r="Q1500">
        <v>3</v>
      </c>
      <c r="R1500" s="2">
        <v>35208</v>
      </c>
    </row>
    <row r="1501" spans="1:18" x14ac:dyDescent="0.3">
      <c r="A1501" t="s">
        <v>7</v>
      </c>
      <c r="B1501">
        <v>18965744</v>
      </c>
      <c r="C1501" t="s">
        <v>8</v>
      </c>
      <c r="D1501" s="4">
        <v>45912</v>
      </c>
      <c r="E1501" s="11">
        <f t="shared" si="92"/>
        <v>2025</v>
      </c>
      <c r="F1501" s="11">
        <f t="shared" si="93"/>
        <v>9</v>
      </c>
      <c r="G1501" s="11" t="str">
        <f t="shared" si="94"/>
        <v>202509</v>
      </c>
      <c r="H1501" s="4">
        <v>45991</v>
      </c>
      <c r="I1501" s="5">
        <v>79</v>
      </c>
      <c r="J1501" s="5">
        <v>2.6333333333333333</v>
      </c>
      <c r="K1501" s="5">
        <f t="shared" si="95"/>
        <v>0</v>
      </c>
      <c r="L1501" s="5">
        <v>1</v>
      </c>
      <c r="M1501" s="5">
        <v>1</v>
      </c>
      <c r="N1501" t="s">
        <v>12</v>
      </c>
      <c r="O1501" s="8">
        <v>20.715068493150685</v>
      </c>
      <c r="P1501" t="s">
        <v>32</v>
      </c>
      <c r="Q1501">
        <v>1</v>
      </c>
      <c r="R1501" s="2">
        <v>38351</v>
      </c>
    </row>
    <row r="1502" spans="1:18" x14ac:dyDescent="0.3">
      <c r="A1502" t="s">
        <v>7</v>
      </c>
      <c r="B1502">
        <v>18965749</v>
      </c>
      <c r="C1502" t="s">
        <v>8</v>
      </c>
      <c r="D1502" s="4">
        <v>45915</v>
      </c>
      <c r="E1502" s="11">
        <f t="shared" si="92"/>
        <v>2025</v>
      </c>
      <c r="F1502" s="11">
        <f t="shared" si="93"/>
        <v>9</v>
      </c>
      <c r="G1502" s="11" t="str">
        <f t="shared" si="94"/>
        <v>202509</v>
      </c>
      <c r="H1502" s="4">
        <v>45967</v>
      </c>
      <c r="I1502" s="5">
        <v>52</v>
      </c>
      <c r="J1502" s="5">
        <v>1.7333333333333334</v>
      </c>
      <c r="K1502" s="5">
        <f t="shared" si="95"/>
        <v>0</v>
      </c>
      <c r="L1502" s="5">
        <v>1</v>
      </c>
      <c r="M1502" s="5">
        <v>1</v>
      </c>
      <c r="N1502" t="s">
        <v>12</v>
      </c>
      <c r="O1502" s="8">
        <v>21.057534246575344</v>
      </c>
      <c r="P1502" t="s">
        <v>33</v>
      </c>
      <c r="Q1502">
        <v>2</v>
      </c>
      <c r="R1502" s="2">
        <v>38229</v>
      </c>
    </row>
    <row r="1503" spans="1:18" x14ac:dyDescent="0.3">
      <c r="A1503" t="s">
        <v>7</v>
      </c>
      <c r="B1503">
        <v>18966184</v>
      </c>
      <c r="C1503" t="s">
        <v>8</v>
      </c>
      <c r="D1503" s="4">
        <v>45916</v>
      </c>
      <c r="E1503" s="11">
        <f t="shared" si="92"/>
        <v>2025</v>
      </c>
      <c r="F1503" s="11">
        <f t="shared" si="93"/>
        <v>9</v>
      </c>
      <c r="G1503" s="11" t="str">
        <f t="shared" si="94"/>
        <v>202509</v>
      </c>
      <c r="H1503" s="4">
        <v>46023</v>
      </c>
      <c r="I1503" s="5">
        <v>107</v>
      </c>
      <c r="J1503" s="5">
        <v>3.5666666666666669</v>
      </c>
      <c r="K1503" s="5">
        <f t="shared" si="95"/>
        <v>0</v>
      </c>
      <c r="L1503" s="5">
        <v>0</v>
      </c>
      <c r="M1503" s="5">
        <v>1</v>
      </c>
      <c r="N1503" t="s">
        <v>9</v>
      </c>
      <c r="O1503" s="8">
        <v>25.958904109589042</v>
      </c>
      <c r="P1503" t="s">
        <v>33</v>
      </c>
      <c r="Q1503">
        <v>2</v>
      </c>
      <c r="R1503" s="2">
        <v>36441</v>
      </c>
    </row>
    <row r="1504" spans="1:18" x14ac:dyDescent="0.3">
      <c r="A1504" t="s">
        <v>7</v>
      </c>
      <c r="B1504">
        <v>18966185</v>
      </c>
      <c r="C1504" t="s">
        <v>10</v>
      </c>
      <c r="D1504" s="4">
        <v>45916</v>
      </c>
      <c r="E1504" s="11">
        <f t="shared" si="92"/>
        <v>2025</v>
      </c>
      <c r="F1504" s="11">
        <f t="shared" si="93"/>
        <v>9</v>
      </c>
      <c r="G1504" s="11" t="str">
        <f t="shared" si="94"/>
        <v>202509</v>
      </c>
      <c r="I1504" s="5">
        <v>9999</v>
      </c>
      <c r="J1504" s="5">
        <v>333.3</v>
      </c>
      <c r="K1504" s="5">
        <f t="shared" si="95"/>
        <v>0</v>
      </c>
      <c r="L1504" s="5">
        <v>0</v>
      </c>
      <c r="M1504" s="5">
        <v>0</v>
      </c>
      <c r="N1504" t="s">
        <v>9</v>
      </c>
      <c r="O1504" s="8">
        <v>18.509589041095889</v>
      </c>
      <c r="P1504" t="s">
        <v>32</v>
      </c>
      <c r="Q1504">
        <v>1</v>
      </c>
      <c r="R1504" s="2">
        <v>39160</v>
      </c>
    </row>
    <row r="1505" spans="1:18" x14ac:dyDescent="0.3">
      <c r="A1505" t="s">
        <v>7</v>
      </c>
      <c r="B1505">
        <v>18966188</v>
      </c>
      <c r="C1505" t="s">
        <v>8</v>
      </c>
      <c r="D1505" s="4">
        <v>45916</v>
      </c>
      <c r="E1505" s="11">
        <f t="shared" si="92"/>
        <v>2025</v>
      </c>
      <c r="F1505" s="11">
        <f t="shared" si="93"/>
        <v>9</v>
      </c>
      <c r="G1505" s="11" t="str">
        <f t="shared" si="94"/>
        <v>202509</v>
      </c>
      <c r="H1505" s="4">
        <v>46082</v>
      </c>
      <c r="I1505" s="5">
        <v>166</v>
      </c>
      <c r="J1505" s="5">
        <v>5.5333333333333332</v>
      </c>
      <c r="K1505" s="5">
        <f t="shared" si="95"/>
        <v>0</v>
      </c>
      <c r="L1505" s="5">
        <v>0</v>
      </c>
      <c r="M1505" s="5">
        <v>1</v>
      </c>
      <c r="N1505" t="s">
        <v>9</v>
      </c>
      <c r="O1505" s="8">
        <v>24.512328767123286</v>
      </c>
      <c r="P1505" t="s">
        <v>33</v>
      </c>
      <c r="Q1505">
        <v>2</v>
      </c>
      <c r="R1505" s="2">
        <v>36969</v>
      </c>
    </row>
    <row r="1506" spans="1:18" x14ac:dyDescent="0.3">
      <c r="A1506" t="s">
        <v>7</v>
      </c>
      <c r="B1506">
        <v>18966192</v>
      </c>
      <c r="C1506" t="s">
        <v>8</v>
      </c>
      <c r="D1506" s="4">
        <v>45916</v>
      </c>
      <c r="E1506" s="11">
        <f t="shared" si="92"/>
        <v>2025</v>
      </c>
      <c r="F1506" s="11">
        <f t="shared" si="93"/>
        <v>9</v>
      </c>
      <c r="G1506" s="11" t="str">
        <f t="shared" si="94"/>
        <v>202509</v>
      </c>
      <c r="I1506" s="5">
        <v>9999</v>
      </c>
      <c r="J1506" s="5">
        <v>333.3</v>
      </c>
      <c r="K1506" s="5">
        <f t="shared" si="95"/>
        <v>0</v>
      </c>
      <c r="L1506" s="5">
        <v>0</v>
      </c>
      <c r="M1506" s="5">
        <v>0</v>
      </c>
      <c r="N1506" t="s">
        <v>9</v>
      </c>
      <c r="O1506" s="8">
        <v>20.534246575342465</v>
      </c>
      <c r="P1506" t="s">
        <v>32</v>
      </c>
      <c r="Q1506">
        <v>1</v>
      </c>
      <c r="R1506" s="2">
        <v>38421</v>
      </c>
    </row>
    <row r="1507" spans="1:18" x14ac:dyDescent="0.3">
      <c r="A1507" t="s">
        <v>7</v>
      </c>
      <c r="B1507">
        <v>18966212</v>
      </c>
      <c r="C1507" t="s">
        <v>8</v>
      </c>
      <c r="D1507" s="4">
        <v>45916</v>
      </c>
      <c r="E1507" s="11">
        <f t="shared" si="92"/>
        <v>2025</v>
      </c>
      <c r="F1507" s="11">
        <f t="shared" si="93"/>
        <v>9</v>
      </c>
      <c r="G1507" s="11" t="str">
        <f t="shared" si="94"/>
        <v>202509</v>
      </c>
      <c r="H1507" s="4">
        <v>46023</v>
      </c>
      <c r="I1507" s="5">
        <v>107</v>
      </c>
      <c r="J1507" s="5">
        <v>3.5666666666666669</v>
      </c>
      <c r="K1507" s="5">
        <f t="shared" si="95"/>
        <v>0</v>
      </c>
      <c r="L1507" s="5">
        <v>0</v>
      </c>
      <c r="M1507" s="5">
        <v>1</v>
      </c>
      <c r="N1507" t="s">
        <v>9</v>
      </c>
      <c r="O1507" s="8">
        <v>19.484931506849314</v>
      </c>
      <c r="P1507" t="s">
        <v>32</v>
      </c>
      <c r="Q1507">
        <v>1</v>
      </c>
      <c r="R1507" s="2">
        <v>38804</v>
      </c>
    </row>
    <row r="1508" spans="1:18" x14ac:dyDescent="0.3">
      <c r="A1508" t="s">
        <v>7</v>
      </c>
      <c r="B1508">
        <v>18966213</v>
      </c>
      <c r="C1508" t="s">
        <v>10</v>
      </c>
      <c r="D1508" s="4">
        <v>45916</v>
      </c>
      <c r="E1508" s="11">
        <f t="shared" si="92"/>
        <v>2025</v>
      </c>
      <c r="F1508" s="11">
        <f t="shared" si="93"/>
        <v>9</v>
      </c>
      <c r="G1508" s="11" t="str">
        <f t="shared" si="94"/>
        <v>202509</v>
      </c>
      <c r="I1508" s="5">
        <v>9999</v>
      </c>
      <c r="J1508" s="5">
        <v>333.3</v>
      </c>
      <c r="K1508" s="5">
        <f t="shared" si="95"/>
        <v>0</v>
      </c>
      <c r="L1508" s="5">
        <v>0</v>
      </c>
      <c r="M1508" s="5">
        <v>0</v>
      </c>
      <c r="N1508" t="s">
        <v>9</v>
      </c>
      <c r="O1508" s="8">
        <v>19.838356164383562</v>
      </c>
      <c r="P1508" t="s">
        <v>32</v>
      </c>
      <c r="Q1508">
        <v>1</v>
      </c>
      <c r="R1508" s="2">
        <v>38675</v>
      </c>
    </row>
    <row r="1509" spans="1:18" x14ac:dyDescent="0.3">
      <c r="A1509" t="s">
        <v>7</v>
      </c>
      <c r="B1509">
        <v>18966219</v>
      </c>
      <c r="C1509" t="s">
        <v>10</v>
      </c>
      <c r="D1509" s="4">
        <v>45916</v>
      </c>
      <c r="E1509" s="11">
        <f t="shared" si="92"/>
        <v>2025</v>
      </c>
      <c r="F1509" s="11">
        <f t="shared" si="93"/>
        <v>9</v>
      </c>
      <c r="G1509" s="11" t="str">
        <f t="shared" si="94"/>
        <v>202509</v>
      </c>
      <c r="I1509" s="5">
        <v>9999</v>
      </c>
      <c r="J1509" s="5">
        <v>333.3</v>
      </c>
      <c r="K1509" s="5">
        <f t="shared" si="95"/>
        <v>0</v>
      </c>
      <c r="L1509" s="5">
        <v>0</v>
      </c>
      <c r="M1509" s="5">
        <v>0</v>
      </c>
      <c r="N1509" t="s">
        <v>9</v>
      </c>
      <c r="O1509" s="8">
        <v>19.553424657534247</v>
      </c>
      <c r="P1509" t="s">
        <v>32</v>
      </c>
      <c r="Q1509">
        <v>1</v>
      </c>
      <c r="R1509" s="2">
        <v>38779</v>
      </c>
    </row>
    <row r="1510" spans="1:18" x14ac:dyDescent="0.3">
      <c r="A1510" t="s">
        <v>7</v>
      </c>
      <c r="B1510">
        <v>18966220</v>
      </c>
      <c r="C1510" t="s">
        <v>8</v>
      </c>
      <c r="D1510" s="4">
        <v>45916</v>
      </c>
      <c r="E1510" s="11">
        <f t="shared" si="92"/>
        <v>2025</v>
      </c>
      <c r="F1510" s="11">
        <f t="shared" si="93"/>
        <v>9</v>
      </c>
      <c r="G1510" s="11" t="str">
        <f t="shared" si="94"/>
        <v>202509</v>
      </c>
      <c r="I1510" s="5">
        <v>9999</v>
      </c>
      <c r="J1510" s="5">
        <v>333.3</v>
      </c>
      <c r="K1510" s="5">
        <f t="shared" si="95"/>
        <v>0</v>
      </c>
      <c r="L1510" s="5">
        <v>0</v>
      </c>
      <c r="M1510" s="5">
        <v>0</v>
      </c>
      <c r="N1510" t="s">
        <v>9</v>
      </c>
      <c r="O1510" s="8">
        <v>24.18904109589041</v>
      </c>
      <c r="P1510" t="s">
        <v>33</v>
      </c>
      <c r="Q1510">
        <v>2</v>
      </c>
      <c r="R1510" s="2">
        <v>37087</v>
      </c>
    </row>
    <row r="1511" spans="1:18" x14ac:dyDescent="0.3">
      <c r="A1511" t="s">
        <v>7</v>
      </c>
      <c r="B1511">
        <v>18966221</v>
      </c>
      <c r="C1511" t="s">
        <v>8</v>
      </c>
      <c r="D1511" s="4">
        <v>45916</v>
      </c>
      <c r="E1511" s="11">
        <f t="shared" si="92"/>
        <v>2025</v>
      </c>
      <c r="F1511" s="11">
        <f t="shared" si="93"/>
        <v>9</v>
      </c>
      <c r="G1511" s="11" t="str">
        <f t="shared" si="94"/>
        <v>202509</v>
      </c>
      <c r="I1511" s="5">
        <v>9999</v>
      </c>
      <c r="J1511" s="5">
        <v>333.3</v>
      </c>
      <c r="K1511" s="5">
        <f t="shared" si="95"/>
        <v>0</v>
      </c>
      <c r="L1511" s="5">
        <v>0</v>
      </c>
      <c r="M1511" s="5">
        <v>0</v>
      </c>
      <c r="N1511" t="s">
        <v>9</v>
      </c>
      <c r="O1511" s="8">
        <v>19.657534246575342</v>
      </c>
      <c r="P1511" t="s">
        <v>32</v>
      </c>
      <c r="Q1511">
        <v>1</v>
      </c>
      <c r="R1511" s="2">
        <v>38741</v>
      </c>
    </row>
    <row r="1512" spans="1:18" x14ac:dyDescent="0.3">
      <c r="A1512" t="s">
        <v>7</v>
      </c>
      <c r="B1512">
        <v>18966277</v>
      </c>
      <c r="C1512" t="s">
        <v>8</v>
      </c>
      <c r="D1512" s="4">
        <v>45916</v>
      </c>
      <c r="E1512" s="11">
        <f t="shared" si="92"/>
        <v>2025</v>
      </c>
      <c r="F1512" s="11">
        <f t="shared" si="93"/>
        <v>9</v>
      </c>
      <c r="G1512" s="11" t="str">
        <f t="shared" si="94"/>
        <v>202509</v>
      </c>
      <c r="I1512" s="5">
        <v>9999</v>
      </c>
      <c r="J1512" s="5">
        <v>333.3</v>
      </c>
      <c r="K1512" s="5">
        <f t="shared" si="95"/>
        <v>0</v>
      </c>
      <c r="L1512" s="5">
        <v>0</v>
      </c>
      <c r="M1512" s="5">
        <v>0</v>
      </c>
      <c r="N1512" t="s">
        <v>9</v>
      </c>
      <c r="O1512" s="8">
        <v>18.832876712328765</v>
      </c>
      <c r="P1512" t="s">
        <v>32</v>
      </c>
      <c r="Q1512">
        <v>1</v>
      </c>
      <c r="R1512" s="2">
        <v>39042</v>
      </c>
    </row>
    <row r="1513" spans="1:18" x14ac:dyDescent="0.3">
      <c r="A1513" t="s">
        <v>7</v>
      </c>
      <c r="B1513">
        <v>18966326</v>
      </c>
      <c r="C1513" t="s">
        <v>10</v>
      </c>
      <c r="D1513" s="4">
        <v>45916</v>
      </c>
      <c r="E1513" s="11">
        <f t="shared" si="92"/>
        <v>2025</v>
      </c>
      <c r="F1513" s="11">
        <f t="shared" si="93"/>
        <v>9</v>
      </c>
      <c r="G1513" s="11" t="str">
        <f t="shared" si="94"/>
        <v>202509</v>
      </c>
      <c r="I1513" s="5">
        <v>9999</v>
      </c>
      <c r="J1513" s="5">
        <v>333.3</v>
      </c>
      <c r="K1513" s="5">
        <f t="shared" si="95"/>
        <v>0</v>
      </c>
      <c r="L1513" s="5">
        <v>0</v>
      </c>
      <c r="M1513" s="5">
        <v>0</v>
      </c>
      <c r="N1513" t="s">
        <v>9</v>
      </c>
      <c r="O1513" s="8">
        <v>42.731506849315068</v>
      </c>
      <c r="P1513" t="s">
        <v>35</v>
      </c>
      <c r="Q1513">
        <v>4</v>
      </c>
      <c r="R1513" s="2">
        <v>30319</v>
      </c>
    </row>
    <row r="1514" spans="1:18" x14ac:dyDescent="0.3">
      <c r="A1514" t="s">
        <v>7</v>
      </c>
      <c r="B1514">
        <v>18966336</v>
      </c>
      <c r="C1514" t="s">
        <v>8</v>
      </c>
      <c r="D1514" s="4">
        <v>45915</v>
      </c>
      <c r="E1514" s="11">
        <f t="shared" si="92"/>
        <v>2025</v>
      </c>
      <c r="F1514" s="11">
        <f t="shared" si="93"/>
        <v>9</v>
      </c>
      <c r="G1514" s="11" t="str">
        <f t="shared" si="94"/>
        <v>202509</v>
      </c>
      <c r="H1514" s="4">
        <v>46002</v>
      </c>
      <c r="I1514" s="5">
        <v>87</v>
      </c>
      <c r="J1514" s="5">
        <v>2.9</v>
      </c>
      <c r="K1514" s="5">
        <f t="shared" si="95"/>
        <v>0</v>
      </c>
      <c r="L1514" s="5">
        <v>1</v>
      </c>
      <c r="M1514" s="5">
        <v>1</v>
      </c>
      <c r="N1514" t="s">
        <v>12</v>
      </c>
      <c r="O1514" s="8">
        <v>38.389041095890413</v>
      </c>
      <c r="P1514" t="s">
        <v>35</v>
      </c>
      <c r="Q1514">
        <v>4</v>
      </c>
      <c r="R1514" s="2">
        <v>31903</v>
      </c>
    </row>
    <row r="1515" spans="1:18" x14ac:dyDescent="0.3">
      <c r="A1515" t="s">
        <v>7</v>
      </c>
      <c r="B1515">
        <v>18966341</v>
      </c>
      <c r="C1515" t="s">
        <v>8</v>
      </c>
      <c r="D1515" s="4">
        <v>45916</v>
      </c>
      <c r="E1515" s="11">
        <f t="shared" si="92"/>
        <v>2025</v>
      </c>
      <c r="F1515" s="11">
        <f t="shared" si="93"/>
        <v>9</v>
      </c>
      <c r="G1515" s="11" t="str">
        <f t="shared" si="94"/>
        <v>202509</v>
      </c>
      <c r="I1515" s="5">
        <v>9999</v>
      </c>
      <c r="J1515" s="5">
        <v>333.3</v>
      </c>
      <c r="K1515" s="5">
        <f t="shared" si="95"/>
        <v>0</v>
      </c>
      <c r="L1515" s="5">
        <v>0</v>
      </c>
      <c r="M1515" s="5">
        <v>0</v>
      </c>
      <c r="N1515" t="s">
        <v>9</v>
      </c>
      <c r="O1515" s="8">
        <v>23.671232876712327</v>
      </c>
      <c r="P1515" t="s">
        <v>33</v>
      </c>
      <c r="Q1515">
        <v>2</v>
      </c>
      <c r="R1515" s="2">
        <v>37276</v>
      </c>
    </row>
    <row r="1516" spans="1:18" x14ac:dyDescent="0.3">
      <c r="A1516" t="s">
        <v>7</v>
      </c>
      <c r="B1516">
        <v>18966344</v>
      </c>
      <c r="C1516" t="s">
        <v>8</v>
      </c>
      <c r="D1516" s="4">
        <v>45915</v>
      </c>
      <c r="E1516" s="11">
        <f t="shared" si="92"/>
        <v>2025</v>
      </c>
      <c r="F1516" s="11">
        <f t="shared" si="93"/>
        <v>9</v>
      </c>
      <c r="G1516" s="11" t="str">
        <f t="shared" si="94"/>
        <v>202509</v>
      </c>
      <c r="I1516" s="5">
        <v>9999</v>
      </c>
      <c r="J1516" s="5">
        <v>333.3</v>
      </c>
      <c r="K1516" s="5">
        <f t="shared" si="95"/>
        <v>0</v>
      </c>
      <c r="L1516" s="5">
        <v>0</v>
      </c>
      <c r="M1516" s="5">
        <v>0</v>
      </c>
      <c r="N1516" t="s">
        <v>12</v>
      </c>
      <c r="O1516" s="8">
        <v>19.663013698630138</v>
      </c>
      <c r="P1516" t="s">
        <v>32</v>
      </c>
      <c r="Q1516">
        <v>1</v>
      </c>
      <c r="R1516" s="2">
        <v>38738</v>
      </c>
    </row>
    <row r="1517" spans="1:18" x14ac:dyDescent="0.3">
      <c r="A1517" t="s">
        <v>7</v>
      </c>
      <c r="B1517">
        <v>18966346</v>
      </c>
      <c r="C1517" t="s">
        <v>8</v>
      </c>
      <c r="D1517" s="4">
        <v>45915</v>
      </c>
      <c r="E1517" s="11">
        <f t="shared" si="92"/>
        <v>2025</v>
      </c>
      <c r="F1517" s="11">
        <f t="shared" si="93"/>
        <v>9</v>
      </c>
      <c r="G1517" s="11" t="str">
        <f t="shared" si="94"/>
        <v>202509</v>
      </c>
      <c r="I1517" s="5">
        <v>9999</v>
      </c>
      <c r="J1517" s="5">
        <v>333.3</v>
      </c>
      <c r="K1517" s="5">
        <f t="shared" si="95"/>
        <v>0</v>
      </c>
      <c r="L1517" s="5">
        <v>0</v>
      </c>
      <c r="M1517" s="5">
        <v>0</v>
      </c>
      <c r="N1517" t="s">
        <v>12</v>
      </c>
      <c r="O1517" s="8">
        <v>30.857534246575341</v>
      </c>
      <c r="P1517" t="s">
        <v>34</v>
      </c>
      <c r="Q1517">
        <v>3</v>
      </c>
      <c r="R1517" s="2">
        <v>34652</v>
      </c>
    </row>
    <row r="1518" spans="1:18" x14ac:dyDescent="0.3">
      <c r="A1518" t="s">
        <v>7</v>
      </c>
      <c r="B1518">
        <v>18966352</v>
      </c>
      <c r="C1518" t="s">
        <v>8</v>
      </c>
      <c r="D1518" s="4">
        <v>45915</v>
      </c>
      <c r="E1518" s="11">
        <f t="shared" si="92"/>
        <v>2025</v>
      </c>
      <c r="F1518" s="11">
        <f t="shared" si="93"/>
        <v>9</v>
      </c>
      <c r="G1518" s="11" t="str">
        <f t="shared" si="94"/>
        <v>202509</v>
      </c>
      <c r="H1518" s="4">
        <v>45937</v>
      </c>
      <c r="I1518" s="5">
        <v>22</v>
      </c>
      <c r="J1518" s="5">
        <v>0.73333333333333328</v>
      </c>
      <c r="K1518" s="5">
        <f t="shared" si="95"/>
        <v>1</v>
      </c>
      <c r="L1518" s="5">
        <v>1</v>
      </c>
      <c r="M1518" s="5">
        <v>1</v>
      </c>
      <c r="N1518" t="s">
        <v>12</v>
      </c>
      <c r="O1518" s="8">
        <v>23.041095890410958</v>
      </c>
      <c r="P1518" t="s">
        <v>33</v>
      </c>
      <c r="Q1518">
        <v>2</v>
      </c>
      <c r="R1518" s="2">
        <v>37505</v>
      </c>
    </row>
    <row r="1519" spans="1:18" x14ac:dyDescent="0.3">
      <c r="A1519" t="s">
        <v>7</v>
      </c>
      <c r="B1519">
        <v>18966356</v>
      </c>
      <c r="C1519" t="s">
        <v>8</v>
      </c>
      <c r="D1519" s="4">
        <v>45915</v>
      </c>
      <c r="E1519" s="11">
        <f t="shared" si="92"/>
        <v>2025</v>
      </c>
      <c r="F1519" s="11">
        <f t="shared" si="93"/>
        <v>9</v>
      </c>
      <c r="G1519" s="11" t="str">
        <f t="shared" si="94"/>
        <v>202509</v>
      </c>
      <c r="I1519" s="5">
        <v>9999</v>
      </c>
      <c r="J1519" s="5">
        <v>333.3</v>
      </c>
      <c r="K1519" s="5">
        <f t="shared" si="95"/>
        <v>0</v>
      </c>
      <c r="L1519" s="5">
        <v>0</v>
      </c>
      <c r="M1519" s="5">
        <v>0</v>
      </c>
      <c r="N1519" t="s">
        <v>12</v>
      </c>
      <c r="O1519" s="8">
        <v>40.438356164383563</v>
      </c>
      <c r="P1519" t="s">
        <v>35</v>
      </c>
      <c r="Q1519">
        <v>4</v>
      </c>
      <c r="R1519" s="2">
        <v>31155</v>
      </c>
    </row>
    <row r="1520" spans="1:18" x14ac:dyDescent="0.3">
      <c r="A1520" t="s">
        <v>7</v>
      </c>
      <c r="B1520">
        <v>18966358</v>
      </c>
      <c r="C1520" t="s">
        <v>8</v>
      </c>
      <c r="D1520" s="4">
        <v>45915</v>
      </c>
      <c r="E1520" s="11">
        <f t="shared" si="92"/>
        <v>2025</v>
      </c>
      <c r="F1520" s="11">
        <f t="shared" si="93"/>
        <v>9</v>
      </c>
      <c r="G1520" s="11" t="str">
        <f t="shared" si="94"/>
        <v>202509</v>
      </c>
      <c r="I1520" s="5">
        <v>9999</v>
      </c>
      <c r="J1520" s="5">
        <v>333.3</v>
      </c>
      <c r="K1520" s="5">
        <f t="shared" si="95"/>
        <v>0</v>
      </c>
      <c r="L1520" s="5">
        <v>0</v>
      </c>
      <c r="M1520" s="5">
        <v>0</v>
      </c>
      <c r="N1520" t="s">
        <v>12</v>
      </c>
      <c r="O1520" s="8">
        <v>22.701369863013699</v>
      </c>
      <c r="P1520" t="s">
        <v>33</v>
      </c>
      <c r="Q1520">
        <v>2</v>
      </c>
      <c r="R1520" s="2">
        <v>37629</v>
      </c>
    </row>
    <row r="1521" spans="1:18" x14ac:dyDescent="0.3">
      <c r="A1521" t="s">
        <v>7</v>
      </c>
      <c r="B1521">
        <v>18966361</v>
      </c>
      <c r="C1521" t="s">
        <v>8</v>
      </c>
      <c r="D1521" s="4">
        <v>45915</v>
      </c>
      <c r="E1521" s="11">
        <f t="shared" si="92"/>
        <v>2025</v>
      </c>
      <c r="F1521" s="11">
        <f t="shared" si="93"/>
        <v>9</v>
      </c>
      <c r="G1521" s="11" t="str">
        <f t="shared" si="94"/>
        <v>202509</v>
      </c>
      <c r="H1521" s="4">
        <v>46142</v>
      </c>
      <c r="I1521" s="5">
        <v>227</v>
      </c>
      <c r="J1521" s="5">
        <v>7.5666666666666664</v>
      </c>
      <c r="K1521" s="5">
        <f t="shared" si="95"/>
        <v>0</v>
      </c>
      <c r="L1521" s="5">
        <v>0</v>
      </c>
      <c r="M1521" s="5">
        <v>0</v>
      </c>
      <c r="N1521" t="s">
        <v>12</v>
      </c>
      <c r="O1521" s="8">
        <v>21.526027397260275</v>
      </c>
      <c r="P1521" t="s">
        <v>33</v>
      </c>
      <c r="Q1521">
        <v>2</v>
      </c>
      <c r="R1521" s="2">
        <v>38058</v>
      </c>
    </row>
    <row r="1522" spans="1:18" x14ac:dyDescent="0.3">
      <c r="A1522" t="s">
        <v>7</v>
      </c>
      <c r="B1522">
        <v>18966367</v>
      </c>
      <c r="C1522" t="s">
        <v>10</v>
      </c>
      <c r="D1522" s="4">
        <v>45915</v>
      </c>
      <c r="E1522" s="11">
        <f t="shared" si="92"/>
        <v>2025</v>
      </c>
      <c r="F1522" s="11">
        <f t="shared" si="93"/>
        <v>9</v>
      </c>
      <c r="G1522" s="11" t="str">
        <f t="shared" si="94"/>
        <v>202509</v>
      </c>
      <c r="H1522" s="4">
        <v>45961</v>
      </c>
      <c r="I1522" s="5">
        <v>46</v>
      </c>
      <c r="J1522" s="5">
        <v>1.5333333333333334</v>
      </c>
      <c r="K1522" s="5">
        <f t="shared" si="95"/>
        <v>0</v>
      </c>
      <c r="L1522" s="5">
        <v>1</v>
      </c>
      <c r="M1522" s="5">
        <v>1</v>
      </c>
      <c r="N1522" t="s">
        <v>12</v>
      </c>
      <c r="O1522" s="8">
        <v>32.756164383561647</v>
      </c>
      <c r="P1522" t="s">
        <v>35</v>
      </c>
      <c r="Q1522">
        <v>4</v>
      </c>
      <c r="R1522" s="2">
        <v>33959</v>
      </c>
    </row>
    <row r="1523" spans="1:18" x14ac:dyDescent="0.3">
      <c r="A1523" t="s">
        <v>7</v>
      </c>
      <c r="B1523">
        <v>18966370</v>
      </c>
      <c r="C1523" t="s">
        <v>8</v>
      </c>
      <c r="D1523" s="4">
        <v>45915</v>
      </c>
      <c r="E1523" s="11">
        <f t="shared" si="92"/>
        <v>2025</v>
      </c>
      <c r="F1523" s="11">
        <f t="shared" si="93"/>
        <v>9</v>
      </c>
      <c r="G1523" s="11" t="str">
        <f t="shared" si="94"/>
        <v>202509</v>
      </c>
      <c r="H1523" s="4">
        <v>46112</v>
      </c>
      <c r="I1523" s="5">
        <v>197</v>
      </c>
      <c r="J1523" s="5">
        <v>6.5666666666666664</v>
      </c>
      <c r="K1523" s="5">
        <f t="shared" si="95"/>
        <v>0</v>
      </c>
      <c r="L1523" s="5">
        <v>0</v>
      </c>
      <c r="M1523" s="5">
        <v>0</v>
      </c>
      <c r="N1523" t="s">
        <v>12</v>
      </c>
      <c r="O1523" s="8">
        <v>20.065753424657533</v>
      </c>
      <c r="P1523" t="s">
        <v>32</v>
      </c>
      <c r="Q1523">
        <v>1</v>
      </c>
      <c r="R1523" s="2">
        <v>38591</v>
      </c>
    </row>
    <row r="1524" spans="1:18" x14ac:dyDescent="0.3">
      <c r="A1524" t="s">
        <v>7</v>
      </c>
      <c r="B1524">
        <v>18966376</v>
      </c>
      <c r="C1524" t="s">
        <v>10</v>
      </c>
      <c r="D1524" s="4">
        <v>45915</v>
      </c>
      <c r="E1524" s="11">
        <f t="shared" si="92"/>
        <v>2025</v>
      </c>
      <c r="F1524" s="11">
        <f t="shared" si="93"/>
        <v>9</v>
      </c>
      <c r="G1524" s="11" t="str">
        <f t="shared" si="94"/>
        <v>202509</v>
      </c>
      <c r="I1524" s="5">
        <v>9999</v>
      </c>
      <c r="J1524" s="5">
        <v>333.3</v>
      </c>
      <c r="K1524" s="5">
        <f t="shared" si="95"/>
        <v>0</v>
      </c>
      <c r="L1524" s="5">
        <v>0</v>
      </c>
      <c r="M1524" s="5">
        <v>0</v>
      </c>
      <c r="N1524" t="s">
        <v>12</v>
      </c>
      <c r="O1524" s="8">
        <v>20.136986301369863</v>
      </c>
      <c r="P1524" t="s">
        <v>32</v>
      </c>
      <c r="Q1524">
        <v>1</v>
      </c>
      <c r="R1524" s="2">
        <v>38565</v>
      </c>
    </row>
    <row r="1525" spans="1:18" x14ac:dyDescent="0.3">
      <c r="A1525" t="s">
        <v>7</v>
      </c>
      <c r="B1525">
        <v>18966377</v>
      </c>
      <c r="C1525" t="s">
        <v>10</v>
      </c>
      <c r="D1525" s="4">
        <v>45915</v>
      </c>
      <c r="E1525" s="11">
        <f t="shared" si="92"/>
        <v>2025</v>
      </c>
      <c r="F1525" s="11">
        <f t="shared" si="93"/>
        <v>9</v>
      </c>
      <c r="G1525" s="11" t="str">
        <f t="shared" si="94"/>
        <v>202509</v>
      </c>
      <c r="H1525" s="4">
        <v>46055</v>
      </c>
      <c r="I1525" s="5">
        <v>140</v>
      </c>
      <c r="J1525" s="5">
        <v>4.666666666666667</v>
      </c>
      <c r="K1525" s="5">
        <f t="shared" si="95"/>
        <v>0</v>
      </c>
      <c r="L1525" s="5">
        <v>0</v>
      </c>
      <c r="M1525" s="5">
        <v>1</v>
      </c>
      <c r="N1525" t="s">
        <v>12</v>
      </c>
      <c r="O1525" s="8">
        <v>24.295890410958904</v>
      </c>
      <c r="P1525" t="s">
        <v>33</v>
      </c>
      <c r="Q1525">
        <v>2</v>
      </c>
      <c r="R1525" s="2">
        <v>37047</v>
      </c>
    </row>
    <row r="1526" spans="1:18" x14ac:dyDescent="0.3">
      <c r="A1526" t="s">
        <v>7</v>
      </c>
      <c r="B1526">
        <v>18966378</v>
      </c>
      <c r="C1526" t="s">
        <v>8</v>
      </c>
      <c r="D1526" s="4">
        <v>45915</v>
      </c>
      <c r="E1526" s="11">
        <f t="shared" si="92"/>
        <v>2025</v>
      </c>
      <c r="F1526" s="11">
        <f t="shared" si="93"/>
        <v>9</v>
      </c>
      <c r="G1526" s="11" t="str">
        <f t="shared" si="94"/>
        <v>202509</v>
      </c>
      <c r="H1526" s="4">
        <v>46024</v>
      </c>
      <c r="I1526" s="5">
        <v>109</v>
      </c>
      <c r="J1526" s="5">
        <v>3.6333333333333333</v>
      </c>
      <c r="K1526" s="5">
        <f t="shared" si="95"/>
        <v>0</v>
      </c>
      <c r="L1526" s="5">
        <v>0</v>
      </c>
      <c r="M1526" s="5">
        <v>1</v>
      </c>
      <c r="N1526" t="s">
        <v>12</v>
      </c>
      <c r="O1526" s="8">
        <v>28.504109589041096</v>
      </c>
      <c r="P1526" t="s">
        <v>34</v>
      </c>
      <c r="Q1526">
        <v>3</v>
      </c>
      <c r="R1526" s="2">
        <v>35511</v>
      </c>
    </row>
    <row r="1527" spans="1:18" x14ac:dyDescent="0.3">
      <c r="A1527" t="s">
        <v>7</v>
      </c>
      <c r="B1527">
        <v>18966379</v>
      </c>
      <c r="C1527" t="s">
        <v>8</v>
      </c>
      <c r="D1527" s="4">
        <v>45915</v>
      </c>
      <c r="E1527" s="11">
        <f t="shared" si="92"/>
        <v>2025</v>
      </c>
      <c r="F1527" s="11">
        <f t="shared" si="93"/>
        <v>9</v>
      </c>
      <c r="G1527" s="11" t="str">
        <f t="shared" si="94"/>
        <v>202509</v>
      </c>
      <c r="H1527" s="4">
        <v>45916</v>
      </c>
      <c r="I1527" s="5">
        <v>1</v>
      </c>
      <c r="J1527" s="5">
        <v>3.3333333333333333E-2</v>
      </c>
      <c r="K1527" s="5">
        <f t="shared" si="95"/>
        <v>1</v>
      </c>
      <c r="L1527" s="5">
        <v>1</v>
      </c>
      <c r="M1527" s="5">
        <v>1</v>
      </c>
      <c r="N1527" t="s">
        <v>12</v>
      </c>
      <c r="O1527" s="8">
        <v>26.301369863013697</v>
      </c>
      <c r="P1527" t="s">
        <v>34</v>
      </c>
      <c r="Q1527">
        <v>3</v>
      </c>
      <c r="R1527" s="2">
        <v>36315</v>
      </c>
    </row>
    <row r="1528" spans="1:18" x14ac:dyDescent="0.3">
      <c r="A1528" t="s">
        <v>7</v>
      </c>
      <c r="B1528">
        <v>18966381</v>
      </c>
      <c r="C1528" t="s">
        <v>8</v>
      </c>
      <c r="D1528" s="4">
        <v>45915</v>
      </c>
      <c r="E1528" s="11">
        <f t="shared" si="92"/>
        <v>2025</v>
      </c>
      <c r="F1528" s="11">
        <f t="shared" si="93"/>
        <v>9</v>
      </c>
      <c r="G1528" s="11" t="str">
        <f t="shared" si="94"/>
        <v>202509</v>
      </c>
      <c r="I1528" s="5">
        <v>9999</v>
      </c>
      <c r="J1528" s="5">
        <v>333.3</v>
      </c>
      <c r="K1528" s="5">
        <f t="shared" si="95"/>
        <v>0</v>
      </c>
      <c r="L1528" s="5">
        <v>0</v>
      </c>
      <c r="M1528" s="5">
        <v>0</v>
      </c>
      <c r="N1528" t="s">
        <v>12</v>
      </c>
      <c r="O1528" s="8">
        <v>23.515068493150686</v>
      </c>
      <c r="P1528" t="s">
        <v>33</v>
      </c>
      <c r="Q1528">
        <v>2</v>
      </c>
      <c r="R1528" s="2">
        <v>37332</v>
      </c>
    </row>
    <row r="1529" spans="1:18" x14ac:dyDescent="0.3">
      <c r="A1529" t="s">
        <v>7</v>
      </c>
      <c r="B1529">
        <v>18966383</v>
      </c>
      <c r="C1529" t="s">
        <v>8</v>
      </c>
      <c r="D1529" s="4">
        <v>45915</v>
      </c>
      <c r="E1529" s="11">
        <f t="shared" si="92"/>
        <v>2025</v>
      </c>
      <c r="F1529" s="11">
        <f t="shared" si="93"/>
        <v>9</v>
      </c>
      <c r="G1529" s="11" t="str">
        <f t="shared" si="94"/>
        <v>202509</v>
      </c>
      <c r="H1529" s="4">
        <v>45930</v>
      </c>
      <c r="I1529" s="5">
        <v>15</v>
      </c>
      <c r="J1529" s="5">
        <v>0.5</v>
      </c>
      <c r="K1529" s="5">
        <f t="shared" si="95"/>
        <v>1</v>
      </c>
      <c r="L1529" s="5">
        <v>1</v>
      </c>
      <c r="M1529" s="5">
        <v>1</v>
      </c>
      <c r="N1529" t="s">
        <v>12</v>
      </c>
      <c r="O1529" s="8">
        <v>26.375342465753423</v>
      </c>
      <c r="P1529" t="s">
        <v>34</v>
      </c>
      <c r="Q1529">
        <v>3</v>
      </c>
      <c r="R1529" s="2">
        <v>36288</v>
      </c>
    </row>
    <row r="1530" spans="1:18" x14ac:dyDescent="0.3">
      <c r="A1530" t="s">
        <v>7</v>
      </c>
      <c r="B1530">
        <v>18966384</v>
      </c>
      <c r="C1530" t="s">
        <v>10</v>
      </c>
      <c r="D1530" s="4">
        <v>45915</v>
      </c>
      <c r="E1530" s="11">
        <f t="shared" si="92"/>
        <v>2025</v>
      </c>
      <c r="F1530" s="11">
        <f t="shared" si="93"/>
        <v>9</v>
      </c>
      <c r="G1530" s="11" t="str">
        <f t="shared" si="94"/>
        <v>202509</v>
      </c>
      <c r="H1530" s="4">
        <v>46173</v>
      </c>
      <c r="I1530" s="5">
        <v>258</v>
      </c>
      <c r="J1530" s="5">
        <v>8.6</v>
      </c>
      <c r="K1530" s="5">
        <f t="shared" si="95"/>
        <v>0</v>
      </c>
      <c r="L1530" s="5">
        <v>0</v>
      </c>
      <c r="M1530" s="5">
        <v>0</v>
      </c>
      <c r="N1530" t="s">
        <v>12</v>
      </c>
      <c r="O1530" s="8">
        <v>31.246575342465754</v>
      </c>
      <c r="P1530" t="s">
        <v>35</v>
      </c>
      <c r="Q1530">
        <v>4</v>
      </c>
      <c r="R1530" s="2">
        <v>34510</v>
      </c>
    </row>
    <row r="1531" spans="1:18" x14ac:dyDescent="0.3">
      <c r="A1531" t="s">
        <v>7</v>
      </c>
      <c r="B1531">
        <v>18966385</v>
      </c>
      <c r="C1531" t="s">
        <v>8</v>
      </c>
      <c r="D1531" s="4">
        <v>45915</v>
      </c>
      <c r="E1531" s="11">
        <f t="shared" si="92"/>
        <v>2025</v>
      </c>
      <c r="F1531" s="11">
        <f t="shared" si="93"/>
        <v>9</v>
      </c>
      <c r="G1531" s="11" t="str">
        <f t="shared" si="94"/>
        <v>202509</v>
      </c>
      <c r="I1531" s="5">
        <v>9999</v>
      </c>
      <c r="J1531" s="5">
        <v>333.3</v>
      </c>
      <c r="K1531" s="5">
        <f t="shared" si="95"/>
        <v>0</v>
      </c>
      <c r="L1531" s="5">
        <v>0</v>
      </c>
      <c r="M1531" s="5">
        <v>0</v>
      </c>
      <c r="N1531" t="s">
        <v>12</v>
      </c>
      <c r="O1531" s="8">
        <v>25.580821917808219</v>
      </c>
      <c r="P1531" t="s">
        <v>33</v>
      </c>
      <c r="Q1531">
        <v>2</v>
      </c>
      <c r="R1531" s="2">
        <v>36578</v>
      </c>
    </row>
    <row r="1532" spans="1:18" x14ac:dyDescent="0.3">
      <c r="A1532" t="s">
        <v>7</v>
      </c>
      <c r="B1532">
        <v>18966387</v>
      </c>
      <c r="C1532" t="s">
        <v>8</v>
      </c>
      <c r="D1532" s="4">
        <v>45915</v>
      </c>
      <c r="E1532" s="11">
        <f t="shared" si="92"/>
        <v>2025</v>
      </c>
      <c r="F1532" s="11">
        <f t="shared" si="93"/>
        <v>9</v>
      </c>
      <c r="G1532" s="11" t="str">
        <f t="shared" si="94"/>
        <v>202509</v>
      </c>
      <c r="H1532" s="4">
        <v>45930</v>
      </c>
      <c r="I1532" s="5">
        <v>15</v>
      </c>
      <c r="J1532" s="5">
        <v>0.5</v>
      </c>
      <c r="K1532" s="5">
        <f t="shared" si="95"/>
        <v>1</v>
      </c>
      <c r="L1532" s="5">
        <v>1</v>
      </c>
      <c r="M1532" s="5">
        <v>1</v>
      </c>
      <c r="N1532" t="s">
        <v>12</v>
      </c>
      <c r="O1532" s="8">
        <v>23.835616438356166</v>
      </c>
      <c r="P1532" t="s">
        <v>33</v>
      </c>
      <c r="Q1532">
        <v>2</v>
      </c>
      <c r="R1532" s="2">
        <v>37215</v>
      </c>
    </row>
    <row r="1533" spans="1:18" x14ac:dyDescent="0.3">
      <c r="A1533" t="s">
        <v>7</v>
      </c>
      <c r="B1533">
        <v>18966388</v>
      </c>
      <c r="C1533" t="s">
        <v>8</v>
      </c>
      <c r="D1533" s="4">
        <v>45915</v>
      </c>
      <c r="E1533" s="11">
        <f t="shared" si="92"/>
        <v>2025</v>
      </c>
      <c r="F1533" s="11">
        <f t="shared" si="93"/>
        <v>9</v>
      </c>
      <c r="G1533" s="11" t="str">
        <f t="shared" si="94"/>
        <v>202509</v>
      </c>
      <c r="I1533" s="5">
        <v>9999</v>
      </c>
      <c r="J1533" s="5">
        <v>333.3</v>
      </c>
      <c r="K1533" s="5">
        <f t="shared" si="95"/>
        <v>0</v>
      </c>
      <c r="L1533" s="5">
        <v>0</v>
      </c>
      <c r="M1533" s="5">
        <v>0</v>
      </c>
      <c r="N1533" t="s">
        <v>12</v>
      </c>
      <c r="O1533" s="8">
        <v>25.654794520547945</v>
      </c>
      <c r="P1533" t="s">
        <v>33</v>
      </c>
      <c r="Q1533">
        <v>2</v>
      </c>
      <c r="R1533" s="2">
        <v>36551</v>
      </c>
    </row>
    <row r="1534" spans="1:18" x14ac:dyDescent="0.3">
      <c r="A1534" t="s">
        <v>7</v>
      </c>
      <c r="B1534">
        <v>18966390</v>
      </c>
      <c r="C1534" t="s">
        <v>8</v>
      </c>
      <c r="D1534" s="4">
        <v>45915</v>
      </c>
      <c r="E1534" s="11">
        <f t="shared" si="92"/>
        <v>2025</v>
      </c>
      <c r="F1534" s="11">
        <f t="shared" si="93"/>
        <v>9</v>
      </c>
      <c r="G1534" s="11" t="str">
        <f t="shared" si="94"/>
        <v>202509</v>
      </c>
      <c r="H1534" s="4">
        <v>45992</v>
      </c>
      <c r="I1534" s="5">
        <v>77</v>
      </c>
      <c r="J1534" s="5">
        <v>2.5666666666666669</v>
      </c>
      <c r="K1534" s="5">
        <f t="shared" si="95"/>
        <v>0</v>
      </c>
      <c r="L1534" s="5">
        <v>1</v>
      </c>
      <c r="M1534" s="5">
        <v>1</v>
      </c>
      <c r="N1534" t="s">
        <v>12</v>
      </c>
      <c r="O1534" s="8">
        <v>21.504109589041096</v>
      </c>
      <c r="P1534" t="s">
        <v>33</v>
      </c>
      <c r="Q1534">
        <v>2</v>
      </c>
      <c r="R1534" s="2">
        <v>38066</v>
      </c>
    </row>
    <row r="1535" spans="1:18" x14ac:dyDescent="0.3">
      <c r="A1535" t="s">
        <v>7</v>
      </c>
      <c r="B1535">
        <v>18966391</v>
      </c>
      <c r="C1535" t="s">
        <v>8</v>
      </c>
      <c r="D1535" s="4">
        <v>45915</v>
      </c>
      <c r="E1535" s="11">
        <f t="shared" si="92"/>
        <v>2025</v>
      </c>
      <c r="F1535" s="11">
        <f t="shared" si="93"/>
        <v>9</v>
      </c>
      <c r="G1535" s="11" t="str">
        <f t="shared" si="94"/>
        <v>202509</v>
      </c>
      <c r="H1535" s="4">
        <v>46030</v>
      </c>
      <c r="I1535" s="5">
        <v>115</v>
      </c>
      <c r="J1535" s="5">
        <v>3.8333333333333335</v>
      </c>
      <c r="K1535" s="5">
        <f t="shared" si="95"/>
        <v>0</v>
      </c>
      <c r="L1535" s="5">
        <v>0</v>
      </c>
      <c r="M1535" s="5">
        <v>1</v>
      </c>
      <c r="N1535" t="s">
        <v>12</v>
      </c>
      <c r="O1535" s="8">
        <v>22.720547945205478</v>
      </c>
      <c r="P1535" t="s">
        <v>33</v>
      </c>
      <c r="Q1535">
        <v>2</v>
      </c>
      <c r="R1535" s="2">
        <v>37622</v>
      </c>
    </row>
    <row r="1536" spans="1:18" x14ac:dyDescent="0.3">
      <c r="A1536" t="s">
        <v>7</v>
      </c>
      <c r="B1536">
        <v>18966395</v>
      </c>
      <c r="C1536" t="s">
        <v>8</v>
      </c>
      <c r="D1536" s="4">
        <v>45915</v>
      </c>
      <c r="E1536" s="11">
        <f t="shared" si="92"/>
        <v>2025</v>
      </c>
      <c r="F1536" s="11">
        <f t="shared" si="93"/>
        <v>9</v>
      </c>
      <c r="G1536" s="11" t="str">
        <f t="shared" si="94"/>
        <v>202509</v>
      </c>
      <c r="I1536" s="5">
        <v>9999</v>
      </c>
      <c r="J1536" s="5">
        <v>333.3</v>
      </c>
      <c r="K1536" s="5">
        <f t="shared" si="95"/>
        <v>0</v>
      </c>
      <c r="L1536" s="5">
        <v>0</v>
      </c>
      <c r="M1536" s="5">
        <v>0</v>
      </c>
      <c r="N1536" t="s">
        <v>12</v>
      </c>
      <c r="O1536" s="8">
        <v>25.671232876712327</v>
      </c>
      <c r="P1536" t="s">
        <v>33</v>
      </c>
      <c r="Q1536">
        <v>2</v>
      </c>
      <c r="R1536" s="2">
        <v>36545</v>
      </c>
    </row>
    <row r="1537" spans="1:18" x14ac:dyDescent="0.3">
      <c r="A1537" t="s">
        <v>7</v>
      </c>
      <c r="B1537">
        <v>18966396</v>
      </c>
      <c r="C1537" t="s">
        <v>8</v>
      </c>
      <c r="D1537" s="4">
        <v>45915</v>
      </c>
      <c r="E1537" s="11">
        <f t="shared" si="92"/>
        <v>2025</v>
      </c>
      <c r="F1537" s="11">
        <f t="shared" si="93"/>
        <v>9</v>
      </c>
      <c r="G1537" s="11" t="str">
        <f t="shared" si="94"/>
        <v>202509</v>
      </c>
      <c r="I1537" s="5">
        <v>9999</v>
      </c>
      <c r="J1537" s="5">
        <v>333.3</v>
      </c>
      <c r="K1537" s="5">
        <f t="shared" si="95"/>
        <v>0</v>
      </c>
      <c r="L1537" s="5">
        <v>0</v>
      </c>
      <c r="M1537" s="5">
        <v>0</v>
      </c>
      <c r="N1537" t="s">
        <v>12</v>
      </c>
      <c r="O1537" s="8">
        <v>25.410958904109588</v>
      </c>
      <c r="P1537" t="s">
        <v>33</v>
      </c>
      <c r="Q1537">
        <v>2</v>
      </c>
      <c r="R1537" s="2">
        <v>36640</v>
      </c>
    </row>
    <row r="1538" spans="1:18" x14ac:dyDescent="0.3">
      <c r="A1538" t="s">
        <v>7</v>
      </c>
      <c r="B1538">
        <v>18966398</v>
      </c>
      <c r="C1538" t="s">
        <v>10</v>
      </c>
      <c r="D1538" s="4">
        <v>45915</v>
      </c>
      <c r="E1538" s="11">
        <f t="shared" si="92"/>
        <v>2025</v>
      </c>
      <c r="F1538" s="11">
        <f t="shared" si="93"/>
        <v>9</v>
      </c>
      <c r="G1538" s="11" t="str">
        <f t="shared" si="94"/>
        <v>202509</v>
      </c>
      <c r="H1538" s="4">
        <v>45931</v>
      </c>
      <c r="I1538" s="5">
        <v>16</v>
      </c>
      <c r="J1538" s="5">
        <v>0.53333333333333333</v>
      </c>
      <c r="K1538" s="5">
        <f t="shared" si="95"/>
        <v>1</v>
      </c>
      <c r="L1538" s="5">
        <v>1</v>
      </c>
      <c r="M1538" s="5">
        <v>1</v>
      </c>
      <c r="N1538" t="s">
        <v>12</v>
      </c>
      <c r="O1538" s="8">
        <v>27.660273972602738</v>
      </c>
      <c r="P1538" t="s">
        <v>34</v>
      </c>
      <c r="Q1538">
        <v>3</v>
      </c>
      <c r="R1538" s="2">
        <v>35819</v>
      </c>
    </row>
    <row r="1539" spans="1:18" x14ac:dyDescent="0.3">
      <c r="A1539" t="s">
        <v>7</v>
      </c>
      <c r="B1539">
        <v>18966399</v>
      </c>
      <c r="C1539" t="s">
        <v>8</v>
      </c>
      <c r="D1539" s="4">
        <v>45915</v>
      </c>
      <c r="E1539" s="11">
        <f t="shared" ref="E1539:E1602" si="96">+YEAR(D1539)</f>
        <v>2025</v>
      </c>
      <c r="F1539" s="11">
        <f t="shared" ref="F1539:F1602" si="97">+MONTH(D1539)</f>
        <v>9</v>
      </c>
      <c r="G1539" s="11" t="str">
        <f t="shared" ref="G1539:G1602" si="98">+TEXT(D1539, "yyymm")</f>
        <v>202509</v>
      </c>
      <c r="I1539" s="5">
        <v>9999</v>
      </c>
      <c r="J1539" s="5">
        <v>333.3</v>
      </c>
      <c r="K1539" s="5">
        <f t="shared" ref="K1539:K1602" si="99">IF(J1539&lt;=1,1,0)</f>
        <v>0</v>
      </c>
      <c r="L1539" s="5">
        <v>0</v>
      </c>
      <c r="M1539" s="5">
        <v>0</v>
      </c>
      <c r="N1539" t="s">
        <v>12</v>
      </c>
      <c r="O1539" s="8">
        <v>34.219178082191782</v>
      </c>
      <c r="P1539" t="s">
        <v>35</v>
      </c>
      <c r="Q1539">
        <v>4</v>
      </c>
      <c r="R1539" s="2">
        <v>33425</v>
      </c>
    </row>
    <row r="1540" spans="1:18" x14ac:dyDescent="0.3">
      <c r="A1540" t="s">
        <v>7</v>
      </c>
      <c r="B1540">
        <v>18966400</v>
      </c>
      <c r="C1540" t="s">
        <v>8</v>
      </c>
      <c r="D1540" s="4">
        <v>45915</v>
      </c>
      <c r="E1540" s="11">
        <f t="shared" si="96"/>
        <v>2025</v>
      </c>
      <c r="F1540" s="11">
        <f t="shared" si="97"/>
        <v>9</v>
      </c>
      <c r="G1540" s="11" t="str">
        <f t="shared" si="98"/>
        <v>202509</v>
      </c>
      <c r="H1540" s="4">
        <v>46113</v>
      </c>
      <c r="I1540" s="5">
        <v>198</v>
      </c>
      <c r="J1540" s="5">
        <v>6.6</v>
      </c>
      <c r="K1540" s="5">
        <f t="shared" si="99"/>
        <v>0</v>
      </c>
      <c r="L1540" s="5">
        <v>0</v>
      </c>
      <c r="M1540" s="5">
        <v>0</v>
      </c>
      <c r="N1540" t="s">
        <v>12</v>
      </c>
      <c r="O1540" s="8">
        <v>33.630136986301373</v>
      </c>
      <c r="P1540" t="s">
        <v>35</v>
      </c>
      <c r="Q1540">
        <v>4</v>
      </c>
      <c r="R1540" s="2">
        <v>33640</v>
      </c>
    </row>
    <row r="1541" spans="1:18" x14ac:dyDescent="0.3">
      <c r="A1541" t="s">
        <v>7</v>
      </c>
      <c r="B1541">
        <v>18966403</v>
      </c>
      <c r="C1541" t="s">
        <v>8</v>
      </c>
      <c r="D1541" s="4">
        <v>45915</v>
      </c>
      <c r="E1541" s="11">
        <f t="shared" si="96"/>
        <v>2025</v>
      </c>
      <c r="F1541" s="11">
        <f t="shared" si="97"/>
        <v>9</v>
      </c>
      <c r="G1541" s="11" t="str">
        <f t="shared" si="98"/>
        <v>202509</v>
      </c>
      <c r="I1541" s="5">
        <v>9999</v>
      </c>
      <c r="J1541" s="5">
        <v>333.3</v>
      </c>
      <c r="K1541" s="5">
        <f t="shared" si="99"/>
        <v>0</v>
      </c>
      <c r="L1541" s="5">
        <v>0</v>
      </c>
      <c r="M1541" s="5">
        <v>0</v>
      </c>
      <c r="N1541" t="s">
        <v>12</v>
      </c>
      <c r="O1541" s="8">
        <v>34.509589041095893</v>
      </c>
      <c r="P1541" t="s">
        <v>35</v>
      </c>
      <c r="Q1541">
        <v>4</v>
      </c>
      <c r="R1541" s="2">
        <v>33319</v>
      </c>
    </row>
    <row r="1542" spans="1:18" x14ac:dyDescent="0.3">
      <c r="A1542" t="s">
        <v>7</v>
      </c>
      <c r="B1542">
        <v>18966406</v>
      </c>
      <c r="C1542" t="s">
        <v>8</v>
      </c>
      <c r="D1542" s="4">
        <v>45915</v>
      </c>
      <c r="E1542" s="11">
        <f t="shared" si="96"/>
        <v>2025</v>
      </c>
      <c r="F1542" s="11">
        <f t="shared" si="97"/>
        <v>9</v>
      </c>
      <c r="G1542" s="11" t="str">
        <f t="shared" si="98"/>
        <v>202509</v>
      </c>
      <c r="H1542" s="4">
        <v>46053</v>
      </c>
      <c r="I1542" s="5">
        <v>138</v>
      </c>
      <c r="J1542" s="5">
        <v>4.5999999999999996</v>
      </c>
      <c r="K1542" s="5">
        <f t="shared" si="99"/>
        <v>0</v>
      </c>
      <c r="L1542" s="5">
        <v>0</v>
      </c>
      <c r="M1542" s="5">
        <v>1</v>
      </c>
      <c r="N1542" t="s">
        <v>12</v>
      </c>
      <c r="O1542" s="8">
        <v>29.739726027397261</v>
      </c>
      <c r="P1542" t="s">
        <v>34</v>
      </c>
      <c r="Q1542">
        <v>3</v>
      </c>
      <c r="R1542" s="2">
        <v>35060</v>
      </c>
    </row>
    <row r="1543" spans="1:18" x14ac:dyDescent="0.3">
      <c r="A1543" t="s">
        <v>7</v>
      </c>
      <c r="B1543">
        <v>18966411</v>
      </c>
      <c r="C1543" t="s">
        <v>10</v>
      </c>
      <c r="D1543" s="4">
        <v>45915</v>
      </c>
      <c r="E1543" s="11">
        <f t="shared" si="96"/>
        <v>2025</v>
      </c>
      <c r="F1543" s="11">
        <f t="shared" si="97"/>
        <v>9</v>
      </c>
      <c r="G1543" s="11" t="str">
        <f t="shared" si="98"/>
        <v>202509</v>
      </c>
      <c r="H1543" s="4">
        <v>46003</v>
      </c>
      <c r="I1543" s="5">
        <v>88</v>
      </c>
      <c r="J1543" s="5">
        <v>2.9333333333333331</v>
      </c>
      <c r="K1543" s="5">
        <f t="shared" si="99"/>
        <v>0</v>
      </c>
      <c r="L1543" s="5">
        <v>1</v>
      </c>
      <c r="M1543" s="5">
        <v>1</v>
      </c>
      <c r="N1543" t="s">
        <v>12</v>
      </c>
      <c r="O1543" s="8">
        <v>24.780821917808218</v>
      </c>
      <c r="P1543" t="s">
        <v>33</v>
      </c>
      <c r="Q1543">
        <v>2</v>
      </c>
      <c r="R1543" s="2">
        <v>36870</v>
      </c>
    </row>
    <row r="1544" spans="1:18" x14ac:dyDescent="0.3">
      <c r="A1544" t="s">
        <v>7</v>
      </c>
      <c r="B1544">
        <v>18966414</v>
      </c>
      <c r="C1544" t="s">
        <v>8</v>
      </c>
      <c r="D1544" s="4">
        <v>45915</v>
      </c>
      <c r="E1544" s="11">
        <f t="shared" si="96"/>
        <v>2025</v>
      </c>
      <c r="F1544" s="11">
        <f t="shared" si="97"/>
        <v>9</v>
      </c>
      <c r="G1544" s="11" t="str">
        <f t="shared" si="98"/>
        <v>202509</v>
      </c>
      <c r="H1544" s="4">
        <v>46003</v>
      </c>
      <c r="I1544" s="5">
        <v>88</v>
      </c>
      <c r="J1544" s="5">
        <v>2.9333333333333331</v>
      </c>
      <c r="K1544" s="5">
        <f t="shared" si="99"/>
        <v>0</v>
      </c>
      <c r="L1544" s="5">
        <v>1</v>
      </c>
      <c r="M1544" s="5">
        <v>1</v>
      </c>
      <c r="N1544" t="s">
        <v>12</v>
      </c>
      <c r="O1544" s="8">
        <v>26.553424657534247</v>
      </c>
      <c r="P1544" t="s">
        <v>34</v>
      </c>
      <c r="Q1544">
        <v>3</v>
      </c>
      <c r="R1544" s="2">
        <v>36223</v>
      </c>
    </row>
    <row r="1545" spans="1:18" x14ac:dyDescent="0.3">
      <c r="A1545" t="s">
        <v>7</v>
      </c>
      <c r="B1545">
        <v>18966418</v>
      </c>
      <c r="C1545" t="s">
        <v>8</v>
      </c>
      <c r="D1545" s="4">
        <v>45915</v>
      </c>
      <c r="E1545" s="11">
        <f t="shared" si="96"/>
        <v>2025</v>
      </c>
      <c r="F1545" s="11">
        <f t="shared" si="97"/>
        <v>9</v>
      </c>
      <c r="G1545" s="11" t="str">
        <f t="shared" si="98"/>
        <v>202509</v>
      </c>
      <c r="H1545" s="4">
        <v>46053</v>
      </c>
      <c r="I1545" s="5">
        <v>138</v>
      </c>
      <c r="J1545" s="5">
        <v>4.5999999999999996</v>
      </c>
      <c r="K1545" s="5">
        <f t="shared" si="99"/>
        <v>0</v>
      </c>
      <c r="L1545" s="5">
        <v>0</v>
      </c>
      <c r="M1545" s="5">
        <v>1</v>
      </c>
      <c r="N1545" t="s">
        <v>12</v>
      </c>
      <c r="O1545" s="8">
        <v>31.117808219178084</v>
      </c>
      <c r="P1545" t="s">
        <v>35</v>
      </c>
      <c r="Q1545">
        <v>4</v>
      </c>
      <c r="R1545" s="2">
        <v>34557</v>
      </c>
    </row>
    <row r="1546" spans="1:18" x14ac:dyDescent="0.3">
      <c r="A1546" t="s">
        <v>7</v>
      </c>
      <c r="B1546">
        <v>18966476</v>
      </c>
      <c r="C1546" t="s">
        <v>8</v>
      </c>
      <c r="D1546" s="4">
        <v>45915</v>
      </c>
      <c r="E1546" s="11">
        <f t="shared" si="96"/>
        <v>2025</v>
      </c>
      <c r="F1546" s="11">
        <f t="shared" si="97"/>
        <v>9</v>
      </c>
      <c r="G1546" s="11" t="str">
        <f t="shared" si="98"/>
        <v>202509</v>
      </c>
      <c r="I1546" s="5">
        <v>9999</v>
      </c>
      <c r="J1546" s="5">
        <v>333.3</v>
      </c>
      <c r="K1546" s="5">
        <f t="shared" si="99"/>
        <v>0</v>
      </c>
      <c r="L1546" s="5">
        <v>0</v>
      </c>
      <c r="M1546" s="5">
        <v>0</v>
      </c>
      <c r="N1546" t="s">
        <v>12</v>
      </c>
      <c r="O1546" s="8">
        <v>18.30958904109589</v>
      </c>
      <c r="P1546" t="s">
        <v>32</v>
      </c>
      <c r="Q1546">
        <v>1</v>
      </c>
      <c r="R1546" s="2">
        <v>39232</v>
      </c>
    </row>
    <row r="1547" spans="1:18" x14ac:dyDescent="0.3">
      <c r="A1547" t="s">
        <v>7</v>
      </c>
      <c r="B1547">
        <v>18966477</v>
      </c>
      <c r="C1547" t="s">
        <v>8</v>
      </c>
      <c r="D1547" s="4">
        <v>45915</v>
      </c>
      <c r="E1547" s="11">
        <f t="shared" si="96"/>
        <v>2025</v>
      </c>
      <c r="F1547" s="11">
        <f t="shared" si="97"/>
        <v>9</v>
      </c>
      <c r="G1547" s="11" t="str">
        <f t="shared" si="98"/>
        <v>202509</v>
      </c>
      <c r="I1547" s="5">
        <v>9999</v>
      </c>
      <c r="J1547" s="5">
        <v>333.3</v>
      </c>
      <c r="K1547" s="5">
        <f t="shared" si="99"/>
        <v>0</v>
      </c>
      <c r="L1547" s="5">
        <v>0</v>
      </c>
      <c r="M1547" s="5">
        <v>0</v>
      </c>
      <c r="N1547" t="s">
        <v>12</v>
      </c>
      <c r="O1547" s="8">
        <v>28.791780821917808</v>
      </c>
      <c r="P1547" t="s">
        <v>34</v>
      </c>
      <c r="Q1547">
        <v>3</v>
      </c>
      <c r="R1547" s="2">
        <v>35406</v>
      </c>
    </row>
    <row r="1548" spans="1:18" x14ac:dyDescent="0.3">
      <c r="A1548" t="s">
        <v>7</v>
      </c>
      <c r="B1548">
        <v>18966478</v>
      </c>
      <c r="C1548" t="s">
        <v>10</v>
      </c>
      <c r="D1548" s="4">
        <v>45915</v>
      </c>
      <c r="E1548" s="11">
        <f t="shared" si="96"/>
        <v>2025</v>
      </c>
      <c r="F1548" s="11">
        <f t="shared" si="97"/>
        <v>9</v>
      </c>
      <c r="G1548" s="11" t="str">
        <f t="shared" si="98"/>
        <v>202509</v>
      </c>
      <c r="I1548" s="5">
        <v>9999</v>
      </c>
      <c r="J1548" s="5">
        <v>333.3</v>
      </c>
      <c r="K1548" s="5">
        <f t="shared" si="99"/>
        <v>0</v>
      </c>
      <c r="L1548" s="5">
        <v>0</v>
      </c>
      <c r="M1548" s="5">
        <v>0</v>
      </c>
      <c r="N1548" t="s">
        <v>12</v>
      </c>
      <c r="O1548" s="8">
        <v>19.663013698630138</v>
      </c>
      <c r="P1548" t="s">
        <v>32</v>
      </c>
      <c r="Q1548">
        <v>1</v>
      </c>
      <c r="R1548" s="2">
        <v>38738</v>
      </c>
    </row>
    <row r="1549" spans="1:18" x14ac:dyDescent="0.3">
      <c r="A1549" t="s">
        <v>7</v>
      </c>
      <c r="B1549">
        <v>18966479</v>
      </c>
      <c r="C1549" t="s">
        <v>8</v>
      </c>
      <c r="D1549" s="4">
        <v>45915</v>
      </c>
      <c r="E1549" s="11">
        <f t="shared" si="96"/>
        <v>2025</v>
      </c>
      <c r="F1549" s="11">
        <f t="shared" si="97"/>
        <v>9</v>
      </c>
      <c r="G1549" s="11" t="str">
        <f t="shared" si="98"/>
        <v>202509</v>
      </c>
      <c r="I1549" s="5">
        <v>9999</v>
      </c>
      <c r="J1549" s="5">
        <v>333.3</v>
      </c>
      <c r="K1549" s="5">
        <f t="shared" si="99"/>
        <v>0</v>
      </c>
      <c r="L1549" s="5">
        <v>0</v>
      </c>
      <c r="M1549" s="5">
        <v>0</v>
      </c>
      <c r="N1549" t="s">
        <v>12</v>
      </c>
      <c r="O1549" s="8">
        <v>20.81917808219178</v>
      </c>
      <c r="P1549" t="s">
        <v>32</v>
      </c>
      <c r="Q1549">
        <v>1</v>
      </c>
      <c r="R1549" s="2">
        <v>38316</v>
      </c>
    </row>
    <row r="1550" spans="1:18" x14ac:dyDescent="0.3">
      <c r="A1550" t="s">
        <v>7</v>
      </c>
      <c r="B1550">
        <v>18966481</v>
      </c>
      <c r="C1550" t="s">
        <v>8</v>
      </c>
      <c r="D1550" s="4">
        <v>45915</v>
      </c>
      <c r="E1550" s="11">
        <f t="shared" si="96"/>
        <v>2025</v>
      </c>
      <c r="F1550" s="11">
        <f t="shared" si="97"/>
        <v>9</v>
      </c>
      <c r="G1550" s="11" t="str">
        <f t="shared" si="98"/>
        <v>202509</v>
      </c>
      <c r="H1550" s="4">
        <v>46091</v>
      </c>
      <c r="I1550" s="5">
        <v>176</v>
      </c>
      <c r="J1550" s="5">
        <v>5.8666666666666663</v>
      </c>
      <c r="K1550" s="5">
        <f t="shared" si="99"/>
        <v>0</v>
      </c>
      <c r="L1550" s="5">
        <v>0</v>
      </c>
      <c r="M1550" s="5">
        <v>1</v>
      </c>
      <c r="N1550" t="s">
        <v>12</v>
      </c>
      <c r="O1550" s="8">
        <v>29.210958904109589</v>
      </c>
      <c r="P1550" t="s">
        <v>34</v>
      </c>
      <c r="Q1550">
        <v>3</v>
      </c>
      <c r="R1550" s="2">
        <v>35253</v>
      </c>
    </row>
    <row r="1551" spans="1:18" x14ac:dyDescent="0.3">
      <c r="A1551" t="s">
        <v>7</v>
      </c>
      <c r="B1551">
        <v>18966501</v>
      </c>
      <c r="C1551" t="s">
        <v>8</v>
      </c>
      <c r="D1551" s="4">
        <v>45916</v>
      </c>
      <c r="E1551" s="11">
        <f t="shared" si="96"/>
        <v>2025</v>
      </c>
      <c r="F1551" s="11">
        <f t="shared" si="97"/>
        <v>9</v>
      </c>
      <c r="G1551" s="11" t="str">
        <f t="shared" si="98"/>
        <v>202509</v>
      </c>
      <c r="H1551" s="4">
        <v>46173</v>
      </c>
      <c r="I1551" s="5">
        <v>257</v>
      </c>
      <c r="J1551" s="5">
        <v>8.5666666666666664</v>
      </c>
      <c r="K1551" s="5">
        <f t="shared" si="99"/>
        <v>0</v>
      </c>
      <c r="L1551" s="5">
        <v>0</v>
      </c>
      <c r="M1551" s="5">
        <v>0</v>
      </c>
      <c r="N1551" t="s">
        <v>9</v>
      </c>
      <c r="O1551" s="8">
        <v>22.016438356164382</v>
      </c>
      <c r="P1551" t="s">
        <v>33</v>
      </c>
      <c r="Q1551">
        <v>2</v>
      </c>
      <c r="R1551" s="2">
        <v>37880</v>
      </c>
    </row>
    <row r="1552" spans="1:18" x14ac:dyDescent="0.3">
      <c r="A1552" t="s">
        <v>7</v>
      </c>
      <c r="B1552">
        <v>18966631</v>
      </c>
      <c r="C1552" t="s">
        <v>10</v>
      </c>
      <c r="D1552" s="4">
        <v>45917</v>
      </c>
      <c r="E1552" s="11">
        <f t="shared" si="96"/>
        <v>2025</v>
      </c>
      <c r="F1552" s="11">
        <f t="shared" si="97"/>
        <v>9</v>
      </c>
      <c r="G1552" s="11" t="str">
        <f t="shared" si="98"/>
        <v>202509</v>
      </c>
      <c r="H1552" s="4">
        <v>46112</v>
      </c>
      <c r="I1552" s="5">
        <v>195</v>
      </c>
      <c r="J1552" s="5">
        <v>6.5</v>
      </c>
      <c r="K1552" s="5">
        <f t="shared" si="99"/>
        <v>0</v>
      </c>
      <c r="L1552" s="5">
        <v>0</v>
      </c>
      <c r="M1552" s="5">
        <v>0</v>
      </c>
      <c r="N1552" t="s">
        <v>12</v>
      </c>
      <c r="O1552" s="8">
        <v>21.268493150684932</v>
      </c>
      <c r="P1552" t="s">
        <v>33</v>
      </c>
      <c r="Q1552">
        <v>2</v>
      </c>
      <c r="R1552" s="2">
        <v>38154</v>
      </c>
    </row>
    <row r="1553" spans="1:18" x14ac:dyDescent="0.3">
      <c r="A1553" t="s">
        <v>7</v>
      </c>
      <c r="B1553">
        <v>18966633</v>
      </c>
      <c r="C1553" t="s">
        <v>10</v>
      </c>
      <c r="D1553" s="4">
        <v>45917</v>
      </c>
      <c r="E1553" s="11">
        <f t="shared" si="96"/>
        <v>2025</v>
      </c>
      <c r="F1553" s="11">
        <f t="shared" si="97"/>
        <v>9</v>
      </c>
      <c r="G1553" s="11" t="str">
        <f t="shared" si="98"/>
        <v>202509</v>
      </c>
      <c r="I1553" s="5">
        <v>9999</v>
      </c>
      <c r="J1553" s="5">
        <v>333.3</v>
      </c>
      <c r="K1553" s="5">
        <f t="shared" si="99"/>
        <v>0</v>
      </c>
      <c r="L1553" s="5">
        <v>0</v>
      </c>
      <c r="M1553" s="5">
        <v>0</v>
      </c>
      <c r="N1553" t="s">
        <v>12</v>
      </c>
      <c r="O1553" s="8">
        <v>20.791780821917808</v>
      </c>
      <c r="P1553" t="s">
        <v>32</v>
      </c>
      <c r="Q1553">
        <v>1</v>
      </c>
      <c r="R1553" s="2">
        <v>38328</v>
      </c>
    </row>
    <row r="1554" spans="1:18" x14ac:dyDescent="0.3">
      <c r="A1554" t="s">
        <v>7</v>
      </c>
      <c r="B1554">
        <v>18966663</v>
      </c>
      <c r="C1554" t="s">
        <v>8</v>
      </c>
      <c r="D1554" s="4">
        <v>45917</v>
      </c>
      <c r="E1554" s="11">
        <f t="shared" si="96"/>
        <v>2025</v>
      </c>
      <c r="F1554" s="11">
        <f t="shared" si="97"/>
        <v>9</v>
      </c>
      <c r="G1554" s="11" t="str">
        <f t="shared" si="98"/>
        <v>202509</v>
      </c>
      <c r="I1554" s="5">
        <v>9999</v>
      </c>
      <c r="J1554" s="5">
        <v>333.3</v>
      </c>
      <c r="K1554" s="5">
        <f t="shared" si="99"/>
        <v>0</v>
      </c>
      <c r="L1554" s="5">
        <v>0</v>
      </c>
      <c r="M1554" s="5">
        <v>0</v>
      </c>
      <c r="N1554" t="s">
        <v>12</v>
      </c>
      <c r="O1554" s="8">
        <v>18.361643835616437</v>
      </c>
      <c r="P1554" t="s">
        <v>32</v>
      </c>
      <c r="Q1554">
        <v>1</v>
      </c>
      <c r="R1554" s="2">
        <v>39215</v>
      </c>
    </row>
    <row r="1555" spans="1:18" x14ac:dyDescent="0.3">
      <c r="A1555" t="s">
        <v>7</v>
      </c>
      <c r="B1555">
        <v>18966734</v>
      </c>
      <c r="C1555" t="s">
        <v>8</v>
      </c>
      <c r="D1555" s="4">
        <v>45917</v>
      </c>
      <c r="E1555" s="11">
        <f t="shared" si="96"/>
        <v>2025</v>
      </c>
      <c r="F1555" s="11">
        <f t="shared" si="97"/>
        <v>9</v>
      </c>
      <c r="G1555" s="11" t="str">
        <f t="shared" si="98"/>
        <v>202509</v>
      </c>
      <c r="H1555" s="4">
        <v>46112</v>
      </c>
      <c r="I1555" s="5">
        <v>195</v>
      </c>
      <c r="J1555" s="5">
        <v>6.5</v>
      </c>
      <c r="K1555" s="5">
        <f t="shared" si="99"/>
        <v>0</v>
      </c>
      <c r="L1555" s="5">
        <v>0</v>
      </c>
      <c r="M1555" s="5">
        <v>0</v>
      </c>
      <c r="N1555" t="s">
        <v>12</v>
      </c>
      <c r="O1555" s="8">
        <v>25.736986301369864</v>
      </c>
      <c r="P1555" t="s">
        <v>33</v>
      </c>
      <c r="Q1555">
        <v>2</v>
      </c>
      <c r="R1555" s="2">
        <v>36523</v>
      </c>
    </row>
    <row r="1556" spans="1:18" x14ac:dyDescent="0.3">
      <c r="A1556" t="s">
        <v>7</v>
      </c>
      <c r="B1556">
        <v>18966735</v>
      </c>
      <c r="C1556" t="s">
        <v>10</v>
      </c>
      <c r="D1556" s="4">
        <v>45916</v>
      </c>
      <c r="E1556" s="11">
        <f t="shared" si="96"/>
        <v>2025</v>
      </c>
      <c r="F1556" s="11">
        <f t="shared" si="97"/>
        <v>9</v>
      </c>
      <c r="G1556" s="11" t="str">
        <f t="shared" si="98"/>
        <v>202509</v>
      </c>
      <c r="I1556" s="5">
        <v>9999</v>
      </c>
      <c r="J1556" s="5">
        <v>333.3</v>
      </c>
      <c r="K1556" s="5">
        <f t="shared" si="99"/>
        <v>0</v>
      </c>
      <c r="L1556" s="5">
        <v>0</v>
      </c>
      <c r="M1556" s="5">
        <v>0</v>
      </c>
      <c r="N1556" t="s">
        <v>9</v>
      </c>
      <c r="O1556" s="8">
        <v>18.654794520547945</v>
      </c>
      <c r="P1556" t="s">
        <v>32</v>
      </c>
      <c r="Q1556">
        <v>1</v>
      </c>
      <c r="R1556" s="2">
        <v>39107</v>
      </c>
    </row>
    <row r="1557" spans="1:18" x14ac:dyDescent="0.3">
      <c r="A1557" t="s">
        <v>7</v>
      </c>
      <c r="B1557">
        <v>18966737</v>
      </c>
      <c r="C1557" t="s">
        <v>10</v>
      </c>
      <c r="D1557" s="4">
        <v>45917</v>
      </c>
      <c r="E1557" s="11">
        <f t="shared" si="96"/>
        <v>2025</v>
      </c>
      <c r="F1557" s="11">
        <f t="shared" si="97"/>
        <v>9</v>
      </c>
      <c r="G1557" s="11" t="str">
        <f t="shared" si="98"/>
        <v>202509</v>
      </c>
      <c r="I1557" s="5">
        <v>9999</v>
      </c>
      <c r="J1557" s="5">
        <v>333.3</v>
      </c>
      <c r="K1557" s="5">
        <f t="shared" si="99"/>
        <v>0</v>
      </c>
      <c r="L1557" s="5">
        <v>0</v>
      </c>
      <c r="M1557" s="5">
        <v>0</v>
      </c>
      <c r="N1557" t="s">
        <v>12</v>
      </c>
      <c r="O1557" s="8">
        <v>18.394520547945206</v>
      </c>
      <c r="P1557" t="s">
        <v>32</v>
      </c>
      <c r="Q1557">
        <v>1</v>
      </c>
      <c r="R1557" s="2">
        <v>39203</v>
      </c>
    </row>
    <row r="1558" spans="1:18" x14ac:dyDescent="0.3">
      <c r="A1558" t="s">
        <v>7</v>
      </c>
      <c r="B1558">
        <v>18966783</v>
      </c>
      <c r="C1558" t="s">
        <v>8</v>
      </c>
      <c r="D1558" s="4">
        <v>45917</v>
      </c>
      <c r="E1558" s="11">
        <f t="shared" si="96"/>
        <v>2025</v>
      </c>
      <c r="F1558" s="11">
        <f t="shared" si="97"/>
        <v>9</v>
      </c>
      <c r="G1558" s="11" t="str">
        <f t="shared" si="98"/>
        <v>202509</v>
      </c>
      <c r="H1558" s="4">
        <v>46173</v>
      </c>
      <c r="I1558" s="5">
        <v>256</v>
      </c>
      <c r="J1558" s="5">
        <v>8.5333333333333332</v>
      </c>
      <c r="K1558" s="5">
        <f t="shared" si="99"/>
        <v>0</v>
      </c>
      <c r="L1558" s="5">
        <v>0</v>
      </c>
      <c r="M1558" s="5">
        <v>0</v>
      </c>
      <c r="N1558" t="s">
        <v>9</v>
      </c>
      <c r="O1558" s="8">
        <v>24.789041095890411</v>
      </c>
      <c r="P1558" t="s">
        <v>33</v>
      </c>
      <c r="Q1558">
        <v>2</v>
      </c>
      <c r="R1558" s="2">
        <v>36869</v>
      </c>
    </row>
    <row r="1559" spans="1:18" x14ac:dyDescent="0.3">
      <c r="A1559" t="s">
        <v>7</v>
      </c>
      <c r="B1559">
        <v>18967200</v>
      </c>
      <c r="C1559" t="s">
        <v>8</v>
      </c>
      <c r="D1559" s="4">
        <v>45919</v>
      </c>
      <c r="E1559" s="11">
        <f t="shared" si="96"/>
        <v>2025</v>
      </c>
      <c r="F1559" s="11">
        <f t="shared" si="97"/>
        <v>9</v>
      </c>
      <c r="G1559" s="11" t="str">
        <f t="shared" si="98"/>
        <v>202509</v>
      </c>
      <c r="H1559" s="4">
        <v>46131</v>
      </c>
      <c r="I1559" s="5">
        <v>212</v>
      </c>
      <c r="J1559" s="5">
        <v>7.0666666666666664</v>
      </c>
      <c r="K1559" s="5">
        <f t="shared" si="99"/>
        <v>0</v>
      </c>
      <c r="L1559" s="5">
        <v>0</v>
      </c>
      <c r="M1559" s="5">
        <v>0</v>
      </c>
      <c r="N1559" t="s">
        <v>9</v>
      </c>
      <c r="O1559" s="8">
        <v>20.756164383561643</v>
      </c>
      <c r="P1559" t="s">
        <v>32</v>
      </c>
      <c r="Q1559">
        <v>1</v>
      </c>
      <c r="R1559" s="2">
        <v>38343</v>
      </c>
    </row>
    <row r="1560" spans="1:18" x14ac:dyDescent="0.3">
      <c r="A1560" t="s">
        <v>7</v>
      </c>
      <c r="B1560">
        <v>18967213</v>
      </c>
      <c r="C1560" t="s">
        <v>8</v>
      </c>
      <c r="D1560" s="4">
        <v>45919</v>
      </c>
      <c r="E1560" s="11">
        <f t="shared" si="96"/>
        <v>2025</v>
      </c>
      <c r="F1560" s="11">
        <f t="shared" si="97"/>
        <v>9</v>
      </c>
      <c r="G1560" s="11" t="str">
        <f t="shared" si="98"/>
        <v>202509</v>
      </c>
      <c r="H1560" s="4">
        <v>45976</v>
      </c>
      <c r="I1560" s="5">
        <v>57</v>
      </c>
      <c r="J1560" s="5">
        <v>1.9</v>
      </c>
      <c r="K1560" s="5">
        <f t="shared" si="99"/>
        <v>0</v>
      </c>
      <c r="L1560" s="5">
        <v>1</v>
      </c>
      <c r="M1560" s="5">
        <v>1</v>
      </c>
      <c r="N1560" t="s">
        <v>9</v>
      </c>
      <c r="O1560" s="8">
        <v>21.778082191780822</v>
      </c>
      <c r="P1560" t="s">
        <v>33</v>
      </c>
      <c r="Q1560">
        <v>2</v>
      </c>
      <c r="R1560" s="2">
        <v>37970</v>
      </c>
    </row>
    <row r="1561" spans="1:18" x14ac:dyDescent="0.3">
      <c r="A1561" t="s">
        <v>7</v>
      </c>
      <c r="B1561">
        <v>18967247</v>
      </c>
      <c r="C1561" t="s">
        <v>8</v>
      </c>
      <c r="D1561" s="4">
        <v>45919</v>
      </c>
      <c r="E1561" s="11">
        <f t="shared" si="96"/>
        <v>2025</v>
      </c>
      <c r="F1561" s="11">
        <f t="shared" si="97"/>
        <v>9</v>
      </c>
      <c r="G1561" s="11" t="str">
        <f t="shared" si="98"/>
        <v>202509</v>
      </c>
      <c r="I1561" s="5">
        <v>9999</v>
      </c>
      <c r="J1561" s="5">
        <v>333.3</v>
      </c>
      <c r="K1561" s="5">
        <f t="shared" si="99"/>
        <v>0</v>
      </c>
      <c r="L1561" s="5">
        <v>0</v>
      </c>
      <c r="M1561" s="5">
        <v>0</v>
      </c>
      <c r="N1561" t="s">
        <v>12</v>
      </c>
      <c r="O1561" s="8">
        <v>24.043835616438358</v>
      </c>
      <c r="P1561" t="s">
        <v>33</v>
      </c>
      <c r="Q1561">
        <v>2</v>
      </c>
      <c r="R1561" s="2">
        <v>37143</v>
      </c>
    </row>
    <row r="1562" spans="1:18" x14ac:dyDescent="0.3">
      <c r="A1562" t="s">
        <v>7</v>
      </c>
      <c r="B1562">
        <v>18967248</v>
      </c>
      <c r="C1562" t="s">
        <v>8</v>
      </c>
      <c r="D1562" s="4">
        <v>45919</v>
      </c>
      <c r="E1562" s="11">
        <f t="shared" si="96"/>
        <v>2025</v>
      </c>
      <c r="F1562" s="11">
        <f t="shared" si="97"/>
        <v>9</v>
      </c>
      <c r="G1562" s="11" t="str">
        <f t="shared" si="98"/>
        <v>202509</v>
      </c>
      <c r="H1562" s="4">
        <v>46142</v>
      </c>
      <c r="I1562" s="5">
        <v>223</v>
      </c>
      <c r="J1562" s="5">
        <v>7.4333333333333336</v>
      </c>
      <c r="K1562" s="5">
        <f t="shared" si="99"/>
        <v>0</v>
      </c>
      <c r="L1562" s="5">
        <v>0</v>
      </c>
      <c r="M1562" s="5">
        <v>0</v>
      </c>
      <c r="N1562" t="s">
        <v>9</v>
      </c>
      <c r="O1562" s="8">
        <v>28.75068493150685</v>
      </c>
      <c r="P1562" t="s">
        <v>34</v>
      </c>
      <c r="Q1562">
        <v>3</v>
      </c>
      <c r="R1562" s="2">
        <v>35425</v>
      </c>
    </row>
    <row r="1563" spans="1:18" x14ac:dyDescent="0.3">
      <c r="A1563" t="s">
        <v>7</v>
      </c>
      <c r="B1563">
        <v>18967352</v>
      </c>
      <c r="C1563" t="s">
        <v>10</v>
      </c>
      <c r="D1563" s="4">
        <v>45919</v>
      </c>
      <c r="E1563" s="11">
        <f t="shared" si="96"/>
        <v>2025</v>
      </c>
      <c r="F1563" s="11">
        <f t="shared" si="97"/>
        <v>9</v>
      </c>
      <c r="G1563" s="11" t="str">
        <f t="shared" si="98"/>
        <v>202509</v>
      </c>
      <c r="I1563" s="5">
        <v>9999</v>
      </c>
      <c r="J1563" s="5">
        <v>333.3</v>
      </c>
      <c r="K1563" s="5">
        <f t="shared" si="99"/>
        <v>0</v>
      </c>
      <c r="L1563" s="5">
        <v>0</v>
      </c>
      <c r="M1563" s="5">
        <v>0</v>
      </c>
      <c r="N1563" t="s">
        <v>9</v>
      </c>
      <c r="O1563" s="8">
        <v>20.813698630136987</v>
      </c>
      <c r="P1563" t="s">
        <v>32</v>
      </c>
      <c r="Q1563">
        <v>1</v>
      </c>
      <c r="R1563" s="2">
        <v>38322</v>
      </c>
    </row>
    <row r="1564" spans="1:18" x14ac:dyDescent="0.3">
      <c r="A1564" t="s">
        <v>7</v>
      </c>
      <c r="B1564">
        <v>18967353</v>
      </c>
      <c r="C1564" t="s">
        <v>8</v>
      </c>
      <c r="D1564" s="4">
        <v>45919</v>
      </c>
      <c r="E1564" s="11">
        <f t="shared" si="96"/>
        <v>2025</v>
      </c>
      <c r="F1564" s="11">
        <f t="shared" si="97"/>
        <v>9</v>
      </c>
      <c r="G1564" s="11" t="str">
        <f t="shared" si="98"/>
        <v>202509</v>
      </c>
      <c r="H1564" s="4">
        <v>46103</v>
      </c>
      <c r="I1564" s="5">
        <v>184</v>
      </c>
      <c r="J1564" s="5">
        <v>6.1333333333333337</v>
      </c>
      <c r="K1564" s="5">
        <f t="shared" si="99"/>
        <v>0</v>
      </c>
      <c r="L1564" s="5">
        <v>0</v>
      </c>
      <c r="M1564" s="5">
        <v>0</v>
      </c>
      <c r="N1564" t="s">
        <v>9</v>
      </c>
      <c r="O1564" s="8">
        <v>19.550684931506851</v>
      </c>
      <c r="P1564" t="s">
        <v>32</v>
      </c>
      <c r="Q1564">
        <v>1</v>
      </c>
      <c r="R1564" s="2">
        <v>38783</v>
      </c>
    </row>
    <row r="1565" spans="1:18" x14ac:dyDescent="0.3">
      <c r="A1565" t="s">
        <v>7</v>
      </c>
      <c r="B1565">
        <v>18967355</v>
      </c>
      <c r="C1565" t="s">
        <v>8</v>
      </c>
      <c r="D1565" s="4">
        <v>45919</v>
      </c>
      <c r="E1565" s="11">
        <f t="shared" si="96"/>
        <v>2025</v>
      </c>
      <c r="F1565" s="11">
        <f t="shared" si="97"/>
        <v>9</v>
      </c>
      <c r="G1565" s="11" t="str">
        <f t="shared" si="98"/>
        <v>202509</v>
      </c>
      <c r="I1565" s="5">
        <v>9999</v>
      </c>
      <c r="J1565" s="5">
        <v>333.3</v>
      </c>
      <c r="K1565" s="5">
        <f t="shared" si="99"/>
        <v>0</v>
      </c>
      <c r="L1565" s="5">
        <v>0</v>
      </c>
      <c r="M1565" s="5">
        <v>0</v>
      </c>
      <c r="N1565" t="s">
        <v>9</v>
      </c>
      <c r="O1565" s="8">
        <v>20.416438356164385</v>
      </c>
      <c r="P1565" t="s">
        <v>32</v>
      </c>
      <c r="Q1565">
        <v>1</v>
      </c>
      <c r="R1565" s="2">
        <v>38467</v>
      </c>
    </row>
    <row r="1566" spans="1:18" x14ac:dyDescent="0.3">
      <c r="A1566" t="s">
        <v>7</v>
      </c>
      <c r="B1566">
        <v>18967356</v>
      </c>
      <c r="C1566" t="s">
        <v>8</v>
      </c>
      <c r="D1566" s="4">
        <v>46113</v>
      </c>
      <c r="E1566" s="11">
        <f t="shared" si="96"/>
        <v>2026</v>
      </c>
      <c r="F1566" s="11">
        <f t="shared" si="97"/>
        <v>4</v>
      </c>
      <c r="G1566" s="11" t="str">
        <f t="shared" si="98"/>
        <v>202604</v>
      </c>
      <c r="H1566" s="4">
        <v>46118</v>
      </c>
      <c r="I1566" s="5">
        <v>5</v>
      </c>
      <c r="J1566" s="5">
        <v>0.16666666666666666</v>
      </c>
      <c r="K1566" s="5">
        <f t="shared" si="99"/>
        <v>1</v>
      </c>
      <c r="L1566" s="5">
        <v>1</v>
      </c>
      <c r="M1566" s="5">
        <v>1</v>
      </c>
      <c r="N1566" t="s">
        <v>9</v>
      </c>
      <c r="O1566" s="8">
        <v>18.794520547945204</v>
      </c>
      <c r="P1566" t="s">
        <v>32</v>
      </c>
      <c r="Q1566">
        <v>1</v>
      </c>
      <c r="R1566" s="2">
        <v>39253</v>
      </c>
    </row>
    <row r="1567" spans="1:18" x14ac:dyDescent="0.3">
      <c r="A1567" t="s">
        <v>7</v>
      </c>
      <c r="B1567">
        <v>18967360</v>
      </c>
      <c r="C1567" t="s">
        <v>10</v>
      </c>
      <c r="D1567" s="4">
        <v>45919</v>
      </c>
      <c r="E1567" s="11">
        <f t="shared" si="96"/>
        <v>2025</v>
      </c>
      <c r="F1567" s="11">
        <f t="shared" si="97"/>
        <v>9</v>
      </c>
      <c r="G1567" s="11" t="str">
        <f t="shared" si="98"/>
        <v>202509</v>
      </c>
      <c r="H1567" s="4">
        <v>45978</v>
      </c>
      <c r="I1567" s="5">
        <v>59</v>
      </c>
      <c r="J1567" s="5">
        <v>1.9666666666666666</v>
      </c>
      <c r="K1567" s="5">
        <f t="shared" si="99"/>
        <v>0</v>
      </c>
      <c r="L1567" s="5">
        <v>1</v>
      </c>
      <c r="M1567" s="5">
        <v>1</v>
      </c>
      <c r="N1567" t="s">
        <v>9</v>
      </c>
      <c r="O1567" s="8">
        <v>19.950684931506849</v>
      </c>
      <c r="P1567" t="s">
        <v>32</v>
      </c>
      <c r="Q1567">
        <v>1</v>
      </c>
      <c r="R1567" s="2">
        <v>38637</v>
      </c>
    </row>
    <row r="1568" spans="1:18" x14ac:dyDescent="0.3">
      <c r="A1568" t="s">
        <v>7</v>
      </c>
      <c r="B1568">
        <v>18967361</v>
      </c>
      <c r="C1568" t="s">
        <v>8</v>
      </c>
      <c r="D1568" s="4">
        <v>45919</v>
      </c>
      <c r="E1568" s="11">
        <f t="shared" si="96"/>
        <v>2025</v>
      </c>
      <c r="F1568" s="11">
        <f t="shared" si="97"/>
        <v>9</v>
      </c>
      <c r="G1568" s="11" t="str">
        <f t="shared" si="98"/>
        <v>202509</v>
      </c>
      <c r="I1568" s="5">
        <v>9999</v>
      </c>
      <c r="J1568" s="5">
        <v>333.3</v>
      </c>
      <c r="K1568" s="5">
        <f t="shared" si="99"/>
        <v>0</v>
      </c>
      <c r="L1568" s="5">
        <v>0</v>
      </c>
      <c r="M1568" s="5">
        <v>0</v>
      </c>
      <c r="N1568" t="s">
        <v>9</v>
      </c>
      <c r="O1568" s="8">
        <v>34.772602739726025</v>
      </c>
      <c r="P1568" t="s">
        <v>35</v>
      </c>
      <c r="Q1568">
        <v>4</v>
      </c>
      <c r="R1568" s="2">
        <v>33227</v>
      </c>
    </row>
    <row r="1569" spans="1:18" x14ac:dyDescent="0.3">
      <c r="A1569" t="s">
        <v>7</v>
      </c>
      <c r="B1569">
        <v>18967364</v>
      </c>
      <c r="C1569" t="s">
        <v>8</v>
      </c>
      <c r="D1569" s="4">
        <v>45919</v>
      </c>
      <c r="E1569" s="11">
        <f t="shared" si="96"/>
        <v>2025</v>
      </c>
      <c r="F1569" s="11">
        <f t="shared" si="97"/>
        <v>9</v>
      </c>
      <c r="G1569" s="11" t="str">
        <f t="shared" si="98"/>
        <v>202509</v>
      </c>
      <c r="I1569" s="5">
        <v>9999</v>
      </c>
      <c r="J1569" s="5">
        <v>333.3</v>
      </c>
      <c r="K1569" s="5">
        <f t="shared" si="99"/>
        <v>0</v>
      </c>
      <c r="L1569" s="5">
        <v>0</v>
      </c>
      <c r="M1569" s="5">
        <v>0</v>
      </c>
      <c r="N1569" t="s">
        <v>9</v>
      </c>
      <c r="O1569" s="8">
        <v>21.827397260273973</v>
      </c>
      <c r="P1569" t="s">
        <v>33</v>
      </c>
      <c r="Q1569">
        <v>2</v>
      </c>
      <c r="R1569" s="2">
        <v>37952</v>
      </c>
    </row>
    <row r="1570" spans="1:18" x14ac:dyDescent="0.3">
      <c r="A1570" t="s">
        <v>7</v>
      </c>
      <c r="B1570">
        <v>18967367</v>
      </c>
      <c r="C1570" t="s">
        <v>8</v>
      </c>
      <c r="D1570" s="4">
        <v>45919</v>
      </c>
      <c r="E1570" s="11">
        <f t="shared" si="96"/>
        <v>2025</v>
      </c>
      <c r="F1570" s="11">
        <f t="shared" si="97"/>
        <v>9</v>
      </c>
      <c r="G1570" s="11" t="str">
        <f t="shared" si="98"/>
        <v>202509</v>
      </c>
      <c r="H1570" s="4">
        <v>45961</v>
      </c>
      <c r="I1570" s="5">
        <v>42</v>
      </c>
      <c r="J1570" s="5">
        <v>1.4</v>
      </c>
      <c r="K1570" s="5">
        <f t="shared" si="99"/>
        <v>0</v>
      </c>
      <c r="L1570" s="5">
        <v>1</v>
      </c>
      <c r="M1570" s="5">
        <v>1</v>
      </c>
      <c r="N1570" t="s">
        <v>9</v>
      </c>
      <c r="O1570" s="8">
        <v>34.665753424657531</v>
      </c>
      <c r="P1570" t="s">
        <v>35</v>
      </c>
      <c r="Q1570">
        <v>4</v>
      </c>
      <c r="R1570" s="2">
        <v>33266</v>
      </c>
    </row>
    <row r="1571" spans="1:18" x14ac:dyDescent="0.3">
      <c r="A1571" t="s">
        <v>7</v>
      </c>
      <c r="B1571">
        <v>18967430</v>
      </c>
      <c r="C1571" t="s">
        <v>8</v>
      </c>
      <c r="D1571" s="4">
        <v>45919</v>
      </c>
      <c r="E1571" s="11">
        <f t="shared" si="96"/>
        <v>2025</v>
      </c>
      <c r="F1571" s="11">
        <f t="shared" si="97"/>
        <v>9</v>
      </c>
      <c r="G1571" s="11" t="str">
        <f t="shared" si="98"/>
        <v>202509</v>
      </c>
      <c r="I1571" s="5">
        <v>9999</v>
      </c>
      <c r="J1571" s="5">
        <v>333.3</v>
      </c>
      <c r="K1571" s="5">
        <f t="shared" si="99"/>
        <v>0</v>
      </c>
      <c r="L1571" s="5">
        <v>0</v>
      </c>
      <c r="M1571" s="5">
        <v>0</v>
      </c>
      <c r="N1571" t="s">
        <v>9</v>
      </c>
      <c r="O1571" s="8">
        <v>18.67945205479452</v>
      </c>
      <c r="P1571" t="s">
        <v>32</v>
      </c>
      <c r="Q1571">
        <v>1</v>
      </c>
      <c r="R1571" s="2">
        <v>39101</v>
      </c>
    </row>
    <row r="1572" spans="1:18" x14ac:dyDescent="0.3">
      <c r="A1572" t="s">
        <v>7</v>
      </c>
      <c r="B1572">
        <v>18967469</v>
      </c>
      <c r="C1572" t="s">
        <v>8</v>
      </c>
      <c r="D1572" s="4">
        <v>45919</v>
      </c>
      <c r="E1572" s="11">
        <f t="shared" si="96"/>
        <v>2025</v>
      </c>
      <c r="F1572" s="11">
        <f t="shared" si="97"/>
        <v>9</v>
      </c>
      <c r="G1572" s="11" t="str">
        <f t="shared" si="98"/>
        <v>202509</v>
      </c>
      <c r="H1572" s="4">
        <v>46142</v>
      </c>
      <c r="I1572" s="5">
        <v>223</v>
      </c>
      <c r="J1572" s="5">
        <v>7.4333333333333336</v>
      </c>
      <c r="K1572" s="5">
        <f t="shared" si="99"/>
        <v>0</v>
      </c>
      <c r="L1572" s="5">
        <v>0</v>
      </c>
      <c r="M1572" s="5">
        <v>0</v>
      </c>
      <c r="N1572" t="s">
        <v>12</v>
      </c>
      <c r="O1572" s="8">
        <v>24.958904109589042</v>
      </c>
      <c r="P1572" t="s">
        <v>33</v>
      </c>
      <c r="Q1572">
        <v>2</v>
      </c>
      <c r="R1572" s="2">
        <v>36809</v>
      </c>
    </row>
    <row r="1573" spans="1:18" x14ac:dyDescent="0.3">
      <c r="A1573" t="s">
        <v>7</v>
      </c>
      <c r="B1573">
        <v>18967470</v>
      </c>
      <c r="C1573" t="s">
        <v>10</v>
      </c>
      <c r="D1573" s="4">
        <v>45919</v>
      </c>
      <c r="E1573" s="11">
        <f t="shared" si="96"/>
        <v>2025</v>
      </c>
      <c r="F1573" s="11">
        <f t="shared" si="97"/>
        <v>9</v>
      </c>
      <c r="G1573" s="11" t="str">
        <f t="shared" si="98"/>
        <v>202509</v>
      </c>
      <c r="H1573" s="4">
        <v>46101</v>
      </c>
      <c r="I1573" s="5">
        <v>182</v>
      </c>
      <c r="J1573" s="5">
        <v>6.0666666666666664</v>
      </c>
      <c r="K1573" s="5">
        <f t="shared" si="99"/>
        <v>0</v>
      </c>
      <c r="L1573" s="5">
        <v>0</v>
      </c>
      <c r="M1573" s="5">
        <v>0</v>
      </c>
      <c r="N1573" t="s">
        <v>9</v>
      </c>
      <c r="O1573" s="8">
        <v>22.575342465753426</v>
      </c>
      <c r="P1573" t="s">
        <v>33</v>
      </c>
      <c r="Q1573">
        <v>2</v>
      </c>
      <c r="R1573" s="2">
        <v>37679</v>
      </c>
    </row>
    <row r="1574" spans="1:18" x14ac:dyDescent="0.3">
      <c r="A1574" t="s">
        <v>7</v>
      </c>
      <c r="B1574">
        <v>18967471</v>
      </c>
      <c r="C1574" t="s">
        <v>8</v>
      </c>
      <c r="D1574" s="4">
        <v>45919</v>
      </c>
      <c r="E1574" s="11">
        <f t="shared" si="96"/>
        <v>2025</v>
      </c>
      <c r="F1574" s="11">
        <f t="shared" si="97"/>
        <v>9</v>
      </c>
      <c r="G1574" s="11" t="str">
        <f t="shared" si="98"/>
        <v>202509</v>
      </c>
      <c r="H1574" s="4">
        <v>46100</v>
      </c>
      <c r="I1574" s="5">
        <v>181</v>
      </c>
      <c r="J1574" s="5">
        <v>6.0333333333333332</v>
      </c>
      <c r="K1574" s="5">
        <f t="shared" si="99"/>
        <v>0</v>
      </c>
      <c r="L1574" s="5">
        <v>0</v>
      </c>
      <c r="M1574" s="5">
        <v>0</v>
      </c>
      <c r="N1574" t="s">
        <v>9</v>
      </c>
      <c r="O1574" s="8">
        <v>20.210958904109589</v>
      </c>
      <c r="P1574" t="s">
        <v>32</v>
      </c>
      <c r="Q1574">
        <v>1</v>
      </c>
      <c r="R1574" s="2">
        <v>38542</v>
      </c>
    </row>
    <row r="1575" spans="1:18" x14ac:dyDescent="0.3">
      <c r="A1575" t="s">
        <v>7</v>
      </c>
      <c r="B1575">
        <v>18967472</v>
      </c>
      <c r="C1575" t="s">
        <v>10</v>
      </c>
      <c r="D1575" s="4">
        <v>45919</v>
      </c>
      <c r="E1575" s="11">
        <f t="shared" si="96"/>
        <v>2025</v>
      </c>
      <c r="F1575" s="11">
        <f t="shared" si="97"/>
        <v>9</v>
      </c>
      <c r="G1575" s="11" t="str">
        <f t="shared" si="98"/>
        <v>202509</v>
      </c>
      <c r="I1575" s="5">
        <v>9999</v>
      </c>
      <c r="J1575" s="5">
        <v>333.3</v>
      </c>
      <c r="K1575" s="5">
        <f t="shared" si="99"/>
        <v>0</v>
      </c>
      <c r="L1575" s="5">
        <v>0</v>
      </c>
      <c r="M1575" s="5">
        <v>0</v>
      </c>
      <c r="N1575" t="s">
        <v>9</v>
      </c>
      <c r="O1575" s="8">
        <v>45.131506849315066</v>
      </c>
      <c r="P1575" t="s">
        <v>35</v>
      </c>
      <c r="Q1575">
        <v>4</v>
      </c>
      <c r="R1575" s="2">
        <v>29446</v>
      </c>
    </row>
    <row r="1576" spans="1:18" x14ac:dyDescent="0.3">
      <c r="A1576" t="s">
        <v>7</v>
      </c>
      <c r="B1576">
        <v>18967473</v>
      </c>
      <c r="C1576" t="s">
        <v>8</v>
      </c>
      <c r="D1576" s="4">
        <v>45919</v>
      </c>
      <c r="E1576" s="11">
        <f t="shared" si="96"/>
        <v>2025</v>
      </c>
      <c r="F1576" s="11">
        <f t="shared" si="97"/>
        <v>9</v>
      </c>
      <c r="G1576" s="11" t="str">
        <f t="shared" si="98"/>
        <v>202509</v>
      </c>
      <c r="H1576" s="4">
        <v>46069</v>
      </c>
      <c r="I1576" s="5">
        <v>150</v>
      </c>
      <c r="J1576" s="5">
        <v>5</v>
      </c>
      <c r="K1576" s="5">
        <f t="shared" si="99"/>
        <v>0</v>
      </c>
      <c r="L1576" s="5">
        <v>0</v>
      </c>
      <c r="M1576" s="5">
        <v>1</v>
      </c>
      <c r="N1576" t="s">
        <v>9</v>
      </c>
      <c r="O1576" s="8">
        <v>18.55890410958904</v>
      </c>
      <c r="P1576" t="s">
        <v>32</v>
      </c>
      <c r="Q1576">
        <v>1</v>
      </c>
      <c r="R1576" s="2">
        <v>39145</v>
      </c>
    </row>
    <row r="1577" spans="1:18" x14ac:dyDescent="0.3">
      <c r="A1577" t="s">
        <v>7</v>
      </c>
      <c r="B1577">
        <v>18967474</v>
      </c>
      <c r="C1577" t="s">
        <v>8</v>
      </c>
      <c r="D1577" s="4">
        <v>45919</v>
      </c>
      <c r="E1577" s="11">
        <f t="shared" si="96"/>
        <v>2025</v>
      </c>
      <c r="F1577" s="11">
        <f t="shared" si="97"/>
        <v>9</v>
      </c>
      <c r="G1577" s="11" t="str">
        <f t="shared" si="98"/>
        <v>202509</v>
      </c>
      <c r="H1577" s="4">
        <v>45991</v>
      </c>
      <c r="I1577" s="5">
        <v>72</v>
      </c>
      <c r="J1577" s="5">
        <v>2.4</v>
      </c>
      <c r="K1577" s="5">
        <f t="shared" si="99"/>
        <v>0</v>
      </c>
      <c r="L1577" s="5">
        <v>1</v>
      </c>
      <c r="M1577" s="5">
        <v>1</v>
      </c>
      <c r="N1577" t="s">
        <v>9</v>
      </c>
      <c r="O1577" s="8">
        <v>19.539726027397261</v>
      </c>
      <c r="P1577" t="s">
        <v>32</v>
      </c>
      <c r="Q1577">
        <v>1</v>
      </c>
      <c r="R1577" s="2">
        <v>38787</v>
      </c>
    </row>
    <row r="1578" spans="1:18" x14ac:dyDescent="0.3">
      <c r="A1578" t="s">
        <v>7</v>
      </c>
      <c r="B1578">
        <v>18967475</v>
      </c>
      <c r="C1578" t="s">
        <v>8</v>
      </c>
      <c r="D1578" s="4">
        <v>45919</v>
      </c>
      <c r="E1578" s="11">
        <f t="shared" si="96"/>
        <v>2025</v>
      </c>
      <c r="F1578" s="11">
        <f t="shared" si="97"/>
        <v>9</v>
      </c>
      <c r="G1578" s="11" t="str">
        <f t="shared" si="98"/>
        <v>202509</v>
      </c>
      <c r="H1578" s="4">
        <v>45950</v>
      </c>
      <c r="I1578" s="5">
        <v>31</v>
      </c>
      <c r="J1578" s="5">
        <v>1.0333333333333334</v>
      </c>
      <c r="K1578" s="5">
        <f t="shared" si="99"/>
        <v>0</v>
      </c>
      <c r="L1578" s="5">
        <v>1</v>
      </c>
      <c r="M1578" s="5">
        <v>1</v>
      </c>
      <c r="N1578" t="s">
        <v>9</v>
      </c>
      <c r="O1578" s="8">
        <v>23.147945205479452</v>
      </c>
      <c r="P1578" t="s">
        <v>33</v>
      </c>
      <c r="Q1578">
        <v>2</v>
      </c>
      <c r="R1578" s="2">
        <v>37470</v>
      </c>
    </row>
    <row r="1579" spans="1:18" x14ac:dyDescent="0.3">
      <c r="A1579" t="s">
        <v>7</v>
      </c>
      <c r="B1579">
        <v>18967487</v>
      </c>
      <c r="C1579" t="s">
        <v>8</v>
      </c>
      <c r="D1579" s="4">
        <v>45919</v>
      </c>
      <c r="E1579" s="11">
        <f t="shared" si="96"/>
        <v>2025</v>
      </c>
      <c r="F1579" s="11">
        <f t="shared" si="97"/>
        <v>9</v>
      </c>
      <c r="G1579" s="11" t="str">
        <f t="shared" si="98"/>
        <v>202509</v>
      </c>
      <c r="H1579" s="4">
        <v>46086</v>
      </c>
      <c r="I1579" s="5">
        <v>167</v>
      </c>
      <c r="J1579" s="5">
        <v>5.5666666666666664</v>
      </c>
      <c r="K1579" s="5">
        <f t="shared" si="99"/>
        <v>0</v>
      </c>
      <c r="L1579" s="5">
        <v>0</v>
      </c>
      <c r="M1579" s="5">
        <v>1</v>
      </c>
      <c r="N1579" t="s">
        <v>9</v>
      </c>
      <c r="O1579" s="8">
        <v>47.682191780821917</v>
      </c>
      <c r="P1579" t="s">
        <v>35</v>
      </c>
      <c r="Q1579">
        <v>4</v>
      </c>
      <c r="R1579" s="2">
        <v>28515</v>
      </c>
    </row>
    <row r="1580" spans="1:18" x14ac:dyDescent="0.3">
      <c r="A1580" t="s">
        <v>7</v>
      </c>
      <c r="B1580">
        <v>18967496</v>
      </c>
      <c r="C1580" t="s">
        <v>8</v>
      </c>
      <c r="D1580" s="4">
        <v>45919</v>
      </c>
      <c r="E1580" s="11">
        <f t="shared" si="96"/>
        <v>2025</v>
      </c>
      <c r="F1580" s="11">
        <f t="shared" si="97"/>
        <v>9</v>
      </c>
      <c r="G1580" s="11" t="str">
        <f t="shared" si="98"/>
        <v>202509</v>
      </c>
      <c r="H1580" s="4">
        <v>46022</v>
      </c>
      <c r="I1580" s="5">
        <v>103</v>
      </c>
      <c r="J1580" s="5">
        <v>3.4333333333333331</v>
      </c>
      <c r="K1580" s="5">
        <f t="shared" si="99"/>
        <v>0</v>
      </c>
      <c r="L1580" s="5">
        <v>0</v>
      </c>
      <c r="M1580" s="5">
        <v>1</v>
      </c>
      <c r="N1580" t="s">
        <v>9</v>
      </c>
      <c r="O1580" s="8">
        <v>23.186301369863013</v>
      </c>
      <c r="P1580" t="s">
        <v>33</v>
      </c>
      <c r="Q1580">
        <v>2</v>
      </c>
      <c r="R1580" s="2">
        <v>37456</v>
      </c>
    </row>
    <row r="1581" spans="1:18" x14ac:dyDescent="0.3">
      <c r="A1581" t="s">
        <v>7</v>
      </c>
      <c r="B1581">
        <v>18967497</v>
      </c>
      <c r="C1581" t="s">
        <v>8</v>
      </c>
      <c r="D1581" s="4">
        <v>45919</v>
      </c>
      <c r="E1581" s="11">
        <f t="shared" si="96"/>
        <v>2025</v>
      </c>
      <c r="F1581" s="11">
        <f t="shared" si="97"/>
        <v>9</v>
      </c>
      <c r="G1581" s="11" t="str">
        <f t="shared" si="98"/>
        <v>202509</v>
      </c>
      <c r="I1581" s="5">
        <v>9999</v>
      </c>
      <c r="J1581" s="5">
        <v>333.3</v>
      </c>
      <c r="K1581" s="5">
        <f t="shared" si="99"/>
        <v>0</v>
      </c>
      <c r="L1581" s="5">
        <v>0</v>
      </c>
      <c r="M1581" s="5">
        <v>0</v>
      </c>
      <c r="N1581" t="s">
        <v>9</v>
      </c>
      <c r="O1581" s="8">
        <v>53.506849315068493</v>
      </c>
      <c r="P1581" t="s">
        <v>35</v>
      </c>
      <c r="Q1581">
        <v>4</v>
      </c>
      <c r="R1581" s="2">
        <v>26389</v>
      </c>
    </row>
    <row r="1582" spans="1:18" x14ac:dyDescent="0.3">
      <c r="A1582" t="s">
        <v>7</v>
      </c>
      <c r="B1582">
        <v>18967544</v>
      </c>
      <c r="C1582" t="s">
        <v>10</v>
      </c>
      <c r="D1582" s="4">
        <v>45919</v>
      </c>
      <c r="E1582" s="11">
        <f t="shared" si="96"/>
        <v>2025</v>
      </c>
      <c r="F1582" s="11">
        <f t="shared" si="97"/>
        <v>9</v>
      </c>
      <c r="G1582" s="11" t="str">
        <f t="shared" si="98"/>
        <v>202509</v>
      </c>
      <c r="I1582" s="5">
        <v>9999</v>
      </c>
      <c r="J1582" s="5">
        <v>333.3</v>
      </c>
      <c r="K1582" s="5">
        <f t="shared" si="99"/>
        <v>0</v>
      </c>
      <c r="L1582" s="5">
        <v>0</v>
      </c>
      <c r="M1582" s="5">
        <v>0</v>
      </c>
      <c r="N1582" t="s">
        <v>12</v>
      </c>
      <c r="O1582" s="8">
        <v>26.282191780821918</v>
      </c>
      <c r="P1582" t="s">
        <v>34</v>
      </c>
      <c r="Q1582">
        <v>3</v>
      </c>
      <c r="R1582" s="2">
        <v>36326</v>
      </c>
    </row>
    <row r="1583" spans="1:18" x14ac:dyDescent="0.3">
      <c r="A1583" t="s">
        <v>7</v>
      </c>
      <c r="B1583">
        <v>18967593</v>
      </c>
      <c r="C1583" t="s">
        <v>8</v>
      </c>
      <c r="D1583" s="4">
        <v>45919</v>
      </c>
      <c r="E1583" s="11">
        <f t="shared" si="96"/>
        <v>2025</v>
      </c>
      <c r="F1583" s="11">
        <f t="shared" si="97"/>
        <v>9</v>
      </c>
      <c r="G1583" s="11" t="str">
        <f t="shared" si="98"/>
        <v>202509</v>
      </c>
      <c r="H1583" s="4">
        <v>45939</v>
      </c>
      <c r="I1583" s="5">
        <v>20</v>
      </c>
      <c r="J1583" s="5">
        <v>0.66666666666666663</v>
      </c>
      <c r="K1583" s="5">
        <f t="shared" si="99"/>
        <v>1</v>
      </c>
      <c r="L1583" s="5">
        <v>1</v>
      </c>
      <c r="M1583" s="5">
        <v>1</v>
      </c>
      <c r="N1583" t="s">
        <v>9</v>
      </c>
      <c r="O1583" s="8">
        <v>23.158904109589042</v>
      </c>
      <c r="P1583" t="s">
        <v>33</v>
      </c>
      <c r="Q1583">
        <v>2</v>
      </c>
      <c r="R1583" s="2">
        <v>37466</v>
      </c>
    </row>
    <row r="1584" spans="1:18" x14ac:dyDescent="0.3">
      <c r="A1584" t="s">
        <v>7</v>
      </c>
      <c r="B1584">
        <v>18967594</v>
      </c>
      <c r="C1584" t="s">
        <v>10</v>
      </c>
      <c r="D1584" s="4">
        <v>45919</v>
      </c>
      <c r="E1584" s="11">
        <f t="shared" si="96"/>
        <v>2025</v>
      </c>
      <c r="F1584" s="11">
        <f t="shared" si="97"/>
        <v>9</v>
      </c>
      <c r="G1584" s="11" t="str">
        <f t="shared" si="98"/>
        <v>202509</v>
      </c>
      <c r="H1584" s="4">
        <v>46096</v>
      </c>
      <c r="I1584" s="5">
        <v>177</v>
      </c>
      <c r="J1584" s="5">
        <v>5.9</v>
      </c>
      <c r="K1584" s="5">
        <f t="shared" si="99"/>
        <v>0</v>
      </c>
      <c r="L1584" s="5">
        <v>0</v>
      </c>
      <c r="M1584" s="5">
        <v>1</v>
      </c>
      <c r="N1584" t="s">
        <v>9</v>
      </c>
      <c r="O1584" s="8">
        <v>18.731506849315068</v>
      </c>
      <c r="P1584" t="s">
        <v>32</v>
      </c>
      <c r="Q1584">
        <v>1</v>
      </c>
      <c r="R1584" s="2">
        <v>39082</v>
      </c>
    </row>
    <row r="1585" spans="1:18" x14ac:dyDescent="0.3">
      <c r="A1585" t="s">
        <v>7</v>
      </c>
      <c r="B1585">
        <v>18967595</v>
      </c>
      <c r="C1585" t="s">
        <v>8</v>
      </c>
      <c r="D1585" s="4">
        <v>45919</v>
      </c>
      <c r="E1585" s="11">
        <f t="shared" si="96"/>
        <v>2025</v>
      </c>
      <c r="F1585" s="11">
        <f t="shared" si="97"/>
        <v>9</v>
      </c>
      <c r="G1585" s="11" t="str">
        <f t="shared" si="98"/>
        <v>202509</v>
      </c>
      <c r="H1585" s="4">
        <v>46057</v>
      </c>
      <c r="I1585" s="5">
        <v>138</v>
      </c>
      <c r="J1585" s="5">
        <v>4.5999999999999996</v>
      </c>
      <c r="K1585" s="5">
        <f t="shared" si="99"/>
        <v>0</v>
      </c>
      <c r="L1585" s="5">
        <v>0</v>
      </c>
      <c r="M1585" s="5">
        <v>1</v>
      </c>
      <c r="N1585" t="s">
        <v>9</v>
      </c>
      <c r="O1585" s="8">
        <v>22.586301369863012</v>
      </c>
      <c r="P1585" t="s">
        <v>33</v>
      </c>
      <c r="Q1585">
        <v>2</v>
      </c>
      <c r="R1585" s="2">
        <v>37675</v>
      </c>
    </row>
    <row r="1586" spans="1:18" x14ac:dyDescent="0.3">
      <c r="A1586" t="s">
        <v>7</v>
      </c>
      <c r="B1586">
        <v>18967658</v>
      </c>
      <c r="C1586" t="s">
        <v>8</v>
      </c>
      <c r="D1586" s="4">
        <v>45919</v>
      </c>
      <c r="E1586" s="11">
        <f t="shared" si="96"/>
        <v>2025</v>
      </c>
      <c r="F1586" s="11">
        <f t="shared" si="97"/>
        <v>9</v>
      </c>
      <c r="G1586" s="11" t="str">
        <f t="shared" si="98"/>
        <v>202509</v>
      </c>
      <c r="I1586" s="5">
        <v>9999</v>
      </c>
      <c r="J1586" s="5">
        <v>333.3</v>
      </c>
      <c r="K1586" s="5">
        <f t="shared" si="99"/>
        <v>0</v>
      </c>
      <c r="L1586" s="5">
        <v>0</v>
      </c>
      <c r="M1586" s="5">
        <v>0</v>
      </c>
      <c r="N1586" t="s">
        <v>12</v>
      </c>
      <c r="O1586" s="8">
        <v>24.052054794520547</v>
      </c>
      <c r="P1586" t="s">
        <v>33</v>
      </c>
      <c r="Q1586">
        <v>2</v>
      </c>
      <c r="R1586" s="2">
        <v>37140</v>
      </c>
    </row>
    <row r="1587" spans="1:18" x14ac:dyDescent="0.3">
      <c r="A1587" t="s">
        <v>7</v>
      </c>
      <c r="B1587">
        <v>18967659</v>
      </c>
      <c r="C1587" t="s">
        <v>8</v>
      </c>
      <c r="D1587" s="4">
        <v>45919</v>
      </c>
      <c r="E1587" s="11">
        <f t="shared" si="96"/>
        <v>2025</v>
      </c>
      <c r="F1587" s="11">
        <f t="shared" si="97"/>
        <v>9</v>
      </c>
      <c r="G1587" s="11" t="str">
        <f t="shared" si="98"/>
        <v>202509</v>
      </c>
      <c r="I1587" s="5">
        <v>9999</v>
      </c>
      <c r="J1587" s="5">
        <v>333.3</v>
      </c>
      <c r="K1587" s="5">
        <f t="shared" si="99"/>
        <v>0</v>
      </c>
      <c r="L1587" s="5">
        <v>0</v>
      </c>
      <c r="M1587" s="5">
        <v>0</v>
      </c>
      <c r="N1587" t="s">
        <v>9</v>
      </c>
      <c r="O1587" s="8">
        <v>32.271232876712325</v>
      </c>
      <c r="P1587" t="s">
        <v>35</v>
      </c>
      <c r="Q1587">
        <v>4</v>
      </c>
      <c r="R1587" s="2">
        <v>34140</v>
      </c>
    </row>
    <row r="1588" spans="1:18" x14ac:dyDescent="0.3">
      <c r="A1588" t="s">
        <v>7</v>
      </c>
      <c r="B1588">
        <v>18967660</v>
      </c>
      <c r="C1588" t="s">
        <v>8</v>
      </c>
      <c r="D1588" s="4">
        <v>45919</v>
      </c>
      <c r="E1588" s="11">
        <f t="shared" si="96"/>
        <v>2025</v>
      </c>
      <c r="F1588" s="11">
        <f t="shared" si="97"/>
        <v>9</v>
      </c>
      <c r="G1588" s="11" t="str">
        <f t="shared" si="98"/>
        <v>202509</v>
      </c>
      <c r="H1588" s="4">
        <v>46142</v>
      </c>
      <c r="I1588" s="5">
        <v>223</v>
      </c>
      <c r="J1588" s="5">
        <v>7.4333333333333336</v>
      </c>
      <c r="K1588" s="5">
        <f t="shared" si="99"/>
        <v>0</v>
      </c>
      <c r="L1588" s="5">
        <v>0</v>
      </c>
      <c r="M1588" s="5">
        <v>0</v>
      </c>
      <c r="N1588" t="s">
        <v>9</v>
      </c>
      <c r="O1588" s="8">
        <v>19.317808219178083</v>
      </c>
      <c r="P1588" t="s">
        <v>32</v>
      </c>
      <c r="Q1588">
        <v>1</v>
      </c>
      <c r="R1588" s="2">
        <v>38868</v>
      </c>
    </row>
    <row r="1589" spans="1:18" x14ac:dyDescent="0.3">
      <c r="A1589" t="s">
        <v>7</v>
      </c>
      <c r="B1589">
        <v>18967666</v>
      </c>
      <c r="C1589" t="s">
        <v>8</v>
      </c>
      <c r="D1589" s="4">
        <v>45919</v>
      </c>
      <c r="E1589" s="11">
        <f t="shared" si="96"/>
        <v>2025</v>
      </c>
      <c r="F1589" s="11">
        <f t="shared" si="97"/>
        <v>9</v>
      </c>
      <c r="G1589" s="11" t="str">
        <f t="shared" si="98"/>
        <v>202509</v>
      </c>
      <c r="I1589" s="5">
        <v>9999</v>
      </c>
      <c r="J1589" s="5">
        <v>333.3</v>
      </c>
      <c r="K1589" s="5">
        <f t="shared" si="99"/>
        <v>0</v>
      </c>
      <c r="L1589" s="5">
        <v>0</v>
      </c>
      <c r="M1589" s="5">
        <v>0</v>
      </c>
      <c r="N1589" t="s">
        <v>9</v>
      </c>
      <c r="O1589" s="8">
        <v>21.279452054794522</v>
      </c>
      <c r="P1589" t="s">
        <v>33</v>
      </c>
      <c r="Q1589">
        <v>2</v>
      </c>
      <c r="R1589" s="2">
        <v>38152</v>
      </c>
    </row>
    <row r="1590" spans="1:18" x14ac:dyDescent="0.3">
      <c r="A1590" t="s">
        <v>7</v>
      </c>
      <c r="B1590">
        <v>18967715</v>
      </c>
      <c r="C1590" t="s">
        <v>10</v>
      </c>
      <c r="D1590" s="4">
        <v>45922</v>
      </c>
      <c r="E1590" s="11">
        <f t="shared" si="96"/>
        <v>2025</v>
      </c>
      <c r="F1590" s="11">
        <f t="shared" si="97"/>
        <v>9</v>
      </c>
      <c r="G1590" s="11" t="str">
        <f t="shared" si="98"/>
        <v>202509</v>
      </c>
      <c r="H1590" s="4">
        <v>46001</v>
      </c>
      <c r="I1590" s="5">
        <v>79</v>
      </c>
      <c r="J1590" s="5">
        <v>2.6333333333333333</v>
      </c>
      <c r="K1590" s="5">
        <f t="shared" si="99"/>
        <v>0</v>
      </c>
      <c r="L1590" s="5">
        <v>1</v>
      </c>
      <c r="M1590" s="5">
        <v>1</v>
      </c>
      <c r="N1590" t="s">
        <v>12</v>
      </c>
      <c r="O1590" s="8">
        <v>21.863013698630137</v>
      </c>
      <c r="P1590" t="s">
        <v>33</v>
      </c>
      <c r="Q1590">
        <v>2</v>
      </c>
      <c r="R1590" s="2">
        <v>37942</v>
      </c>
    </row>
    <row r="1591" spans="1:18" x14ac:dyDescent="0.3">
      <c r="A1591" t="s">
        <v>7</v>
      </c>
      <c r="B1591">
        <v>18967721</v>
      </c>
      <c r="C1591" t="s">
        <v>8</v>
      </c>
      <c r="D1591" s="4">
        <v>45922</v>
      </c>
      <c r="E1591" s="11">
        <f t="shared" si="96"/>
        <v>2025</v>
      </c>
      <c r="F1591" s="11">
        <f t="shared" si="97"/>
        <v>9</v>
      </c>
      <c r="G1591" s="11" t="str">
        <f t="shared" si="98"/>
        <v>202509</v>
      </c>
      <c r="H1591" s="4">
        <v>46027</v>
      </c>
      <c r="I1591" s="5">
        <v>105</v>
      </c>
      <c r="J1591" s="5">
        <v>3.5</v>
      </c>
      <c r="K1591" s="5">
        <f t="shared" si="99"/>
        <v>0</v>
      </c>
      <c r="L1591" s="5">
        <v>0</v>
      </c>
      <c r="M1591" s="5">
        <v>1</v>
      </c>
      <c r="N1591" t="s">
        <v>12</v>
      </c>
      <c r="O1591" s="8">
        <v>19.772602739726029</v>
      </c>
      <c r="P1591" t="s">
        <v>32</v>
      </c>
      <c r="Q1591">
        <v>1</v>
      </c>
      <c r="R1591" s="2">
        <v>38705</v>
      </c>
    </row>
    <row r="1592" spans="1:18" x14ac:dyDescent="0.3">
      <c r="A1592" t="s">
        <v>7</v>
      </c>
      <c r="B1592">
        <v>18967818</v>
      </c>
      <c r="C1592" t="s">
        <v>8</v>
      </c>
      <c r="D1592" s="4">
        <v>45922</v>
      </c>
      <c r="E1592" s="11">
        <f t="shared" si="96"/>
        <v>2025</v>
      </c>
      <c r="F1592" s="11">
        <f t="shared" si="97"/>
        <v>9</v>
      </c>
      <c r="G1592" s="11" t="str">
        <f t="shared" si="98"/>
        <v>202509</v>
      </c>
      <c r="I1592" s="5">
        <v>9999</v>
      </c>
      <c r="J1592" s="5">
        <v>333.3</v>
      </c>
      <c r="K1592" s="5">
        <f t="shared" si="99"/>
        <v>0</v>
      </c>
      <c r="L1592" s="5">
        <v>0</v>
      </c>
      <c r="M1592" s="5">
        <v>0</v>
      </c>
      <c r="N1592" t="s">
        <v>12</v>
      </c>
      <c r="O1592" s="8">
        <v>33.156164383561645</v>
      </c>
      <c r="P1592" t="s">
        <v>35</v>
      </c>
      <c r="Q1592">
        <v>4</v>
      </c>
      <c r="R1592" s="2">
        <v>33820</v>
      </c>
    </row>
    <row r="1593" spans="1:18" x14ac:dyDescent="0.3">
      <c r="A1593" t="s">
        <v>7</v>
      </c>
      <c r="B1593">
        <v>18967844</v>
      </c>
      <c r="C1593" t="s">
        <v>8</v>
      </c>
      <c r="D1593" s="4">
        <v>45922</v>
      </c>
      <c r="E1593" s="11">
        <f t="shared" si="96"/>
        <v>2025</v>
      </c>
      <c r="F1593" s="11">
        <f t="shared" si="97"/>
        <v>9</v>
      </c>
      <c r="G1593" s="11" t="str">
        <f t="shared" si="98"/>
        <v>202509</v>
      </c>
      <c r="I1593" s="5">
        <v>9999</v>
      </c>
      <c r="J1593" s="5">
        <v>333.3</v>
      </c>
      <c r="K1593" s="5">
        <f t="shared" si="99"/>
        <v>0</v>
      </c>
      <c r="L1593" s="5">
        <v>0</v>
      </c>
      <c r="M1593" s="5">
        <v>0</v>
      </c>
      <c r="N1593" t="s">
        <v>12</v>
      </c>
      <c r="O1593" s="8">
        <v>32.62191780821918</v>
      </c>
      <c r="P1593" t="s">
        <v>35</v>
      </c>
      <c r="Q1593">
        <v>4</v>
      </c>
      <c r="R1593" s="2">
        <v>34015</v>
      </c>
    </row>
    <row r="1594" spans="1:18" x14ac:dyDescent="0.3">
      <c r="A1594" t="s">
        <v>7</v>
      </c>
      <c r="B1594">
        <v>18967905</v>
      </c>
      <c r="C1594" t="s">
        <v>8</v>
      </c>
      <c r="D1594" s="4">
        <v>45922</v>
      </c>
      <c r="E1594" s="11">
        <f t="shared" si="96"/>
        <v>2025</v>
      </c>
      <c r="F1594" s="11">
        <f t="shared" si="97"/>
        <v>9</v>
      </c>
      <c r="G1594" s="11" t="str">
        <f t="shared" si="98"/>
        <v>202509</v>
      </c>
      <c r="H1594" s="4">
        <v>45975</v>
      </c>
      <c r="I1594" s="5">
        <v>53</v>
      </c>
      <c r="J1594" s="5">
        <v>1.7666666666666666</v>
      </c>
      <c r="K1594" s="5">
        <f t="shared" si="99"/>
        <v>0</v>
      </c>
      <c r="L1594" s="5">
        <v>1</v>
      </c>
      <c r="M1594" s="5">
        <v>1</v>
      </c>
      <c r="N1594" t="s">
        <v>12</v>
      </c>
      <c r="O1594" s="8">
        <v>19.054794520547944</v>
      </c>
      <c r="P1594" t="s">
        <v>32</v>
      </c>
      <c r="Q1594">
        <v>1</v>
      </c>
      <c r="R1594" s="2">
        <v>38967</v>
      </c>
    </row>
    <row r="1595" spans="1:18" x14ac:dyDescent="0.3">
      <c r="A1595" t="s">
        <v>7</v>
      </c>
      <c r="B1595">
        <v>18967939</v>
      </c>
      <c r="C1595" t="s">
        <v>8</v>
      </c>
      <c r="D1595" s="4">
        <v>45922</v>
      </c>
      <c r="E1595" s="11">
        <f t="shared" si="96"/>
        <v>2025</v>
      </c>
      <c r="F1595" s="11">
        <f t="shared" si="97"/>
        <v>9</v>
      </c>
      <c r="G1595" s="11" t="str">
        <f t="shared" si="98"/>
        <v>202509</v>
      </c>
      <c r="H1595" s="4">
        <v>46180</v>
      </c>
      <c r="I1595" s="5">
        <v>258</v>
      </c>
      <c r="J1595" s="5">
        <v>8.6</v>
      </c>
      <c r="K1595" s="5">
        <f t="shared" si="99"/>
        <v>0</v>
      </c>
      <c r="L1595" s="5">
        <v>0</v>
      </c>
      <c r="M1595" s="5">
        <v>0</v>
      </c>
      <c r="N1595" t="s">
        <v>9</v>
      </c>
      <c r="O1595" s="8">
        <v>22.87945205479452</v>
      </c>
      <c r="P1595" t="s">
        <v>33</v>
      </c>
      <c r="Q1595">
        <v>2</v>
      </c>
      <c r="R1595" s="2">
        <v>37571</v>
      </c>
    </row>
    <row r="1596" spans="1:18" x14ac:dyDescent="0.3">
      <c r="A1596" t="s">
        <v>7</v>
      </c>
      <c r="B1596">
        <v>18968136</v>
      </c>
      <c r="C1596" t="s">
        <v>8</v>
      </c>
      <c r="D1596" s="4">
        <v>45922</v>
      </c>
      <c r="E1596" s="11">
        <f t="shared" si="96"/>
        <v>2025</v>
      </c>
      <c r="F1596" s="11">
        <f t="shared" si="97"/>
        <v>9</v>
      </c>
      <c r="G1596" s="11" t="str">
        <f t="shared" si="98"/>
        <v>202509</v>
      </c>
      <c r="I1596" s="5">
        <v>9999</v>
      </c>
      <c r="J1596" s="5">
        <v>333.3</v>
      </c>
      <c r="K1596" s="5">
        <f t="shared" si="99"/>
        <v>0</v>
      </c>
      <c r="L1596" s="5">
        <v>0</v>
      </c>
      <c r="M1596" s="5">
        <v>0</v>
      </c>
      <c r="N1596" t="s">
        <v>9</v>
      </c>
      <c r="O1596" s="8">
        <v>20.391780821917809</v>
      </c>
      <c r="P1596" t="s">
        <v>32</v>
      </c>
      <c r="Q1596">
        <v>1</v>
      </c>
      <c r="R1596" s="2">
        <v>38479</v>
      </c>
    </row>
    <row r="1597" spans="1:18" x14ac:dyDescent="0.3">
      <c r="A1597" t="s">
        <v>7</v>
      </c>
      <c r="B1597">
        <v>18968377</v>
      </c>
      <c r="C1597" t="s">
        <v>10</v>
      </c>
      <c r="D1597" s="4">
        <v>45923</v>
      </c>
      <c r="E1597" s="11">
        <f t="shared" si="96"/>
        <v>2025</v>
      </c>
      <c r="F1597" s="11">
        <f t="shared" si="97"/>
        <v>9</v>
      </c>
      <c r="G1597" s="11" t="str">
        <f t="shared" si="98"/>
        <v>202509</v>
      </c>
      <c r="H1597" s="4">
        <v>45943</v>
      </c>
      <c r="I1597" s="5">
        <v>20</v>
      </c>
      <c r="J1597" s="5">
        <v>0.66666666666666663</v>
      </c>
      <c r="K1597" s="5">
        <f t="shared" si="99"/>
        <v>1</v>
      </c>
      <c r="L1597" s="5">
        <v>1</v>
      </c>
      <c r="M1597" s="5">
        <v>1</v>
      </c>
      <c r="N1597" t="s">
        <v>12</v>
      </c>
      <c r="O1597" s="8">
        <v>21.676712328767124</v>
      </c>
      <c r="P1597" t="s">
        <v>33</v>
      </c>
      <c r="Q1597">
        <v>2</v>
      </c>
      <c r="R1597" s="2">
        <v>38011</v>
      </c>
    </row>
    <row r="1598" spans="1:18" x14ac:dyDescent="0.3">
      <c r="A1598" t="s">
        <v>7</v>
      </c>
      <c r="B1598">
        <v>18968385</v>
      </c>
      <c r="C1598" t="s">
        <v>8</v>
      </c>
      <c r="D1598" s="4">
        <v>45923</v>
      </c>
      <c r="E1598" s="11">
        <f t="shared" si="96"/>
        <v>2025</v>
      </c>
      <c r="F1598" s="11">
        <f t="shared" si="97"/>
        <v>9</v>
      </c>
      <c r="G1598" s="11" t="str">
        <f t="shared" si="98"/>
        <v>202509</v>
      </c>
      <c r="H1598" s="4">
        <v>46081</v>
      </c>
      <c r="I1598" s="5">
        <v>158</v>
      </c>
      <c r="J1598" s="5">
        <v>5.2666666666666666</v>
      </c>
      <c r="K1598" s="5">
        <f t="shared" si="99"/>
        <v>0</v>
      </c>
      <c r="L1598" s="5">
        <v>0</v>
      </c>
      <c r="M1598" s="5">
        <v>1</v>
      </c>
      <c r="N1598" t="s">
        <v>9</v>
      </c>
      <c r="O1598" s="8">
        <v>23.682191780821917</v>
      </c>
      <c r="P1598" t="s">
        <v>33</v>
      </c>
      <c r="Q1598">
        <v>2</v>
      </c>
      <c r="R1598" s="2">
        <v>37279</v>
      </c>
    </row>
    <row r="1599" spans="1:18" x14ac:dyDescent="0.3">
      <c r="A1599" t="s">
        <v>7</v>
      </c>
      <c r="B1599">
        <v>18968397</v>
      </c>
      <c r="C1599" t="s">
        <v>8</v>
      </c>
      <c r="D1599" s="4">
        <v>45923</v>
      </c>
      <c r="E1599" s="11">
        <f t="shared" si="96"/>
        <v>2025</v>
      </c>
      <c r="F1599" s="11">
        <f t="shared" si="97"/>
        <v>9</v>
      </c>
      <c r="G1599" s="11" t="str">
        <f t="shared" si="98"/>
        <v>202509</v>
      </c>
      <c r="I1599" s="5">
        <v>9999</v>
      </c>
      <c r="J1599" s="5">
        <v>333.3</v>
      </c>
      <c r="K1599" s="5">
        <f t="shared" si="99"/>
        <v>0</v>
      </c>
      <c r="L1599" s="5">
        <v>0</v>
      </c>
      <c r="M1599" s="5">
        <v>0</v>
      </c>
      <c r="N1599" t="s">
        <v>9</v>
      </c>
      <c r="O1599" s="8">
        <v>26.265753424657536</v>
      </c>
      <c r="P1599" t="s">
        <v>34</v>
      </c>
      <c r="Q1599">
        <v>3</v>
      </c>
      <c r="R1599" s="2">
        <v>36336</v>
      </c>
    </row>
    <row r="1600" spans="1:18" x14ac:dyDescent="0.3">
      <c r="A1600" t="s">
        <v>7</v>
      </c>
      <c r="B1600">
        <v>18968398</v>
      </c>
      <c r="C1600" t="s">
        <v>10</v>
      </c>
      <c r="D1600" s="4">
        <v>45923</v>
      </c>
      <c r="E1600" s="11">
        <f t="shared" si="96"/>
        <v>2025</v>
      </c>
      <c r="F1600" s="11">
        <f t="shared" si="97"/>
        <v>9</v>
      </c>
      <c r="G1600" s="11" t="str">
        <f t="shared" si="98"/>
        <v>202509</v>
      </c>
      <c r="H1600" s="4">
        <v>45976</v>
      </c>
      <c r="I1600" s="5">
        <v>53</v>
      </c>
      <c r="J1600" s="5">
        <v>1.7666666666666666</v>
      </c>
      <c r="K1600" s="5">
        <f t="shared" si="99"/>
        <v>0</v>
      </c>
      <c r="L1600" s="5">
        <v>1</v>
      </c>
      <c r="M1600" s="5">
        <v>1</v>
      </c>
      <c r="N1600" t="s">
        <v>9</v>
      </c>
      <c r="O1600" s="8">
        <v>21.772602739726029</v>
      </c>
      <c r="P1600" t="s">
        <v>33</v>
      </c>
      <c r="Q1600">
        <v>2</v>
      </c>
      <c r="R1600" s="2">
        <v>37976</v>
      </c>
    </row>
    <row r="1601" spans="1:18" x14ac:dyDescent="0.3">
      <c r="A1601" t="s">
        <v>7</v>
      </c>
      <c r="B1601">
        <v>18968399</v>
      </c>
      <c r="C1601" t="s">
        <v>8</v>
      </c>
      <c r="D1601" s="4">
        <v>45923</v>
      </c>
      <c r="E1601" s="11">
        <f t="shared" si="96"/>
        <v>2025</v>
      </c>
      <c r="F1601" s="11">
        <f t="shared" si="97"/>
        <v>9</v>
      </c>
      <c r="G1601" s="11" t="str">
        <f t="shared" si="98"/>
        <v>202509</v>
      </c>
      <c r="H1601" s="4">
        <v>46097</v>
      </c>
      <c r="I1601" s="5">
        <v>174</v>
      </c>
      <c r="J1601" s="5">
        <v>5.8</v>
      </c>
      <c r="K1601" s="5">
        <f t="shared" si="99"/>
        <v>0</v>
      </c>
      <c r="L1601" s="5">
        <v>0</v>
      </c>
      <c r="M1601" s="5">
        <v>1</v>
      </c>
      <c r="N1601" t="s">
        <v>9</v>
      </c>
      <c r="O1601" s="8">
        <v>42.213698630136989</v>
      </c>
      <c r="P1601" t="s">
        <v>35</v>
      </c>
      <c r="Q1601">
        <v>4</v>
      </c>
      <c r="R1601" s="2">
        <v>30515</v>
      </c>
    </row>
    <row r="1602" spans="1:18" x14ac:dyDescent="0.3">
      <c r="A1602" t="s">
        <v>7</v>
      </c>
      <c r="B1602">
        <v>18968401</v>
      </c>
      <c r="C1602" t="s">
        <v>8</v>
      </c>
      <c r="D1602" s="4">
        <v>45923</v>
      </c>
      <c r="E1602" s="11">
        <f t="shared" si="96"/>
        <v>2025</v>
      </c>
      <c r="F1602" s="11">
        <f t="shared" si="97"/>
        <v>9</v>
      </c>
      <c r="G1602" s="11" t="str">
        <f t="shared" si="98"/>
        <v>202509</v>
      </c>
      <c r="I1602" s="5">
        <v>9999</v>
      </c>
      <c r="J1602" s="5">
        <v>333.3</v>
      </c>
      <c r="K1602" s="5">
        <f t="shared" si="99"/>
        <v>0</v>
      </c>
      <c r="L1602" s="5">
        <v>0</v>
      </c>
      <c r="M1602" s="5">
        <v>0</v>
      </c>
      <c r="N1602" t="s">
        <v>9</v>
      </c>
      <c r="O1602" s="8">
        <v>18.079452054794519</v>
      </c>
      <c r="P1602" t="s">
        <v>32</v>
      </c>
      <c r="Q1602">
        <v>1</v>
      </c>
      <c r="R1602" s="2">
        <v>39324</v>
      </c>
    </row>
    <row r="1603" spans="1:18" x14ac:dyDescent="0.3">
      <c r="A1603" t="s">
        <v>7</v>
      </c>
      <c r="B1603">
        <v>18968408</v>
      </c>
      <c r="C1603" t="s">
        <v>8</v>
      </c>
      <c r="D1603" s="4">
        <v>45923</v>
      </c>
      <c r="E1603" s="11">
        <f t="shared" ref="E1603:E1666" si="100">+YEAR(D1603)</f>
        <v>2025</v>
      </c>
      <c r="F1603" s="11">
        <f t="shared" ref="F1603:F1666" si="101">+MONTH(D1603)</f>
        <v>9</v>
      </c>
      <c r="G1603" s="11" t="str">
        <f t="shared" ref="G1603:G1666" si="102">+TEXT(D1603, "yyymm")</f>
        <v>202509</v>
      </c>
      <c r="H1603" s="4">
        <v>45961</v>
      </c>
      <c r="I1603" s="5">
        <v>38</v>
      </c>
      <c r="J1603" s="5">
        <v>1.2666666666666666</v>
      </c>
      <c r="K1603" s="5">
        <f t="shared" ref="K1603:K1666" si="103">IF(J1603&lt;=1,1,0)</f>
        <v>0</v>
      </c>
      <c r="L1603" s="5">
        <v>1</v>
      </c>
      <c r="M1603" s="5">
        <v>1</v>
      </c>
      <c r="N1603" t="s">
        <v>9</v>
      </c>
      <c r="O1603" s="8">
        <v>20.791780821917808</v>
      </c>
      <c r="P1603" t="s">
        <v>32</v>
      </c>
      <c r="Q1603">
        <v>1</v>
      </c>
      <c r="R1603" s="2">
        <v>38334</v>
      </c>
    </row>
    <row r="1604" spans="1:18" x14ac:dyDescent="0.3">
      <c r="A1604" t="s">
        <v>7</v>
      </c>
      <c r="B1604">
        <v>18968485</v>
      </c>
      <c r="C1604" t="s">
        <v>8</v>
      </c>
      <c r="D1604" s="4">
        <v>46092</v>
      </c>
      <c r="E1604" s="11">
        <f t="shared" si="100"/>
        <v>2026</v>
      </c>
      <c r="F1604" s="11">
        <f t="shared" si="101"/>
        <v>3</v>
      </c>
      <c r="G1604" s="11" t="str">
        <f t="shared" si="102"/>
        <v>202603</v>
      </c>
      <c r="I1604" s="5">
        <v>9999</v>
      </c>
      <c r="J1604" s="5">
        <v>333.3</v>
      </c>
      <c r="K1604" s="5">
        <f t="shared" si="103"/>
        <v>0</v>
      </c>
      <c r="L1604" s="5">
        <v>0</v>
      </c>
      <c r="M1604" s="5">
        <v>0</v>
      </c>
      <c r="N1604" t="s">
        <v>12</v>
      </c>
      <c r="O1604" s="8">
        <v>22.241095890410961</v>
      </c>
      <c r="P1604" t="s">
        <v>33</v>
      </c>
      <c r="Q1604">
        <v>2</v>
      </c>
      <c r="R1604" s="2">
        <v>37974</v>
      </c>
    </row>
    <row r="1605" spans="1:18" x14ac:dyDescent="0.3">
      <c r="A1605" t="s">
        <v>7</v>
      </c>
      <c r="B1605">
        <v>18968502</v>
      </c>
      <c r="C1605" t="s">
        <v>10</v>
      </c>
      <c r="D1605" s="4">
        <v>45923</v>
      </c>
      <c r="E1605" s="11">
        <f t="shared" si="100"/>
        <v>2025</v>
      </c>
      <c r="F1605" s="11">
        <f t="shared" si="101"/>
        <v>9</v>
      </c>
      <c r="G1605" s="11" t="str">
        <f t="shared" si="102"/>
        <v>202509</v>
      </c>
      <c r="I1605" s="5">
        <v>9999</v>
      </c>
      <c r="J1605" s="5">
        <v>333.3</v>
      </c>
      <c r="K1605" s="5">
        <f t="shared" si="103"/>
        <v>0</v>
      </c>
      <c r="L1605" s="5">
        <v>0</v>
      </c>
      <c r="M1605" s="5">
        <v>0</v>
      </c>
      <c r="N1605" t="s">
        <v>9</v>
      </c>
      <c r="O1605" s="8">
        <v>21.065753424657533</v>
      </c>
      <c r="P1605" t="s">
        <v>33</v>
      </c>
      <c r="Q1605">
        <v>2</v>
      </c>
      <c r="R1605" s="2">
        <v>38234</v>
      </c>
    </row>
    <row r="1606" spans="1:18" x14ac:dyDescent="0.3">
      <c r="A1606" t="s">
        <v>7</v>
      </c>
      <c r="B1606">
        <v>18968548</v>
      </c>
      <c r="C1606" t="s">
        <v>8</v>
      </c>
      <c r="D1606" s="4">
        <v>45923</v>
      </c>
      <c r="E1606" s="11">
        <f t="shared" si="100"/>
        <v>2025</v>
      </c>
      <c r="F1606" s="11">
        <f t="shared" si="101"/>
        <v>9</v>
      </c>
      <c r="G1606" s="11" t="str">
        <f t="shared" si="102"/>
        <v>202509</v>
      </c>
      <c r="H1606" s="4">
        <v>45961</v>
      </c>
      <c r="I1606" s="5">
        <v>38</v>
      </c>
      <c r="J1606" s="5">
        <v>1.2666666666666666</v>
      </c>
      <c r="K1606" s="5">
        <f t="shared" si="103"/>
        <v>0</v>
      </c>
      <c r="L1606" s="5">
        <v>1</v>
      </c>
      <c r="M1606" s="5">
        <v>1</v>
      </c>
      <c r="N1606" t="s">
        <v>12</v>
      </c>
      <c r="O1606" s="8">
        <v>36.805479452054797</v>
      </c>
      <c r="P1606" t="s">
        <v>35</v>
      </c>
      <c r="Q1606">
        <v>4</v>
      </c>
      <c r="R1606" s="2">
        <v>32489</v>
      </c>
    </row>
    <row r="1607" spans="1:18" x14ac:dyDescent="0.3">
      <c r="A1607" t="s">
        <v>7</v>
      </c>
      <c r="B1607">
        <v>18968579</v>
      </c>
      <c r="C1607" t="s">
        <v>8</v>
      </c>
      <c r="D1607" s="4">
        <v>45923</v>
      </c>
      <c r="E1607" s="11">
        <f t="shared" si="100"/>
        <v>2025</v>
      </c>
      <c r="F1607" s="11">
        <f t="shared" si="101"/>
        <v>9</v>
      </c>
      <c r="G1607" s="11" t="str">
        <f t="shared" si="102"/>
        <v>202509</v>
      </c>
      <c r="H1607" s="4">
        <v>46023</v>
      </c>
      <c r="I1607" s="5">
        <v>100</v>
      </c>
      <c r="J1607" s="5">
        <v>3.3333333333333335</v>
      </c>
      <c r="K1607" s="5">
        <f t="shared" si="103"/>
        <v>0</v>
      </c>
      <c r="L1607" s="5">
        <v>0</v>
      </c>
      <c r="M1607" s="5">
        <v>1</v>
      </c>
      <c r="N1607" t="s">
        <v>9</v>
      </c>
      <c r="O1607" s="8">
        <v>22.024657534246575</v>
      </c>
      <c r="P1607" t="s">
        <v>33</v>
      </c>
      <c r="Q1607">
        <v>2</v>
      </c>
      <c r="R1607" s="2">
        <v>37884</v>
      </c>
    </row>
    <row r="1608" spans="1:18" x14ac:dyDescent="0.3">
      <c r="A1608" t="s">
        <v>7</v>
      </c>
      <c r="B1608">
        <v>18968675</v>
      </c>
      <c r="C1608" t="s">
        <v>8</v>
      </c>
      <c r="D1608" s="4">
        <v>45924</v>
      </c>
      <c r="E1608" s="11">
        <f t="shared" si="100"/>
        <v>2025</v>
      </c>
      <c r="F1608" s="11">
        <f t="shared" si="101"/>
        <v>9</v>
      </c>
      <c r="G1608" s="11" t="str">
        <f t="shared" si="102"/>
        <v>202509</v>
      </c>
      <c r="H1608" s="4">
        <v>46023</v>
      </c>
      <c r="I1608" s="5">
        <v>99</v>
      </c>
      <c r="J1608" s="5">
        <v>3.3</v>
      </c>
      <c r="K1608" s="5">
        <f t="shared" si="103"/>
        <v>0</v>
      </c>
      <c r="L1608" s="5">
        <v>0</v>
      </c>
      <c r="M1608" s="5">
        <v>1</v>
      </c>
      <c r="N1608" t="s">
        <v>12</v>
      </c>
      <c r="O1608" s="8">
        <v>20.895890410958906</v>
      </c>
      <c r="P1608" t="s">
        <v>32</v>
      </c>
      <c r="Q1608">
        <v>1</v>
      </c>
      <c r="R1608" s="2">
        <v>38297</v>
      </c>
    </row>
    <row r="1609" spans="1:18" x14ac:dyDescent="0.3">
      <c r="A1609" t="s">
        <v>7</v>
      </c>
      <c r="B1609">
        <v>18968726</v>
      </c>
      <c r="C1609" t="s">
        <v>10</v>
      </c>
      <c r="D1609" s="4">
        <v>45924</v>
      </c>
      <c r="E1609" s="11">
        <f t="shared" si="100"/>
        <v>2025</v>
      </c>
      <c r="F1609" s="11">
        <f t="shared" si="101"/>
        <v>9</v>
      </c>
      <c r="G1609" s="11" t="str">
        <f t="shared" si="102"/>
        <v>202509</v>
      </c>
      <c r="H1609" s="4">
        <v>45934</v>
      </c>
      <c r="I1609" s="5">
        <v>10</v>
      </c>
      <c r="J1609" s="5">
        <v>0.33333333333333331</v>
      </c>
      <c r="K1609" s="5">
        <f t="shared" si="103"/>
        <v>1</v>
      </c>
      <c r="L1609" s="5">
        <v>1</v>
      </c>
      <c r="M1609" s="5">
        <v>1</v>
      </c>
      <c r="N1609" t="s">
        <v>12</v>
      </c>
      <c r="O1609" s="8">
        <v>29.80821917808219</v>
      </c>
      <c r="P1609" t="s">
        <v>34</v>
      </c>
      <c r="Q1609">
        <v>3</v>
      </c>
      <c r="R1609" s="2">
        <v>35044</v>
      </c>
    </row>
    <row r="1610" spans="1:18" x14ac:dyDescent="0.3">
      <c r="A1610" t="s">
        <v>7</v>
      </c>
      <c r="B1610">
        <v>18969190</v>
      </c>
      <c r="C1610" t="s">
        <v>10</v>
      </c>
      <c r="D1610" s="4">
        <v>45925</v>
      </c>
      <c r="E1610" s="11">
        <f t="shared" si="100"/>
        <v>2025</v>
      </c>
      <c r="F1610" s="11">
        <f t="shared" si="101"/>
        <v>9</v>
      </c>
      <c r="G1610" s="11" t="str">
        <f t="shared" si="102"/>
        <v>202509</v>
      </c>
      <c r="H1610" s="4">
        <v>46112</v>
      </c>
      <c r="I1610" s="5">
        <v>187</v>
      </c>
      <c r="J1610" s="5">
        <v>6.2333333333333334</v>
      </c>
      <c r="K1610" s="5">
        <f t="shared" si="103"/>
        <v>0</v>
      </c>
      <c r="L1610" s="5">
        <v>0</v>
      </c>
      <c r="M1610" s="5">
        <v>0</v>
      </c>
      <c r="N1610" t="s">
        <v>9</v>
      </c>
      <c r="O1610" s="8">
        <v>20.701369863013699</v>
      </c>
      <c r="P1610" t="s">
        <v>32</v>
      </c>
      <c r="Q1610">
        <v>1</v>
      </c>
      <c r="R1610" s="2">
        <v>38369</v>
      </c>
    </row>
    <row r="1611" spans="1:18" x14ac:dyDescent="0.3">
      <c r="A1611" t="s">
        <v>7</v>
      </c>
      <c r="B1611">
        <v>18969191</v>
      </c>
      <c r="C1611" t="s">
        <v>8</v>
      </c>
      <c r="D1611" s="4">
        <v>45925</v>
      </c>
      <c r="E1611" s="11">
        <f t="shared" si="100"/>
        <v>2025</v>
      </c>
      <c r="F1611" s="11">
        <f t="shared" si="101"/>
        <v>9</v>
      </c>
      <c r="G1611" s="11" t="str">
        <f t="shared" si="102"/>
        <v>202509</v>
      </c>
      <c r="H1611" s="4">
        <v>46082</v>
      </c>
      <c r="I1611" s="5">
        <v>157</v>
      </c>
      <c r="J1611" s="5">
        <v>5.2333333333333334</v>
      </c>
      <c r="K1611" s="5">
        <f t="shared" si="103"/>
        <v>0</v>
      </c>
      <c r="L1611" s="5">
        <v>0</v>
      </c>
      <c r="M1611" s="5">
        <v>1</v>
      </c>
      <c r="N1611" t="s">
        <v>9</v>
      </c>
      <c r="O1611" s="8">
        <v>19.156164383561645</v>
      </c>
      <c r="P1611" t="s">
        <v>32</v>
      </c>
      <c r="Q1611">
        <v>1</v>
      </c>
      <c r="R1611" s="2">
        <v>38933</v>
      </c>
    </row>
    <row r="1612" spans="1:18" x14ac:dyDescent="0.3">
      <c r="A1612" t="s">
        <v>7</v>
      </c>
      <c r="B1612">
        <v>18969214</v>
      </c>
      <c r="C1612" t="s">
        <v>10</v>
      </c>
      <c r="D1612" s="4">
        <v>45925</v>
      </c>
      <c r="E1612" s="11">
        <f t="shared" si="100"/>
        <v>2025</v>
      </c>
      <c r="F1612" s="11">
        <f t="shared" si="101"/>
        <v>9</v>
      </c>
      <c r="G1612" s="11" t="str">
        <f t="shared" si="102"/>
        <v>202509</v>
      </c>
      <c r="I1612" s="5">
        <v>9999</v>
      </c>
      <c r="J1612" s="5">
        <v>333.3</v>
      </c>
      <c r="K1612" s="5">
        <f t="shared" si="103"/>
        <v>0</v>
      </c>
      <c r="L1612" s="5">
        <v>0</v>
      </c>
      <c r="M1612" s="5">
        <v>0</v>
      </c>
      <c r="N1612" t="s">
        <v>12</v>
      </c>
      <c r="O1612" s="8">
        <v>18.175342465753424</v>
      </c>
      <c r="P1612" t="s">
        <v>32</v>
      </c>
      <c r="Q1612">
        <v>1</v>
      </c>
      <c r="R1612" s="2">
        <v>39291</v>
      </c>
    </row>
    <row r="1613" spans="1:18" x14ac:dyDescent="0.3">
      <c r="A1613" t="s">
        <v>7</v>
      </c>
      <c r="B1613">
        <v>18969216</v>
      </c>
      <c r="C1613" t="s">
        <v>8</v>
      </c>
      <c r="D1613" s="4">
        <v>45925</v>
      </c>
      <c r="E1613" s="11">
        <f t="shared" si="100"/>
        <v>2025</v>
      </c>
      <c r="F1613" s="11">
        <f t="shared" si="101"/>
        <v>9</v>
      </c>
      <c r="G1613" s="11" t="str">
        <f t="shared" si="102"/>
        <v>202509</v>
      </c>
      <c r="H1613" s="4">
        <v>46062</v>
      </c>
      <c r="I1613" s="5">
        <v>137</v>
      </c>
      <c r="J1613" s="5">
        <v>4.5666666666666664</v>
      </c>
      <c r="K1613" s="5">
        <f t="shared" si="103"/>
        <v>0</v>
      </c>
      <c r="L1613" s="5">
        <v>0</v>
      </c>
      <c r="M1613" s="5">
        <v>1</v>
      </c>
      <c r="N1613" t="s">
        <v>9</v>
      </c>
      <c r="O1613" s="8">
        <v>29.386301369863013</v>
      </c>
      <c r="P1613" t="s">
        <v>34</v>
      </c>
      <c r="Q1613">
        <v>3</v>
      </c>
      <c r="R1613" s="2">
        <v>35199</v>
      </c>
    </row>
    <row r="1614" spans="1:18" x14ac:dyDescent="0.3">
      <c r="A1614" t="s">
        <v>7</v>
      </c>
      <c r="B1614">
        <v>18969320</v>
      </c>
      <c r="C1614" t="s">
        <v>8</v>
      </c>
      <c r="D1614" s="4">
        <v>45925</v>
      </c>
      <c r="E1614" s="11">
        <f t="shared" si="100"/>
        <v>2025</v>
      </c>
      <c r="F1614" s="11">
        <f t="shared" si="101"/>
        <v>9</v>
      </c>
      <c r="G1614" s="11" t="str">
        <f t="shared" si="102"/>
        <v>202509</v>
      </c>
      <c r="I1614" s="5">
        <v>9999</v>
      </c>
      <c r="J1614" s="5">
        <v>333.3</v>
      </c>
      <c r="K1614" s="5">
        <f t="shared" si="103"/>
        <v>0</v>
      </c>
      <c r="L1614" s="5">
        <v>0</v>
      </c>
      <c r="M1614" s="5">
        <v>0</v>
      </c>
      <c r="N1614" t="s">
        <v>9</v>
      </c>
      <c r="O1614" s="8">
        <v>33.43013698630137</v>
      </c>
      <c r="P1614" t="s">
        <v>35</v>
      </c>
      <c r="Q1614">
        <v>4</v>
      </c>
      <c r="R1614" s="2">
        <v>33723</v>
      </c>
    </row>
    <row r="1615" spans="1:18" x14ac:dyDescent="0.3">
      <c r="A1615" t="s">
        <v>7</v>
      </c>
      <c r="B1615">
        <v>18969390</v>
      </c>
      <c r="C1615" t="s">
        <v>8</v>
      </c>
      <c r="D1615" s="4">
        <v>45925</v>
      </c>
      <c r="E1615" s="11">
        <f t="shared" si="100"/>
        <v>2025</v>
      </c>
      <c r="F1615" s="11">
        <f t="shared" si="101"/>
        <v>9</v>
      </c>
      <c r="G1615" s="11" t="str">
        <f t="shared" si="102"/>
        <v>202509</v>
      </c>
      <c r="H1615" s="4">
        <v>45968</v>
      </c>
      <c r="I1615" s="5">
        <v>43</v>
      </c>
      <c r="J1615" s="5">
        <v>1.4333333333333333</v>
      </c>
      <c r="K1615" s="5">
        <f t="shared" si="103"/>
        <v>0</v>
      </c>
      <c r="L1615" s="5">
        <v>1</v>
      </c>
      <c r="M1615" s="5">
        <v>1</v>
      </c>
      <c r="N1615" t="s">
        <v>9</v>
      </c>
      <c r="O1615" s="8">
        <v>19.849315068493151</v>
      </c>
      <c r="P1615" t="s">
        <v>32</v>
      </c>
      <c r="Q1615">
        <v>1</v>
      </c>
      <c r="R1615" s="2">
        <v>38680</v>
      </c>
    </row>
    <row r="1616" spans="1:18" x14ac:dyDescent="0.3">
      <c r="A1616" t="s">
        <v>7</v>
      </c>
      <c r="B1616">
        <v>18969461</v>
      </c>
      <c r="C1616" t="s">
        <v>8</v>
      </c>
      <c r="D1616" s="4">
        <v>45926</v>
      </c>
      <c r="E1616" s="11">
        <f t="shared" si="100"/>
        <v>2025</v>
      </c>
      <c r="F1616" s="11">
        <f t="shared" si="101"/>
        <v>9</v>
      </c>
      <c r="G1616" s="11" t="str">
        <f t="shared" si="102"/>
        <v>202509</v>
      </c>
      <c r="H1616" s="4">
        <v>46113</v>
      </c>
      <c r="I1616" s="5">
        <v>187</v>
      </c>
      <c r="J1616" s="5">
        <v>6.2333333333333334</v>
      </c>
      <c r="K1616" s="5">
        <f t="shared" si="103"/>
        <v>0</v>
      </c>
      <c r="L1616" s="5">
        <v>0</v>
      </c>
      <c r="M1616" s="5">
        <v>0</v>
      </c>
      <c r="N1616" t="s">
        <v>12</v>
      </c>
      <c r="O1616" s="8">
        <v>19.627397260273973</v>
      </c>
      <c r="P1616" t="s">
        <v>32</v>
      </c>
      <c r="Q1616">
        <v>1</v>
      </c>
      <c r="R1616" s="2">
        <v>38762</v>
      </c>
    </row>
    <row r="1617" spans="1:18" x14ac:dyDescent="0.3">
      <c r="A1617" t="s">
        <v>7</v>
      </c>
      <c r="B1617">
        <v>18969507</v>
      </c>
      <c r="C1617" t="s">
        <v>10</v>
      </c>
      <c r="D1617" s="4">
        <v>45926</v>
      </c>
      <c r="E1617" s="11">
        <f t="shared" si="100"/>
        <v>2025</v>
      </c>
      <c r="F1617" s="11">
        <f t="shared" si="101"/>
        <v>9</v>
      </c>
      <c r="G1617" s="11" t="str">
        <f t="shared" si="102"/>
        <v>202509</v>
      </c>
      <c r="H1617" s="4">
        <v>45936</v>
      </c>
      <c r="I1617" s="5">
        <v>10</v>
      </c>
      <c r="J1617" s="5">
        <v>0.33333333333333331</v>
      </c>
      <c r="K1617" s="5">
        <f t="shared" si="103"/>
        <v>1</v>
      </c>
      <c r="L1617" s="5">
        <v>1</v>
      </c>
      <c r="M1617" s="5">
        <v>1</v>
      </c>
      <c r="N1617" t="s">
        <v>9</v>
      </c>
      <c r="O1617" s="8">
        <v>23.736986301369864</v>
      </c>
      <c r="P1617" t="s">
        <v>33</v>
      </c>
      <c r="Q1617">
        <v>2</v>
      </c>
      <c r="R1617" s="2">
        <v>37262</v>
      </c>
    </row>
    <row r="1618" spans="1:18" x14ac:dyDescent="0.3">
      <c r="A1618" t="s">
        <v>7</v>
      </c>
      <c r="B1618">
        <v>18969520</v>
      </c>
      <c r="C1618" t="s">
        <v>8</v>
      </c>
      <c r="D1618" s="4">
        <v>45926</v>
      </c>
      <c r="E1618" s="11">
        <f t="shared" si="100"/>
        <v>2025</v>
      </c>
      <c r="F1618" s="11">
        <f t="shared" si="101"/>
        <v>9</v>
      </c>
      <c r="G1618" s="11" t="str">
        <f t="shared" si="102"/>
        <v>202509</v>
      </c>
      <c r="H1618" s="4">
        <v>46068</v>
      </c>
      <c r="I1618" s="5">
        <v>142</v>
      </c>
      <c r="J1618" s="5">
        <v>4.7333333333333334</v>
      </c>
      <c r="K1618" s="5">
        <f t="shared" si="103"/>
        <v>0</v>
      </c>
      <c r="L1618" s="5">
        <v>0</v>
      </c>
      <c r="M1618" s="5">
        <v>1</v>
      </c>
      <c r="N1618" t="s">
        <v>9</v>
      </c>
      <c r="O1618" s="8">
        <v>27.772602739726029</v>
      </c>
      <c r="P1618" t="s">
        <v>34</v>
      </c>
      <c r="Q1618">
        <v>3</v>
      </c>
      <c r="R1618" s="2">
        <v>35789</v>
      </c>
    </row>
    <row r="1619" spans="1:18" x14ac:dyDescent="0.3">
      <c r="A1619" t="s">
        <v>7</v>
      </c>
      <c r="B1619">
        <v>18969526</v>
      </c>
      <c r="C1619" t="s">
        <v>8</v>
      </c>
      <c r="D1619" s="4">
        <v>45926</v>
      </c>
      <c r="E1619" s="11">
        <f t="shared" si="100"/>
        <v>2025</v>
      </c>
      <c r="F1619" s="11">
        <f t="shared" si="101"/>
        <v>9</v>
      </c>
      <c r="G1619" s="11" t="str">
        <f t="shared" si="102"/>
        <v>202509</v>
      </c>
      <c r="H1619" s="4">
        <v>46068</v>
      </c>
      <c r="I1619" s="5">
        <v>142</v>
      </c>
      <c r="J1619" s="5">
        <v>4.7333333333333334</v>
      </c>
      <c r="K1619" s="5">
        <f t="shared" si="103"/>
        <v>0</v>
      </c>
      <c r="L1619" s="5">
        <v>0</v>
      </c>
      <c r="M1619" s="5">
        <v>1</v>
      </c>
      <c r="N1619" t="s">
        <v>9</v>
      </c>
      <c r="O1619" s="8">
        <v>28.646575342465752</v>
      </c>
      <c r="P1619" t="s">
        <v>34</v>
      </c>
      <c r="Q1619">
        <v>3</v>
      </c>
      <c r="R1619" s="2">
        <v>35470</v>
      </c>
    </row>
    <row r="1620" spans="1:18" x14ac:dyDescent="0.3">
      <c r="A1620" t="s">
        <v>7</v>
      </c>
      <c r="B1620">
        <v>18969568</v>
      </c>
      <c r="C1620" t="s">
        <v>8</v>
      </c>
      <c r="D1620" s="4">
        <v>45926</v>
      </c>
      <c r="E1620" s="11">
        <f t="shared" si="100"/>
        <v>2025</v>
      </c>
      <c r="F1620" s="11">
        <f t="shared" si="101"/>
        <v>9</v>
      </c>
      <c r="G1620" s="11" t="str">
        <f t="shared" si="102"/>
        <v>202509</v>
      </c>
      <c r="I1620" s="5">
        <v>9999</v>
      </c>
      <c r="J1620" s="5">
        <v>333.3</v>
      </c>
      <c r="K1620" s="5">
        <f t="shared" si="103"/>
        <v>0</v>
      </c>
      <c r="L1620" s="5">
        <v>0</v>
      </c>
      <c r="M1620" s="5">
        <v>0</v>
      </c>
      <c r="N1620" t="s">
        <v>9</v>
      </c>
      <c r="O1620" s="8">
        <v>22.531506849315068</v>
      </c>
      <c r="P1620" t="s">
        <v>33</v>
      </c>
      <c r="Q1620">
        <v>2</v>
      </c>
      <c r="R1620" s="2">
        <v>37702</v>
      </c>
    </row>
    <row r="1621" spans="1:18" x14ac:dyDescent="0.3">
      <c r="A1621" t="s">
        <v>7</v>
      </c>
      <c r="B1621">
        <v>18969569</v>
      </c>
      <c r="C1621" t="s">
        <v>10</v>
      </c>
      <c r="D1621" s="4">
        <v>45926</v>
      </c>
      <c r="E1621" s="11">
        <f t="shared" si="100"/>
        <v>2025</v>
      </c>
      <c r="F1621" s="11">
        <f t="shared" si="101"/>
        <v>9</v>
      </c>
      <c r="G1621" s="11" t="str">
        <f t="shared" si="102"/>
        <v>202509</v>
      </c>
      <c r="H1621" s="4">
        <v>45931</v>
      </c>
      <c r="I1621" s="5">
        <v>5</v>
      </c>
      <c r="J1621" s="5">
        <v>0.16666666666666666</v>
      </c>
      <c r="K1621" s="5">
        <f t="shared" si="103"/>
        <v>1</v>
      </c>
      <c r="L1621" s="5">
        <v>1</v>
      </c>
      <c r="M1621" s="5">
        <v>1</v>
      </c>
      <c r="N1621" t="s">
        <v>9</v>
      </c>
      <c r="O1621" s="8">
        <v>31.098630136986301</v>
      </c>
      <c r="P1621" t="s">
        <v>35</v>
      </c>
      <c r="Q1621">
        <v>4</v>
      </c>
      <c r="R1621" s="2">
        <v>34575</v>
      </c>
    </row>
    <row r="1622" spans="1:18" x14ac:dyDescent="0.3">
      <c r="A1622" t="s">
        <v>7</v>
      </c>
      <c r="B1622">
        <v>18969588</v>
      </c>
      <c r="C1622" t="s">
        <v>8</v>
      </c>
      <c r="D1622" s="4">
        <v>45926</v>
      </c>
      <c r="E1622" s="11">
        <f t="shared" si="100"/>
        <v>2025</v>
      </c>
      <c r="F1622" s="11">
        <f t="shared" si="101"/>
        <v>9</v>
      </c>
      <c r="G1622" s="11" t="str">
        <f t="shared" si="102"/>
        <v>202509</v>
      </c>
      <c r="H1622" s="4">
        <v>46023</v>
      </c>
      <c r="I1622" s="5">
        <v>97</v>
      </c>
      <c r="J1622" s="5">
        <v>3.2333333333333334</v>
      </c>
      <c r="K1622" s="5">
        <f t="shared" si="103"/>
        <v>0</v>
      </c>
      <c r="L1622" s="5">
        <v>0</v>
      </c>
      <c r="M1622" s="5">
        <v>1</v>
      </c>
      <c r="N1622" t="s">
        <v>9</v>
      </c>
      <c r="O1622" s="8">
        <v>20.161643835616438</v>
      </c>
      <c r="P1622" t="s">
        <v>32</v>
      </c>
      <c r="Q1622">
        <v>1</v>
      </c>
      <c r="R1622" s="2">
        <v>38567</v>
      </c>
    </row>
    <row r="1623" spans="1:18" x14ac:dyDescent="0.3">
      <c r="A1623" t="s">
        <v>7</v>
      </c>
      <c r="B1623">
        <v>18969604</v>
      </c>
      <c r="C1623" t="s">
        <v>8</v>
      </c>
      <c r="D1623" s="4">
        <v>45926</v>
      </c>
      <c r="E1623" s="11">
        <f t="shared" si="100"/>
        <v>2025</v>
      </c>
      <c r="F1623" s="11">
        <f t="shared" si="101"/>
        <v>9</v>
      </c>
      <c r="G1623" s="11" t="str">
        <f t="shared" si="102"/>
        <v>202509</v>
      </c>
      <c r="I1623" s="5">
        <v>9999</v>
      </c>
      <c r="J1623" s="5">
        <v>333.3</v>
      </c>
      <c r="K1623" s="5">
        <f t="shared" si="103"/>
        <v>0</v>
      </c>
      <c r="L1623" s="5">
        <v>0</v>
      </c>
      <c r="M1623" s="5">
        <v>0</v>
      </c>
      <c r="N1623" t="s">
        <v>9</v>
      </c>
      <c r="O1623" s="8">
        <v>20.019178082191782</v>
      </c>
      <c r="P1623" t="s">
        <v>32</v>
      </c>
      <c r="Q1623">
        <v>1</v>
      </c>
      <c r="R1623" s="2">
        <v>38619</v>
      </c>
    </row>
    <row r="1624" spans="1:18" x14ac:dyDescent="0.3">
      <c r="A1624" t="s">
        <v>7</v>
      </c>
      <c r="B1624">
        <v>18969605</v>
      </c>
      <c r="C1624" t="s">
        <v>8</v>
      </c>
      <c r="D1624" s="4">
        <v>45926</v>
      </c>
      <c r="E1624" s="11">
        <f t="shared" si="100"/>
        <v>2025</v>
      </c>
      <c r="F1624" s="11">
        <f t="shared" si="101"/>
        <v>9</v>
      </c>
      <c r="G1624" s="11" t="str">
        <f t="shared" si="102"/>
        <v>202509</v>
      </c>
      <c r="H1624" s="4">
        <v>46113</v>
      </c>
      <c r="I1624" s="5">
        <v>187</v>
      </c>
      <c r="J1624" s="5">
        <v>6.2333333333333334</v>
      </c>
      <c r="K1624" s="5">
        <f t="shared" si="103"/>
        <v>0</v>
      </c>
      <c r="L1624" s="5">
        <v>0</v>
      </c>
      <c r="M1624" s="5">
        <v>0</v>
      </c>
      <c r="N1624" t="s">
        <v>9</v>
      </c>
      <c r="O1624" s="8">
        <v>23.443835616438356</v>
      </c>
      <c r="P1624" t="s">
        <v>33</v>
      </c>
      <c r="Q1624">
        <v>2</v>
      </c>
      <c r="R1624" s="2">
        <v>37369</v>
      </c>
    </row>
    <row r="1625" spans="1:18" x14ac:dyDescent="0.3">
      <c r="A1625" t="s">
        <v>7</v>
      </c>
      <c r="B1625">
        <v>18969641</v>
      </c>
      <c r="C1625" t="s">
        <v>10</v>
      </c>
      <c r="D1625" s="4">
        <v>45926</v>
      </c>
      <c r="E1625" s="11">
        <f t="shared" si="100"/>
        <v>2025</v>
      </c>
      <c r="F1625" s="11">
        <f t="shared" si="101"/>
        <v>9</v>
      </c>
      <c r="G1625" s="11" t="str">
        <f t="shared" si="102"/>
        <v>202509</v>
      </c>
      <c r="I1625" s="5">
        <v>9999</v>
      </c>
      <c r="J1625" s="5">
        <v>333.3</v>
      </c>
      <c r="K1625" s="5">
        <f t="shared" si="103"/>
        <v>0</v>
      </c>
      <c r="L1625" s="5">
        <v>0</v>
      </c>
      <c r="M1625" s="5">
        <v>0</v>
      </c>
      <c r="N1625" t="s">
        <v>9</v>
      </c>
      <c r="O1625" s="8">
        <v>34.320547945205476</v>
      </c>
      <c r="P1625" t="s">
        <v>35</v>
      </c>
      <c r="Q1625">
        <v>4</v>
      </c>
      <c r="R1625" s="2">
        <v>33399</v>
      </c>
    </row>
    <row r="1626" spans="1:18" x14ac:dyDescent="0.3">
      <c r="A1626" t="s">
        <v>7</v>
      </c>
      <c r="B1626">
        <v>18969643</v>
      </c>
      <c r="C1626" t="s">
        <v>10</v>
      </c>
      <c r="D1626" s="4">
        <v>45926</v>
      </c>
      <c r="E1626" s="11">
        <f t="shared" si="100"/>
        <v>2025</v>
      </c>
      <c r="F1626" s="11">
        <f t="shared" si="101"/>
        <v>9</v>
      </c>
      <c r="G1626" s="11" t="str">
        <f t="shared" si="102"/>
        <v>202509</v>
      </c>
      <c r="H1626" s="4">
        <v>46089</v>
      </c>
      <c r="I1626" s="5">
        <v>163</v>
      </c>
      <c r="J1626" s="5">
        <v>5.4333333333333336</v>
      </c>
      <c r="K1626" s="5">
        <f t="shared" si="103"/>
        <v>0</v>
      </c>
      <c r="L1626" s="5">
        <v>0</v>
      </c>
      <c r="M1626" s="5">
        <v>1</v>
      </c>
      <c r="N1626" t="s">
        <v>12</v>
      </c>
      <c r="O1626" s="8">
        <v>30.142465753424659</v>
      </c>
      <c r="P1626" t="s">
        <v>34</v>
      </c>
      <c r="Q1626">
        <v>3</v>
      </c>
      <c r="R1626" s="2">
        <v>34924</v>
      </c>
    </row>
    <row r="1627" spans="1:18" x14ac:dyDescent="0.3">
      <c r="A1627" t="s">
        <v>7</v>
      </c>
      <c r="B1627">
        <v>18969653</v>
      </c>
      <c r="C1627" t="s">
        <v>8</v>
      </c>
      <c r="D1627" s="4">
        <v>45926</v>
      </c>
      <c r="E1627" s="11">
        <f t="shared" si="100"/>
        <v>2025</v>
      </c>
      <c r="F1627" s="11">
        <f t="shared" si="101"/>
        <v>9</v>
      </c>
      <c r="G1627" s="11" t="str">
        <f t="shared" si="102"/>
        <v>202509</v>
      </c>
      <c r="H1627" s="4">
        <v>46093</v>
      </c>
      <c r="I1627" s="5">
        <v>167</v>
      </c>
      <c r="J1627" s="5">
        <v>5.5666666666666664</v>
      </c>
      <c r="K1627" s="5">
        <f t="shared" si="103"/>
        <v>0</v>
      </c>
      <c r="L1627" s="5">
        <v>0</v>
      </c>
      <c r="M1627" s="5">
        <v>1</v>
      </c>
      <c r="N1627" t="s">
        <v>12</v>
      </c>
      <c r="O1627" s="8">
        <v>18.671232876712327</v>
      </c>
      <c r="P1627" t="s">
        <v>32</v>
      </c>
      <c r="Q1627">
        <v>1</v>
      </c>
      <c r="R1627" s="2">
        <v>39111</v>
      </c>
    </row>
    <row r="1628" spans="1:18" x14ac:dyDescent="0.3">
      <c r="A1628" t="s">
        <v>7</v>
      </c>
      <c r="B1628">
        <v>18969674</v>
      </c>
      <c r="C1628" t="s">
        <v>8</v>
      </c>
      <c r="D1628" s="4">
        <v>45926</v>
      </c>
      <c r="E1628" s="11">
        <f t="shared" si="100"/>
        <v>2025</v>
      </c>
      <c r="F1628" s="11">
        <f t="shared" si="101"/>
        <v>9</v>
      </c>
      <c r="G1628" s="11" t="str">
        <f t="shared" si="102"/>
        <v>202509</v>
      </c>
      <c r="H1628" s="4">
        <v>46023</v>
      </c>
      <c r="I1628" s="5">
        <v>97</v>
      </c>
      <c r="J1628" s="5">
        <v>3.2333333333333334</v>
      </c>
      <c r="K1628" s="5">
        <f t="shared" si="103"/>
        <v>0</v>
      </c>
      <c r="L1628" s="5">
        <v>0</v>
      </c>
      <c r="M1628" s="5">
        <v>1</v>
      </c>
      <c r="N1628" t="s">
        <v>12</v>
      </c>
      <c r="O1628" s="8">
        <v>19.473972602739725</v>
      </c>
      <c r="P1628" t="s">
        <v>32</v>
      </c>
      <c r="Q1628">
        <v>1</v>
      </c>
      <c r="R1628" s="2">
        <v>38818</v>
      </c>
    </row>
    <row r="1629" spans="1:18" x14ac:dyDescent="0.3">
      <c r="A1629" t="s">
        <v>7</v>
      </c>
      <c r="B1629">
        <v>18969676</v>
      </c>
      <c r="C1629" t="s">
        <v>8</v>
      </c>
      <c r="D1629" s="4">
        <v>45926</v>
      </c>
      <c r="E1629" s="11">
        <f t="shared" si="100"/>
        <v>2025</v>
      </c>
      <c r="F1629" s="11">
        <f t="shared" si="101"/>
        <v>9</v>
      </c>
      <c r="G1629" s="11" t="str">
        <f t="shared" si="102"/>
        <v>202509</v>
      </c>
      <c r="H1629" s="4">
        <v>46082</v>
      </c>
      <c r="I1629" s="5">
        <v>156</v>
      </c>
      <c r="J1629" s="5">
        <v>5.2</v>
      </c>
      <c r="K1629" s="5">
        <f t="shared" si="103"/>
        <v>0</v>
      </c>
      <c r="L1629" s="5">
        <v>0</v>
      </c>
      <c r="M1629" s="5">
        <v>1</v>
      </c>
      <c r="N1629" t="s">
        <v>12</v>
      </c>
      <c r="O1629" s="8">
        <v>22.917808219178081</v>
      </c>
      <c r="P1629" t="s">
        <v>33</v>
      </c>
      <c r="Q1629">
        <v>2</v>
      </c>
      <c r="R1629" s="2">
        <v>37561</v>
      </c>
    </row>
    <row r="1630" spans="1:18" x14ac:dyDescent="0.3">
      <c r="A1630" t="s">
        <v>7</v>
      </c>
      <c r="B1630">
        <v>18969695</v>
      </c>
      <c r="C1630" t="s">
        <v>10</v>
      </c>
      <c r="D1630" s="4">
        <v>45926</v>
      </c>
      <c r="E1630" s="11">
        <f t="shared" si="100"/>
        <v>2025</v>
      </c>
      <c r="F1630" s="11">
        <f t="shared" si="101"/>
        <v>9</v>
      </c>
      <c r="G1630" s="11" t="str">
        <f t="shared" si="102"/>
        <v>202509</v>
      </c>
      <c r="H1630" s="4">
        <v>46112</v>
      </c>
      <c r="I1630" s="5">
        <v>186</v>
      </c>
      <c r="J1630" s="5">
        <v>6.2</v>
      </c>
      <c r="K1630" s="5">
        <f t="shared" si="103"/>
        <v>0</v>
      </c>
      <c r="L1630" s="5">
        <v>0</v>
      </c>
      <c r="M1630" s="5">
        <v>0</v>
      </c>
      <c r="N1630" t="s">
        <v>12</v>
      </c>
      <c r="O1630" s="8">
        <v>31.087671232876712</v>
      </c>
      <c r="P1630" t="s">
        <v>35</v>
      </c>
      <c r="Q1630">
        <v>4</v>
      </c>
      <c r="R1630" s="2">
        <v>34579</v>
      </c>
    </row>
    <row r="1631" spans="1:18" x14ac:dyDescent="0.3">
      <c r="A1631" t="s">
        <v>7</v>
      </c>
      <c r="B1631">
        <v>18969745</v>
      </c>
      <c r="C1631" t="s">
        <v>8</v>
      </c>
      <c r="D1631" s="4">
        <v>45926</v>
      </c>
      <c r="E1631" s="11">
        <f t="shared" si="100"/>
        <v>2025</v>
      </c>
      <c r="F1631" s="11">
        <f t="shared" si="101"/>
        <v>9</v>
      </c>
      <c r="G1631" s="11" t="str">
        <f t="shared" si="102"/>
        <v>202509</v>
      </c>
      <c r="I1631" s="5">
        <v>9999</v>
      </c>
      <c r="J1631" s="5">
        <v>333.3</v>
      </c>
      <c r="K1631" s="5">
        <f t="shared" si="103"/>
        <v>0</v>
      </c>
      <c r="L1631" s="5">
        <v>0</v>
      </c>
      <c r="M1631" s="5">
        <v>0</v>
      </c>
      <c r="N1631" t="s">
        <v>12</v>
      </c>
      <c r="O1631" s="8">
        <v>18.145205479452056</v>
      </c>
      <c r="P1631" t="s">
        <v>32</v>
      </c>
      <c r="Q1631">
        <v>1</v>
      </c>
      <c r="R1631" s="2">
        <v>39303</v>
      </c>
    </row>
    <row r="1632" spans="1:18" x14ac:dyDescent="0.3">
      <c r="A1632" t="s">
        <v>7</v>
      </c>
      <c r="B1632">
        <v>18969746</v>
      </c>
      <c r="C1632" t="s">
        <v>10</v>
      </c>
      <c r="D1632" s="4">
        <v>45926</v>
      </c>
      <c r="E1632" s="11">
        <f t="shared" si="100"/>
        <v>2025</v>
      </c>
      <c r="F1632" s="11">
        <f t="shared" si="101"/>
        <v>9</v>
      </c>
      <c r="G1632" s="11" t="str">
        <f t="shared" si="102"/>
        <v>202509</v>
      </c>
      <c r="I1632" s="5">
        <v>9999</v>
      </c>
      <c r="J1632" s="5">
        <v>333.3</v>
      </c>
      <c r="K1632" s="5">
        <f t="shared" si="103"/>
        <v>0</v>
      </c>
      <c r="L1632" s="5">
        <v>0</v>
      </c>
      <c r="M1632" s="5">
        <v>0</v>
      </c>
      <c r="N1632" t="s">
        <v>12</v>
      </c>
      <c r="O1632" s="8">
        <v>21.786301369863015</v>
      </c>
      <c r="P1632" t="s">
        <v>33</v>
      </c>
      <c r="Q1632">
        <v>2</v>
      </c>
      <c r="R1632" s="2">
        <v>37974</v>
      </c>
    </row>
    <row r="1633" spans="1:18" x14ac:dyDescent="0.3">
      <c r="A1633" t="s">
        <v>7</v>
      </c>
      <c r="B1633">
        <v>18969800</v>
      </c>
      <c r="C1633" t="s">
        <v>8</v>
      </c>
      <c r="D1633" s="4">
        <v>45927</v>
      </c>
      <c r="E1633" s="11">
        <f t="shared" si="100"/>
        <v>2025</v>
      </c>
      <c r="F1633" s="11">
        <f t="shared" si="101"/>
        <v>9</v>
      </c>
      <c r="G1633" s="11" t="str">
        <f t="shared" si="102"/>
        <v>202509</v>
      </c>
      <c r="H1633" s="4">
        <v>45943</v>
      </c>
      <c r="I1633" s="5">
        <v>16</v>
      </c>
      <c r="J1633" s="5">
        <v>0.53333333333333333</v>
      </c>
      <c r="K1633" s="5">
        <f t="shared" si="103"/>
        <v>1</v>
      </c>
      <c r="L1633" s="5">
        <v>1</v>
      </c>
      <c r="M1633" s="5">
        <v>1</v>
      </c>
      <c r="N1633" t="s">
        <v>12</v>
      </c>
      <c r="O1633" s="8">
        <v>21.583561643835615</v>
      </c>
      <c r="P1633" t="s">
        <v>33</v>
      </c>
      <c r="Q1633">
        <v>2</v>
      </c>
      <c r="R1633" s="2">
        <v>38049</v>
      </c>
    </row>
    <row r="1634" spans="1:18" x14ac:dyDescent="0.3">
      <c r="A1634" t="s">
        <v>7</v>
      </c>
      <c r="B1634">
        <v>18969801</v>
      </c>
      <c r="C1634" t="s">
        <v>10</v>
      </c>
      <c r="D1634" s="4">
        <v>45927</v>
      </c>
      <c r="E1634" s="11">
        <f t="shared" si="100"/>
        <v>2025</v>
      </c>
      <c r="F1634" s="11">
        <f t="shared" si="101"/>
        <v>9</v>
      </c>
      <c r="G1634" s="11" t="str">
        <f t="shared" si="102"/>
        <v>202509</v>
      </c>
      <c r="I1634" s="5">
        <v>9999</v>
      </c>
      <c r="J1634" s="5">
        <v>333.3</v>
      </c>
      <c r="K1634" s="5">
        <f t="shared" si="103"/>
        <v>0</v>
      </c>
      <c r="L1634" s="5">
        <v>0</v>
      </c>
      <c r="M1634" s="5">
        <v>0</v>
      </c>
      <c r="N1634" t="s">
        <v>12</v>
      </c>
      <c r="O1634" s="8">
        <v>19.350684931506848</v>
      </c>
      <c r="P1634" t="s">
        <v>32</v>
      </c>
      <c r="Q1634">
        <v>1</v>
      </c>
      <c r="R1634" s="2">
        <v>38864</v>
      </c>
    </row>
    <row r="1635" spans="1:18" x14ac:dyDescent="0.3">
      <c r="A1635" t="s">
        <v>7</v>
      </c>
      <c r="B1635">
        <v>18970267</v>
      </c>
      <c r="C1635" t="s">
        <v>10</v>
      </c>
      <c r="D1635" s="4">
        <v>45929</v>
      </c>
      <c r="E1635" s="11">
        <f t="shared" si="100"/>
        <v>2025</v>
      </c>
      <c r="F1635" s="11">
        <f t="shared" si="101"/>
        <v>9</v>
      </c>
      <c r="G1635" s="11" t="str">
        <f t="shared" si="102"/>
        <v>202509</v>
      </c>
      <c r="H1635" s="4">
        <v>46068</v>
      </c>
      <c r="I1635" s="5">
        <v>139</v>
      </c>
      <c r="J1635" s="5">
        <v>4.6333333333333337</v>
      </c>
      <c r="K1635" s="5">
        <f t="shared" si="103"/>
        <v>0</v>
      </c>
      <c r="L1635" s="5">
        <v>0</v>
      </c>
      <c r="M1635" s="5">
        <v>1</v>
      </c>
      <c r="N1635" t="s">
        <v>12</v>
      </c>
      <c r="O1635" s="8">
        <v>19.12876712328767</v>
      </c>
      <c r="P1635" t="s">
        <v>32</v>
      </c>
      <c r="Q1635">
        <v>1</v>
      </c>
      <c r="R1635" s="2">
        <v>38947</v>
      </c>
    </row>
    <row r="1636" spans="1:18" x14ac:dyDescent="0.3">
      <c r="A1636" t="s">
        <v>7</v>
      </c>
      <c r="B1636">
        <v>18970269</v>
      </c>
      <c r="C1636" t="s">
        <v>10</v>
      </c>
      <c r="D1636" s="4">
        <v>45929</v>
      </c>
      <c r="E1636" s="11">
        <f t="shared" si="100"/>
        <v>2025</v>
      </c>
      <c r="F1636" s="11">
        <f t="shared" si="101"/>
        <v>9</v>
      </c>
      <c r="G1636" s="11" t="str">
        <f t="shared" si="102"/>
        <v>202509</v>
      </c>
      <c r="H1636" s="4">
        <v>45978</v>
      </c>
      <c r="I1636" s="5">
        <v>49</v>
      </c>
      <c r="J1636" s="5">
        <v>1.6333333333333333</v>
      </c>
      <c r="K1636" s="5">
        <f t="shared" si="103"/>
        <v>0</v>
      </c>
      <c r="L1636" s="5">
        <v>1</v>
      </c>
      <c r="M1636" s="5">
        <v>1</v>
      </c>
      <c r="N1636" t="s">
        <v>12</v>
      </c>
      <c r="O1636" s="8">
        <v>19.767123287671232</v>
      </c>
      <c r="P1636" t="s">
        <v>32</v>
      </c>
      <c r="Q1636">
        <v>1</v>
      </c>
      <c r="R1636" s="2">
        <v>38714</v>
      </c>
    </row>
    <row r="1637" spans="1:18" x14ac:dyDescent="0.3">
      <c r="A1637" t="s">
        <v>7</v>
      </c>
      <c r="B1637">
        <v>18970270</v>
      </c>
      <c r="C1637" t="s">
        <v>8</v>
      </c>
      <c r="D1637" s="4">
        <v>45929</v>
      </c>
      <c r="E1637" s="11">
        <f t="shared" si="100"/>
        <v>2025</v>
      </c>
      <c r="F1637" s="11">
        <f t="shared" si="101"/>
        <v>9</v>
      </c>
      <c r="G1637" s="11" t="str">
        <f t="shared" si="102"/>
        <v>202509</v>
      </c>
      <c r="H1637" s="4">
        <v>45939</v>
      </c>
      <c r="I1637" s="5">
        <v>10</v>
      </c>
      <c r="J1637" s="5">
        <v>0.33333333333333331</v>
      </c>
      <c r="K1637" s="5">
        <f t="shared" si="103"/>
        <v>1</v>
      </c>
      <c r="L1637" s="5">
        <v>1</v>
      </c>
      <c r="M1637" s="5">
        <v>1</v>
      </c>
      <c r="N1637" t="s">
        <v>12</v>
      </c>
      <c r="O1637" s="8">
        <v>18.75068493150685</v>
      </c>
      <c r="P1637" t="s">
        <v>32</v>
      </c>
      <c r="Q1637">
        <v>1</v>
      </c>
      <c r="R1637" s="2">
        <v>39085</v>
      </c>
    </row>
    <row r="1638" spans="1:18" x14ac:dyDescent="0.3">
      <c r="A1638" t="s">
        <v>7</v>
      </c>
      <c r="B1638">
        <v>18970271</v>
      </c>
      <c r="C1638" t="s">
        <v>10</v>
      </c>
      <c r="D1638" s="4">
        <v>45929</v>
      </c>
      <c r="E1638" s="11">
        <f t="shared" si="100"/>
        <v>2025</v>
      </c>
      <c r="F1638" s="11">
        <f t="shared" si="101"/>
        <v>9</v>
      </c>
      <c r="G1638" s="11" t="str">
        <f t="shared" si="102"/>
        <v>202509</v>
      </c>
      <c r="H1638" s="4">
        <v>46037</v>
      </c>
      <c r="I1638" s="5">
        <v>108</v>
      </c>
      <c r="J1638" s="5">
        <v>3.6</v>
      </c>
      <c r="K1638" s="5">
        <f t="shared" si="103"/>
        <v>0</v>
      </c>
      <c r="L1638" s="5">
        <v>0</v>
      </c>
      <c r="M1638" s="5">
        <v>1</v>
      </c>
      <c r="N1638" t="s">
        <v>12</v>
      </c>
      <c r="O1638" s="8">
        <v>19.142465753424659</v>
      </c>
      <c r="P1638" t="s">
        <v>32</v>
      </c>
      <c r="Q1638">
        <v>1</v>
      </c>
      <c r="R1638" s="2">
        <v>38942</v>
      </c>
    </row>
    <row r="1639" spans="1:18" x14ac:dyDescent="0.3">
      <c r="A1639" t="s">
        <v>7</v>
      </c>
      <c r="B1639">
        <v>18970310</v>
      </c>
      <c r="C1639" t="s">
        <v>8</v>
      </c>
      <c r="D1639" s="4">
        <v>45929</v>
      </c>
      <c r="E1639" s="11">
        <f t="shared" si="100"/>
        <v>2025</v>
      </c>
      <c r="F1639" s="11">
        <f t="shared" si="101"/>
        <v>9</v>
      </c>
      <c r="G1639" s="11" t="str">
        <f t="shared" si="102"/>
        <v>202509</v>
      </c>
      <c r="I1639" s="5">
        <v>9999</v>
      </c>
      <c r="J1639" s="5">
        <v>333.3</v>
      </c>
      <c r="K1639" s="5">
        <f t="shared" si="103"/>
        <v>0</v>
      </c>
      <c r="L1639" s="5">
        <v>0</v>
      </c>
      <c r="M1639" s="5">
        <v>0</v>
      </c>
      <c r="N1639" t="s">
        <v>12</v>
      </c>
      <c r="O1639" s="8">
        <v>19.758904109589039</v>
      </c>
      <c r="P1639" t="s">
        <v>32</v>
      </c>
      <c r="Q1639">
        <v>1</v>
      </c>
      <c r="R1639" s="2">
        <v>38717</v>
      </c>
    </row>
    <row r="1640" spans="1:18" x14ac:dyDescent="0.3">
      <c r="A1640" t="s">
        <v>7</v>
      </c>
      <c r="B1640">
        <v>18970311</v>
      </c>
      <c r="C1640" t="s">
        <v>10</v>
      </c>
      <c r="D1640" s="4">
        <v>45929</v>
      </c>
      <c r="E1640" s="11">
        <f t="shared" si="100"/>
        <v>2025</v>
      </c>
      <c r="F1640" s="11">
        <f t="shared" si="101"/>
        <v>9</v>
      </c>
      <c r="G1640" s="11" t="str">
        <f t="shared" si="102"/>
        <v>202509</v>
      </c>
      <c r="I1640" s="5">
        <v>9999</v>
      </c>
      <c r="J1640" s="5">
        <v>333.3</v>
      </c>
      <c r="K1640" s="5">
        <f t="shared" si="103"/>
        <v>0</v>
      </c>
      <c r="L1640" s="5">
        <v>0</v>
      </c>
      <c r="M1640" s="5">
        <v>0</v>
      </c>
      <c r="N1640" t="s">
        <v>12</v>
      </c>
      <c r="O1640" s="8">
        <v>19.61917808219178</v>
      </c>
      <c r="P1640" t="s">
        <v>32</v>
      </c>
      <c r="Q1640">
        <v>1</v>
      </c>
      <c r="R1640" s="2">
        <v>38768</v>
      </c>
    </row>
    <row r="1641" spans="1:18" x14ac:dyDescent="0.3">
      <c r="A1641" t="s">
        <v>7</v>
      </c>
      <c r="B1641">
        <v>18970312</v>
      </c>
      <c r="C1641" t="s">
        <v>8</v>
      </c>
      <c r="D1641" s="4">
        <v>45929</v>
      </c>
      <c r="E1641" s="11">
        <f t="shared" si="100"/>
        <v>2025</v>
      </c>
      <c r="F1641" s="11">
        <f t="shared" si="101"/>
        <v>9</v>
      </c>
      <c r="G1641" s="11" t="str">
        <f t="shared" si="102"/>
        <v>202509</v>
      </c>
      <c r="H1641" s="4">
        <v>45964</v>
      </c>
      <c r="I1641" s="5">
        <v>35</v>
      </c>
      <c r="J1641" s="5">
        <v>1.1666666666666667</v>
      </c>
      <c r="K1641" s="5">
        <f t="shared" si="103"/>
        <v>0</v>
      </c>
      <c r="L1641" s="5">
        <v>1</v>
      </c>
      <c r="M1641" s="5">
        <v>1</v>
      </c>
      <c r="N1641" t="s">
        <v>12</v>
      </c>
      <c r="O1641" s="8">
        <v>20.090410958904108</v>
      </c>
      <c r="P1641" t="s">
        <v>32</v>
      </c>
      <c r="Q1641">
        <v>1</v>
      </c>
      <c r="R1641" s="2">
        <v>38596</v>
      </c>
    </row>
    <row r="1642" spans="1:18" x14ac:dyDescent="0.3">
      <c r="A1642" t="s">
        <v>7</v>
      </c>
      <c r="B1642">
        <v>18970858</v>
      </c>
      <c r="C1642" t="s">
        <v>10</v>
      </c>
      <c r="D1642" s="4">
        <v>45931</v>
      </c>
      <c r="E1642" s="11">
        <f t="shared" si="100"/>
        <v>2025</v>
      </c>
      <c r="F1642" s="11">
        <f t="shared" si="101"/>
        <v>10</v>
      </c>
      <c r="G1642" s="11" t="str">
        <f t="shared" si="102"/>
        <v>202510</v>
      </c>
      <c r="I1642" s="5">
        <v>9999</v>
      </c>
      <c r="J1642" s="5">
        <v>333.3</v>
      </c>
      <c r="K1642" s="5">
        <f t="shared" si="103"/>
        <v>0</v>
      </c>
      <c r="L1642" s="5">
        <v>0</v>
      </c>
      <c r="M1642" s="5">
        <v>0</v>
      </c>
      <c r="N1642" t="s">
        <v>9</v>
      </c>
      <c r="O1642" s="8">
        <v>22.186301369863013</v>
      </c>
      <c r="P1642" t="s">
        <v>33</v>
      </c>
      <c r="Q1642">
        <v>2</v>
      </c>
      <c r="R1642" s="2">
        <v>37833</v>
      </c>
    </row>
    <row r="1643" spans="1:18" x14ac:dyDescent="0.3">
      <c r="A1643" t="s">
        <v>7</v>
      </c>
      <c r="B1643">
        <v>18970859</v>
      </c>
      <c r="C1643" t="s">
        <v>10</v>
      </c>
      <c r="D1643" s="4">
        <v>45931</v>
      </c>
      <c r="E1643" s="11">
        <f t="shared" si="100"/>
        <v>2025</v>
      </c>
      <c r="F1643" s="11">
        <f t="shared" si="101"/>
        <v>10</v>
      </c>
      <c r="G1643" s="11" t="str">
        <f t="shared" si="102"/>
        <v>202510</v>
      </c>
      <c r="I1643" s="5">
        <v>9999</v>
      </c>
      <c r="J1643" s="5">
        <v>333.3</v>
      </c>
      <c r="K1643" s="5">
        <f t="shared" si="103"/>
        <v>0</v>
      </c>
      <c r="L1643" s="5">
        <v>0</v>
      </c>
      <c r="M1643" s="5">
        <v>0</v>
      </c>
      <c r="N1643" t="s">
        <v>9</v>
      </c>
      <c r="O1643" s="8">
        <v>18.783561643835615</v>
      </c>
      <c r="P1643" t="s">
        <v>32</v>
      </c>
      <c r="Q1643">
        <v>1</v>
      </c>
      <c r="R1643" s="2">
        <v>39075</v>
      </c>
    </row>
    <row r="1644" spans="1:18" x14ac:dyDescent="0.3">
      <c r="A1644" t="s">
        <v>7</v>
      </c>
      <c r="B1644">
        <v>18970861</v>
      </c>
      <c r="C1644" t="s">
        <v>8</v>
      </c>
      <c r="D1644" s="4">
        <v>45931</v>
      </c>
      <c r="E1644" s="11">
        <f t="shared" si="100"/>
        <v>2025</v>
      </c>
      <c r="F1644" s="11">
        <f t="shared" si="101"/>
        <v>10</v>
      </c>
      <c r="G1644" s="11" t="str">
        <f t="shared" si="102"/>
        <v>202510</v>
      </c>
      <c r="H1644" s="4">
        <v>46082</v>
      </c>
      <c r="I1644" s="5">
        <v>151</v>
      </c>
      <c r="J1644" s="5">
        <v>5.0333333333333332</v>
      </c>
      <c r="K1644" s="5">
        <f t="shared" si="103"/>
        <v>0</v>
      </c>
      <c r="L1644" s="5">
        <v>0</v>
      </c>
      <c r="M1644" s="5">
        <v>1</v>
      </c>
      <c r="N1644" t="s">
        <v>9</v>
      </c>
      <c r="O1644" s="8">
        <v>20.18082191780822</v>
      </c>
      <c r="P1644" t="s">
        <v>32</v>
      </c>
      <c r="Q1644">
        <v>1</v>
      </c>
      <c r="R1644" s="2">
        <v>38565</v>
      </c>
    </row>
    <row r="1645" spans="1:18" x14ac:dyDescent="0.3">
      <c r="A1645" t="s">
        <v>7</v>
      </c>
      <c r="B1645">
        <v>18970865</v>
      </c>
      <c r="C1645" t="s">
        <v>8</v>
      </c>
      <c r="D1645" s="4">
        <v>45931</v>
      </c>
      <c r="E1645" s="11">
        <f t="shared" si="100"/>
        <v>2025</v>
      </c>
      <c r="F1645" s="11">
        <f t="shared" si="101"/>
        <v>10</v>
      </c>
      <c r="G1645" s="11" t="str">
        <f t="shared" si="102"/>
        <v>202510</v>
      </c>
      <c r="H1645" s="4">
        <v>46113</v>
      </c>
      <c r="I1645" s="5">
        <v>182</v>
      </c>
      <c r="J1645" s="5">
        <v>6.0666666666666664</v>
      </c>
      <c r="K1645" s="5">
        <f t="shared" si="103"/>
        <v>0</v>
      </c>
      <c r="L1645" s="5">
        <v>0</v>
      </c>
      <c r="M1645" s="5">
        <v>0</v>
      </c>
      <c r="N1645" t="s">
        <v>12</v>
      </c>
      <c r="O1645" s="8">
        <v>21.827397260273973</v>
      </c>
      <c r="P1645" t="s">
        <v>33</v>
      </c>
      <c r="Q1645">
        <v>2</v>
      </c>
      <c r="R1645" s="2">
        <v>37964</v>
      </c>
    </row>
    <row r="1646" spans="1:18" x14ac:dyDescent="0.3">
      <c r="A1646" t="s">
        <v>7</v>
      </c>
      <c r="B1646">
        <v>18970883</v>
      </c>
      <c r="C1646" t="s">
        <v>8</v>
      </c>
      <c r="D1646" s="4">
        <v>45931</v>
      </c>
      <c r="E1646" s="11">
        <f t="shared" si="100"/>
        <v>2025</v>
      </c>
      <c r="F1646" s="11">
        <f t="shared" si="101"/>
        <v>10</v>
      </c>
      <c r="G1646" s="11" t="str">
        <f t="shared" si="102"/>
        <v>202510</v>
      </c>
      <c r="I1646" s="5">
        <v>9999</v>
      </c>
      <c r="J1646" s="5">
        <v>333.3</v>
      </c>
      <c r="K1646" s="5">
        <f t="shared" si="103"/>
        <v>0</v>
      </c>
      <c r="L1646" s="5">
        <v>0</v>
      </c>
      <c r="M1646" s="5">
        <v>0</v>
      </c>
      <c r="N1646" t="s">
        <v>12</v>
      </c>
      <c r="O1646" s="8">
        <v>24.734246575342464</v>
      </c>
      <c r="P1646" t="s">
        <v>33</v>
      </c>
      <c r="Q1646">
        <v>2</v>
      </c>
      <c r="R1646" s="2">
        <v>36903</v>
      </c>
    </row>
    <row r="1647" spans="1:18" x14ac:dyDescent="0.3">
      <c r="A1647" t="s">
        <v>7</v>
      </c>
      <c r="B1647">
        <v>18970938</v>
      </c>
      <c r="C1647" t="s">
        <v>8</v>
      </c>
      <c r="D1647" s="4">
        <v>45931</v>
      </c>
      <c r="E1647" s="11">
        <f t="shared" si="100"/>
        <v>2025</v>
      </c>
      <c r="F1647" s="11">
        <f t="shared" si="101"/>
        <v>10</v>
      </c>
      <c r="G1647" s="11" t="str">
        <f t="shared" si="102"/>
        <v>202510</v>
      </c>
      <c r="H1647" s="4">
        <v>46025</v>
      </c>
      <c r="I1647" s="5">
        <v>94</v>
      </c>
      <c r="J1647" s="5">
        <v>3.1333333333333333</v>
      </c>
      <c r="K1647" s="5">
        <f t="shared" si="103"/>
        <v>0</v>
      </c>
      <c r="L1647" s="5">
        <v>0</v>
      </c>
      <c r="M1647" s="5">
        <v>1</v>
      </c>
      <c r="N1647" t="s">
        <v>9</v>
      </c>
      <c r="O1647" s="8">
        <v>23.605479452054794</v>
      </c>
      <c r="P1647" t="s">
        <v>33</v>
      </c>
      <c r="Q1647">
        <v>2</v>
      </c>
      <c r="R1647" s="2">
        <v>37315</v>
      </c>
    </row>
    <row r="1648" spans="1:18" x14ac:dyDescent="0.3">
      <c r="A1648" t="s">
        <v>7</v>
      </c>
      <c r="B1648">
        <v>18970942</v>
      </c>
      <c r="C1648" t="s">
        <v>8</v>
      </c>
      <c r="D1648" s="4">
        <v>45931</v>
      </c>
      <c r="E1648" s="11">
        <f t="shared" si="100"/>
        <v>2025</v>
      </c>
      <c r="F1648" s="11">
        <f t="shared" si="101"/>
        <v>10</v>
      </c>
      <c r="G1648" s="11" t="str">
        <f t="shared" si="102"/>
        <v>202510</v>
      </c>
      <c r="I1648" s="5">
        <v>9999</v>
      </c>
      <c r="J1648" s="5">
        <v>333.3</v>
      </c>
      <c r="K1648" s="5">
        <f t="shared" si="103"/>
        <v>0</v>
      </c>
      <c r="L1648" s="5">
        <v>0</v>
      </c>
      <c r="M1648" s="5">
        <v>0</v>
      </c>
      <c r="N1648" t="s">
        <v>9</v>
      </c>
      <c r="O1648" s="8">
        <v>34.887671232876713</v>
      </c>
      <c r="P1648" t="s">
        <v>35</v>
      </c>
      <c r="Q1648">
        <v>4</v>
      </c>
      <c r="R1648" s="2">
        <v>33197</v>
      </c>
    </row>
    <row r="1649" spans="1:18" x14ac:dyDescent="0.3">
      <c r="A1649" t="s">
        <v>7</v>
      </c>
      <c r="B1649">
        <v>18970943</v>
      </c>
      <c r="C1649" t="s">
        <v>8</v>
      </c>
      <c r="D1649" s="4">
        <v>45931</v>
      </c>
      <c r="E1649" s="11">
        <f t="shared" si="100"/>
        <v>2025</v>
      </c>
      <c r="F1649" s="11">
        <f t="shared" si="101"/>
        <v>10</v>
      </c>
      <c r="G1649" s="11" t="str">
        <f t="shared" si="102"/>
        <v>202510</v>
      </c>
      <c r="H1649" s="4">
        <v>46173</v>
      </c>
      <c r="I1649" s="5">
        <v>242</v>
      </c>
      <c r="J1649" s="5">
        <v>8.0666666666666664</v>
      </c>
      <c r="K1649" s="5">
        <f t="shared" si="103"/>
        <v>0</v>
      </c>
      <c r="L1649" s="5">
        <v>0</v>
      </c>
      <c r="M1649" s="5">
        <v>0</v>
      </c>
      <c r="N1649" t="s">
        <v>9</v>
      </c>
      <c r="O1649" s="8">
        <v>34.9972602739726</v>
      </c>
      <c r="P1649" t="s">
        <v>35</v>
      </c>
      <c r="Q1649">
        <v>4</v>
      </c>
      <c r="R1649" s="2">
        <v>33157</v>
      </c>
    </row>
    <row r="1650" spans="1:18" x14ac:dyDescent="0.3">
      <c r="A1650" t="s">
        <v>7</v>
      </c>
      <c r="B1650">
        <v>18970949</v>
      </c>
      <c r="C1650" t="s">
        <v>8</v>
      </c>
      <c r="D1650" s="4">
        <v>45931</v>
      </c>
      <c r="E1650" s="11">
        <f t="shared" si="100"/>
        <v>2025</v>
      </c>
      <c r="F1650" s="11">
        <f t="shared" si="101"/>
        <v>10</v>
      </c>
      <c r="G1650" s="11" t="str">
        <f t="shared" si="102"/>
        <v>202510</v>
      </c>
      <c r="H1650" s="4">
        <v>46113</v>
      </c>
      <c r="I1650" s="5">
        <v>182</v>
      </c>
      <c r="J1650" s="5">
        <v>6.0666666666666664</v>
      </c>
      <c r="K1650" s="5">
        <f t="shared" si="103"/>
        <v>0</v>
      </c>
      <c r="L1650" s="5">
        <v>0</v>
      </c>
      <c r="M1650" s="5">
        <v>0</v>
      </c>
      <c r="N1650" t="s">
        <v>9</v>
      </c>
      <c r="O1650" s="8">
        <v>20.81095890410959</v>
      </c>
      <c r="P1650" t="s">
        <v>32</v>
      </c>
      <c r="Q1650">
        <v>1</v>
      </c>
      <c r="R1650" s="2">
        <v>38335</v>
      </c>
    </row>
    <row r="1651" spans="1:18" x14ac:dyDescent="0.3">
      <c r="A1651" t="s">
        <v>7</v>
      </c>
      <c r="B1651">
        <v>18970969</v>
      </c>
      <c r="C1651" t="s">
        <v>8</v>
      </c>
      <c r="D1651" s="4">
        <v>45931</v>
      </c>
      <c r="E1651" s="11">
        <f t="shared" si="100"/>
        <v>2025</v>
      </c>
      <c r="F1651" s="11">
        <f t="shared" si="101"/>
        <v>10</v>
      </c>
      <c r="G1651" s="11" t="str">
        <f t="shared" si="102"/>
        <v>202510</v>
      </c>
      <c r="H1651" s="4">
        <v>45940</v>
      </c>
      <c r="I1651" s="5">
        <v>9</v>
      </c>
      <c r="J1651" s="5">
        <v>0.3</v>
      </c>
      <c r="K1651" s="5">
        <f t="shared" si="103"/>
        <v>1</v>
      </c>
      <c r="L1651" s="5">
        <v>1</v>
      </c>
      <c r="M1651" s="5">
        <v>1</v>
      </c>
      <c r="N1651" t="s">
        <v>9</v>
      </c>
      <c r="O1651" s="8">
        <v>18.912328767123288</v>
      </c>
      <c r="P1651" t="s">
        <v>32</v>
      </c>
      <c r="Q1651">
        <v>1</v>
      </c>
      <c r="R1651" s="2">
        <v>39028</v>
      </c>
    </row>
    <row r="1652" spans="1:18" x14ac:dyDescent="0.3">
      <c r="A1652" t="s">
        <v>7</v>
      </c>
      <c r="B1652">
        <v>18971074</v>
      </c>
      <c r="C1652" t="s">
        <v>10</v>
      </c>
      <c r="D1652" s="4">
        <v>45931</v>
      </c>
      <c r="E1652" s="11">
        <f t="shared" si="100"/>
        <v>2025</v>
      </c>
      <c r="F1652" s="11">
        <f t="shared" si="101"/>
        <v>10</v>
      </c>
      <c r="G1652" s="11" t="str">
        <f t="shared" si="102"/>
        <v>202510</v>
      </c>
      <c r="I1652" s="5">
        <v>9999</v>
      </c>
      <c r="J1652" s="5">
        <v>333.3</v>
      </c>
      <c r="K1652" s="5">
        <f t="shared" si="103"/>
        <v>0</v>
      </c>
      <c r="L1652" s="5">
        <v>0</v>
      </c>
      <c r="M1652" s="5">
        <v>0</v>
      </c>
      <c r="N1652" t="s">
        <v>12</v>
      </c>
      <c r="O1652" s="8">
        <v>22.156164383561645</v>
      </c>
      <c r="P1652" t="s">
        <v>33</v>
      </c>
      <c r="Q1652">
        <v>2</v>
      </c>
      <c r="R1652" s="2">
        <v>37844</v>
      </c>
    </row>
    <row r="1653" spans="1:18" x14ac:dyDescent="0.3">
      <c r="A1653" t="s">
        <v>7</v>
      </c>
      <c r="B1653">
        <v>18971169</v>
      </c>
      <c r="C1653" t="s">
        <v>8</v>
      </c>
      <c r="D1653" s="4">
        <v>45932</v>
      </c>
      <c r="E1653" s="11">
        <f t="shared" si="100"/>
        <v>2025</v>
      </c>
      <c r="F1653" s="11">
        <f t="shared" si="101"/>
        <v>10</v>
      </c>
      <c r="G1653" s="11" t="str">
        <f t="shared" si="102"/>
        <v>202510</v>
      </c>
      <c r="I1653" s="5">
        <v>9999</v>
      </c>
      <c r="J1653" s="5">
        <v>333.3</v>
      </c>
      <c r="K1653" s="5">
        <f t="shared" si="103"/>
        <v>0</v>
      </c>
      <c r="L1653" s="5">
        <v>0</v>
      </c>
      <c r="M1653" s="5">
        <v>0</v>
      </c>
      <c r="N1653" t="s">
        <v>12</v>
      </c>
      <c r="O1653" s="8">
        <v>22.608219178082191</v>
      </c>
      <c r="P1653" t="s">
        <v>33</v>
      </c>
      <c r="Q1653">
        <v>2</v>
      </c>
      <c r="R1653" s="2">
        <v>37680</v>
      </c>
    </row>
    <row r="1654" spans="1:18" x14ac:dyDescent="0.3">
      <c r="A1654" t="s">
        <v>7</v>
      </c>
      <c r="B1654">
        <v>18971211</v>
      </c>
      <c r="C1654" t="s">
        <v>8</v>
      </c>
      <c r="D1654" s="4">
        <v>45932</v>
      </c>
      <c r="E1654" s="11">
        <f t="shared" si="100"/>
        <v>2025</v>
      </c>
      <c r="F1654" s="11">
        <f t="shared" si="101"/>
        <v>10</v>
      </c>
      <c r="G1654" s="11" t="str">
        <f t="shared" si="102"/>
        <v>202510</v>
      </c>
      <c r="H1654" s="4">
        <v>46055</v>
      </c>
      <c r="I1654" s="5">
        <v>123</v>
      </c>
      <c r="J1654" s="5">
        <v>4.0999999999999996</v>
      </c>
      <c r="K1654" s="5">
        <f t="shared" si="103"/>
        <v>0</v>
      </c>
      <c r="L1654" s="5">
        <v>0</v>
      </c>
      <c r="M1654" s="5">
        <v>1</v>
      </c>
      <c r="N1654" t="s">
        <v>12</v>
      </c>
      <c r="O1654" s="8">
        <v>21.731506849315068</v>
      </c>
      <c r="P1654" t="s">
        <v>33</v>
      </c>
      <c r="Q1654">
        <v>2</v>
      </c>
      <c r="R1654" s="2">
        <v>38000</v>
      </c>
    </row>
    <row r="1655" spans="1:18" x14ac:dyDescent="0.3">
      <c r="A1655" t="s">
        <v>7</v>
      </c>
      <c r="B1655">
        <v>18971212</v>
      </c>
      <c r="C1655" t="s">
        <v>8</v>
      </c>
      <c r="D1655" s="4">
        <v>45932</v>
      </c>
      <c r="E1655" s="11">
        <f t="shared" si="100"/>
        <v>2025</v>
      </c>
      <c r="F1655" s="11">
        <f t="shared" si="101"/>
        <v>10</v>
      </c>
      <c r="G1655" s="11" t="str">
        <f t="shared" si="102"/>
        <v>202510</v>
      </c>
      <c r="I1655" s="5">
        <v>9999</v>
      </c>
      <c r="J1655" s="5">
        <v>333.3</v>
      </c>
      <c r="K1655" s="5">
        <f t="shared" si="103"/>
        <v>0</v>
      </c>
      <c r="L1655" s="5">
        <v>0</v>
      </c>
      <c r="M1655" s="5">
        <v>0</v>
      </c>
      <c r="N1655" t="s">
        <v>12</v>
      </c>
      <c r="O1655" s="8">
        <v>22.673972602739727</v>
      </c>
      <c r="P1655" t="s">
        <v>33</v>
      </c>
      <c r="Q1655">
        <v>2</v>
      </c>
      <c r="R1655" s="2">
        <v>37656</v>
      </c>
    </row>
    <row r="1656" spans="1:18" x14ac:dyDescent="0.3">
      <c r="A1656" t="s">
        <v>7</v>
      </c>
      <c r="B1656">
        <v>18971247</v>
      </c>
      <c r="C1656" t="s">
        <v>8</v>
      </c>
      <c r="D1656" s="4">
        <v>45932</v>
      </c>
      <c r="E1656" s="11">
        <f t="shared" si="100"/>
        <v>2025</v>
      </c>
      <c r="F1656" s="11">
        <f t="shared" si="101"/>
        <v>10</v>
      </c>
      <c r="G1656" s="11" t="str">
        <f t="shared" si="102"/>
        <v>202510</v>
      </c>
      <c r="H1656" s="4">
        <v>45943</v>
      </c>
      <c r="I1656" s="5">
        <v>11</v>
      </c>
      <c r="J1656" s="5">
        <v>0.36666666666666664</v>
      </c>
      <c r="K1656" s="5">
        <f t="shared" si="103"/>
        <v>1</v>
      </c>
      <c r="L1656" s="5">
        <v>1</v>
      </c>
      <c r="M1656" s="5">
        <v>1</v>
      </c>
      <c r="N1656" t="s">
        <v>12</v>
      </c>
      <c r="O1656" s="8">
        <v>25.463013698630139</v>
      </c>
      <c r="P1656" t="s">
        <v>33</v>
      </c>
      <c r="Q1656">
        <v>2</v>
      </c>
      <c r="R1656" s="2">
        <v>36638</v>
      </c>
    </row>
    <row r="1657" spans="1:18" x14ac:dyDescent="0.3">
      <c r="A1657" t="s">
        <v>11</v>
      </c>
      <c r="B1657">
        <v>18971257</v>
      </c>
      <c r="C1657" t="s">
        <v>8</v>
      </c>
      <c r="D1657" s="4">
        <v>45931</v>
      </c>
      <c r="E1657" s="11">
        <f t="shared" si="100"/>
        <v>2025</v>
      </c>
      <c r="F1657" s="11">
        <f t="shared" si="101"/>
        <v>10</v>
      </c>
      <c r="G1657" s="11" t="str">
        <f t="shared" si="102"/>
        <v>202510</v>
      </c>
      <c r="I1657" s="5">
        <v>9999</v>
      </c>
      <c r="J1657" s="5">
        <v>333.3</v>
      </c>
      <c r="K1657" s="5">
        <f t="shared" si="103"/>
        <v>0</v>
      </c>
      <c r="L1657" s="5">
        <v>0</v>
      </c>
      <c r="M1657" s="5">
        <v>0</v>
      </c>
      <c r="N1657" t="s">
        <v>12</v>
      </c>
      <c r="O1657" s="8">
        <v>21.550684931506851</v>
      </c>
      <c r="P1657" t="s">
        <v>33</v>
      </c>
      <c r="Q1657">
        <v>2</v>
      </c>
      <c r="R1657" s="2">
        <v>38065</v>
      </c>
    </row>
    <row r="1658" spans="1:18" x14ac:dyDescent="0.3">
      <c r="A1658" t="s">
        <v>7</v>
      </c>
      <c r="B1658">
        <v>18971261</v>
      </c>
      <c r="C1658" t="s">
        <v>8</v>
      </c>
      <c r="D1658" s="4">
        <v>45931</v>
      </c>
      <c r="E1658" s="11">
        <f t="shared" si="100"/>
        <v>2025</v>
      </c>
      <c r="F1658" s="11">
        <f t="shared" si="101"/>
        <v>10</v>
      </c>
      <c r="G1658" s="11" t="str">
        <f t="shared" si="102"/>
        <v>202510</v>
      </c>
      <c r="H1658" s="4">
        <v>46127</v>
      </c>
      <c r="I1658" s="5">
        <v>196</v>
      </c>
      <c r="J1658" s="5">
        <v>6.5333333333333332</v>
      </c>
      <c r="K1658" s="5">
        <f t="shared" si="103"/>
        <v>0</v>
      </c>
      <c r="L1658" s="5">
        <v>0</v>
      </c>
      <c r="M1658" s="5">
        <v>0</v>
      </c>
      <c r="N1658" t="s">
        <v>12</v>
      </c>
      <c r="O1658" s="8">
        <v>23.923287671232877</v>
      </c>
      <c r="P1658" t="s">
        <v>33</v>
      </c>
      <c r="Q1658">
        <v>2</v>
      </c>
      <c r="R1658" s="2">
        <v>37199</v>
      </c>
    </row>
    <row r="1659" spans="1:18" x14ac:dyDescent="0.3">
      <c r="A1659" t="s">
        <v>7</v>
      </c>
      <c r="B1659">
        <v>18971267</v>
      </c>
      <c r="C1659" t="s">
        <v>8</v>
      </c>
      <c r="D1659" s="4">
        <v>45931</v>
      </c>
      <c r="E1659" s="11">
        <f t="shared" si="100"/>
        <v>2025</v>
      </c>
      <c r="F1659" s="11">
        <f t="shared" si="101"/>
        <v>10</v>
      </c>
      <c r="G1659" s="11" t="str">
        <f t="shared" si="102"/>
        <v>202510</v>
      </c>
      <c r="H1659" s="4">
        <v>46147</v>
      </c>
      <c r="I1659" s="5">
        <v>216</v>
      </c>
      <c r="J1659" s="5">
        <v>7.2</v>
      </c>
      <c r="K1659" s="5">
        <f t="shared" si="103"/>
        <v>0</v>
      </c>
      <c r="L1659" s="5">
        <v>0</v>
      </c>
      <c r="M1659" s="5">
        <v>0</v>
      </c>
      <c r="N1659" t="s">
        <v>12</v>
      </c>
      <c r="O1659" s="8">
        <v>22.583561643835615</v>
      </c>
      <c r="P1659" t="s">
        <v>33</v>
      </c>
      <c r="Q1659">
        <v>2</v>
      </c>
      <c r="R1659" s="2">
        <v>37688</v>
      </c>
    </row>
    <row r="1660" spans="1:18" x14ac:dyDescent="0.3">
      <c r="A1660" t="s">
        <v>7</v>
      </c>
      <c r="B1660">
        <v>18971269</v>
      </c>
      <c r="C1660" t="s">
        <v>8</v>
      </c>
      <c r="D1660" s="4">
        <v>45931</v>
      </c>
      <c r="E1660" s="11">
        <f t="shared" si="100"/>
        <v>2025</v>
      </c>
      <c r="F1660" s="11">
        <f t="shared" si="101"/>
        <v>10</v>
      </c>
      <c r="G1660" s="11" t="str">
        <f t="shared" si="102"/>
        <v>202510</v>
      </c>
      <c r="I1660" s="5">
        <v>9999</v>
      </c>
      <c r="J1660" s="5">
        <v>333.3</v>
      </c>
      <c r="K1660" s="5">
        <f t="shared" si="103"/>
        <v>0</v>
      </c>
      <c r="L1660" s="5">
        <v>0</v>
      </c>
      <c r="M1660" s="5">
        <v>0</v>
      </c>
      <c r="N1660" t="s">
        <v>12</v>
      </c>
      <c r="O1660" s="8">
        <v>25.953424657534246</v>
      </c>
      <c r="P1660" t="s">
        <v>33</v>
      </c>
      <c r="Q1660">
        <v>2</v>
      </c>
      <c r="R1660" s="2">
        <v>36458</v>
      </c>
    </row>
    <row r="1661" spans="1:18" x14ac:dyDescent="0.3">
      <c r="A1661" t="s">
        <v>7</v>
      </c>
      <c r="B1661">
        <v>18971271</v>
      </c>
      <c r="C1661" t="s">
        <v>8</v>
      </c>
      <c r="D1661" s="4">
        <v>45931</v>
      </c>
      <c r="E1661" s="11">
        <f t="shared" si="100"/>
        <v>2025</v>
      </c>
      <c r="F1661" s="11">
        <f t="shared" si="101"/>
        <v>10</v>
      </c>
      <c r="G1661" s="11" t="str">
        <f t="shared" si="102"/>
        <v>202510</v>
      </c>
      <c r="I1661" s="5">
        <v>9999</v>
      </c>
      <c r="J1661" s="5">
        <v>333.3</v>
      </c>
      <c r="K1661" s="5">
        <f t="shared" si="103"/>
        <v>0</v>
      </c>
      <c r="L1661" s="5">
        <v>0</v>
      </c>
      <c r="M1661" s="5">
        <v>0</v>
      </c>
      <c r="N1661" t="s">
        <v>12</v>
      </c>
      <c r="O1661" s="8">
        <v>40.246575342465754</v>
      </c>
      <c r="P1661" t="s">
        <v>35</v>
      </c>
      <c r="Q1661">
        <v>4</v>
      </c>
      <c r="R1661" s="2">
        <v>31241</v>
      </c>
    </row>
    <row r="1662" spans="1:18" x14ac:dyDescent="0.3">
      <c r="A1662" t="s">
        <v>7</v>
      </c>
      <c r="B1662">
        <v>18971272</v>
      </c>
      <c r="C1662" t="s">
        <v>8</v>
      </c>
      <c r="D1662" s="4">
        <v>45931</v>
      </c>
      <c r="E1662" s="11">
        <f t="shared" si="100"/>
        <v>2025</v>
      </c>
      <c r="F1662" s="11">
        <f t="shared" si="101"/>
        <v>10</v>
      </c>
      <c r="G1662" s="11" t="str">
        <f t="shared" si="102"/>
        <v>202510</v>
      </c>
      <c r="I1662" s="5">
        <v>9999</v>
      </c>
      <c r="J1662" s="5">
        <v>333.3</v>
      </c>
      <c r="K1662" s="5">
        <f t="shared" si="103"/>
        <v>0</v>
      </c>
      <c r="L1662" s="5">
        <v>0</v>
      </c>
      <c r="M1662" s="5">
        <v>0</v>
      </c>
      <c r="N1662" t="s">
        <v>12</v>
      </c>
      <c r="O1662" s="8">
        <v>24.356164383561644</v>
      </c>
      <c r="P1662" t="s">
        <v>33</v>
      </c>
      <c r="Q1662">
        <v>2</v>
      </c>
      <c r="R1662" s="2">
        <v>37041</v>
      </c>
    </row>
    <row r="1663" spans="1:18" x14ac:dyDescent="0.3">
      <c r="A1663" t="s">
        <v>7</v>
      </c>
      <c r="B1663">
        <v>18971274</v>
      </c>
      <c r="C1663" t="s">
        <v>8</v>
      </c>
      <c r="D1663" s="4">
        <v>45931</v>
      </c>
      <c r="E1663" s="11">
        <f t="shared" si="100"/>
        <v>2025</v>
      </c>
      <c r="F1663" s="11">
        <f t="shared" si="101"/>
        <v>10</v>
      </c>
      <c r="G1663" s="11" t="str">
        <f t="shared" si="102"/>
        <v>202510</v>
      </c>
      <c r="I1663" s="5">
        <v>9999</v>
      </c>
      <c r="J1663" s="5">
        <v>333.3</v>
      </c>
      <c r="K1663" s="5">
        <f t="shared" si="103"/>
        <v>0</v>
      </c>
      <c r="L1663" s="5">
        <v>0</v>
      </c>
      <c r="M1663" s="5">
        <v>0</v>
      </c>
      <c r="N1663" t="s">
        <v>12</v>
      </c>
      <c r="O1663" s="8">
        <v>41.523287671232879</v>
      </c>
      <c r="P1663" t="s">
        <v>35</v>
      </c>
      <c r="Q1663">
        <v>4</v>
      </c>
      <c r="R1663" s="2">
        <v>30775</v>
      </c>
    </row>
    <row r="1664" spans="1:18" x14ac:dyDescent="0.3">
      <c r="A1664" t="s">
        <v>7</v>
      </c>
      <c r="B1664">
        <v>18971275</v>
      </c>
      <c r="C1664" t="s">
        <v>8</v>
      </c>
      <c r="D1664" s="4">
        <v>45931</v>
      </c>
      <c r="E1664" s="11">
        <f t="shared" si="100"/>
        <v>2025</v>
      </c>
      <c r="F1664" s="11">
        <f t="shared" si="101"/>
        <v>10</v>
      </c>
      <c r="G1664" s="11" t="str">
        <f t="shared" si="102"/>
        <v>202510</v>
      </c>
      <c r="I1664" s="5">
        <v>9999</v>
      </c>
      <c r="J1664" s="5">
        <v>333.3</v>
      </c>
      <c r="K1664" s="5">
        <f t="shared" si="103"/>
        <v>0</v>
      </c>
      <c r="L1664" s="5">
        <v>0</v>
      </c>
      <c r="M1664" s="5">
        <v>0</v>
      </c>
      <c r="N1664" t="s">
        <v>12</v>
      </c>
      <c r="O1664" s="8">
        <v>29.709589041095889</v>
      </c>
      <c r="P1664" t="s">
        <v>34</v>
      </c>
      <c r="Q1664">
        <v>3</v>
      </c>
      <c r="R1664" s="2">
        <v>35087</v>
      </c>
    </row>
    <row r="1665" spans="1:18" x14ac:dyDescent="0.3">
      <c r="A1665" t="s">
        <v>7</v>
      </c>
      <c r="B1665">
        <v>18971276</v>
      </c>
      <c r="C1665" t="s">
        <v>8</v>
      </c>
      <c r="D1665" s="4">
        <v>45931</v>
      </c>
      <c r="E1665" s="11">
        <f t="shared" si="100"/>
        <v>2025</v>
      </c>
      <c r="F1665" s="11">
        <f t="shared" si="101"/>
        <v>10</v>
      </c>
      <c r="G1665" s="11" t="str">
        <f t="shared" si="102"/>
        <v>202510</v>
      </c>
      <c r="I1665" s="5">
        <v>9999</v>
      </c>
      <c r="J1665" s="5">
        <v>333.3</v>
      </c>
      <c r="K1665" s="5">
        <f t="shared" si="103"/>
        <v>0</v>
      </c>
      <c r="L1665" s="5">
        <v>0</v>
      </c>
      <c r="M1665" s="5">
        <v>0</v>
      </c>
      <c r="N1665" t="s">
        <v>12</v>
      </c>
      <c r="O1665" s="8">
        <v>26.556164383561644</v>
      </c>
      <c r="P1665" t="s">
        <v>34</v>
      </c>
      <c r="Q1665">
        <v>3</v>
      </c>
      <c r="R1665" s="2">
        <v>36238</v>
      </c>
    </row>
    <row r="1666" spans="1:18" x14ac:dyDescent="0.3">
      <c r="A1666" t="s">
        <v>7</v>
      </c>
      <c r="B1666">
        <v>18971278</v>
      </c>
      <c r="C1666" t="s">
        <v>8</v>
      </c>
      <c r="D1666" s="4">
        <v>45931</v>
      </c>
      <c r="E1666" s="11">
        <f t="shared" si="100"/>
        <v>2025</v>
      </c>
      <c r="F1666" s="11">
        <f t="shared" si="101"/>
        <v>10</v>
      </c>
      <c r="G1666" s="11" t="str">
        <f t="shared" si="102"/>
        <v>202510</v>
      </c>
      <c r="H1666" s="4">
        <v>45939</v>
      </c>
      <c r="I1666" s="5">
        <v>8</v>
      </c>
      <c r="J1666" s="5">
        <v>0.26666666666666666</v>
      </c>
      <c r="K1666" s="5">
        <f t="shared" si="103"/>
        <v>1</v>
      </c>
      <c r="L1666" s="5">
        <v>1</v>
      </c>
      <c r="M1666" s="5">
        <v>1</v>
      </c>
      <c r="N1666" t="s">
        <v>12</v>
      </c>
      <c r="O1666" s="8">
        <v>24.947945205479453</v>
      </c>
      <c r="P1666" t="s">
        <v>33</v>
      </c>
      <c r="Q1666">
        <v>2</v>
      </c>
      <c r="R1666" s="2">
        <v>36825</v>
      </c>
    </row>
    <row r="1667" spans="1:18" x14ac:dyDescent="0.3">
      <c r="A1667" t="s">
        <v>7</v>
      </c>
      <c r="B1667">
        <v>18971281</v>
      </c>
      <c r="C1667" t="s">
        <v>8</v>
      </c>
      <c r="D1667" s="4">
        <v>45931</v>
      </c>
      <c r="E1667" s="11">
        <f t="shared" ref="E1667:E1730" si="104">+YEAR(D1667)</f>
        <v>2025</v>
      </c>
      <c r="F1667" s="11">
        <f t="shared" ref="F1667:F1730" si="105">+MONTH(D1667)</f>
        <v>10</v>
      </c>
      <c r="G1667" s="11" t="str">
        <f t="shared" ref="G1667:G1730" si="106">+TEXT(D1667, "yyymm")</f>
        <v>202510</v>
      </c>
      <c r="I1667" s="5">
        <v>9999</v>
      </c>
      <c r="J1667" s="5">
        <v>333.3</v>
      </c>
      <c r="K1667" s="5">
        <f t="shared" ref="K1667:K1730" si="107">IF(J1667&lt;=1,1,0)</f>
        <v>0</v>
      </c>
      <c r="L1667" s="5">
        <v>0</v>
      </c>
      <c r="M1667" s="5">
        <v>0</v>
      </c>
      <c r="N1667" t="s">
        <v>12</v>
      </c>
      <c r="O1667" s="8">
        <v>25.969863013698632</v>
      </c>
      <c r="P1667" t="s">
        <v>33</v>
      </c>
      <c r="Q1667">
        <v>2</v>
      </c>
      <c r="R1667" s="2">
        <v>36452</v>
      </c>
    </row>
    <row r="1668" spans="1:18" x14ac:dyDescent="0.3">
      <c r="A1668" t="s">
        <v>7</v>
      </c>
      <c r="B1668">
        <v>18971282</v>
      </c>
      <c r="C1668" t="s">
        <v>8</v>
      </c>
      <c r="D1668" s="4">
        <v>45931</v>
      </c>
      <c r="E1668" s="11">
        <f t="shared" si="104"/>
        <v>2025</v>
      </c>
      <c r="F1668" s="11">
        <f t="shared" si="105"/>
        <v>10</v>
      </c>
      <c r="G1668" s="11" t="str">
        <f t="shared" si="106"/>
        <v>202510</v>
      </c>
      <c r="H1668" s="4">
        <v>45991</v>
      </c>
      <c r="I1668" s="5">
        <v>60</v>
      </c>
      <c r="J1668" s="5">
        <v>2</v>
      </c>
      <c r="K1668" s="5">
        <f t="shared" si="107"/>
        <v>0</v>
      </c>
      <c r="L1668" s="5">
        <v>1</v>
      </c>
      <c r="M1668" s="5">
        <v>1</v>
      </c>
      <c r="N1668" t="s">
        <v>12</v>
      </c>
      <c r="O1668" s="8">
        <v>29.917808219178081</v>
      </c>
      <c r="P1668" t="s">
        <v>34</v>
      </c>
      <c r="Q1668">
        <v>3</v>
      </c>
      <c r="R1668" s="2">
        <v>35011</v>
      </c>
    </row>
    <row r="1669" spans="1:18" x14ac:dyDescent="0.3">
      <c r="A1669" t="s">
        <v>11</v>
      </c>
      <c r="B1669">
        <v>18971284</v>
      </c>
      <c r="C1669" t="s">
        <v>8</v>
      </c>
      <c r="D1669" s="4">
        <v>45931</v>
      </c>
      <c r="E1669" s="11">
        <f t="shared" si="104"/>
        <v>2025</v>
      </c>
      <c r="F1669" s="11">
        <f t="shared" si="105"/>
        <v>10</v>
      </c>
      <c r="G1669" s="11" t="str">
        <f t="shared" si="106"/>
        <v>202510</v>
      </c>
      <c r="I1669" s="5">
        <v>9999</v>
      </c>
      <c r="J1669" s="5">
        <v>333.3</v>
      </c>
      <c r="K1669" s="5">
        <f t="shared" si="107"/>
        <v>0</v>
      </c>
      <c r="L1669" s="5">
        <v>0</v>
      </c>
      <c r="M1669" s="5">
        <v>0</v>
      </c>
      <c r="N1669" t="s">
        <v>12</v>
      </c>
      <c r="O1669" s="8">
        <v>23.210958904109589</v>
      </c>
      <c r="P1669" t="s">
        <v>33</v>
      </c>
      <c r="Q1669">
        <v>2</v>
      </c>
      <c r="R1669" s="2">
        <v>37459</v>
      </c>
    </row>
    <row r="1670" spans="1:18" x14ac:dyDescent="0.3">
      <c r="A1670" t="s">
        <v>7</v>
      </c>
      <c r="B1670">
        <v>18971286</v>
      </c>
      <c r="C1670" t="s">
        <v>10</v>
      </c>
      <c r="D1670" s="4">
        <v>45931</v>
      </c>
      <c r="E1670" s="11">
        <f t="shared" si="104"/>
        <v>2025</v>
      </c>
      <c r="F1670" s="11">
        <f t="shared" si="105"/>
        <v>10</v>
      </c>
      <c r="G1670" s="11" t="str">
        <f t="shared" si="106"/>
        <v>202510</v>
      </c>
      <c r="H1670" s="4">
        <v>45991</v>
      </c>
      <c r="I1670" s="5">
        <v>60</v>
      </c>
      <c r="J1670" s="5">
        <v>2</v>
      </c>
      <c r="K1670" s="5">
        <f t="shared" si="107"/>
        <v>0</v>
      </c>
      <c r="L1670" s="5">
        <v>1</v>
      </c>
      <c r="M1670" s="5">
        <v>1</v>
      </c>
      <c r="N1670" t="s">
        <v>12</v>
      </c>
      <c r="O1670" s="8">
        <v>29.605479452054794</v>
      </c>
      <c r="P1670" t="s">
        <v>34</v>
      </c>
      <c r="Q1670">
        <v>3</v>
      </c>
      <c r="R1670" s="2">
        <v>35125</v>
      </c>
    </row>
    <row r="1671" spans="1:18" x14ac:dyDescent="0.3">
      <c r="A1671" t="s">
        <v>7</v>
      </c>
      <c r="B1671">
        <v>18971287</v>
      </c>
      <c r="C1671" t="s">
        <v>8</v>
      </c>
      <c r="D1671" s="4">
        <v>45931</v>
      </c>
      <c r="E1671" s="11">
        <f t="shared" si="104"/>
        <v>2025</v>
      </c>
      <c r="F1671" s="11">
        <f t="shared" si="105"/>
        <v>10</v>
      </c>
      <c r="G1671" s="11" t="str">
        <f t="shared" si="106"/>
        <v>202510</v>
      </c>
      <c r="H1671" s="4">
        <v>45939</v>
      </c>
      <c r="I1671" s="5">
        <v>8</v>
      </c>
      <c r="J1671" s="5">
        <v>0.26666666666666666</v>
      </c>
      <c r="K1671" s="5">
        <f t="shared" si="107"/>
        <v>1</v>
      </c>
      <c r="L1671" s="5">
        <v>1</v>
      </c>
      <c r="M1671" s="5">
        <v>1</v>
      </c>
      <c r="N1671" t="s">
        <v>12</v>
      </c>
      <c r="O1671" s="8">
        <v>32.841095890410962</v>
      </c>
      <c r="P1671" t="s">
        <v>35</v>
      </c>
      <c r="Q1671">
        <v>4</v>
      </c>
      <c r="R1671" s="2">
        <v>33944</v>
      </c>
    </row>
    <row r="1672" spans="1:18" x14ac:dyDescent="0.3">
      <c r="A1672" t="s">
        <v>11</v>
      </c>
      <c r="B1672">
        <v>18971288</v>
      </c>
      <c r="C1672" t="s">
        <v>10</v>
      </c>
      <c r="D1672" s="4">
        <v>45931</v>
      </c>
      <c r="E1672" s="11">
        <f t="shared" si="104"/>
        <v>2025</v>
      </c>
      <c r="F1672" s="11">
        <f t="shared" si="105"/>
        <v>10</v>
      </c>
      <c r="G1672" s="11" t="str">
        <f t="shared" si="106"/>
        <v>202510</v>
      </c>
      <c r="I1672" s="5">
        <v>9999</v>
      </c>
      <c r="J1672" s="5">
        <v>333.3</v>
      </c>
      <c r="K1672" s="5">
        <f t="shared" si="107"/>
        <v>0</v>
      </c>
      <c r="L1672" s="5">
        <v>0</v>
      </c>
      <c r="M1672" s="5">
        <v>0</v>
      </c>
      <c r="N1672" t="s">
        <v>12</v>
      </c>
      <c r="O1672" s="8">
        <v>36.386301369863013</v>
      </c>
      <c r="P1672" t="s">
        <v>35</v>
      </c>
      <c r="Q1672">
        <v>4</v>
      </c>
      <c r="R1672" s="2">
        <v>32650</v>
      </c>
    </row>
    <row r="1673" spans="1:18" x14ac:dyDescent="0.3">
      <c r="A1673" t="s">
        <v>7</v>
      </c>
      <c r="B1673">
        <v>18971289</v>
      </c>
      <c r="C1673" t="s">
        <v>8</v>
      </c>
      <c r="D1673" s="4">
        <v>45931</v>
      </c>
      <c r="E1673" s="11">
        <f t="shared" si="104"/>
        <v>2025</v>
      </c>
      <c r="F1673" s="11">
        <f t="shared" si="105"/>
        <v>10</v>
      </c>
      <c r="G1673" s="11" t="str">
        <f t="shared" si="106"/>
        <v>202510</v>
      </c>
      <c r="I1673" s="5">
        <v>9999</v>
      </c>
      <c r="J1673" s="5">
        <v>333.3</v>
      </c>
      <c r="K1673" s="5">
        <f t="shared" si="107"/>
        <v>0</v>
      </c>
      <c r="L1673" s="5">
        <v>0</v>
      </c>
      <c r="M1673" s="5">
        <v>0</v>
      </c>
      <c r="N1673" t="s">
        <v>12</v>
      </c>
      <c r="O1673" s="8">
        <v>29.605479452054794</v>
      </c>
      <c r="P1673" t="s">
        <v>34</v>
      </c>
      <c r="Q1673">
        <v>3</v>
      </c>
      <c r="R1673" s="2">
        <v>35125</v>
      </c>
    </row>
    <row r="1674" spans="1:18" x14ac:dyDescent="0.3">
      <c r="A1674" t="s">
        <v>7</v>
      </c>
      <c r="B1674">
        <v>18971293</v>
      </c>
      <c r="C1674" t="s">
        <v>8</v>
      </c>
      <c r="D1674" s="4">
        <v>45931</v>
      </c>
      <c r="E1674" s="11">
        <f t="shared" si="104"/>
        <v>2025</v>
      </c>
      <c r="F1674" s="11">
        <f t="shared" si="105"/>
        <v>10</v>
      </c>
      <c r="G1674" s="11" t="str">
        <f t="shared" si="106"/>
        <v>202510</v>
      </c>
      <c r="H1674" s="4">
        <v>46023</v>
      </c>
      <c r="I1674" s="5">
        <v>92</v>
      </c>
      <c r="J1674" s="5">
        <v>3.0666666666666669</v>
      </c>
      <c r="K1674" s="5">
        <f t="shared" si="107"/>
        <v>0</v>
      </c>
      <c r="L1674" s="5">
        <v>0</v>
      </c>
      <c r="M1674" s="5">
        <v>1</v>
      </c>
      <c r="N1674" t="s">
        <v>12</v>
      </c>
      <c r="O1674" s="8">
        <v>26.69041095890411</v>
      </c>
      <c r="P1674" t="s">
        <v>34</v>
      </c>
      <c r="Q1674">
        <v>3</v>
      </c>
      <c r="R1674" s="2">
        <v>36189</v>
      </c>
    </row>
    <row r="1675" spans="1:18" x14ac:dyDescent="0.3">
      <c r="A1675" t="s">
        <v>7</v>
      </c>
      <c r="B1675">
        <v>18971299</v>
      </c>
      <c r="C1675" t="s">
        <v>8</v>
      </c>
      <c r="D1675" s="4">
        <v>45931</v>
      </c>
      <c r="E1675" s="11">
        <f t="shared" si="104"/>
        <v>2025</v>
      </c>
      <c r="F1675" s="11">
        <f t="shared" si="105"/>
        <v>10</v>
      </c>
      <c r="G1675" s="11" t="str">
        <f t="shared" si="106"/>
        <v>202510</v>
      </c>
      <c r="H1675" s="4">
        <v>46069</v>
      </c>
      <c r="I1675" s="5">
        <v>138</v>
      </c>
      <c r="J1675" s="5">
        <v>4.5999999999999996</v>
      </c>
      <c r="K1675" s="5">
        <f t="shared" si="107"/>
        <v>0</v>
      </c>
      <c r="L1675" s="5">
        <v>0</v>
      </c>
      <c r="M1675" s="5">
        <v>1</v>
      </c>
      <c r="N1675" t="s">
        <v>12</v>
      </c>
      <c r="O1675" s="8">
        <v>26.002739726027396</v>
      </c>
      <c r="P1675" t="s">
        <v>34</v>
      </c>
      <c r="Q1675">
        <v>3</v>
      </c>
      <c r="R1675" s="2">
        <v>36440</v>
      </c>
    </row>
    <row r="1676" spans="1:18" x14ac:dyDescent="0.3">
      <c r="A1676" t="s">
        <v>7</v>
      </c>
      <c r="B1676">
        <v>18971300</v>
      </c>
      <c r="C1676" t="s">
        <v>8</v>
      </c>
      <c r="D1676" s="4">
        <v>45931</v>
      </c>
      <c r="E1676" s="11">
        <f t="shared" si="104"/>
        <v>2025</v>
      </c>
      <c r="F1676" s="11">
        <f t="shared" si="105"/>
        <v>10</v>
      </c>
      <c r="G1676" s="11" t="str">
        <f t="shared" si="106"/>
        <v>202510</v>
      </c>
      <c r="H1676" s="4">
        <v>46069</v>
      </c>
      <c r="I1676" s="5">
        <v>138</v>
      </c>
      <c r="J1676" s="5">
        <v>4.5999999999999996</v>
      </c>
      <c r="K1676" s="5">
        <f t="shared" si="107"/>
        <v>0</v>
      </c>
      <c r="L1676" s="5">
        <v>0</v>
      </c>
      <c r="M1676" s="5">
        <v>1</v>
      </c>
      <c r="N1676" t="s">
        <v>12</v>
      </c>
      <c r="O1676" s="8">
        <v>33.786301369863011</v>
      </c>
      <c r="P1676" t="s">
        <v>35</v>
      </c>
      <c r="Q1676">
        <v>4</v>
      </c>
      <c r="R1676" s="2">
        <v>33599</v>
      </c>
    </row>
    <row r="1677" spans="1:18" x14ac:dyDescent="0.3">
      <c r="A1677" t="s">
        <v>7</v>
      </c>
      <c r="B1677">
        <v>18971301</v>
      </c>
      <c r="C1677" t="s">
        <v>8</v>
      </c>
      <c r="D1677" s="4">
        <v>45931</v>
      </c>
      <c r="E1677" s="11">
        <f t="shared" si="104"/>
        <v>2025</v>
      </c>
      <c r="F1677" s="11">
        <f t="shared" si="105"/>
        <v>10</v>
      </c>
      <c r="G1677" s="11" t="str">
        <f t="shared" si="106"/>
        <v>202510</v>
      </c>
      <c r="H1677" s="4">
        <v>46153</v>
      </c>
      <c r="I1677" s="5">
        <v>222</v>
      </c>
      <c r="J1677" s="5">
        <v>7.4</v>
      </c>
      <c r="K1677" s="5">
        <f t="shared" si="107"/>
        <v>0</v>
      </c>
      <c r="L1677" s="5">
        <v>0</v>
      </c>
      <c r="M1677" s="5">
        <v>0</v>
      </c>
      <c r="N1677" t="s">
        <v>12</v>
      </c>
      <c r="O1677" s="8">
        <v>26.846575342465755</v>
      </c>
      <c r="P1677" t="s">
        <v>34</v>
      </c>
      <c r="Q1677">
        <v>3</v>
      </c>
      <c r="R1677" s="2">
        <v>36132</v>
      </c>
    </row>
    <row r="1678" spans="1:18" x14ac:dyDescent="0.3">
      <c r="A1678" t="s">
        <v>7</v>
      </c>
      <c r="B1678">
        <v>18971305</v>
      </c>
      <c r="C1678" t="s">
        <v>8</v>
      </c>
      <c r="D1678" s="4">
        <v>45931</v>
      </c>
      <c r="E1678" s="11">
        <f t="shared" si="104"/>
        <v>2025</v>
      </c>
      <c r="F1678" s="11">
        <f t="shared" si="105"/>
        <v>10</v>
      </c>
      <c r="G1678" s="11" t="str">
        <f t="shared" si="106"/>
        <v>202510</v>
      </c>
      <c r="H1678" s="4">
        <v>46173</v>
      </c>
      <c r="I1678" s="5">
        <v>242</v>
      </c>
      <c r="J1678" s="5">
        <v>8.0666666666666664</v>
      </c>
      <c r="K1678" s="5">
        <f t="shared" si="107"/>
        <v>0</v>
      </c>
      <c r="L1678" s="5">
        <v>0</v>
      </c>
      <c r="M1678" s="5">
        <v>0</v>
      </c>
      <c r="N1678" t="s">
        <v>12</v>
      </c>
      <c r="O1678" s="8">
        <v>23.857534246575341</v>
      </c>
      <c r="P1678" t="s">
        <v>33</v>
      </c>
      <c r="Q1678">
        <v>2</v>
      </c>
      <c r="R1678" s="2">
        <v>37223</v>
      </c>
    </row>
    <row r="1679" spans="1:18" x14ac:dyDescent="0.3">
      <c r="A1679" t="s">
        <v>7</v>
      </c>
      <c r="B1679">
        <v>18971306</v>
      </c>
      <c r="C1679" t="s">
        <v>8</v>
      </c>
      <c r="D1679" s="4">
        <v>45931</v>
      </c>
      <c r="E1679" s="11">
        <f t="shared" si="104"/>
        <v>2025</v>
      </c>
      <c r="F1679" s="11">
        <f t="shared" si="105"/>
        <v>10</v>
      </c>
      <c r="G1679" s="11" t="str">
        <f t="shared" si="106"/>
        <v>202510</v>
      </c>
      <c r="I1679" s="5">
        <v>9999</v>
      </c>
      <c r="J1679" s="5">
        <v>333.3</v>
      </c>
      <c r="K1679" s="5">
        <f t="shared" si="107"/>
        <v>0</v>
      </c>
      <c r="L1679" s="5">
        <v>0</v>
      </c>
      <c r="M1679" s="5">
        <v>0</v>
      </c>
      <c r="N1679" t="s">
        <v>12</v>
      </c>
      <c r="O1679" s="8">
        <v>30.257534246575343</v>
      </c>
      <c r="P1679" t="s">
        <v>34</v>
      </c>
      <c r="Q1679">
        <v>3</v>
      </c>
      <c r="R1679" s="2">
        <v>34887</v>
      </c>
    </row>
    <row r="1680" spans="1:18" x14ac:dyDescent="0.3">
      <c r="A1680" t="s">
        <v>11</v>
      </c>
      <c r="B1680">
        <v>18971307</v>
      </c>
      <c r="C1680" t="s">
        <v>8</v>
      </c>
      <c r="D1680" s="4">
        <v>45931</v>
      </c>
      <c r="E1680" s="11">
        <f t="shared" si="104"/>
        <v>2025</v>
      </c>
      <c r="F1680" s="11">
        <f t="shared" si="105"/>
        <v>10</v>
      </c>
      <c r="G1680" s="11" t="str">
        <f t="shared" si="106"/>
        <v>202510</v>
      </c>
      <c r="I1680" s="5">
        <v>9999</v>
      </c>
      <c r="J1680" s="5">
        <v>333.3</v>
      </c>
      <c r="K1680" s="5">
        <f t="shared" si="107"/>
        <v>0</v>
      </c>
      <c r="L1680" s="5">
        <v>0</v>
      </c>
      <c r="M1680" s="5">
        <v>0</v>
      </c>
      <c r="N1680" t="s">
        <v>12</v>
      </c>
      <c r="O1680" s="8">
        <v>27.361643835616437</v>
      </c>
      <c r="P1680" t="s">
        <v>34</v>
      </c>
      <c r="Q1680">
        <v>3</v>
      </c>
      <c r="R1680" s="2">
        <v>35944</v>
      </c>
    </row>
    <row r="1681" spans="1:18" x14ac:dyDescent="0.3">
      <c r="A1681" t="s">
        <v>7</v>
      </c>
      <c r="B1681">
        <v>18971309</v>
      </c>
      <c r="C1681" t="s">
        <v>8</v>
      </c>
      <c r="D1681" s="4">
        <v>45931</v>
      </c>
      <c r="E1681" s="11">
        <f t="shared" si="104"/>
        <v>2025</v>
      </c>
      <c r="F1681" s="11">
        <f t="shared" si="105"/>
        <v>10</v>
      </c>
      <c r="G1681" s="11" t="str">
        <f t="shared" si="106"/>
        <v>202510</v>
      </c>
      <c r="H1681" s="4">
        <v>45939</v>
      </c>
      <c r="I1681" s="5">
        <v>8</v>
      </c>
      <c r="J1681" s="5">
        <v>0.26666666666666666</v>
      </c>
      <c r="K1681" s="5">
        <f t="shared" si="107"/>
        <v>1</v>
      </c>
      <c r="L1681" s="5">
        <v>1</v>
      </c>
      <c r="M1681" s="5">
        <v>1</v>
      </c>
      <c r="N1681" t="s">
        <v>12</v>
      </c>
      <c r="O1681" s="8">
        <v>38.106849315068494</v>
      </c>
      <c r="P1681" t="s">
        <v>35</v>
      </c>
      <c r="Q1681">
        <v>4</v>
      </c>
      <c r="R1681" s="2">
        <v>32022</v>
      </c>
    </row>
    <row r="1682" spans="1:18" x14ac:dyDescent="0.3">
      <c r="A1682" t="s">
        <v>7</v>
      </c>
      <c r="B1682">
        <v>18971311</v>
      </c>
      <c r="C1682" t="s">
        <v>10</v>
      </c>
      <c r="D1682" s="4">
        <v>45931</v>
      </c>
      <c r="E1682" s="11">
        <f t="shared" si="104"/>
        <v>2025</v>
      </c>
      <c r="F1682" s="11">
        <f t="shared" si="105"/>
        <v>10</v>
      </c>
      <c r="G1682" s="11" t="str">
        <f t="shared" si="106"/>
        <v>202510</v>
      </c>
      <c r="I1682" s="5">
        <v>9999</v>
      </c>
      <c r="J1682" s="5">
        <v>333.3</v>
      </c>
      <c r="K1682" s="5">
        <f t="shared" si="107"/>
        <v>0</v>
      </c>
      <c r="L1682" s="5">
        <v>0</v>
      </c>
      <c r="M1682" s="5">
        <v>0</v>
      </c>
      <c r="N1682" t="s">
        <v>12</v>
      </c>
      <c r="O1682" s="8">
        <v>32.561643835616437</v>
      </c>
      <c r="P1682" t="s">
        <v>35</v>
      </c>
      <c r="Q1682">
        <v>4</v>
      </c>
      <c r="R1682" s="2">
        <v>34046</v>
      </c>
    </row>
    <row r="1683" spans="1:18" x14ac:dyDescent="0.3">
      <c r="A1683" t="s">
        <v>7</v>
      </c>
      <c r="B1683">
        <v>18971313</v>
      </c>
      <c r="C1683" t="s">
        <v>8</v>
      </c>
      <c r="D1683" s="4">
        <v>45931</v>
      </c>
      <c r="E1683" s="11">
        <f t="shared" si="104"/>
        <v>2025</v>
      </c>
      <c r="F1683" s="11">
        <f t="shared" si="105"/>
        <v>10</v>
      </c>
      <c r="G1683" s="11" t="str">
        <f t="shared" si="106"/>
        <v>202510</v>
      </c>
      <c r="I1683" s="5">
        <v>9999</v>
      </c>
      <c r="J1683" s="5">
        <v>333.3</v>
      </c>
      <c r="K1683" s="5">
        <f t="shared" si="107"/>
        <v>0</v>
      </c>
      <c r="L1683" s="5">
        <v>0</v>
      </c>
      <c r="M1683" s="5">
        <v>0</v>
      </c>
      <c r="N1683" t="s">
        <v>12</v>
      </c>
      <c r="O1683" s="8">
        <v>29.895890410958906</v>
      </c>
      <c r="P1683" t="s">
        <v>34</v>
      </c>
      <c r="Q1683">
        <v>3</v>
      </c>
      <c r="R1683" s="2">
        <v>35019</v>
      </c>
    </row>
    <row r="1684" spans="1:18" x14ac:dyDescent="0.3">
      <c r="A1684" t="s">
        <v>11</v>
      </c>
      <c r="B1684">
        <v>18971320</v>
      </c>
      <c r="C1684" t="s">
        <v>8</v>
      </c>
      <c r="D1684" s="4">
        <v>45931</v>
      </c>
      <c r="E1684" s="11">
        <f t="shared" si="104"/>
        <v>2025</v>
      </c>
      <c r="F1684" s="11">
        <f t="shared" si="105"/>
        <v>10</v>
      </c>
      <c r="G1684" s="11" t="str">
        <f t="shared" si="106"/>
        <v>202510</v>
      </c>
      <c r="I1684" s="5">
        <v>9999</v>
      </c>
      <c r="J1684" s="5">
        <v>333.3</v>
      </c>
      <c r="K1684" s="5">
        <f t="shared" si="107"/>
        <v>0</v>
      </c>
      <c r="L1684" s="5">
        <v>0</v>
      </c>
      <c r="M1684" s="5">
        <v>0</v>
      </c>
      <c r="N1684" t="s">
        <v>12</v>
      </c>
      <c r="O1684" s="8">
        <v>30.865753424657534</v>
      </c>
      <c r="P1684" t="s">
        <v>34</v>
      </c>
      <c r="Q1684">
        <v>3</v>
      </c>
      <c r="R1684" s="2">
        <v>34665</v>
      </c>
    </row>
    <row r="1685" spans="1:18" x14ac:dyDescent="0.3">
      <c r="A1685" t="s">
        <v>7</v>
      </c>
      <c r="B1685">
        <v>18971321</v>
      </c>
      <c r="C1685" t="s">
        <v>8</v>
      </c>
      <c r="D1685" s="4">
        <v>45931</v>
      </c>
      <c r="E1685" s="11">
        <f t="shared" si="104"/>
        <v>2025</v>
      </c>
      <c r="F1685" s="11">
        <f t="shared" si="105"/>
        <v>10</v>
      </c>
      <c r="G1685" s="11" t="str">
        <f t="shared" si="106"/>
        <v>202510</v>
      </c>
      <c r="I1685" s="5">
        <v>9999</v>
      </c>
      <c r="J1685" s="5">
        <v>333.3</v>
      </c>
      <c r="K1685" s="5">
        <f t="shared" si="107"/>
        <v>0</v>
      </c>
      <c r="L1685" s="5">
        <v>0</v>
      </c>
      <c r="M1685" s="5">
        <v>0</v>
      </c>
      <c r="N1685" t="s">
        <v>12</v>
      </c>
      <c r="O1685" s="8">
        <v>30.106849315068494</v>
      </c>
      <c r="P1685" t="s">
        <v>34</v>
      </c>
      <c r="Q1685">
        <v>3</v>
      </c>
      <c r="R1685" s="2">
        <v>34942</v>
      </c>
    </row>
    <row r="1686" spans="1:18" x14ac:dyDescent="0.3">
      <c r="A1686" t="s">
        <v>7</v>
      </c>
      <c r="B1686">
        <v>18971322</v>
      </c>
      <c r="C1686" t="s">
        <v>8</v>
      </c>
      <c r="D1686" s="4">
        <v>45931</v>
      </c>
      <c r="E1686" s="11">
        <f t="shared" si="104"/>
        <v>2025</v>
      </c>
      <c r="F1686" s="11">
        <f t="shared" si="105"/>
        <v>10</v>
      </c>
      <c r="G1686" s="11" t="str">
        <f t="shared" si="106"/>
        <v>202510</v>
      </c>
      <c r="I1686" s="5">
        <v>9999</v>
      </c>
      <c r="J1686" s="5">
        <v>333.3</v>
      </c>
      <c r="K1686" s="5">
        <f t="shared" si="107"/>
        <v>0</v>
      </c>
      <c r="L1686" s="5">
        <v>0</v>
      </c>
      <c r="M1686" s="5">
        <v>0</v>
      </c>
      <c r="N1686" t="s">
        <v>12</v>
      </c>
      <c r="O1686" s="8">
        <v>36.243835616438353</v>
      </c>
      <c r="P1686" t="s">
        <v>35</v>
      </c>
      <c r="Q1686">
        <v>4</v>
      </c>
      <c r="R1686" s="2">
        <v>32702</v>
      </c>
    </row>
    <row r="1687" spans="1:18" x14ac:dyDescent="0.3">
      <c r="A1687" t="s">
        <v>11</v>
      </c>
      <c r="B1687">
        <v>18971325</v>
      </c>
      <c r="C1687" t="s">
        <v>8</v>
      </c>
      <c r="D1687" s="4">
        <v>45931</v>
      </c>
      <c r="E1687" s="11">
        <f t="shared" si="104"/>
        <v>2025</v>
      </c>
      <c r="F1687" s="11">
        <f t="shared" si="105"/>
        <v>10</v>
      </c>
      <c r="G1687" s="11" t="str">
        <f t="shared" si="106"/>
        <v>202510</v>
      </c>
      <c r="I1687" s="5">
        <v>9999</v>
      </c>
      <c r="J1687" s="5">
        <v>333.3</v>
      </c>
      <c r="K1687" s="5">
        <f t="shared" si="107"/>
        <v>0</v>
      </c>
      <c r="L1687" s="5">
        <v>0</v>
      </c>
      <c r="M1687" s="5">
        <v>0</v>
      </c>
      <c r="N1687" t="s">
        <v>12</v>
      </c>
      <c r="O1687" s="8">
        <v>23.186301369863013</v>
      </c>
      <c r="P1687" t="s">
        <v>33</v>
      </c>
      <c r="Q1687">
        <v>2</v>
      </c>
      <c r="R1687" s="2">
        <v>37468</v>
      </c>
    </row>
    <row r="1688" spans="1:18" x14ac:dyDescent="0.3">
      <c r="A1688" t="s">
        <v>11</v>
      </c>
      <c r="B1688">
        <v>18971327</v>
      </c>
      <c r="C1688" t="s">
        <v>8</v>
      </c>
      <c r="D1688" s="4">
        <v>45931</v>
      </c>
      <c r="E1688" s="11">
        <f t="shared" si="104"/>
        <v>2025</v>
      </c>
      <c r="F1688" s="11">
        <f t="shared" si="105"/>
        <v>10</v>
      </c>
      <c r="G1688" s="11" t="str">
        <f t="shared" si="106"/>
        <v>202510</v>
      </c>
      <c r="I1688" s="5">
        <v>9999</v>
      </c>
      <c r="J1688" s="5">
        <v>333.3</v>
      </c>
      <c r="K1688" s="5">
        <f t="shared" si="107"/>
        <v>0</v>
      </c>
      <c r="L1688" s="5">
        <v>0</v>
      </c>
      <c r="M1688" s="5">
        <v>0</v>
      </c>
      <c r="N1688" t="s">
        <v>12</v>
      </c>
      <c r="O1688" s="8">
        <v>37.320547945205476</v>
      </c>
      <c r="P1688" t="s">
        <v>35</v>
      </c>
      <c r="Q1688">
        <v>4</v>
      </c>
      <c r="R1688" s="2">
        <v>32309</v>
      </c>
    </row>
    <row r="1689" spans="1:18" x14ac:dyDescent="0.3">
      <c r="A1689" t="s">
        <v>7</v>
      </c>
      <c r="B1689">
        <v>18971334</v>
      </c>
      <c r="C1689" t="s">
        <v>10</v>
      </c>
      <c r="D1689" s="4">
        <v>45931</v>
      </c>
      <c r="E1689" s="11">
        <f t="shared" si="104"/>
        <v>2025</v>
      </c>
      <c r="F1689" s="11">
        <f t="shared" si="105"/>
        <v>10</v>
      </c>
      <c r="G1689" s="11" t="str">
        <f t="shared" si="106"/>
        <v>202510</v>
      </c>
      <c r="I1689" s="5">
        <v>9999</v>
      </c>
      <c r="J1689" s="5">
        <v>333.3</v>
      </c>
      <c r="K1689" s="5">
        <f t="shared" si="107"/>
        <v>0</v>
      </c>
      <c r="L1689" s="5">
        <v>0</v>
      </c>
      <c r="M1689" s="5">
        <v>0</v>
      </c>
      <c r="N1689" t="s">
        <v>12</v>
      </c>
      <c r="O1689" s="8">
        <v>22.394520547945206</v>
      </c>
      <c r="P1689" t="s">
        <v>33</v>
      </c>
      <c r="Q1689">
        <v>2</v>
      </c>
      <c r="R1689" s="2">
        <v>37757</v>
      </c>
    </row>
    <row r="1690" spans="1:18" x14ac:dyDescent="0.3">
      <c r="A1690" t="s">
        <v>7</v>
      </c>
      <c r="B1690">
        <v>18971339</v>
      </c>
      <c r="C1690" t="s">
        <v>8</v>
      </c>
      <c r="D1690" s="4">
        <v>45931</v>
      </c>
      <c r="E1690" s="11">
        <f t="shared" si="104"/>
        <v>2025</v>
      </c>
      <c r="F1690" s="11">
        <f t="shared" si="105"/>
        <v>10</v>
      </c>
      <c r="G1690" s="11" t="str">
        <f t="shared" si="106"/>
        <v>202510</v>
      </c>
      <c r="H1690" s="4">
        <v>45939</v>
      </c>
      <c r="I1690" s="5">
        <v>8</v>
      </c>
      <c r="J1690" s="5">
        <v>0.26666666666666666</v>
      </c>
      <c r="K1690" s="5">
        <f t="shared" si="107"/>
        <v>1</v>
      </c>
      <c r="L1690" s="5">
        <v>1</v>
      </c>
      <c r="M1690" s="5">
        <v>1</v>
      </c>
      <c r="N1690" t="s">
        <v>12</v>
      </c>
      <c r="O1690" s="8">
        <v>36.695890410958903</v>
      </c>
      <c r="P1690" t="s">
        <v>35</v>
      </c>
      <c r="Q1690">
        <v>4</v>
      </c>
      <c r="R1690" s="2">
        <v>32537</v>
      </c>
    </row>
    <row r="1691" spans="1:18" x14ac:dyDescent="0.3">
      <c r="A1691" t="s">
        <v>7</v>
      </c>
      <c r="B1691">
        <v>18971341</v>
      </c>
      <c r="C1691" t="s">
        <v>10</v>
      </c>
      <c r="D1691" s="4">
        <v>45931</v>
      </c>
      <c r="E1691" s="11">
        <f t="shared" si="104"/>
        <v>2025</v>
      </c>
      <c r="F1691" s="11">
        <f t="shared" si="105"/>
        <v>10</v>
      </c>
      <c r="G1691" s="11" t="str">
        <f t="shared" si="106"/>
        <v>202510</v>
      </c>
      <c r="H1691" s="4">
        <v>45991</v>
      </c>
      <c r="I1691" s="5">
        <v>60</v>
      </c>
      <c r="J1691" s="5">
        <v>2</v>
      </c>
      <c r="K1691" s="5">
        <f t="shared" si="107"/>
        <v>0</v>
      </c>
      <c r="L1691" s="5">
        <v>1</v>
      </c>
      <c r="M1691" s="5">
        <v>1</v>
      </c>
      <c r="N1691" t="s">
        <v>12</v>
      </c>
      <c r="O1691" s="8">
        <v>20.775342465753425</v>
      </c>
      <c r="P1691" t="s">
        <v>32</v>
      </c>
      <c r="Q1691">
        <v>1</v>
      </c>
      <c r="R1691" s="2">
        <v>38348</v>
      </c>
    </row>
    <row r="1692" spans="1:18" x14ac:dyDescent="0.3">
      <c r="A1692" t="s">
        <v>7</v>
      </c>
      <c r="B1692">
        <v>18971373</v>
      </c>
      <c r="C1692" t="s">
        <v>8</v>
      </c>
      <c r="D1692" s="4">
        <v>45931</v>
      </c>
      <c r="E1692" s="11">
        <f t="shared" si="104"/>
        <v>2025</v>
      </c>
      <c r="F1692" s="11">
        <f t="shared" si="105"/>
        <v>10</v>
      </c>
      <c r="G1692" s="11" t="str">
        <f t="shared" si="106"/>
        <v>202510</v>
      </c>
      <c r="I1692" s="5">
        <v>9999</v>
      </c>
      <c r="J1692" s="5">
        <v>333.3</v>
      </c>
      <c r="K1692" s="5">
        <f t="shared" si="107"/>
        <v>0</v>
      </c>
      <c r="L1692" s="5">
        <v>0</v>
      </c>
      <c r="M1692" s="5">
        <v>0</v>
      </c>
      <c r="N1692" t="s">
        <v>12</v>
      </c>
      <c r="O1692" s="8">
        <v>27.969863013698632</v>
      </c>
      <c r="P1692" t="s">
        <v>34</v>
      </c>
      <c r="Q1692">
        <v>3</v>
      </c>
      <c r="R1692" s="2">
        <v>35722</v>
      </c>
    </row>
    <row r="1693" spans="1:18" x14ac:dyDescent="0.3">
      <c r="A1693" t="s">
        <v>7</v>
      </c>
      <c r="B1693">
        <v>18971374</v>
      </c>
      <c r="C1693" t="s">
        <v>10</v>
      </c>
      <c r="D1693" s="4">
        <v>45931</v>
      </c>
      <c r="E1693" s="11">
        <f t="shared" si="104"/>
        <v>2025</v>
      </c>
      <c r="F1693" s="11">
        <f t="shared" si="105"/>
        <v>10</v>
      </c>
      <c r="G1693" s="11" t="str">
        <f t="shared" si="106"/>
        <v>202510</v>
      </c>
      <c r="H1693" s="4">
        <v>46069</v>
      </c>
      <c r="I1693" s="5">
        <v>138</v>
      </c>
      <c r="J1693" s="5">
        <v>4.5999999999999996</v>
      </c>
      <c r="K1693" s="5">
        <f t="shared" si="107"/>
        <v>0</v>
      </c>
      <c r="L1693" s="5">
        <v>0</v>
      </c>
      <c r="M1693" s="5">
        <v>1</v>
      </c>
      <c r="N1693" t="s">
        <v>12</v>
      </c>
      <c r="O1693" s="8">
        <v>26.238356164383561</v>
      </c>
      <c r="P1693" t="s">
        <v>34</v>
      </c>
      <c r="Q1693">
        <v>3</v>
      </c>
      <c r="R1693" s="2">
        <v>36354</v>
      </c>
    </row>
    <row r="1694" spans="1:18" x14ac:dyDescent="0.3">
      <c r="A1694" t="s">
        <v>7</v>
      </c>
      <c r="B1694">
        <v>18971375</v>
      </c>
      <c r="C1694" t="s">
        <v>10</v>
      </c>
      <c r="D1694" s="4">
        <v>45931</v>
      </c>
      <c r="E1694" s="11">
        <f t="shared" si="104"/>
        <v>2025</v>
      </c>
      <c r="F1694" s="11">
        <f t="shared" si="105"/>
        <v>10</v>
      </c>
      <c r="G1694" s="11" t="str">
        <f t="shared" si="106"/>
        <v>202510</v>
      </c>
      <c r="I1694" s="5">
        <v>9999</v>
      </c>
      <c r="J1694" s="5">
        <v>333.3</v>
      </c>
      <c r="K1694" s="5">
        <f t="shared" si="107"/>
        <v>0</v>
      </c>
      <c r="L1694" s="5">
        <v>0</v>
      </c>
      <c r="M1694" s="5">
        <v>0</v>
      </c>
      <c r="N1694" t="s">
        <v>12</v>
      </c>
      <c r="O1694" s="8">
        <v>22.695890410958903</v>
      </c>
      <c r="P1694" t="s">
        <v>33</v>
      </c>
      <c r="Q1694">
        <v>2</v>
      </c>
      <c r="R1694" s="2">
        <v>37647</v>
      </c>
    </row>
    <row r="1695" spans="1:18" x14ac:dyDescent="0.3">
      <c r="A1695" t="s">
        <v>7</v>
      </c>
      <c r="B1695">
        <v>18971383</v>
      </c>
      <c r="C1695" t="s">
        <v>8</v>
      </c>
      <c r="D1695" s="4">
        <v>45931</v>
      </c>
      <c r="E1695" s="11">
        <f t="shared" si="104"/>
        <v>2025</v>
      </c>
      <c r="F1695" s="11">
        <f t="shared" si="105"/>
        <v>10</v>
      </c>
      <c r="G1695" s="11" t="str">
        <f t="shared" si="106"/>
        <v>202510</v>
      </c>
      <c r="I1695" s="5">
        <v>9999</v>
      </c>
      <c r="J1695" s="5">
        <v>333.3</v>
      </c>
      <c r="K1695" s="5">
        <f t="shared" si="107"/>
        <v>0</v>
      </c>
      <c r="L1695" s="5">
        <v>0</v>
      </c>
      <c r="M1695" s="5">
        <v>0</v>
      </c>
      <c r="N1695" t="s">
        <v>12</v>
      </c>
      <c r="O1695" s="8">
        <v>29.536986301369861</v>
      </c>
      <c r="P1695" t="s">
        <v>34</v>
      </c>
      <c r="Q1695">
        <v>3</v>
      </c>
      <c r="R1695" s="2">
        <v>35150</v>
      </c>
    </row>
    <row r="1696" spans="1:18" x14ac:dyDescent="0.3">
      <c r="A1696" t="s">
        <v>7</v>
      </c>
      <c r="B1696">
        <v>18971384</v>
      </c>
      <c r="C1696" t="s">
        <v>8</v>
      </c>
      <c r="D1696" s="4">
        <v>45931</v>
      </c>
      <c r="E1696" s="11">
        <f t="shared" si="104"/>
        <v>2025</v>
      </c>
      <c r="F1696" s="11">
        <f t="shared" si="105"/>
        <v>10</v>
      </c>
      <c r="G1696" s="11" t="str">
        <f t="shared" si="106"/>
        <v>202510</v>
      </c>
      <c r="I1696" s="5">
        <v>9999</v>
      </c>
      <c r="J1696" s="5">
        <v>333.3</v>
      </c>
      <c r="K1696" s="5">
        <f t="shared" si="107"/>
        <v>0</v>
      </c>
      <c r="L1696" s="5">
        <v>0</v>
      </c>
      <c r="M1696" s="5">
        <v>0</v>
      </c>
      <c r="N1696" t="s">
        <v>12</v>
      </c>
      <c r="O1696" s="8">
        <v>24.364383561643837</v>
      </c>
      <c r="P1696" t="s">
        <v>33</v>
      </c>
      <c r="Q1696">
        <v>2</v>
      </c>
      <c r="R1696" s="2">
        <v>37038</v>
      </c>
    </row>
    <row r="1697" spans="1:18" x14ac:dyDescent="0.3">
      <c r="A1697" t="s">
        <v>11</v>
      </c>
      <c r="B1697">
        <v>18971386</v>
      </c>
      <c r="C1697" t="s">
        <v>10</v>
      </c>
      <c r="D1697" s="4">
        <v>45931</v>
      </c>
      <c r="E1697" s="11">
        <f t="shared" si="104"/>
        <v>2025</v>
      </c>
      <c r="F1697" s="11">
        <f t="shared" si="105"/>
        <v>10</v>
      </c>
      <c r="G1697" s="11" t="str">
        <f t="shared" si="106"/>
        <v>202510</v>
      </c>
      <c r="H1697" s="4">
        <v>46091</v>
      </c>
      <c r="I1697" s="5">
        <v>160</v>
      </c>
      <c r="J1697" s="5">
        <v>5.333333333333333</v>
      </c>
      <c r="K1697" s="5">
        <f t="shared" si="107"/>
        <v>0</v>
      </c>
      <c r="L1697" s="5">
        <v>0</v>
      </c>
      <c r="M1697" s="5">
        <v>1</v>
      </c>
      <c r="N1697" t="s">
        <v>12</v>
      </c>
      <c r="O1697" s="8">
        <v>26.953424657534246</v>
      </c>
      <c r="P1697" t="s">
        <v>34</v>
      </c>
      <c r="Q1697">
        <v>3</v>
      </c>
      <c r="R1697" s="2">
        <v>36093</v>
      </c>
    </row>
    <row r="1698" spans="1:18" x14ac:dyDescent="0.3">
      <c r="A1698" t="s">
        <v>7</v>
      </c>
      <c r="B1698">
        <v>18971389</v>
      </c>
      <c r="C1698" t="s">
        <v>10</v>
      </c>
      <c r="D1698" s="4">
        <v>45931</v>
      </c>
      <c r="E1698" s="11">
        <f t="shared" si="104"/>
        <v>2025</v>
      </c>
      <c r="F1698" s="11">
        <f t="shared" si="105"/>
        <v>10</v>
      </c>
      <c r="G1698" s="11" t="str">
        <f t="shared" si="106"/>
        <v>202510</v>
      </c>
      <c r="I1698" s="5">
        <v>9999</v>
      </c>
      <c r="J1698" s="5">
        <v>333.3</v>
      </c>
      <c r="K1698" s="5">
        <f t="shared" si="107"/>
        <v>0</v>
      </c>
      <c r="L1698" s="5">
        <v>0</v>
      </c>
      <c r="M1698" s="5">
        <v>0</v>
      </c>
      <c r="N1698" t="s">
        <v>12</v>
      </c>
      <c r="O1698" s="8">
        <v>28.268493150684932</v>
      </c>
      <c r="P1698" t="s">
        <v>34</v>
      </c>
      <c r="Q1698">
        <v>3</v>
      </c>
      <c r="R1698" s="2">
        <v>35613</v>
      </c>
    </row>
    <row r="1699" spans="1:18" x14ac:dyDescent="0.3">
      <c r="A1699" t="s">
        <v>7</v>
      </c>
      <c r="B1699">
        <v>18971390</v>
      </c>
      <c r="C1699" t="s">
        <v>10</v>
      </c>
      <c r="D1699" s="4">
        <v>45931</v>
      </c>
      <c r="E1699" s="11">
        <f t="shared" si="104"/>
        <v>2025</v>
      </c>
      <c r="F1699" s="11">
        <f t="shared" si="105"/>
        <v>10</v>
      </c>
      <c r="G1699" s="11" t="str">
        <f t="shared" si="106"/>
        <v>202510</v>
      </c>
      <c r="I1699" s="5">
        <v>9999</v>
      </c>
      <c r="J1699" s="5">
        <v>333.3</v>
      </c>
      <c r="K1699" s="5">
        <f t="shared" si="107"/>
        <v>0</v>
      </c>
      <c r="L1699" s="5">
        <v>0</v>
      </c>
      <c r="M1699" s="5">
        <v>0</v>
      </c>
      <c r="N1699" t="s">
        <v>12</v>
      </c>
      <c r="O1699" s="8">
        <v>21.435616438356163</v>
      </c>
      <c r="P1699" t="s">
        <v>33</v>
      </c>
      <c r="Q1699">
        <v>2</v>
      </c>
      <c r="R1699" s="2">
        <v>38107</v>
      </c>
    </row>
    <row r="1700" spans="1:18" x14ac:dyDescent="0.3">
      <c r="A1700" t="s">
        <v>7</v>
      </c>
      <c r="B1700">
        <v>18971391</v>
      </c>
      <c r="C1700" t="s">
        <v>8</v>
      </c>
      <c r="D1700" s="4">
        <v>45931</v>
      </c>
      <c r="E1700" s="11">
        <f t="shared" si="104"/>
        <v>2025</v>
      </c>
      <c r="F1700" s="11">
        <f t="shared" si="105"/>
        <v>10</v>
      </c>
      <c r="G1700" s="11" t="str">
        <f t="shared" si="106"/>
        <v>202510</v>
      </c>
      <c r="H1700" s="4">
        <v>45939</v>
      </c>
      <c r="I1700" s="5">
        <v>8</v>
      </c>
      <c r="J1700" s="5">
        <v>0.26666666666666666</v>
      </c>
      <c r="K1700" s="5">
        <f t="shared" si="107"/>
        <v>1</v>
      </c>
      <c r="L1700" s="5">
        <v>1</v>
      </c>
      <c r="M1700" s="5">
        <v>1</v>
      </c>
      <c r="N1700" t="s">
        <v>12</v>
      </c>
      <c r="O1700" s="8">
        <v>44.246575342465754</v>
      </c>
      <c r="P1700" t="s">
        <v>35</v>
      </c>
      <c r="Q1700">
        <v>4</v>
      </c>
      <c r="R1700" s="2">
        <v>29781</v>
      </c>
    </row>
    <row r="1701" spans="1:18" x14ac:dyDescent="0.3">
      <c r="A1701" t="s">
        <v>7</v>
      </c>
      <c r="B1701">
        <v>18971434</v>
      </c>
      <c r="C1701" t="s">
        <v>10</v>
      </c>
      <c r="D1701" s="4">
        <v>45932</v>
      </c>
      <c r="E1701" s="11">
        <f t="shared" si="104"/>
        <v>2025</v>
      </c>
      <c r="F1701" s="11">
        <f t="shared" si="105"/>
        <v>10</v>
      </c>
      <c r="G1701" s="11" t="str">
        <f t="shared" si="106"/>
        <v>202510</v>
      </c>
      <c r="H1701" s="4">
        <v>46173</v>
      </c>
      <c r="I1701" s="5">
        <v>241</v>
      </c>
      <c r="J1701" s="5">
        <v>8.0333333333333332</v>
      </c>
      <c r="K1701" s="5">
        <f t="shared" si="107"/>
        <v>0</v>
      </c>
      <c r="L1701" s="5">
        <v>0</v>
      </c>
      <c r="M1701" s="5">
        <v>0</v>
      </c>
      <c r="N1701" t="s">
        <v>9</v>
      </c>
      <c r="O1701" s="8">
        <v>21.263013698630136</v>
      </c>
      <c r="P1701" t="s">
        <v>33</v>
      </c>
      <c r="Q1701">
        <v>2</v>
      </c>
      <c r="R1701" s="2">
        <v>38171</v>
      </c>
    </row>
    <row r="1702" spans="1:18" x14ac:dyDescent="0.3">
      <c r="A1702" t="s">
        <v>7</v>
      </c>
      <c r="B1702">
        <v>18971543</v>
      </c>
      <c r="C1702" t="s">
        <v>8</v>
      </c>
      <c r="D1702" s="4">
        <v>45933</v>
      </c>
      <c r="E1702" s="11">
        <f t="shared" si="104"/>
        <v>2025</v>
      </c>
      <c r="F1702" s="11">
        <f t="shared" si="105"/>
        <v>10</v>
      </c>
      <c r="G1702" s="11" t="str">
        <f t="shared" si="106"/>
        <v>202510</v>
      </c>
      <c r="I1702" s="5">
        <v>9999</v>
      </c>
      <c r="J1702" s="5">
        <v>333.3</v>
      </c>
      <c r="K1702" s="5">
        <f t="shared" si="107"/>
        <v>0</v>
      </c>
      <c r="L1702" s="5">
        <v>0</v>
      </c>
      <c r="M1702" s="5">
        <v>0</v>
      </c>
      <c r="N1702" t="s">
        <v>9</v>
      </c>
      <c r="O1702" s="8">
        <v>27.657534246575342</v>
      </c>
      <c r="P1702" t="s">
        <v>34</v>
      </c>
      <c r="Q1702">
        <v>3</v>
      </c>
      <c r="R1702" s="2">
        <v>35838</v>
      </c>
    </row>
    <row r="1703" spans="1:18" x14ac:dyDescent="0.3">
      <c r="A1703" t="s">
        <v>7</v>
      </c>
      <c r="B1703">
        <v>18971560</v>
      </c>
      <c r="C1703" t="s">
        <v>8</v>
      </c>
      <c r="D1703" s="4">
        <v>45933</v>
      </c>
      <c r="E1703" s="11">
        <f t="shared" si="104"/>
        <v>2025</v>
      </c>
      <c r="F1703" s="11">
        <f t="shared" si="105"/>
        <v>10</v>
      </c>
      <c r="G1703" s="11" t="str">
        <f t="shared" si="106"/>
        <v>202510</v>
      </c>
      <c r="H1703" s="4">
        <v>46054</v>
      </c>
      <c r="I1703" s="5">
        <v>121</v>
      </c>
      <c r="J1703" s="5">
        <v>4.0333333333333332</v>
      </c>
      <c r="K1703" s="5">
        <f t="shared" si="107"/>
        <v>0</v>
      </c>
      <c r="L1703" s="5">
        <v>0</v>
      </c>
      <c r="M1703" s="5">
        <v>1</v>
      </c>
      <c r="N1703" t="s">
        <v>9</v>
      </c>
      <c r="O1703" s="8">
        <v>19.561643835616437</v>
      </c>
      <c r="P1703" t="s">
        <v>32</v>
      </c>
      <c r="Q1703">
        <v>1</v>
      </c>
      <c r="R1703" s="2">
        <v>38793</v>
      </c>
    </row>
    <row r="1704" spans="1:18" x14ac:dyDescent="0.3">
      <c r="A1704" t="s">
        <v>7</v>
      </c>
      <c r="B1704">
        <v>18971561</v>
      </c>
      <c r="C1704" t="s">
        <v>8</v>
      </c>
      <c r="D1704" s="4">
        <v>45933</v>
      </c>
      <c r="E1704" s="11">
        <f t="shared" si="104"/>
        <v>2025</v>
      </c>
      <c r="F1704" s="11">
        <f t="shared" si="105"/>
        <v>10</v>
      </c>
      <c r="G1704" s="11" t="str">
        <f t="shared" si="106"/>
        <v>202510</v>
      </c>
      <c r="I1704" s="5">
        <v>9999</v>
      </c>
      <c r="J1704" s="5">
        <v>333.3</v>
      </c>
      <c r="K1704" s="5">
        <f t="shared" si="107"/>
        <v>0</v>
      </c>
      <c r="L1704" s="5">
        <v>0</v>
      </c>
      <c r="M1704" s="5">
        <v>0</v>
      </c>
      <c r="N1704" t="s">
        <v>9</v>
      </c>
      <c r="O1704" s="8">
        <v>19.468493150684932</v>
      </c>
      <c r="P1704" t="s">
        <v>32</v>
      </c>
      <c r="Q1704">
        <v>1</v>
      </c>
      <c r="R1704" s="2">
        <v>38827</v>
      </c>
    </row>
    <row r="1705" spans="1:18" x14ac:dyDescent="0.3">
      <c r="A1705" t="s">
        <v>7</v>
      </c>
      <c r="B1705">
        <v>18971572</v>
      </c>
      <c r="C1705" t="s">
        <v>8</v>
      </c>
      <c r="D1705" s="4">
        <v>45933</v>
      </c>
      <c r="E1705" s="11">
        <f t="shared" si="104"/>
        <v>2025</v>
      </c>
      <c r="F1705" s="11">
        <f t="shared" si="105"/>
        <v>10</v>
      </c>
      <c r="G1705" s="11" t="str">
        <f t="shared" si="106"/>
        <v>202510</v>
      </c>
      <c r="I1705" s="5">
        <v>9999</v>
      </c>
      <c r="J1705" s="5">
        <v>333.3</v>
      </c>
      <c r="K1705" s="5">
        <f t="shared" si="107"/>
        <v>0</v>
      </c>
      <c r="L1705" s="5">
        <v>0</v>
      </c>
      <c r="M1705" s="5">
        <v>0</v>
      </c>
      <c r="N1705" t="s">
        <v>12</v>
      </c>
      <c r="O1705" s="8">
        <v>20.493150684931507</v>
      </c>
      <c r="P1705" t="s">
        <v>32</v>
      </c>
      <c r="Q1705">
        <v>1</v>
      </c>
      <c r="R1705" s="2">
        <v>38453</v>
      </c>
    </row>
    <row r="1706" spans="1:18" x14ac:dyDescent="0.3">
      <c r="A1706" t="s">
        <v>7</v>
      </c>
      <c r="B1706">
        <v>18971573</v>
      </c>
      <c r="C1706" t="s">
        <v>8</v>
      </c>
      <c r="D1706" s="4">
        <v>45933</v>
      </c>
      <c r="E1706" s="11">
        <f t="shared" si="104"/>
        <v>2025</v>
      </c>
      <c r="F1706" s="11">
        <f t="shared" si="105"/>
        <v>10</v>
      </c>
      <c r="G1706" s="11" t="str">
        <f t="shared" si="106"/>
        <v>202510</v>
      </c>
      <c r="I1706" s="5">
        <v>9999</v>
      </c>
      <c r="J1706" s="5">
        <v>333.3</v>
      </c>
      <c r="K1706" s="5">
        <f t="shared" si="107"/>
        <v>0</v>
      </c>
      <c r="L1706" s="5">
        <v>0</v>
      </c>
      <c r="M1706" s="5">
        <v>0</v>
      </c>
      <c r="N1706" t="s">
        <v>12</v>
      </c>
      <c r="O1706" s="8">
        <v>26.136986301369863</v>
      </c>
      <c r="P1706" t="s">
        <v>34</v>
      </c>
      <c r="Q1706">
        <v>3</v>
      </c>
      <c r="R1706" s="2">
        <v>36393</v>
      </c>
    </row>
    <row r="1707" spans="1:18" x14ac:dyDescent="0.3">
      <c r="A1707" t="s">
        <v>7</v>
      </c>
      <c r="B1707">
        <v>18971610</v>
      </c>
      <c r="C1707" t="s">
        <v>8</v>
      </c>
      <c r="D1707" s="4">
        <v>45933</v>
      </c>
      <c r="E1707" s="11">
        <f t="shared" si="104"/>
        <v>2025</v>
      </c>
      <c r="F1707" s="11">
        <f t="shared" si="105"/>
        <v>10</v>
      </c>
      <c r="G1707" s="11" t="str">
        <f t="shared" si="106"/>
        <v>202510</v>
      </c>
      <c r="H1707" s="4">
        <v>45934</v>
      </c>
      <c r="I1707" s="5">
        <v>1</v>
      </c>
      <c r="J1707" s="5">
        <v>3.3333333333333333E-2</v>
      </c>
      <c r="K1707" s="5">
        <f t="shared" si="107"/>
        <v>1</v>
      </c>
      <c r="L1707" s="5">
        <v>1</v>
      </c>
      <c r="M1707" s="5">
        <v>1</v>
      </c>
      <c r="N1707" t="s">
        <v>9</v>
      </c>
      <c r="O1707" s="8">
        <v>21.260273972602739</v>
      </c>
      <c r="P1707" t="s">
        <v>33</v>
      </c>
      <c r="Q1707">
        <v>2</v>
      </c>
      <c r="R1707" s="2">
        <v>38173</v>
      </c>
    </row>
    <row r="1708" spans="1:18" x14ac:dyDescent="0.3">
      <c r="A1708" t="s">
        <v>7</v>
      </c>
      <c r="B1708">
        <v>18971640</v>
      </c>
      <c r="C1708" t="s">
        <v>8</v>
      </c>
      <c r="D1708" s="4">
        <v>45933</v>
      </c>
      <c r="E1708" s="11">
        <f t="shared" si="104"/>
        <v>2025</v>
      </c>
      <c r="F1708" s="11">
        <f t="shared" si="105"/>
        <v>10</v>
      </c>
      <c r="G1708" s="11" t="str">
        <f t="shared" si="106"/>
        <v>202510</v>
      </c>
      <c r="H1708" s="4">
        <v>45935</v>
      </c>
      <c r="I1708" s="5">
        <v>2</v>
      </c>
      <c r="J1708" s="5">
        <v>6.6666666666666666E-2</v>
      </c>
      <c r="K1708" s="5">
        <f t="shared" si="107"/>
        <v>1</v>
      </c>
      <c r="L1708" s="5">
        <v>1</v>
      </c>
      <c r="M1708" s="5">
        <v>1</v>
      </c>
      <c r="N1708" t="s">
        <v>9</v>
      </c>
      <c r="O1708" s="8">
        <v>24.306849315068494</v>
      </c>
      <c r="P1708" t="s">
        <v>33</v>
      </c>
      <c r="Q1708">
        <v>2</v>
      </c>
      <c r="R1708" s="2">
        <v>37061</v>
      </c>
    </row>
    <row r="1709" spans="1:18" x14ac:dyDescent="0.3">
      <c r="A1709" t="s">
        <v>7</v>
      </c>
      <c r="B1709">
        <v>18971646</v>
      </c>
      <c r="C1709" t="s">
        <v>8</v>
      </c>
      <c r="D1709" s="4">
        <v>45933</v>
      </c>
      <c r="E1709" s="11">
        <f t="shared" si="104"/>
        <v>2025</v>
      </c>
      <c r="F1709" s="11">
        <f t="shared" si="105"/>
        <v>10</v>
      </c>
      <c r="G1709" s="11" t="str">
        <f t="shared" si="106"/>
        <v>202510</v>
      </c>
      <c r="I1709" s="5">
        <v>9999</v>
      </c>
      <c r="J1709" s="5">
        <v>333.3</v>
      </c>
      <c r="K1709" s="5">
        <f t="shared" si="107"/>
        <v>0</v>
      </c>
      <c r="L1709" s="5">
        <v>0</v>
      </c>
      <c r="M1709" s="5">
        <v>0</v>
      </c>
      <c r="N1709" t="s">
        <v>12</v>
      </c>
      <c r="O1709" s="8">
        <v>23.224657534246575</v>
      </c>
      <c r="P1709" t="s">
        <v>33</v>
      </c>
      <c r="Q1709">
        <v>2</v>
      </c>
      <c r="R1709" s="2">
        <v>37456</v>
      </c>
    </row>
    <row r="1710" spans="1:18" x14ac:dyDescent="0.3">
      <c r="A1710" t="s">
        <v>7</v>
      </c>
      <c r="B1710">
        <v>18971653</v>
      </c>
      <c r="C1710" t="s">
        <v>8</v>
      </c>
      <c r="D1710" s="4">
        <v>45933</v>
      </c>
      <c r="E1710" s="11">
        <f t="shared" si="104"/>
        <v>2025</v>
      </c>
      <c r="F1710" s="11">
        <f t="shared" si="105"/>
        <v>10</v>
      </c>
      <c r="G1710" s="11" t="str">
        <f t="shared" si="106"/>
        <v>202510</v>
      </c>
      <c r="H1710" s="4">
        <v>46081</v>
      </c>
      <c r="I1710" s="5">
        <v>148</v>
      </c>
      <c r="J1710" s="5">
        <v>4.9333333333333336</v>
      </c>
      <c r="K1710" s="5">
        <f t="shared" si="107"/>
        <v>0</v>
      </c>
      <c r="L1710" s="5">
        <v>0</v>
      </c>
      <c r="M1710" s="5">
        <v>1</v>
      </c>
      <c r="N1710" t="s">
        <v>12</v>
      </c>
      <c r="O1710" s="8">
        <v>22.989041095890411</v>
      </c>
      <c r="P1710" t="s">
        <v>33</v>
      </c>
      <c r="Q1710">
        <v>2</v>
      </c>
      <c r="R1710" s="2">
        <v>37542</v>
      </c>
    </row>
    <row r="1711" spans="1:18" x14ac:dyDescent="0.3">
      <c r="A1711" t="s">
        <v>7</v>
      </c>
      <c r="B1711">
        <v>18971696</v>
      </c>
      <c r="C1711" t="s">
        <v>8</v>
      </c>
      <c r="D1711" s="4">
        <v>45933</v>
      </c>
      <c r="E1711" s="11">
        <f t="shared" si="104"/>
        <v>2025</v>
      </c>
      <c r="F1711" s="11">
        <f t="shared" si="105"/>
        <v>10</v>
      </c>
      <c r="G1711" s="11" t="str">
        <f t="shared" si="106"/>
        <v>202510</v>
      </c>
      <c r="H1711" s="4">
        <v>45961</v>
      </c>
      <c r="I1711" s="5">
        <v>28</v>
      </c>
      <c r="J1711" s="5">
        <v>0.93333333333333335</v>
      </c>
      <c r="K1711" s="5">
        <f t="shared" si="107"/>
        <v>1</v>
      </c>
      <c r="L1711" s="5">
        <v>1</v>
      </c>
      <c r="M1711" s="5">
        <v>1</v>
      </c>
      <c r="N1711" t="s">
        <v>12</v>
      </c>
      <c r="O1711" s="8">
        <v>25.813698630136987</v>
      </c>
      <c r="P1711" t="s">
        <v>33</v>
      </c>
      <c r="Q1711">
        <v>2</v>
      </c>
      <c r="R1711" s="2">
        <v>36511</v>
      </c>
    </row>
    <row r="1712" spans="1:18" x14ac:dyDescent="0.3">
      <c r="A1712" t="s">
        <v>7</v>
      </c>
      <c r="B1712">
        <v>18971979</v>
      </c>
      <c r="C1712" t="s">
        <v>10</v>
      </c>
      <c r="D1712" s="4">
        <v>45936</v>
      </c>
      <c r="E1712" s="11">
        <f t="shared" si="104"/>
        <v>2025</v>
      </c>
      <c r="F1712" s="11">
        <f t="shared" si="105"/>
        <v>10</v>
      </c>
      <c r="G1712" s="11" t="str">
        <f t="shared" si="106"/>
        <v>202510</v>
      </c>
      <c r="I1712" s="5">
        <v>9999</v>
      </c>
      <c r="J1712" s="5">
        <v>333.3</v>
      </c>
      <c r="K1712" s="5">
        <f t="shared" si="107"/>
        <v>0</v>
      </c>
      <c r="L1712" s="5">
        <v>0</v>
      </c>
      <c r="M1712" s="5">
        <v>0</v>
      </c>
      <c r="N1712" t="s">
        <v>9</v>
      </c>
      <c r="O1712" s="8">
        <v>19.816438356164383</v>
      </c>
      <c r="P1712" t="s">
        <v>32</v>
      </c>
      <c r="Q1712">
        <v>1</v>
      </c>
      <c r="R1712" s="2">
        <v>38703</v>
      </c>
    </row>
    <row r="1713" spans="1:18" x14ac:dyDescent="0.3">
      <c r="A1713" t="s">
        <v>7</v>
      </c>
      <c r="B1713">
        <v>18971980</v>
      </c>
      <c r="C1713" t="s">
        <v>8</v>
      </c>
      <c r="D1713" s="4">
        <v>45936</v>
      </c>
      <c r="E1713" s="11">
        <f t="shared" si="104"/>
        <v>2025</v>
      </c>
      <c r="F1713" s="11">
        <f t="shared" si="105"/>
        <v>10</v>
      </c>
      <c r="G1713" s="11" t="str">
        <f t="shared" si="106"/>
        <v>202510</v>
      </c>
      <c r="I1713" s="5">
        <v>9999</v>
      </c>
      <c r="J1713" s="5">
        <v>333.3</v>
      </c>
      <c r="K1713" s="5">
        <f t="shared" si="107"/>
        <v>0</v>
      </c>
      <c r="L1713" s="5">
        <v>0</v>
      </c>
      <c r="M1713" s="5">
        <v>0</v>
      </c>
      <c r="N1713" t="s">
        <v>12</v>
      </c>
      <c r="O1713" s="8">
        <v>25</v>
      </c>
      <c r="P1713" t="s">
        <v>33</v>
      </c>
      <c r="Q1713">
        <v>2</v>
      </c>
      <c r="R1713" s="2">
        <v>36811</v>
      </c>
    </row>
    <row r="1714" spans="1:18" x14ac:dyDescent="0.3">
      <c r="A1714" t="s">
        <v>7</v>
      </c>
      <c r="B1714">
        <v>18971981</v>
      </c>
      <c r="C1714" t="s">
        <v>8</v>
      </c>
      <c r="D1714" s="4">
        <v>45936</v>
      </c>
      <c r="E1714" s="11">
        <f t="shared" si="104"/>
        <v>2025</v>
      </c>
      <c r="F1714" s="11">
        <f t="shared" si="105"/>
        <v>10</v>
      </c>
      <c r="G1714" s="11" t="str">
        <f t="shared" si="106"/>
        <v>202510</v>
      </c>
      <c r="H1714" s="4">
        <v>46173</v>
      </c>
      <c r="I1714" s="5">
        <v>237</v>
      </c>
      <c r="J1714" s="5">
        <v>7.9</v>
      </c>
      <c r="K1714" s="5">
        <f t="shared" si="107"/>
        <v>0</v>
      </c>
      <c r="L1714" s="5">
        <v>0</v>
      </c>
      <c r="M1714" s="5">
        <v>0</v>
      </c>
      <c r="N1714" t="s">
        <v>12</v>
      </c>
      <c r="O1714" s="8">
        <v>24.339726027397262</v>
      </c>
      <c r="P1714" t="s">
        <v>33</v>
      </c>
      <c r="Q1714">
        <v>2</v>
      </c>
      <c r="R1714" s="2">
        <v>37052</v>
      </c>
    </row>
    <row r="1715" spans="1:18" x14ac:dyDescent="0.3">
      <c r="A1715" t="s">
        <v>7</v>
      </c>
      <c r="B1715">
        <v>18971990</v>
      </c>
      <c r="C1715" t="s">
        <v>10</v>
      </c>
      <c r="D1715" s="4">
        <v>45936</v>
      </c>
      <c r="E1715" s="11">
        <f t="shared" si="104"/>
        <v>2025</v>
      </c>
      <c r="F1715" s="11">
        <f t="shared" si="105"/>
        <v>10</v>
      </c>
      <c r="G1715" s="11" t="str">
        <f t="shared" si="106"/>
        <v>202510</v>
      </c>
      <c r="I1715" s="5">
        <v>9999</v>
      </c>
      <c r="J1715" s="5">
        <v>333.3</v>
      </c>
      <c r="K1715" s="5">
        <f t="shared" si="107"/>
        <v>0</v>
      </c>
      <c r="L1715" s="5">
        <v>0</v>
      </c>
      <c r="M1715" s="5">
        <v>0</v>
      </c>
      <c r="N1715" t="s">
        <v>12</v>
      </c>
      <c r="O1715" s="8">
        <v>19.24931506849315</v>
      </c>
      <c r="P1715" t="s">
        <v>32</v>
      </c>
      <c r="Q1715">
        <v>1</v>
      </c>
      <c r="R1715" s="2">
        <v>38910</v>
      </c>
    </row>
    <row r="1716" spans="1:18" x14ac:dyDescent="0.3">
      <c r="A1716" t="s">
        <v>7</v>
      </c>
      <c r="B1716">
        <v>18971993</v>
      </c>
      <c r="C1716" t="s">
        <v>10</v>
      </c>
      <c r="D1716" s="4">
        <v>45936</v>
      </c>
      <c r="E1716" s="11">
        <f t="shared" si="104"/>
        <v>2025</v>
      </c>
      <c r="F1716" s="11">
        <f t="shared" si="105"/>
        <v>10</v>
      </c>
      <c r="G1716" s="11" t="str">
        <f t="shared" si="106"/>
        <v>202510</v>
      </c>
      <c r="H1716" s="4">
        <v>46156</v>
      </c>
      <c r="I1716" s="5">
        <v>220</v>
      </c>
      <c r="J1716" s="5">
        <v>7.333333333333333</v>
      </c>
      <c r="K1716" s="5">
        <f t="shared" si="107"/>
        <v>0</v>
      </c>
      <c r="L1716" s="5">
        <v>0</v>
      </c>
      <c r="M1716" s="5">
        <v>0</v>
      </c>
      <c r="N1716" t="s">
        <v>12</v>
      </c>
      <c r="O1716" s="8">
        <v>20.8</v>
      </c>
      <c r="P1716" t="s">
        <v>32</v>
      </c>
      <c r="Q1716">
        <v>1</v>
      </c>
      <c r="R1716" s="2">
        <v>38344</v>
      </c>
    </row>
    <row r="1717" spans="1:18" x14ac:dyDescent="0.3">
      <c r="A1717" t="s">
        <v>7</v>
      </c>
      <c r="B1717">
        <v>18972473</v>
      </c>
      <c r="C1717" t="s">
        <v>8</v>
      </c>
      <c r="D1717" s="4">
        <v>45937</v>
      </c>
      <c r="E1717" s="11">
        <f t="shared" si="104"/>
        <v>2025</v>
      </c>
      <c r="F1717" s="11">
        <f t="shared" si="105"/>
        <v>10</v>
      </c>
      <c r="G1717" s="11" t="str">
        <f t="shared" si="106"/>
        <v>202510</v>
      </c>
      <c r="H1717" s="4">
        <v>46057</v>
      </c>
      <c r="I1717" s="5">
        <v>120</v>
      </c>
      <c r="J1717" s="5">
        <v>4</v>
      </c>
      <c r="K1717" s="5">
        <f t="shared" si="107"/>
        <v>0</v>
      </c>
      <c r="L1717" s="5">
        <v>0</v>
      </c>
      <c r="M1717" s="5">
        <v>1</v>
      </c>
      <c r="N1717" t="s">
        <v>9</v>
      </c>
      <c r="O1717" s="8">
        <v>18.624657534246577</v>
      </c>
      <c r="P1717" t="s">
        <v>32</v>
      </c>
      <c r="Q1717">
        <v>1</v>
      </c>
      <c r="R1717" s="2">
        <v>39139</v>
      </c>
    </row>
    <row r="1718" spans="1:18" x14ac:dyDescent="0.3">
      <c r="A1718" t="s">
        <v>7</v>
      </c>
      <c r="B1718">
        <v>18972491</v>
      </c>
      <c r="C1718" t="s">
        <v>8</v>
      </c>
      <c r="D1718" s="4">
        <v>45937</v>
      </c>
      <c r="E1718" s="11">
        <f t="shared" si="104"/>
        <v>2025</v>
      </c>
      <c r="F1718" s="11">
        <f t="shared" si="105"/>
        <v>10</v>
      </c>
      <c r="G1718" s="11" t="str">
        <f t="shared" si="106"/>
        <v>202510</v>
      </c>
      <c r="I1718" s="5">
        <v>9999</v>
      </c>
      <c r="J1718" s="5">
        <v>333.3</v>
      </c>
      <c r="K1718" s="5">
        <f t="shared" si="107"/>
        <v>0</v>
      </c>
      <c r="L1718" s="5">
        <v>0</v>
      </c>
      <c r="M1718" s="5">
        <v>0</v>
      </c>
      <c r="N1718" t="s">
        <v>12</v>
      </c>
      <c r="O1718" s="8">
        <v>25.706849315068492</v>
      </c>
      <c r="P1718" t="s">
        <v>33</v>
      </c>
      <c r="Q1718">
        <v>2</v>
      </c>
      <c r="R1718" s="2">
        <v>36554</v>
      </c>
    </row>
    <row r="1719" spans="1:18" x14ac:dyDescent="0.3">
      <c r="A1719" t="s">
        <v>7</v>
      </c>
      <c r="B1719">
        <v>18972676</v>
      </c>
      <c r="C1719" t="s">
        <v>8</v>
      </c>
      <c r="D1719" s="4">
        <v>45939</v>
      </c>
      <c r="E1719" s="11">
        <f t="shared" si="104"/>
        <v>2025</v>
      </c>
      <c r="F1719" s="11">
        <f t="shared" si="105"/>
        <v>10</v>
      </c>
      <c r="G1719" s="11" t="str">
        <f t="shared" si="106"/>
        <v>202510</v>
      </c>
      <c r="I1719" s="5">
        <v>9999</v>
      </c>
      <c r="J1719" s="5">
        <v>333.3</v>
      </c>
      <c r="K1719" s="5">
        <f t="shared" si="107"/>
        <v>0</v>
      </c>
      <c r="L1719" s="5">
        <v>0</v>
      </c>
      <c r="M1719" s="5">
        <v>0</v>
      </c>
      <c r="N1719" t="s">
        <v>12</v>
      </c>
      <c r="O1719" s="8">
        <v>23.227397260273971</v>
      </c>
      <c r="P1719" t="s">
        <v>33</v>
      </c>
      <c r="Q1719">
        <v>2</v>
      </c>
      <c r="R1719" s="2">
        <v>37461</v>
      </c>
    </row>
    <row r="1720" spans="1:18" x14ac:dyDescent="0.3">
      <c r="A1720" t="s">
        <v>7</v>
      </c>
      <c r="B1720">
        <v>18972697</v>
      </c>
      <c r="C1720" t="s">
        <v>8</v>
      </c>
      <c r="D1720" s="4">
        <v>45939</v>
      </c>
      <c r="E1720" s="11">
        <f t="shared" si="104"/>
        <v>2025</v>
      </c>
      <c r="F1720" s="11">
        <f t="shared" si="105"/>
        <v>10</v>
      </c>
      <c r="G1720" s="11" t="str">
        <f t="shared" si="106"/>
        <v>202510</v>
      </c>
      <c r="H1720" s="4">
        <v>46022</v>
      </c>
      <c r="I1720" s="5">
        <v>83</v>
      </c>
      <c r="J1720" s="5">
        <v>2.7666666666666666</v>
      </c>
      <c r="K1720" s="5">
        <f t="shared" si="107"/>
        <v>0</v>
      </c>
      <c r="L1720" s="5">
        <v>1</v>
      </c>
      <c r="M1720" s="5">
        <v>1</v>
      </c>
      <c r="N1720" t="s">
        <v>12</v>
      </c>
      <c r="O1720" s="8">
        <v>23.353424657534248</v>
      </c>
      <c r="P1720" t="s">
        <v>33</v>
      </c>
      <c r="Q1720">
        <v>2</v>
      </c>
      <c r="R1720" s="2">
        <v>37415</v>
      </c>
    </row>
    <row r="1721" spans="1:18" x14ac:dyDescent="0.3">
      <c r="A1721" t="s">
        <v>7</v>
      </c>
      <c r="B1721">
        <v>18972705</v>
      </c>
      <c r="C1721" t="s">
        <v>10</v>
      </c>
      <c r="D1721" s="4">
        <v>45939</v>
      </c>
      <c r="E1721" s="11">
        <f t="shared" si="104"/>
        <v>2025</v>
      </c>
      <c r="F1721" s="11">
        <f t="shared" si="105"/>
        <v>10</v>
      </c>
      <c r="G1721" s="11" t="str">
        <f t="shared" si="106"/>
        <v>202510</v>
      </c>
      <c r="H1721" s="4">
        <v>46173</v>
      </c>
      <c r="I1721" s="5">
        <v>234</v>
      </c>
      <c r="J1721" s="5">
        <v>7.8</v>
      </c>
      <c r="K1721" s="5">
        <f t="shared" si="107"/>
        <v>0</v>
      </c>
      <c r="L1721" s="5">
        <v>0</v>
      </c>
      <c r="M1721" s="5">
        <v>0</v>
      </c>
      <c r="N1721" t="s">
        <v>9</v>
      </c>
      <c r="O1721" s="8">
        <v>20.126027397260273</v>
      </c>
      <c r="P1721" t="s">
        <v>32</v>
      </c>
      <c r="Q1721">
        <v>1</v>
      </c>
      <c r="R1721" s="2">
        <v>38593</v>
      </c>
    </row>
    <row r="1722" spans="1:18" x14ac:dyDescent="0.3">
      <c r="A1722" t="s">
        <v>7</v>
      </c>
      <c r="B1722">
        <v>18972715</v>
      </c>
      <c r="C1722" t="s">
        <v>10</v>
      </c>
      <c r="D1722" s="4">
        <v>45939</v>
      </c>
      <c r="E1722" s="11">
        <f t="shared" si="104"/>
        <v>2025</v>
      </c>
      <c r="F1722" s="11">
        <f t="shared" si="105"/>
        <v>10</v>
      </c>
      <c r="G1722" s="11" t="str">
        <f t="shared" si="106"/>
        <v>202510</v>
      </c>
      <c r="H1722" s="4">
        <v>46007</v>
      </c>
      <c r="I1722" s="5">
        <v>68</v>
      </c>
      <c r="J1722" s="5">
        <v>2.2666666666666666</v>
      </c>
      <c r="K1722" s="5">
        <f t="shared" si="107"/>
        <v>0</v>
      </c>
      <c r="L1722" s="5">
        <v>1</v>
      </c>
      <c r="M1722" s="5">
        <v>1</v>
      </c>
      <c r="N1722" t="s">
        <v>9</v>
      </c>
      <c r="O1722" s="8">
        <v>24.479452054794521</v>
      </c>
      <c r="P1722" t="s">
        <v>33</v>
      </c>
      <c r="Q1722">
        <v>2</v>
      </c>
      <c r="R1722" s="2">
        <v>37004</v>
      </c>
    </row>
    <row r="1723" spans="1:18" x14ac:dyDescent="0.3">
      <c r="A1723" t="s">
        <v>7</v>
      </c>
      <c r="B1723">
        <v>18972749</v>
      </c>
      <c r="C1723" t="s">
        <v>8</v>
      </c>
      <c r="D1723" s="4">
        <v>45939</v>
      </c>
      <c r="E1723" s="11">
        <f t="shared" si="104"/>
        <v>2025</v>
      </c>
      <c r="F1723" s="11">
        <f t="shared" si="105"/>
        <v>10</v>
      </c>
      <c r="G1723" s="11" t="str">
        <f t="shared" si="106"/>
        <v>202510</v>
      </c>
      <c r="H1723" s="4">
        <v>46173</v>
      </c>
      <c r="I1723" s="5">
        <v>234</v>
      </c>
      <c r="J1723" s="5">
        <v>7.8</v>
      </c>
      <c r="K1723" s="5">
        <f t="shared" si="107"/>
        <v>0</v>
      </c>
      <c r="L1723" s="5">
        <v>0</v>
      </c>
      <c r="M1723" s="5">
        <v>0</v>
      </c>
      <c r="N1723" t="s">
        <v>12</v>
      </c>
      <c r="O1723" s="8">
        <v>27.835616438356166</v>
      </c>
      <c r="P1723" t="s">
        <v>34</v>
      </c>
      <c r="Q1723">
        <v>3</v>
      </c>
      <c r="R1723" s="2">
        <v>35779</v>
      </c>
    </row>
    <row r="1724" spans="1:18" x14ac:dyDescent="0.3">
      <c r="A1724" t="s">
        <v>7</v>
      </c>
      <c r="B1724">
        <v>18972758</v>
      </c>
      <c r="C1724" t="s">
        <v>8</v>
      </c>
      <c r="D1724" s="4">
        <v>45939</v>
      </c>
      <c r="E1724" s="11">
        <f t="shared" si="104"/>
        <v>2025</v>
      </c>
      <c r="F1724" s="11">
        <f t="shared" si="105"/>
        <v>10</v>
      </c>
      <c r="G1724" s="11" t="str">
        <f t="shared" si="106"/>
        <v>202510</v>
      </c>
      <c r="I1724" s="5">
        <v>9999</v>
      </c>
      <c r="J1724" s="5">
        <v>333.3</v>
      </c>
      <c r="K1724" s="5">
        <f t="shared" si="107"/>
        <v>0</v>
      </c>
      <c r="L1724" s="5">
        <v>0</v>
      </c>
      <c r="M1724" s="5">
        <v>0</v>
      </c>
      <c r="N1724" t="s">
        <v>12</v>
      </c>
      <c r="O1724" s="8">
        <v>21.8</v>
      </c>
      <c r="P1724" t="s">
        <v>33</v>
      </c>
      <c r="Q1724">
        <v>2</v>
      </c>
      <c r="R1724" s="2">
        <v>37982</v>
      </c>
    </row>
    <row r="1725" spans="1:18" x14ac:dyDescent="0.3">
      <c r="A1725" t="s">
        <v>7</v>
      </c>
      <c r="B1725">
        <v>18972778</v>
      </c>
      <c r="C1725" t="s">
        <v>8</v>
      </c>
      <c r="D1725" s="4">
        <v>45939</v>
      </c>
      <c r="E1725" s="11">
        <f t="shared" si="104"/>
        <v>2025</v>
      </c>
      <c r="F1725" s="11">
        <f t="shared" si="105"/>
        <v>10</v>
      </c>
      <c r="G1725" s="11" t="str">
        <f t="shared" si="106"/>
        <v>202510</v>
      </c>
      <c r="H1725" s="4">
        <v>45945</v>
      </c>
      <c r="I1725" s="5">
        <v>6</v>
      </c>
      <c r="J1725" s="5">
        <v>0.2</v>
      </c>
      <c r="K1725" s="5">
        <f t="shared" si="107"/>
        <v>1</v>
      </c>
      <c r="L1725" s="5">
        <v>1</v>
      </c>
      <c r="M1725" s="5">
        <v>1</v>
      </c>
      <c r="N1725" t="s">
        <v>12</v>
      </c>
      <c r="O1725" s="8">
        <v>31.054794520547944</v>
      </c>
      <c r="P1725" t="s">
        <v>35</v>
      </c>
      <c r="Q1725">
        <v>4</v>
      </c>
      <c r="R1725" s="2">
        <v>34604</v>
      </c>
    </row>
    <row r="1726" spans="1:18" x14ac:dyDescent="0.3">
      <c r="A1726" t="s">
        <v>7</v>
      </c>
      <c r="B1726">
        <v>18972793</v>
      </c>
      <c r="C1726" t="s">
        <v>8</v>
      </c>
      <c r="D1726" s="4">
        <v>45939</v>
      </c>
      <c r="E1726" s="11">
        <f t="shared" si="104"/>
        <v>2025</v>
      </c>
      <c r="F1726" s="11">
        <f t="shared" si="105"/>
        <v>10</v>
      </c>
      <c r="G1726" s="11" t="str">
        <f t="shared" si="106"/>
        <v>202510</v>
      </c>
      <c r="I1726" s="5">
        <v>9999</v>
      </c>
      <c r="J1726" s="5">
        <v>333.3</v>
      </c>
      <c r="K1726" s="5">
        <f t="shared" si="107"/>
        <v>0</v>
      </c>
      <c r="L1726" s="5">
        <v>0</v>
      </c>
      <c r="M1726" s="5">
        <v>0</v>
      </c>
      <c r="N1726" t="s">
        <v>12</v>
      </c>
      <c r="O1726" s="8">
        <v>24.775342465753425</v>
      </c>
      <c r="P1726" t="s">
        <v>33</v>
      </c>
      <c r="Q1726">
        <v>2</v>
      </c>
      <c r="R1726" s="2">
        <v>36896</v>
      </c>
    </row>
    <row r="1727" spans="1:18" x14ac:dyDescent="0.3">
      <c r="A1727" t="s">
        <v>7</v>
      </c>
      <c r="B1727">
        <v>18972796</v>
      </c>
      <c r="C1727" t="s">
        <v>10</v>
      </c>
      <c r="D1727" s="4">
        <v>45939</v>
      </c>
      <c r="E1727" s="11">
        <f t="shared" si="104"/>
        <v>2025</v>
      </c>
      <c r="F1727" s="11">
        <f t="shared" si="105"/>
        <v>10</v>
      </c>
      <c r="G1727" s="11" t="str">
        <f t="shared" si="106"/>
        <v>202510</v>
      </c>
      <c r="I1727" s="5">
        <v>9999</v>
      </c>
      <c r="J1727" s="5">
        <v>333.3</v>
      </c>
      <c r="K1727" s="5">
        <f t="shared" si="107"/>
        <v>0</v>
      </c>
      <c r="L1727" s="5">
        <v>0</v>
      </c>
      <c r="M1727" s="5">
        <v>0</v>
      </c>
      <c r="N1727" t="s">
        <v>9</v>
      </c>
      <c r="O1727" s="8">
        <v>20.734246575342464</v>
      </c>
      <c r="P1727" t="s">
        <v>32</v>
      </c>
      <c r="Q1727">
        <v>1</v>
      </c>
      <c r="R1727" s="2">
        <v>38371</v>
      </c>
    </row>
    <row r="1728" spans="1:18" x14ac:dyDescent="0.3">
      <c r="A1728" t="s">
        <v>7</v>
      </c>
      <c r="B1728">
        <v>18972858</v>
      </c>
      <c r="C1728" t="s">
        <v>8</v>
      </c>
      <c r="D1728" s="4">
        <v>45939</v>
      </c>
      <c r="E1728" s="11">
        <f t="shared" si="104"/>
        <v>2025</v>
      </c>
      <c r="F1728" s="11">
        <f t="shared" si="105"/>
        <v>10</v>
      </c>
      <c r="G1728" s="11" t="str">
        <f t="shared" si="106"/>
        <v>202510</v>
      </c>
      <c r="H1728" s="4">
        <v>46031</v>
      </c>
      <c r="I1728" s="5">
        <v>92</v>
      </c>
      <c r="J1728" s="5">
        <v>3.0666666666666669</v>
      </c>
      <c r="K1728" s="5">
        <f t="shared" si="107"/>
        <v>0</v>
      </c>
      <c r="L1728" s="5">
        <v>0</v>
      </c>
      <c r="M1728" s="5">
        <v>1</v>
      </c>
      <c r="N1728" t="s">
        <v>9</v>
      </c>
      <c r="O1728" s="8">
        <v>18.843835616438355</v>
      </c>
      <c r="P1728" t="s">
        <v>32</v>
      </c>
      <c r="Q1728">
        <v>1</v>
      </c>
      <c r="R1728" s="2">
        <v>39061</v>
      </c>
    </row>
    <row r="1729" spans="1:18" x14ac:dyDescent="0.3">
      <c r="A1729" t="s">
        <v>7</v>
      </c>
      <c r="B1729">
        <v>18972877</v>
      </c>
      <c r="C1729" t="s">
        <v>8</v>
      </c>
      <c r="D1729" s="4">
        <v>45939</v>
      </c>
      <c r="E1729" s="11">
        <f t="shared" si="104"/>
        <v>2025</v>
      </c>
      <c r="F1729" s="11">
        <f t="shared" si="105"/>
        <v>10</v>
      </c>
      <c r="G1729" s="11" t="str">
        <f t="shared" si="106"/>
        <v>202510</v>
      </c>
      <c r="H1729" s="4">
        <v>45947</v>
      </c>
      <c r="I1729" s="5">
        <v>8</v>
      </c>
      <c r="J1729" s="5">
        <v>0.26666666666666666</v>
      </c>
      <c r="K1729" s="5">
        <f t="shared" si="107"/>
        <v>1</v>
      </c>
      <c r="L1729" s="5">
        <v>1</v>
      </c>
      <c r="M1729" s="5">
        <v>1</v>
      </c>
      <c r="N1729" t="s">
        <v>12</v>
      </c>
      <c r="O1729" s="8">
        <v>23.147945205479452</v>
      </c>
      <c r="P1729" t="s">
        <v>33</v>
      </c>
      <c r="Q1729">
        <v>2</v>
      </c>
      <c r="R1729" s="2">
        <v>37490</v>
      </c>
    </row>
    <row r="1730" spans="1:18" x14ac:dyDescent="0.3">
      <c r="A1730" t="s">
        <v>7</v>
      </c>
      <c r="B1730">
        <v>18972879</v>
      </c>
      <c r="C1730" t="s">
        <v>8</v>
      </c>
      <c r="D1730" s="4">
        <v>45939</v>
      </c>
      <c r="E1730" s="11">
        <f t="shared" si="104"/>
        <v>2025</v>
      </c>
      <c r="F1730" s="11">
        <f t="shared" si="105"/>
        <v>10</v>
      </c>
      <c r="G1730" s="11" t="str">
        <f t="shared" si="106"/>
        <v>202510</v>
      </c>
      <c r="I1730" s="5">
        <v>9999</v>
      </c>
      <c r="J1730" s="5">
        <v>333.3</v>
      </c>
      <c r="K1730" s="5">
        <f t="shared" si="107"/>
        <v>0</v>
      </c>
      <c r="L1730" s="5">
        <v>0</v>
      </c>
      <c r="M1730" s="5">
        <v>0</v>
      </c>
      <c r="N1730" t="s">
        <v>9</v>
      </c>
      <c r="O1730" s="8">
        <v>18.728767123287671</v>
      </c>
      <c r="P1730" t="s">
        <v>32</v>
      </c>
      <c r="Q1730">
        <v>1</v>
      </c>
      <c r="R1730" s="2">
        <v>39103</v>
      </c>
    </row>
    <row r="1731" spans="1:18" x14ac:dyDescent="0.3">
      <c r="A1731" t="s">
        <v>7</v>
      </c>
      <c r="B1731">
        <v>18972989</v>
      </c>
      <c r="C1731" t="s">
        <v>8</v>
      </c>
      <c r="D1731" s="4">
        <v>46066</v>
      </c>
      <c r="E1731" s="11">
        <f t="shared" ref="E1731:E1794" si="108">+YEAR(D1731)</f>
        <v>2026</v>
      </c>
      <c r="F1731" s="11">
        <f t="shared" ref="F1731:F1794" si="109">+MONTH(D1731)</f>
        <v>2</v>
      </c>
      <c r="G1731" s="11" t="str">
        <f t="shared" ref="G1731:G1794" si="110">+TEXT(D1731, "yyymm")</f>
        <v>202602</v>
      </c>
      <c r="I1731" s="5">
        <v>9999</v>
      </c>
      <c r="J1731" s="5">
        <v>333.3</v>
      </c>
      <c r="K1731" s="5">
        <f t="shared" ref="K1731:K1794" si="111">IF(J1731&lt;=1,1,0)</f>
        <v>0</v>
      </c>
      <c r="L1731" s="5">
        <v>0</v>
      </c>
      <c r="M1731" s="5">
        <v>0</v>
      </c>
      <c r="N1731" t="s">
        <v>9</v>
      </c>
      <c r="O1731" s="8">
        <v>19.010958904109589</v>
      </c>
      <c r="P1731" t="s">
        <v>32</v>
      </c>
      <c r="Q1731">
        <v>1</v>
      </c>
      <c r="R1731" s="2">
        <v>39127</v>
      </c>
    </row>
    <row r="1732" spans="1:18" x14ac:dyDescent="0.3">
      <c r="A1732" t="s">
        <v>7</v>
      </c>
      <c r="B1732">
        <v>18973049</v>
      </c>
      <c r="C1732" t="s">
        <v>8</v>
      </c>
      <c r="D1732" s="4">
        <v>45940</v>
      </c>
      <c r="E1732" s="11">
        <f t="shared" si="108"/>
        <v>2025</v>
      </c>
      <c r="F1732" s="11">
        <f t="shared" si="109"/>
        <v>10</v>
      </c>
      <c r="G1732" s="11" t="str">
        <f t="shared" si="110"/>
        <v>202510</v>
      </c>
      <c r="I1732" s="5">
        <v>9999</v>
      </c>
      <c r="J1732" s="5">
        <v>333.3</v>
      </c>
      <c r="K1732" s="5">
        <f t="shared" si="111"/>
        <v>0</v>
      </c>
      <c r="L1732" s="5">
        <v>0</v>
      </c>
      <c r="M1732" s="5">
        <v>0</v>
      </c>
      <c r="N1732" t="s">
        <v>12</v>
      </c>
      <c r="O1732" s="8">
        <v>28.649315068493152</v>
      </c>
      <c r="P1732" t="s">
        <v>34</v>
      </c>
      <c r="Q1732">
        <v>3</v>
      </c>
      <c r="R1732" s="2">
        <v>35483</v>
      </c>
    </row>
    <row r="1733" spans="1:18" x14ac:dyDescent="0.3">
      <c r="A1733" t="s">
        <v>7</v>
      </c>
      <c r="B1733">
        <v>18973093</v>
      </c>
      <c r="C1733" t="s">
        <v>10</v>
      </c>
      <c r="D1733" s="4">
        <v>45940</v>
      </c>
      <c r="E1733" s="11">
        <f t="shared" si="108"/>
        <v>2025</v>
      </c>
      <c r="F1733" s="11">
        <f t="shared" si="109"/>
        <v>10</v>
      </c>
      <c r="G1733" s="11" t="str">
        <f t="shared" si="110"/>
        <v>202510</v>
      </c>
      <c r="I1733" s="5">
        <v>9999</v>
      </c>
      <c r="J1733" s="5">
        <v>333.3</v>
      </c>
      <c r="K1733" s="5">
        <f t="shared" si="111"/>
        <v>0</v>
      </c>
      <c r="L1733" s="5">
        <v>0</v>
      </c>
      <c r="M1733" s="5">
        <v>0</v>
      </c>
      <c r="N1733" t="s">
        <v>12</v>
      </c>
      <c r="O1733" s="8">
        <v>20.123287671232877</v>
      </c>
      <c r="P1733" t="s">
        <v>32</v>
      </c>
      <c r="Q1733">
        <v>1</v>
      </c>
      <c r="R1733" s="2">
        <v>38595</v>
      </c>
    </row>
    <row r="1734" spans="1:18" x14ac:dyDescent="0.3">
      <c r="A1734" t="s">
        <v>7</v>
      </c>
      <c r="B1734">
        <v>18973094</v>
      </c>
      <c r="C1734" t="s">
        <v>8</v>
      </c>
      <c r="D1734" s="4">
        <v>45940</v>
      </c>
      <c r="E1734" s="11">
        <f t="shared" si="108"/>
        <v>2025</v>
      </c>
      <c r="F1734" s="11">
        <f t="shared" si="109"/>
        <v>10</v>
      </c>
      <c r="G1734" s="11" t="str">
        <f t="shared" si="110"/>
        <v>202510</v>
      </c>
      <c r="I1734" s="5">
        <v>9999</v>
      </c>
      <c r="J1734" s="5">
        <v>333.3</v>
      </c>
      <c r="K1734" s="5">
        <f t="shared" si="111"/>
        <v>0</v>
      </c>
      <c r="L1734" s="5">
        <v>0</v>
      </c>
      <c r="M1734" s="5">
        <v>0</v>
      </c>
      <c r="N1734" t="s">
        <v>12</v>
      </c>
      <c r="O1734" s="8">
        <v>21.958904109589042</v>
      </c>
      <c r="P1734" t="s">
        <v>33</v>
      </c>
      <c r="Q1734">
        <v>2</v>
      </c>
      <c r="R1734" s="2">
        <v>37925</v>
      </c>
    </row>
    <row r="1735" spans="1:18" x14ac:dyDescent="0.3">
      <c r="A1735" t="s">
        <v>7</v>
      </c>
      <c r="B1735">
        <v>18973095</v>
      </c>
      <c r="C1735" t="s">
        <v>8</v>
      </c>
      <c r="D1735" s="4">
        <v>45940</v>
      </c>
      <c r="E1735" s="11">
        <f t="shared" si="108"/>
        <v>2025</v>
      </c>
      <c r="F1735" s="11">
        <f t="shared" si="109"/>
        <v>10</v>
      </c>
      <c r="G1735" s="11" t="str">
        <f t="shared" si="110"/>
        <v>202510</v>
      </c>
      <c r="H1735" s="4">
        <v>46008</v>
      </c>
      <c r="I1735" s="5">
        <v>68</v>
      </c>
      <c r="J1735" s="5">
        <v>2.2666666666666666</v>
      </c>
      <c r="K1735" s="5">
        <f t="shared" si="111"/>
        <v>0</v>
      </c>
      <c r="L1735" s="5">
        <v>1</v>
      </c>
      <c r="M1735" s="5">
        <v>1</v>
      </c>
      <c r="N1735" t="s">
        <v>12</v>
      </c>
      <c r="O1735" s="8">
        <v>22.227397260273971</v>
      </c>
      <c r="P1735" t="s">
        <v>33</v>
      </c>
      <c r="Q1735">
        <v>2</v>
      </c>
      <c r="R1735" s="2">
        <v>37827</v>
      </c>
    </row>
    <row r="1736" spans="1:18" x14ac:dyDescent="0.3">
      <c r="A1736" t="s">
        <v>7</v>
      </c>
      <c r="B1736">
        <v>18973109</v>
      </c>
      <c r="C1736" t="s">
        <v>10</v>
      </c>
      <c r="D1736" s="4">
        <v>45940</v>
      </c>
      <c r="E1736" s="11">
        <f t="shared" si="108"/>
        <v>2025</v>
      </c>
      <c r="F1736" s="11">
        <f t="shared" si="109"/>
        <v>10</v>
      </c>
      <c r="G1736" s="11" t="str">
        <f t="shared" si="110"/>
        <v>202510</v>
      </c>
      <c r="H1736" s="4">
        <v>45964</v>
      </c>
      <c r="I1736" s="5">
        <v>24</v>
      </c>
      <c r="J1736" s="5">
        <v>0.8</v>
      </c>
      <c r="K1736" s="5">
        <f t="shared" si="111"/>
        <v>1</v>
      </c>
      <c r="L1736" s="5">
        <v>1</v>
      </c>
      <c r="M1736" s="5">
        <v>1</v>
      </c>
      <c r="N1736" t="s">
        <v>12</v>
      </c>
      <c r="O1736" s="8">
        <v>21.315068493150687</v>
      </c>
      <c r="P1736" t="s">
        <v>33</v>
      </c>
      <c r="Q1736">
        <v>2</v>
      </c>
      <c r="R1736" s="2">
        <v>38160</v>
      </c>
    </row>
    <row r="1737" spans="1:18" x14ac:dyDescent="0.3">
      <c r="A1737" t="s">
        <v>11</v>
      </c>
      <c r="B1737">
        <v>18973253</v>
      </c>
      <c r="C1737" t="s">
        <v>8</v>
      </c>
      <c r="D1737" s="4">
        <v>45943</v>
      </c>
      <c r="E1737" s="11">
        <f t="shared" si="108"/>
        <v>2025</v>
      </c>
      <c r="F1737" s="11">
        <f t="shared" si="109"/>
        <v>10</v>
      </c>
      <c r="G1737" s="11" t="str">
        <f t="shared" si="110"/>
        <v>202510</v>
      </c>
      <c r="I1737" s="5">
        <v>9999</v>
      </c>
      <c r="J1737" s="5">
        <v>333.3</v>
      </c>
      <c r="K1737" s="5">
        <f t="shared" si="111"/>
        <v>0</v>
      </c>
      <c r="L1737" s="5">
        <v>0</v>
      </c>
      <c r="M1737" s="5">
        <v>0</v>
      </c>
      <c r="N1737" t="s">
        <v>12</v>
      </c>
      <c r="O1737" s="8">
        <v>29.345205479452055</v>
      </c>
      <c r="P1737" t="s">
        <v>34</v>
      </c>
      <c r="Q1737">
        <v>3</v>
      </c>
      <c r="R1737" s="2">
        <v>35232</v>
      </c>
    </row>
    <row r="1738" spans="1:18" x14ac:dyDescent="0.3">
      <c r="A1738" t="s">
        <v>7</v>
      </c>
      <c r="B1738">
        <v>18973270</v>
      </c>
      <c r="C1738" t="s">
        <v>8</v>
      </c>
      <c r="D1738" s="4">
        <v>45943</v>
      </c>
      <c r="E1738" s="11">
        <f t="shared" si="108"/>
        <v>2025</v>
      </c>
      <c r="F1738" s="11">
        <f t="shared" si="109"/>
        <v>10</v>
      </c>
      <c r="G1738" s="11" t="str">
        <f t="shared" si="110"/>
        <v>202510</v>
      </c>
      <c r="I1738" s="5">
        <v>9999</v>
      </c>
      <c r="J1738" s="5">
        <v>333.3</v>
      </c>
      <c r="K1738" s="5">
        <f t="shared" si="111"/>
        <v>0</v>
      </c>
      <c r="L1738" s="5">
        <v>0</v>
      </c>
      <c r="M1738" s="5">
        <v>0</v>
      </c>
      <c r="N1738" t="s">
        <v>9</v>
      </c>
      <c r="O1738" s="8">
        <v>23.038356164383561</v>
      </c>
      <c r="P1738" t="s">
        <v>33</v>
      </c>
      <c r="Q1738">
        <v>2</v>
      </c>
      <c r="R1738" s="2">
        <v>37534</v>
      </c>
    </row>
    <row r="1739" spans="1:18" x14ac:dyDescent="0.3">
      <c r="A1739" t="s">
        <v>7</v>
      </c>
      <c r="B1739">
        <v>18973291</v>
      </c>
      <c r="C1739" t="s">
        <v>8</v>
      </c>
      <c r="D1739" s="4">
        <v>45943</v>
      </c>
      <c r="E1739" s="11">
        <f t="shared" si="108"/>
        <v>2025</v>
      </c>
      <c r="F1739" s="11">
        <f t="shared" si="109"/>
        <v>10</v>
      </c>
      <c r="G1739" s="11" t="str">
        <f t="shared" si="110"/>
        <v>202510</v>
      </c>
      <c r="H1739" s="4">
        <v>45962</v>
      </c>
      <c r="I1739" s="5">
        <v>19</v>
      </c>
      <c r="J1739" s="5">
        <v>0.6333333333333333</v>
      </c>
      <c r="K1739" s="5">
        <f t="shared" si="111"/>
        <v>1</v>
      </c>
      <c r="L1739" s="5">
        <v>1</v>
      </c>
      <c r="M1739" s="5">
        <v>1</v>
      </c>
      <c r="N1739" t="s">
        <v>9</v>
      </c>
      <c r="O1739" s="8">
        <v>19.12054794520548</v>
      </c>
      <c r="P1739" t="s">
        <v>32</v>
      </c>
      <c r="Q1739">
        <v>1</v>
      </c>
      <c r="R1739" s="2">
        <v>38964</v>
      </c>
    </row>
    <row r="1740" spans="1:18" x14ac:dyDescent="0.3">
      <c r="A1740" t="s">
        <v>7</v>
      </c>
      <c r="B1740">
        <v>18973292</v>
      </c>
      <c r="C1740" t="s">
        <v>8</v>
      </c>
      <c r="D1740" s="4">
        <v>45943</v>
      </c>
      <c r="E1740" s="11">
        <f t="shared" si="108"/>
        <v>2025</v>
      </c>
      <c r="F1740" s="11">
        <f t="shared" si="109"/>
        <v>10</v>
      </c>
      <c r="G1740" s="11" t="str">
        <f t="shared" si="110"/>
        <v>202510</v>
      </c>
      <c r="H1740" s="4">
        <v>46037</v>
      </c>
      <c r="I1740" s="5">
        <v>94</v>
      </c>
      <c r="J1740" s="5">
        <v>3.1333333333333333</v>
      </c>
      <c r="K1740" s="5">
        <f t="shared" si="111"/>
        <v>0</v>
      </c>
      <c r="L1740" s="5">
        <v>0</v>
      </c>
      <c r="M1740" s="5">
        <v>1</v>
      </c>
      <c r="N1740" t="s">
        <v>9</v>
      </c>
      <c r="O1740" s="8">
        <v>19.449315068493149</v>
      </c>
      <c r="P1740" t="s">
        <v>32</v>
      </c>
      <c r="Q1740">
        <v>1</v>
      </c>
      <c r="R1740" s="2">
        <v>38844</v>
      </c>
    </row>
    <row r="1741" spans="1:18" x14ac:dyDescent="0.3">
      <c r="A1741" t="s">
        <v>7</v>
      </c>
      <c r="B1741">
        <v>18973293</v>
      </c>
      <c r="C1741" t="s">
        <v>10</v>
      </c>
      <c r="D1741" s="4">
        <v>45943</v>
      </c>
      <c r="E1741" s="11">
        <f t="shared" si="108"/>
        <v>2025</v>
      </c>
      <c r="F1741" s="11">
        <f t="shared" si="109"/>
        <v>10</v>
      </c>
      <c r="G1741" s="11" t="str">
        <f t="shared" si="110"/>
        <v>202510</v>
      </c>
      <c r="H1741" s="4">
        <v>46033</v>
      </c>
      <c r="I1741" s="5">
        <v>90</v>
      </c>
      <c r="J1741" s="5">
        <v>3</v>
      </c>
      <c r="K1741" s="5">
        <f t="shared" si="111"/>
        <v>0</v>
      </c>
      <c r="L1741" s="5">
        <v>1</v>
      </c>
      <c r="M1741" s="5">
        <v>1</v>
      </c>
      <c r="N1741" t="s">
        <v>9</v>
      </c>
      <c r="O1741" s="8">
        <v>22.542465753424658</v>
      </c>
      <c r="P1741" t="s">
        <v>33</v>
      </c>
      <c r="Q1741">
        <v>2</v>
      </c>
      <c r="R1741" s="2">
        <v>37715</v>
      </c>
    </row>
    <row r="1742" spans="1:18" x14ac:dyDescent="0.3">
      <c r="A1742" t="s">
        <v>7</v>
      </c>
      <c r="B1742">
        <v>18973298</v>
      </c>
      <c r="C1742" t="s">
        <v>10</v>
      </c>
      <c r="D1742" s="4">
        <v>45943</v>
      </c>
      <c r="E1742" s="11">
        <f t="shared" si="108"/>
        <v>2025</v>
      </c>
      <c r="F1742" s="11">
        <f t="shared" si="109"/>
        <v>10</v>
      </c>
      <c r="G1742" s="11" t="str">
        <f t="shared" si="110"/>
        <v>202510</v>
      </c>
      <c r="H1742" s="4">
        <v>46023</v>
      </c>
      <c r="I1742" s="5">
        <v>80</v>
      </c>
      <c r="J1742" s="5">
        <v>2.6666666666666665</v>
      </c>
      <c r="K1742" s="5">
        <f t="shared" si="111"/>
        <v>0</v>
      </c>
      <c r="L1742" s="5">
        <v>1</v>
      </c>
      <c r="M1742" s="5">
        <v>1</v>
      </c>
      <c r="N1742" t="s">
        <v>9</v>
      </c>
      <c r="O1742" s="8">
        <v>25.098630136986301</v>
      </c>
      <c r="P1742" t="s">
        <v>33</v>
      </c>
      <c r="Q1742">
        <v>2</v>
      </c>
      <c r="R1742" s="2">
        <v>36782</v>
      </c>
    </row>
    <row r="1743" spans="1:18" x14ac:dyDescent="0.3">
      <c r="A1743" t="s">
        <v>7</v>
      </c>
      <c r="B1743">
        <v>18973327</v>
      </c>
      <c r="C1743" t="s">
        <v>8</v>
      </c>
      <c r="D1743" s="4">
        <v>45943</v>
      </c>
      <c r="E1743" s="11">
        <f t="shared" si="108"/>
        <v>2025</v>
      </c>
      <c r="F1743" s="11">
        <f t="shared" si="109"/>
        <v>10</v>
      </c>
      <c r="G1743" s="11" t="str">
        <f t="shared" si="110"/>
        <v>202510</v>
      </c>
      <c r="H1743" s="4">
        <v>46022</v>
      </c>
      <c r="I1743" s="5">
        <v>79</v>
      </c>
      <c r="J1743" s="5">
        <v>2.6333333333333333</v>
      </c>
      <c r="K1743" s="5">
        <f t="shared" si="111"/>
        <v>0</v>
      </c>
      <c r="L1743" s="5">
        <v>1</v>
      </c>
      <c r="M1743" s="5">
        <v>1</v>
      </c>
      <c r="N1743" t="s">
        <v>9</v>
      </c>
      <c r="O1743" s="8">
        <v>21.12054794520548</v>
      </c>
      <c r="P1743" t="s">
        <v>33</v>
      </c>
      <c r="Q1743">
        <v>2</v>
      </c>
      <c r="R1743" s="2">
        <v>38234</v>
      </c>
    </row>
    <row r="1744" spans="1:18" x14ac:dyDescent="0.3">
      <c r="A1744" t="s">
        <v>7</v>
      </c>
      <c r="B1744">
        <v>18973329</v>
      </c>
      <c r="C1744" t="s">
        <v>8</v>
      </c>
      <c r="D1744" s="4">
        <v>45943</v>
      </c>
      <c r="E1744" s="11">
        <f t="shared" si="108"/>
        <v>2025</v>
      </c>
      <c r="F1744" s="11">
        <f t="shared" si="109"/>
        <v>10</v>
      </c>
      <c r="G1744" s="11" t="str">
        <f t="shared" si="110"/>
        <v>202510</v>
      </c>
      <c r="H1744" s="4">
        <v>46173</v>
      </c>
      <c r="I1744" s="5">
        <v>230</v>
      </c>
      <c r="J1744" s="5">
        <v>7.666666666666667</v>
      </c>
      <c r="K1744" s="5">
        <f t="shared" si="111"/>
        <v>0</v>
      </c>
      <c r="L1744" s="5">
        <v>0</v>
      </c>
      <c r="M1744" s="5">
        <v>0</v>
      </c>
      <c r="N1744" t="s">
        <v>9</v>
      </c>
      <c r="O1744" s="8">
        <v>18.958904109589042</v>
      </c>
      <c r="P1744" t="s">
        <v>32</v>
      </c>
      <c r="Q1744">
        <v>1</v>
      </c>
      <c r="R1744" s="2">
        <v>39023</v>
      </c>
    </row>
    <row r="1745" spans="1:18" x14ac:dyDescent="0.3">
      <c r="A1745" t="s">
        <v>7</v>
      </c>
      <c r="B1745">
        <v>18973333</v>
      </c>
      <c r="C1745" t="s">
        <v>8</v>
      </c>
      <c r="D1745" s="4">
        <v>45955</v>
      </c>
      <c r="E1745" s="11">
        <f t="shared" si="108"/>
        <v>2025</v>
      </c>
      <c r="F1745" s="11">
        <f t="shared" si="109"/>
        <v>10</v>
      </c>
      <c r="G1745" s="11" t="str">
        <f t="shared" si="110"/>
        <v>202510</v>
      </c>
      <c r="H1745" s="4">
        <v>45991</v>
      </c>
      <c r="I1745" s="5">
        <v>36</v>
      </c>
      <c r="J1745" s="5">
        <v>1.2</v>
      </c>
      <c r="K1745" s="5">
        <f t="shared" si="111"/>
        <v>0</v>
      </c>
      <c r="L1745" s="5">
        <v>1</v>
      </c>
      <c r="M1745" s="5">
        <v>1</v>
      </c>
      <c r="N1745" t="s">
        <v>9</v>
      </c>
      <c r="O1745" s="8">
        <v>24.328767123287673</v>
      </c>
      <c r="P1745" t="s">
        <v>33</v>
      </c>
      <c r="Q1745">
        <v>2</v>
      </c>
      <c r="R1745" s="2">
        <v>37075</v>
      </c>
    </row>
    <row r="1746" spans="1:18" x14ac:dyDescent="0.3">
      <c r="A1746" t="s">
        <v>7</v>
      </c>
      <c r="B1746">
        <v>18973684</v>
      </c>
      <c r="C1746" t="s">
        <v>8</v>
      </c>
      <c r="D1746" s="4">
        <v>45944</v>
      </c>
      <c r="E1746" s="11">
        <f t="shared" si="108"/>
        <v>2025</v>
      </c>
      <c r="F1746" s="11">
        <f t="shared" si="109"/>
        <v>10</v>
      </c>
      <c r="G1746" s="11" t="str">
        <f t="shared" si="110"/>
        <v>202510</v>
      </c>
      <c r="H1746" s="4">
        <v>45961</v>
      </c>
      <c r="I1746" s="5">
        <v>17</v>
      </c>
      <c r="J1746" s="5">
        <v>0.56666666666666665</v>
      </c>
      <c r="K1746" s="5">
        <f t="shared" si="111"/>
        <v>1</v>
      </c>
      <c r="L1746" s="5">
        <v>1</v>
      </c>
      <c r="M1746" s="5">
        <v>1</v>
      </c>
      <c r="N1746" t="s">
        <v>9</v>
      </c>
      <c r="O1746" s="8">
        <v>32.591780821917808</v>
      </c>
      <c r="P1746" t="s">
        <v>35</v>
      </c>
      <c r="Q1746">
        <v>4</v>
      </c>
      <c r="R1746" s="2">
        <v>34048</v>
      </c>
    </row>
    <row r="1747" spans="1:18" x14ac:dyDescent="0.3">
      <c r="A1747" t="s">
        <v>7</v>
      </c>
      <c r="B1747">
        <v>18973701</v>
      </c>
      <c r="C1747" t="s">
        <v>8</v>
      </c>
      <c r="D1747" s="4">
        <v>45944</v>
      </c>
      <c r="E1747" s="11">
        <f t="shared" si="108"/>
        <v>2025</v>
      </c>
      <c r="F1747" s="11">
        <f t="shared" si="109"/>
        <v>10</v>
      </c>
      <c r="G1747" s="11" t="str">
        <f t="shared" si="110"/>
        <v>202510</v>
      </c>
      <c r="I1747" s="5">
        <v>9999</v>
      </c>
      <c r="J1747" s="5">
        <v>333.3</v>
      </c>
      <c r="K1747" s="5">
        <f t="shared" si="111"/>
        <v>0</v>
      </c>
      <c r="L1747" s="5">
        <v>0</v>
      </c>
      <c r="M1747" s="5">
        <v>0</v>
      </c>
      <c r="N1747" t="s">
        <v>9</v>
      </c>
      <c r="O1747" s="8">
        <v>18.726027397260275</v>
      </c>
      <c r="P1747" t="s">
        <v>32</v>
      </c>
      <c r="Q1747">
        <v>1</v>
      </c>
      <c r="R1747" s="2">
        <v>39109</v>
      </c>
    </row>
    <row r="1748" spans="1:18" x14ac:dyDescent="0.3">
      <c r="A1748" t="s">
        <v>7</v>
      </c>
      <c r="B1748">
        <v>18973843</v>
      </c>
      <c r="C1748" t="s">
        <v>10</v>
      </c>
      <c r="D1748" s="4">
        <v>45945</v>
      </c>
      <c r="E1748" s="11">
        <f t="shared" si="108"/>
        <v>2025</v>
      </c>
      <c r="F1748" s="11">
        <f t="shared" si="109"/>
        <v>10</v>
      </c>
      <c r="G1748" s="11" t="str">
        <f t="shared" si="110"/>
        <v>202510</v>
      </c>
      <c r="H1748" s="4">
        <v>46113</v>
      </c>
      <c r="I1748" s="5">
        <v>168</v>
      </c>
      <c r="J1748" s="5">
        <v>5.6</v>
      </c>
      <c r="K1748" s="5">
        <f t="shared" si="111"/>
        <v>0</v>
      </c>
      <c r="L1748" s="5">
        <v>0</v>
      </c>
      <c r="M1748" s="5">
        <v>1</v>
      </c>
      <c r="N1748" t="s">
        <v>9</v>
      </c>
      <c r="O1748" s="8">
        <v>22.104109589041094</v>
      </c>
      <c r="P1748" t="s">
        <v>33</v>
      </c>
      <c r="Q1748">
        <v>2</v>
      </c>
      <c r="R1748" s="2">
        <v>37877</v>
      </c>
    </row>
    <row r="1749" spans="1:18" x14ac:dyDescent="0.3">
      <c r="A1749" t="s">
        <v>7</v>
      </c>
      <c r="B1749">
        <v>18973844</v>
      </c>
      <c r="C1749" t="s">
        <v>10</v>
      </c>
      <c r="D1749" s="4">
        <v>45945</v>
      </c>
      <c r="E1749" s="11">
        <f t="shared" si="108"/>
        <v>2025</v>
      </c>
      <c r="F1749" s="11">
        <f t="shared" si="109"/>
        <v>10</v>
      </c>
      <c r="G1749" s="11" t="str">
        <f t="shared" si="110"/>
        <v>202510</v>
      </c>
      <c r="I1749" s="5">
        <v>9999</v>
      </c>
      <c r="J1749" s="5">
        <v>333.3</v>
      </c>
      <c r="K1749" s="5">
        <f t="shared" si="111"/>
        <v>0</v>
      </c>
      <c r="L1749" s="5">
        <v>0</v>
      </c>
      <c r="M1749" s="5">
        <v>0</v>
      </c>
      <c r="N1749" t="s">
        <v>9</v>
      </c>
      <c r="O1749" s="8">
        <v>20.252054794520546</v>
      </c>
      <c r="P1749" t="s">
        <v>32</v>
      </c>
      <c r="Q1749">
        <v>1</v>
      </c>
      <c r="R1749" s="2">
        <v>38553</v>
      </c>
    </row>
    <row r="1750" spans="1:18" x14ac:dyDescent="0.3">
      <c r="A1750" t="s">
        <v>7</v>
      </c>
      <c r="B1750">
        <v>18973849</v>
      </c>
      <c r="C1750" t="s">
        <v>8</v>
      </c>
      <c r="D1750" s="4">
        <v>45945</v>
      </c>
      <c r="E1750" s="11">
        <f t="shared" si="108"/>
        <v>2025</v>
      </c>
      <c r="F1750" s="11">
        <f t="shared" si="109"/>
        <v>10</v>
      </c>
      <c r="G1750" s="11" t="str">
        <f t="shared" si="110"/>
        <v>202510</v>
      </c>
      <c r="I1750" s="5">
        <v>9999</v>
      </c>
      <c r="J1750" s="5">
        <v>333.3</v>
      </c>
      <c r="K1750" s="5">
        <f t="shared" si="111"/>
        <v>0</v>
      </c>
      <c r="L1750" s="5">
        <v>0</v>
      </c>
      <c r="M1750" s="5">
        <v>0</v>
      </c>
      <c r="N1750" t="s">
        <v>9</v>
      </c>
      <c r="O1750" s="8">
        <v>18.846575342465755</v>
      </c>
      <c r="P1750" t="s">
        <v>32</v>
      </c>
      <c r="Q1750">
        <v>1</v>
      </c>
      <c r="R1750" s="2">
        <v>39066</v>
      </c>
    </row>
    <row r="1751" spans="1:18" x14ac:dyDescent="0.3">
      <c r="A1751" t="s">
        <v>7</v>
      </c>
      <c r="B1751">
        <v>18973887</v>
      </c>
      <c r="C1751" t="s">
        <v>10</v>
      </c>
      <c r="D1751" s="4">
        <v>45945</v>
      </c>
      <c r="E1751" s="11">
        <f t="shared" si="108"/>
        <v>2025</v>
      </c>
      <c r="F1751" s="11">
        <f t="shared" si="109"/>
        <v>10</v>
      </c>
      <c r="G1751" s="11" t="str">
        <f t="shared" si="110"/>
        <v>202510</v>
      </c>
      <c r="H1751" s="4">
        <v>46006</v>
      </c>
      <c r="I1751" s="5">
        <v>61</v>
      </c>
      <c r="J1751" s="5">
        <v>2.0333333333333332</v>
      </c>
      <c r="K1751" s="5">
        <f t="shared" si="111"/>
        <v>0</v>
      </c>
      <c r="L1751" s="5">
        <v>1</v>
      </c>
      <c r="M1751" s="5">
        <v>1</v>
      </c>
      <c r="N1751" t="s">
        <v>9</v>
      </c>
      <c r="O1751" s="8">
        <v>19.12054794520548</v>
      </c>
      <c r="P1751" t="s">
        <v>32</v>
      </c>
      <c r="Q1751">
        <v>1</v>
      </c>
      <c r="R1751" s="2">
        <v>38966</v>
      </c>
    </row>
    <row r="1752" spans="1:18" x14ac:dyDescent="0.3">
      <c r="A1752" t="s">
        <v>7</v>
      </c>
      <c r="B1752">
        <v>18974181</v>
      </c>
      <c r="C1752" t="s">
        <v>10</v>
      </c>
      <c r="D1752" s="4">
        <v>45946</v>
      </c>
      <c r="E1752" s="11">
        <f t="shared" si="108"/>
        <v>2025</v>
      </c>
      <c r="F1752" s="11">
        <f t="shared" si="109"/>
        <v>10</v>
      </c>
      <c r="G1752" s="11" t="str">
        <f t="shared" si="110"/>
        <v>202510</v>
      </c>
      <c r="H1752" s="4">
        <v>46024</v>
      </c>
      <c r="I1752" s="5">
        <v>78</v>
      </c>
      <c r="J1752" s="5">
        <v>2.6</v>
      </c>
      <c r="K1752" s="5">
        <f t="shared" si="111"/>
        <v>0</v>
      </c>
      <c r="L1752" s="5">
        <v>1</v>
      </c>
      <c r="M1752" s="5">
        <v>1</v>
      </c>
      <c r="N1752" t="s">
        <v>9</v>
      </c>
      <c r="O1752" s="8">
        <v>18.161643835616438</v>
      </c>
      <c r="P1752" t="s">
        <v>32</v>
      </c>
      <c r="Q1752">
        <v>1</v>
      </c>
      <c r="R1752" s="2">
        <v>39317</v>
      </c>
    </row>
    <row r="1753" spans="1:18" x14ac:dyDescent="0.3">
      <c r="A1753" t="s">
        <v>7</v>
      </c>
      <c r="B1753">
        <v>18974184</v>
      </c>
      <c r="C1753" t="s">
        <v>8</v>
      </c>
      <c r="D1753" s="4">
        <v>45946</v>
      </c>
      <c r="E1753" s="11">
        <f t="shared" si="108"/>
        <v>2025</v>
      </c>
      <c r="F1753" s="11">
        <f t="shared" si="109"/>
        <v>10</v>
      </c>
      <c r="G1753" s="11" t="str">
        <f t="shared" si="110"/>
        <v>202510</v>
      </c>
      <c r="H1753" s="4">
        <v>46083</v>
      </c>
      <c r="I1753" s="5">
        <v>137</v>
      </c>
      <c r="J1753" s="5">
        <v>4.5666666666666664</v>
      </c>
      <c r="K1753" s="5">
        <f t="shared" si="111"/>
        <v>0</v>
      </c>
      <c r="L1753" s="5">
        <v>0</v>
      </c>
      <c r="M1753" s="5">
        <v>1</v>
      </c>
      <c r="N1753" t="s">
        <v>9</v>
      </c>
      <c r="O1753" s="8">
        <v>21.452054794520549</v>
      </c>
      <c r="P1753" t="s">
        <v>33</v>
      </c>
      <c r="Q1753">
        <v>2</v>
      </c>
      <c r="R1753" s="2">
        <v>38116</v>
      </c>
    </row>
    <row r="1754" spans="1:18" x14ac:dyDescent="0.3">
      <c r="A1754" t="s">
        <v>7</v>
      </c>
      <c r="B1754">
        <v>18974301</v>
      </c>
      <c r="C1754" t="s">
        <v>8</v>
      </c>
      <c r="D1754" s="4">
        <v>45946</v>
      </c>
      <c r="E1754" s="11">
        <f t="shared" si="108"/>
        <v>2025</v>
      </c>
      <c r="F1754" s="11">
        <f t="shared" si="109"/>
        <v>10</v>
      </c>
      <c r="G1754" s="11" t="str">
        <f t="shared" si="110"/>
        <v>202510</v>
      </c>
      <c r="H1754" s="4">
        <v>46113</v>
      </c>
      <c r="I1754" s="5">
        <v>167</v>
      </c>
      <c r="J1754" s="5">
        <v>5.5666666666666664</v>
      </c>
      <c r="K1754" s="5">
        <f t="shared" si="111"/>
        <v>0</v>
      </c>
      <c r="L1754" s="5">
        <v>0</v>
      </c>
      <c r="M1754" s="5">
        <v>1</v>
      </c>
      <c r="N1754" t="s">
        <v>9</v>
      </c>
      <c r="O1754" s="8">
        <v>22.063013698630137</v>
      </c>
      <c r="P1754" t="s">
        <v>33</v>
      </c>
      <c r="Q1754">
        <v>2</v>
      </c>
      <c r="R1754" s="2">
        <v>37893</v>
      </c>
    </row>
    <row r="1755" spans="1:18" x14ac:dyDescent="0.3">
      <c r="A1755" t="s">
        <v>7</v>
      </c>
      <c r="B1755">
        <v>18974320</v>
      </c>
      <c r="C1755" t="s">
        <v>8</v>
      </c>
      <c r="D1755" s="4">
        <v>45946</v>
      </c>
      <c r="E1755" s="11">
        <f t="shared" si="108"/>
        <v>2025</v>
      </c>
      <c r="F1755" s="11">
        <f t="shared" si="109"/>
        <v>10</v>
      </c>
      <c r="G1755" s="11" t="str">
        <f t="shared" si="110"/>
        <v>202510</v>
      </c>
      <c r="I1755" s="5">
        <v>9999</v>
      </c>
      <c r="J1755" s="5">
        <v>333.3</v>
      </c>
      <c r="K1755" s="5">
        <f t="shared" si="111"/>
        <v>0</v>
      </c>
      <c r="L1755" s="5">
        <v>0</v>
      </c>
      <c r="M1755" s="5">
        <v>0</v>
      </c>
      <c r="N1755" t="s">
        <v>9</v>
      </c>
      <c r="O1755" s="8">
        <v>19.545205479452054</v>
      </c>
      <c r="P1755" t="s">
        <v>32</v>
      </c>
      <c r="Q1755">
        <v>1</v>
      </c>
      <c r="R1755" s="2">
        <v>38812</v>
      </c>
    </row>
    <row r="1756" spans="1:18" x14ac:dyDescent="0.3">
      <c r="A1756" t="s">
        <v>7</v>
      </c>
      <c r="B1756">
        <v>18974346</v>
      </c>
      <c r="C1756" t="s">
        <v>8</v>
      </c>
      <c r="D1756" s="4">
        <v>45946</v>
      </c>
      <c r="E1756" s="11">
        <f t="shared" si="108"/>
        <v>2025</v>
      </c>
      <c r="F1756" s="11">
        <f t="shared" si="109"/>
        <v>10</v>
      </c>
      <c r="G1756" s="11" t="str">
        <f t="shared" si="110"/>
        <v>202510</v>
      </c>
      <c r="I1756" s="5">
        <v>9999</v>
      </c>
      <c r="J1756" s="5">
        <v>333.3</v>
      </c>
      <c r="K1756" s="5">
        <f t="shared" si="111"/>
        <v>0</v>
      </c>
      <c r="L1756" s="5">
        <v>0</v>
      </c>
      <c r="M1756" s="5">
        <v>0</v>
      </c>
      <c r="N1756" t="s">
        <v>9</v>
      </c>
      <c r="O1756" s="8">
        <v>19.326027397260273</v>
      </c>
      <c r="P1756" t="s">
        <v>32</v>
      </c>
      <c r="Q1756">
        <v>1</v>
      </c>
      <c r="R1756" s="2">
        <v>38892</v>
      </c>
    </row>
    <row r="1757" spans="1:18" x14ac:dyDescent="0.3">
      <c r="A1757" t="s">
        <v>11</v>
      </c>
      <c r="B1757">
        <v>18974347</v>
      </c>
      <c r="C1757" t="s">
        <v>10</v>
      </c>
      <c r="D1757" s="4">
        <v>45946</v>
      </c>
      <c r="E1757" s="11">
        <f t="shared" si="108"/>
        <v>2025</v>
      </c>
      <c r="F1757" s="11">
        <f t="shared" si="109"/>
        <v>10</v>
      </c>
      <c r="G1757" s="11" t="str">
        <f t="shared" si="110"/>
        <v>202510</v>
      </c>
      <c r="H1757" s="4">
        <v>46083</v>
      </c>
      <c r="I1757" s="5">
        <v>137</v>
      </c>
      <c r="J1757" s="5">
        <v>4.5666666666666664</v>
      </c>
      <c r="K1757" s="5">
        <f t="shared" si="111"/>
        <v>0</v>
      </c>
      <c r="L1757" s="5">
        <v>0</v>
      </c>
      <c r="M1757" s="5">
        <v>1</v>
      </c>
      <c r="N1757" t="s">
        <v>12</v>
      </c>
      <c r="O1757" s="8">
        <v>29.586301369863012</v>
      </c>
      <c r="P1757" t="s">
        <v>34</v>
      </c>
      <c r="Q1757">
        <v>3</v>
      </c>
      <c r="R1757" s="2">
        <v>35147</v>
      </c>
    </row>
    <row r="1758" spans="1:18" x14ac:dyDescent="0.3">
      <c r="A1758" t="s">
        <v>7</v>
      </c>
      <c r="B1758">
        <v>18974370</v>
      </c>
      <c r="C1758" t="s">
        <v>10</v>
      </c>
      <c r="D1758" s="4">
        <v>45946</v>
      </c>
      <c r="E1758" s="11">
        <f t="shared" si="108"/>
        <v>2025</v>
      </c>
      <c r="F1758" s="11">
        <f t="shared" si="109"/>
        <v>10</v>
      </c>
      <c r="G1758" s="11" t="str">
        <f t="shared" si="110"/>
        <v>202510</v>
      </c>
      <c r="H1758" s="4">
        <v>46040</v>
      </c>
      <c r="I1758" s="5">
        <v>94</v>
      </c>
      <c r="J1758" s="5">
        <v>3.1333333333333333</v>
      </c>
      <c r="K1758" s="5">
        <f t="shared" si="111"/>
        <v>0</v>
      </c>
      <c r="L1758" s="5">
        <v>0</v>
      </c>
      <c r="M1758" s="5">
        <v>1</v>
      </c>
      <c r="N1758" t="s">
        <v>12</v>
      </c>
      <c r="O1758" s="8">
        <v>26.838356164383562</v>
      </c>
      <c r="P1758" t="s">
        <v>34</v>
      </c>
      <c r="Q1758">
        <v>3</v>
      </c>
      <c r="R1758" s="2">
        <v>36150</v>
      </c>
    </row>
    <row r="1759" spans="1:18" x14ac:dyDescent="0.3">
      <c r="A1759" t="s">
        <v>7</v>
      </c>
      <c r="B1759">
        <v>18974432</v>
      </c>
      <c r="C1759" t="s">
        <v>10</v>
      </c>
      <c r="D1759" s="4">
        <v>46106</v>
      </c>
      <c r="E1759" s="11">
        <f t="shared" si="108"/>
        <v>2026</v>
      </c>
      <c r="F1759" s="11">
        <f t="shared" si="109"/>
        <v>3</v>
      </c>
      <c r="G1759" s="11" t="str">
        <f t="shared" si="110"/>
        <v>202603</v>
      </c>
      <c r="I1759" s="5">
        <v>9999</v>
      </c>
      <c r="J1759" s="5">
        <v>333.3</v>
      </c>
      <c r="K1759" s="5">
        <f t="shared" si="111"/>
        <v>0</v>
      </c>
      <c r="L1759" s="5">
        <v>0</v>
      </c>
      <c r="M1759" s="5">
        <v>0</v>
      </c>
      <c r="N1759" t="s">
        <v>9</v>
      </c>
      <c r="O1759" s="8">
        <v>18.613698630136987</v>
      </c>
      <c r="P1759" t="s">
        <v>32</v>
      </c>
      <c r="Q1759">
        <v>1</v>
      </c>
      <c r="R1759" s="2">
        <v>39312</v>
      </c>
    </row>
    <row r="1760" spans="1:18" x14ac:dyDescent="0.3">
      <c r="A1760" t="s">
        <v>7</v>
      </c>
      <c r="B1760">
        <v>18974529</v>
      </c>
      <c r="C1760" t="s">
        <v>8</v>
      </c>
      <c r="D1760" s="4">
        <v>45947</v>
      </c>
      <c r="E1760" s="11">
        <f t="shared" si="108"/>
        <v>2025</v>
      </c>
      <c r="F1760" s="11">
        <f t="shared" si="109"/>
        <v>10</v>
      </c>
      <c r="G1760" s="11" t="str">
        <f t="shared" si="110"/>
        <v>202510</v>
      </c>
      <c r="H1760" s="4">
        <v>46053</v>
      </c>
      <c r="I1760" s="5">
        <v>106</v>
      </c>
      <c r="J1760" s="5">
        <v>3.5333333333333332</v>
      </c>
      <c r="K1760" s="5">
        <f t="shared" si="111"/>
        <v>0</v>
      </c>
      <c r="L1760" s="5">
        <v>0</v>
      </c>
      <c r="M1760" s="5">
        <v>1</v>
      </c>
      <c r="N1760" t="s">
        <v>9</v>
      </c>
      <c r="O1760" s="8">
        <v>25.095890410958905</v>
      </c>
      <c r="P1760" t="s">
        <v>33</v>
      </c>
      <c r="Q1760">
        <v>2</v>
      </c>
      <c r="R1760" s="2">
        <v>36787</v>
      </c>
    </row>
    <row r="1761" spans="1:18" x14ac:dyDescent="0.3">
      <c r="A1761" t="s">
        <v>7</v>
      </c>
      <c r="B1761">
        <v>18974530</v>
      </c>
      <c r="C1761" t="s">
        <v>8</v>
      </c>
      <c r="D1761" s="4">
        <v>45947</v>
      </c>
      <c r="E1761" s="11">
        <f t="shared" si="108"/>
        <v>2025</v>
      </c>
      <c r="F1761" s="11">
        <f t="shared" si="109"/>
        <v>10</v>
      </c>
      <c r="G1761" s="11" t="str">
        <f t="shared" si="110"/>
        <v>202510</v>
      </c>
      <c r="H1761" s="4">
        <v>45961</v>
      </c>
      <c r="I1761" s="5">
        <v>14</v>
      </c>
      <c r="J1761" s="5">
        <v>0.46666666666666667</v>
      </c>
      <c r="K1761" s="5">
        <f t="shared" si="111"/>
        <v>1</v>
      </c>
      <c r="L1761" s="5">
        <v>1</v>
      </c>
      <c r="M1761" s="5">
        <v>1</v>
      </c>
      <c r="N1761" t="s">
        <v>9</v>
      </c>
      <c r="O1761" s="8">
        <v>24.109589041095891</v>
      </c>
      <c r="P1761" t="s">
        <v>33</v>
      </c>
      <c r="Q1761">
        <v>2</v>
      </c>
      <c r="R1761" s="2">
        <v>37147</v>
      </c>
    </row>
    <row r="1762" spans="1:18" x14ac:dyDescent="0.3">
      <c r="A1762" t="s">
        <v>7</v>
      </c>
      <c r="B1762">
        <v>18974531</v>
      </c>
      <c r="C1762" t="s">
        <v>8</v>
      </c>
      <c r="D1762" s="4">
        <v>45947</v>
      </c>
      <c r="E1762" s="11">
        <f t="shared" si="108"/>
        <v>2025</v>
      </c>
      <c r="F1762" s="11">
        <f t="shared" si="109"/>
        <v>10</v>
      </c>
      <c r="G1762" s="11" t="str">
        <f t="shared" si="110"/>
        <v>202510</v>
      </c>
      <c r="H1762" s="4">
        <v>46112</v>
      </c>
      <c r="I1762" s="5">
        <v>165</v>
      </c>
      <c r="J1762" s="5">
        <v>5.5</v>
      </c>
      <c r="K1762" s="5">
        <f t="shared" si="111"/>
        <v>0</v>
      </c>
      <c r="L1762" s="5">
        <v>0</v>
      </c>
      <c r="M1762" s="5">
        <v>1</v>
      </c>
      <c r="N1762" t="s">
        <v>9</v>
      </c>
      <c r="O1762" s="8">
        <v>23.564383561643837</v>
      </c>
      <c r="P1762" t="s">
        <v>33</v>
      </c>
      <c r="Q1762">
        <v>2</v>
      </c>
      <c r="R1762" s="2">
        <v>37346</v>
      </c>
    </row>
    <row r="1763" spans="1:18" x14ac:dyDescent="0.3">
      <c r="A1763" t="s">
        <v>7</v>
      </c>
      <c r="B1763">
        <v>18974532</v>
      </c>
      <c r="C1763" t="s">
        <v>8</v>
      </c>
      <c r="D1763" s="4">
        <v>45947</v>
      </c>
      <c r="E1763" s="11">
        <f t="shared" si="108"/>
        <v>2025</v>
      </c>
      <c r="F1763" s="11">
        <f t="shared" si="109"/>
        <v>10</v>
      </c>
      <c r="G1763" s="11" t="str">
        <f t="shared" si="110"/>
        <v>202510</v>
      </c>
      <c r="I1763" s="5">
        <v>9999</v>
      </c>
      <c r="J1763" s="5">
        <v>333.3</v>
      </c>
      <c r="K1763" s="5">
        <f t="shared" si="111"/>
        <v>0</v>
      </c>
      <c r="L1763" s="5">
        <v>0</v>
      </c>
      <c r="M1763" s="5">
        <v>0</v>
      </c>
      <c r="N1763" t="s">
        <v>9</v>
      </c>
      <c r="O1763" s="8">
        <v>19.350684931506848</v>
      </c>
      <c r="P1763" t="s">
        <v>32</v>
      </c>
      <c r="Q1763">
        <v>1</v>
      </c>
      <c r="R1763" s="2">
        <v>38884</v>
      </c>
    </row>
    <row r="1764" spans="1:18" x14ac:dyDescent="0.3">
      <c r="A1764" t="s">
        <v>7</v>
      </c>
      <c r="B1764">
        <v>18974546</v>
      </c>
      <c r="C1764" t="s">
        <v>8</v>
      </c>
      <c r="D1764" s="4">
        <v>45947</v>
      </c>
      <c r="E1764" s="11">
        <f t="shared" si="108"/>
        <v>2025</v>
      </c>
      <c r="F1764" s="11">
        <f t="shared" si="109"/>
        <v>10</v>
      </c>
      <c r="G1764" s="11" t="str">
        <f t="shared" si="110"/>
        <v>202510</v>
      </c>
      <c r="I1764" s="5">
        <v>9999</v>
      </c>
      <c r="J1764" s="5">
        <v>333.3</v>
      </c>
      <c r="K1764" s="5">
        <f t="shared" si="111"/>
        <v>0</v>
      </c>
      <c r="L1764" s="5">
        <v>0</v>
      </c>
      <c r="M1764" s="5">
        <v>0</v>
      </c>
      <c r="N1764" t="s">
        <v>9</v>
      </c>
      <c r="O1764" s="8">
        <v>19.81095890410959</v>
      </c>
      <c r="P1764" t="s">
        <v>32</v>
      </c>
      <c r="Q1764">
        <v>1</v>
      </c>
      <c r="R1764" s="2">
        <v>38716</v>
      </c>
    </row>
    <row r="1765" spans="1:18" x14ac:dyDescent="0.3">
      <c r="A1765" t="s">
        <v>7</v>
      </c>
      <c r="B1765">
        <v>18974551</v>
      </c>
      <c r="C1765" t="s">
        <v>8</v>
      </c>
      <c r="D1765" s="4">
        <v>45947</v>
      </c>
      <c r="E1765" s="11">
        <f t="shared" si="108"/>
        <v>2025</v>
      </c>
      <c r="F1765" s="11">
        <f t="shared" si="109"/>
        <v>10</v>
      </c>
      <c r="G1765" s="11" t="str">
        <f t="shared" si="110"/>
        <v>202510</v>
      </c>
      <c r="H1765" s="4">
        <v>46037</v>
      </c>
      <c r="I1765" s="5">
        <v>90</v>
      </c>
      <c r="J1765" s="5">
        <v>3</v>
      </c>
      <c r="K1765" s="5">
        <f t="shared" si="111"/>
        <v>0</v>
      </c>
      <c r="L1765" s="5">
        <v>1</v>
      </c>
      <c r="M1765" s="5">
        <v>1</v>
      </c>
      <c r="N1765" t="s">
        <v>9</v>
      </c>
      <c r="O1765" s="8">
        <v>18.227397260273971</v>
      </c>
      <c r="P1765" t="s">
        <v>32</v>
      </c>
      <c r="Q1765">
        <v>1</v>
      </c>
      <c r="R1765" s="2">
        <v>39294</v>
      </c>
    </row>
    <row r="1766" spans="1:18" x14ac:dyDescent="0.3">
      <c r="A1766" t="s">
        <v>7</v>
      </c>
      <c r="B1766">
        <v>18974586</v>
      </c>
      <c r="C1766" t="s">
        <v>10</v>
      </c>
      <c r="D1766" s="4">
        <v>45947</v>
      </c>
      <c r="E1766" s="11">
        <f t="shared" si="108"/>
        <v>2025</v>
      </c>
      <c r="F1766" s="11">
        <f t="shared" si="109"/>
        <v>10</v>
      </c>
      <c r="G1766" s="11" t="str">
        <f t="shared" si="110"/>
        <v>202510</v>
      </c>
      <c r="I1766" s="5">
        <v>9999</v>
      </c>
      <c r="J1766" s="5">
        <v>333.3</v>
      </c>
      <c r="K1766" s="5">
        <f t="shared" si="111"/>
        <v>0</v>
      </c>
      <c r="L1766" s="5">
        <v>0</v>
      </c>
      <c r="M1766" s="5">
        <v>0</v>
      </c>
      <c r="N1766" t="s">
        <v>12</v>
      </c>
      <c r="O1766" s="8">
        <v>21.457534246575342</v>
      </c>
      <c r="P1766" t="s">
        <v>33</v>
      </c>
      <c r="Q1766">
        <v>2</v>
      </c>
      <c r="R1766" s="2">
        <v>38115</v>
      </c>
    </row>
    <row r="1767" spans="1:18" x14ac:dyDescent="0.3">
      <c r="A1767" t="s">
        <v>7</v>
      </c>
      <c r="B1767">
        <v>18974761</v>
      </c>
      <c r="C1767" t="s">
        <v>10</v>
      </c>
      <c r="D1767" s="4">
        <v>45948</v>
      </c>
      <c r="E1767" s="11">
        <f t="shared" si="108"/>
        <v>2025</v>
      </c>
      <c r="F1767" s="11">
        <f t="shared" si="109"/>
        <v>10</v>
      </c>
      <c r="G1767" s="11" t="str">
        <f t="shared" si="110"/>
        <v>202510</v>
      </c>
      <c r="I1767" s="5">
        <v>9999</v>
      </c>
      <c r="J1767" s="5">
        <v>333.3</v>
      </c>
      <c r="K1767" s="5">
        <f t="shared" si="111"/>
        <v>0</v>
      </c>
      <c r="L1767" s="5">
        <v>0</v>
      </c>
      <c r="M1767" s="5">
        <v>0</v>
      </c>
      <c r="N1767" t="s">
        <v>9</v>
      </c>
      <c r="O1767" s="8">
        <v>19.224657534246575</v>
      </c>
      <c r="P1767" t="s">
        <v>32</v>
      </c>
      <c r="Q1767">
        <v>1</v>
      </c>
      <c r="R1767" s="2">
        <v>38931</v>
      </c>
    </row>
    <row r="1768" spans="1:18" x14ac:dyDescent="0.3">
      <c r="A1768" t="s">
        <v>7</v>
      </c>
      <c r="B1768">
        <v>18974762</v>
      </c>
      <c r="C1768" t="s">
        <v>8</v>
      </c>
      <c r="D1768" s="4">
        <v>45948</v>
      </c>
      <c r="E1768" s="11">
        <f t="shared" si="108"/>
        <v>2025</v>
      </c>
      <c r="F1768" s="11">
        <f t="shared" si="109"/>
        <v>10</v>
      </c>
      <c r="G1768" s="11" t="str">
        <f t="shared" si="110"/>
        <v>202510</v>
      </c>
      <c r="H1768" s="4">
        <v>45962</v>
      </c>
      <c r="I1768" s="5">
        <v>14</v>
      </c>
      <c r="J1768" s="5">
        <v>0.46666666666666667</v>
      </c>
      <c r="K1768" s="5">
        <f t="shared" si="111"/>
        <v>1</v>
      </c>
      <c r="L1768" s="5">
        <v>1</v>
      </c>
      <c r="M1768" s="5">
        <v>1</v>
      </c>
      <c r="N1768" t="s">
        <v>9</v>
      </c>
      <c r="O1768" s="8">
        <v>42.115068493150687</v>
      </c>
      <c r="P1768" t="s">
        <v>35</v>
      </c>
      <c r="Q1768">
        <v>4</v>
      </c>
      <c r="R1768" s="2">
        <v>30576</v>
      </c>
    </row>
    <row r="1769" spans="1:18" x14ac:dyDescent="0.3">
      <c r="A1769" t="s">
        <v>7</v>
      </c>
      <c r="B1769">
        <v>18974772</v>
      </c>
      <c r="C1769" t="s">
        <v>10</v>
      </c>
      <c r="D1769" s="4">
        <v>45948</v>
      </c>
      <c r="E1769" s="11">
        <f t="shared" si="108"/>
        <v>2025</v>
      </c>
      <c r="F1769" s="11">
        <f t="shared" si="109"/>
        <v>10</v>
      </c>
      <c r="G1769" s="11" t="str">
        <f t="shared" si="110"/>
        <v>202510</v>
      </c>
      <c r="I1769" s="5">
        <v>9999</v>
      </c>
      <c r="J1769" s="5">
        <v>333.3</v>
      </c>
      <c r="K1769" s="5">
        <f t="shared" si="111"/>
        <v>0</v>
      </c>
      <c r="L1769" s="5">
        <v>0</v>
      </c>
      <c r="M1769" s="5">
        <v>0</v>
      </c>
      <c r="N1769" t="s">
        <v>9</v>
      </c>
      <c r="O1769" s="8">
        <v>29.268493150684932</v>
      </c>
      <c r="P1769" t="s">
        <v>34</v>
      </c>
      <c r="Q1769">
        <v>3</v>
      </c>
      <c r="R1769" s="2">
        <v>35265</v>
      </c>
    </row>
    <row r="1770" spans="1:18" x14ac:dyDescent="0.3">
      <c r="A1770" t="s">
        <v>7</v>
      </c>
      <c r="B1770">
        <v>18974801</v>
      </c>
      <c r="C1770" t="s">
        <v>8</v>
      </c>
      <c r="D1770" s="4">
        <v>45948</v>
      </c>
      <c r="E1770" s="11">
        <f t="shared" si="108"/>
        <v>2025</v>
      </c>
      <c r="F1770" s="11">
        <f t="shared" si="109"/>
        <v>10</v>
      </c>
      <c r="G1770" s="11" t="str">
        <f t="shared" si="110"/>
        <v>202510</v>
      </c>
      <c r="I1770" s="5">
        <v>9999</v>
      </c>
      <c r="J1770" s="5">
        <v>333.3</v>
      </c>
      <c r="K1770" s="5">
        <f t="shared" si="111"/>
        <v>0</v>
      </c>
      <c r="L1770" s="5">
        <v>0</v>
      </c>
      <c r="M1770" s="5">
        <v>0</v>
      </c>
      <c r="N1770" t="s">
        <v>9</v>
      </c>
      <c r="O1770" s="8">
        <v>20.86849315068493</v>
      </c>
      <c r="P1770" t="s">
        <v>32</v>
      </c>
      <c r="Q1770">
        <v>1</v>
      </c>
      <c r="R1770" s="2">
        <v>38331</v>
      </c>
    </row>
    <row r="1771" spans="1:18" x14ac:dyDescent="0.3">
      <c r="A1771" t="s">
        <v>7</v>
      </c>
      <c r="B1771">
        <v>18974802</v>
      </c>
      <c r="C1771" t="s">
        <v>8</v>
      </c>
      <c r="D1771" s="4">
        <v>45948</v>
      </c>
      <c r="E1771" s="11">
        <f t="shared" si="108"/>
        <v>2025</v>
      </c>
      <c r="F1771" s="11">
        <f t="shared" si="109"/>
        <v>10</v>
      </c>
      <c r="G1771" s="11" t="str">
        <f t="shared" si="110"/>
        <v>202510</v>
      </c>
      <c r="I1771" s="5">
        <v>9999</v>
      </c>
      <c r="J1771" s="5">
        <v>333.3</v>
      </c>
      <c r="K1771" s="5">
        <f t="shared" si="111"/>
        <v>0</v>
      </c>
      <c r="L1771" s="5">
        <v>0</v>
      </c>
      <c r="M1771" s="5">
        <v>0</v>
      </c>
      <c r="N1771" t="s">
        <v>9</v>
      </c>
      <c r="O1771" s="8">
        <v>19.945205479452056</v>
      </c>
      <c r="P1771" t="s">
        <v>32</v>
      </c>
      <c r="Q1771">
        <v>1</v>
      </c>
      <c r="R1771" s="2">
        <v>38668</v>
      </c>
    </row>
    <row r="1772" spans="1:18" x14ac:dyDescent="0.3">
      <c r="A1772" t="s">
        <v>7</v>
      </c>
      <c r="B1772">
        <v>18974851</v>
      </c>
      <c r="C1772" t="s">
        <v>10</v>
      </c>
      <c r="D1772" s="4">
        <v>45948</v>
      </c>
      <c r="E1772" s="11">
        <f t="shared" si="108"/>
        <v>2025</v>
      </c>
      <c r="F1772" s="11">
        <f t="shared" si="109"/>
        <v>10</v>
      </c>
      <c r="G1772" s="11" t="str">
        <f t="shared" si="110"/>
        <v>202510</v>
      </c>
      <c r="H1772" s="4">
        <v>46028</v>
      </c>
      <c r="I1772" s="5">
        <v>80</v>
      </c>
      <c r="J1772" s="5">
        <v>2.6666666666666665</v>
      </c>
      <c r="K1772" s="5">
        <f t="shared" si="111"/>
        <v>0</v>
      </c>
      <c r="L1772" s="5">
        <v>1</v>
      </c>
      <c r="M1772" s="5">
        <v>1</v>
      </c>
      <c r="N1772" t="s">
        <v>9</v>
      </c>
      <c r="O1772" s="8">
        <v>20.926027397260274</v>
      </c>
      <c r="P1772" t="s">
        <v>32</v>
      </c>
      <c r="Q1772">
        <v>1</v>
      </c>
      <c r="R1772" s="2">
        <v>38310</v>
      </c>
    </row>
    <row r="1773" spans="1:18" x14ac:dyDescent="0.3">
      <c r="A1773" t="s">
        <v>7</v>
      </c>
      <c r="B1773">
        <v>18974881</v>
      </c>
      <c r="C1773" t="s">
        <v>10</v>
      </c>
      <c r="D1773" s="4">
        <v>45948</v>
      </c>
      <c r="E1773" s="11">
        <f t="shared" si="108"/>
        <v>2025</v>
      </c>
      <c r="F1773" s="11">
        <f t="shared" si="109"/>
        <v>10</v>
      </c>
      <c r="G1773" s="11" t="str">
        <f t="shared" si="110"/>
        <v>202510</v>
      </c>
      <c r="I1773" s="5">
        <v>9999</v>
      </c>
      <c r="J1773" s="5">
        <v>333.3</v>
      </c>
      <c r="K1773" s="5">
        <f t="shared" si="111"/>
        <v>0</v>
      </c>
      <c r="L1773" s="5">
        <v>0</v>
      </c>
      <c r="M1773" s="5">
        <v>0</v>
      </c>
      <c r="N1773" t="s">
        <v>9</v>
      </c>
      <c r="O1773" s="8">
        <v>18.383561643835616</v>
      </c>
      <c r="P1773" t="s">
        <v>32</v>
      </c>
      <c r="Q1773">
        <v>1</v>
      </c>
      <c r="R1773" s="2">
        <v>39238</v>
      </c>
    </row>
    <row r="1774" spans="1:18" x14ac:dyDescent="0.3">
      <c r="A1774" t="s">
        <v>7</v>
      </c>
      <c r="B1774">
        <v>18975024</v>
      </c>
      <c r="C1774" t="s">
        <v>8</v>
      </c>
      <c r="D1774" s="4">
        <v>45951</v>
      </c>
      <c r="E1774" s="11">
        <f t="shared" si="108"/>
        <v>2025</v>
      </c>
      <c r="F1774" s="11">
        <f t="shared" si="109"/>
        <v>10</v>
      </c>
      <c r="G1774" s="11" t="str">
        <f t="shared" si="110"/>
        <v>202510</v>
      </c>
      <c r="H1774" s="4">
        <v>46173</v>
      </c>
      <c r="I1774" s="5">
        <v>222</v>
      </c>
      <c r="J1774" s="5">
        <v>7.4</v>
      </c>
      <c r="K1774" s="5">
        <f t="shared" si="111"/>
        <v>0</v>
      </c>
      <c r="L1774" s="5">
        <v>0</v>
      </c>
      <c r="M1774" s="5">
        <v>0</v>
      </c>
      <c r="N1774" t="s">
        <v>12</v>
      </c>
      <c r="O1774" s="8">
        <v>31.610958904109587</v>
      </c>
      <c r="P1774" t="s">
        <v>35</v>
      </c>
      <c r="Q1774">
        <v>4</v>
      </c>
      <c r="R1774" s="2">
        <v>34413</v>
      </c>
    </row>
    <row r="1775" spans="1:18" x14ac:dyDescent="0.3">
      <c r="A1775" t="s">
        <v>7</v>
      </c>
      <c r="B1775">
        <v>18975046</v>
      </c>
      <c r="C1775" t="s">
        <v>10</v>
      </c>
      <c r="D1775" s="4">
        <v>45951</v>
      </c>
      <c r="E1775" s="11">
        <f t="shared" si="108"/>
        <v>2025</v>
      </c>
      <c r="F1775" s="11">
        <f t="shared" si="109"/>
        <v>10</v>
      </c>
      <c r="G1775" s="11" t="str">
        <f t="shared" si="110"/>
        <v>202510</v>
      </c>
      <c r="I1775" s="5">
        <v>9999</v>
      </c>
      <c r="J1775" s="5">
        <v>333.3</v>
      </c>
      <c r="K1775" s="5">
        <f t="shared" si="111"/>
        <v>0</v>
      </c>
      <c r="L1775" s="5">
        <v>0</v>
      </c>
      <c r="M1775" s="5">
        <v>0</v>
      </c>
      <c r="N1775" t="s">
        <v>9</v>
      </c>
      <c r="O1775" s="8">
        <v>22.93972602739726</v>
      </c>
      <c r="P1775" t="s">
        <v>33</v>
      </c>
      <c r="Q1775">
        <v>2</v>
      </c>
      <c r="R1775" s="2">
        <v>37578</v>
      </c>
    </row>
    <row r="1776" spans="1:18" x14ac:dyDescent="0.3">
      <c r="A1776" t="s">
        <v>7</v>
      </c>
      <c r="B1776">
        <v>18975047</v>
      </c>
      <c r="C1776" t="s">
        <v>10</v>
      </c>
      <c r="D1776" s="4">
        <v>45951</v>
      </c>
      <c r="E1776" s="11">
        <f t="shared" si="108"/>
        <v>2025</v>
      </c>
      <c r="F1776" s="11">
        <f t="shared" si="109"/>
        <v>10</v>
      </c>
      <c r="G1776" s="11" t="str">
        <f t="shared" si="110"/>
        <v>202510</v>
      </c>
      <c r="I1776" s="5">
        <v>9999</v>
      </c>
      <c r="J1776" s="5">
        <v>333.3</v>
      </c>
      <c r="K1776" s="5">
        <f t="shared" si="111"/>
        <v>0</v>
      </c>
      <c r="L1776" s="5">
        <v>0</v>
      </c>
      <c r="M1776" s="5">
        <v>0</v>
      </c>
      <c r="N1776" t="s">
        <v>9</v>
      </c>
      <c r="O1776" s="8">
        <v>22.61917808219178</v>
      </c>
      <c r="P1776" t="s">
        <v>33</v>
      </c>
      <c r="Q1776">
        <v>2</v>
      </c>
      <c r="R1776" s="2">
        <v>37695</v>
      </c>
    </row>
    <row r="1777" spans="1:18" x14ac:dyDescent="0.3">
      <c r="A1777" t="s">
        <v>7</v>
      </c>
      <c r="B1777">
        <v>18975051</v>
      </c>
      <c r="C1777" t="s">
        <v>8</v>
      </c>
      <c r="D1777" s="4">
        <v>45951</v>
      </c>
      <c r="E1777" s="11">
        <f t="shared" si="108"/>
        <v>2025</v>
      </c>
      <c r="F1777" s="11">
        <f t="shared" si="109"/>
        <v>10</v>
      </c>
      <c r="G1777" s="11" t="str">
        <f t="shared" si="110"/>
        <v>202510</v>
      </c>
      <c r="H1777" s="4">
        <v>46053</v>
      </c>
      <c r="I1777" s="5">
        <v>102</v>
      </c>
      <c r="J1777" s="5">
        <v>3.4</v>
      </c>
      <c r="K1777" s="5">
        <f t="shared" si="111"/>
        <v>0</v>
      </c>
      <c r="L1777" s="5">
        <v>0</v>
      </c>
      <c r="M1777" s="5">
        <v>1</v>
      </c>
      <c r="N1777" t="s">
        <v>9</v>
      </c>
      <c r="O1777" s="8">
        <v>19.610958904109587</v>
      </c>
      <c r="P1777" t="s">
        <v>32</v>
      </c>
      <c r="Q1777">
        <v>1</v>
      </c>
      <c r="R1777" s="2">
        <v>38793</v>
      </c>
    </row>
    <row r="1778" spans="1:18" x14ac:dyDescent="0.3">
      <c r="A1778" t="s">
        <v>7</v>
      </c>
      <c r="B1778">
        <v>18975084</v>
      </c>
      <c r="C1778" t="s">
        <v>10</v>
      </c>
      <c r="D1778" s="4">
        <v>45951</v>
      </c>
      <c r="E1778" s="11">
        <f t="shared" si="108"/>
        <v>2025</v>
      </c>
      <c r="F1778" s="11">
        <f t="shared" si="109"/>
        <v>10</v>
      </c>
      <c r="G1778" s="11" t="str">
        <f t="shared" si="110"/>
        <v>202510</v>
      </c>
      <c r="I1778" s="5">
        <v>9999</v>
      </c>
      <c r="J1778" s="5">
        <v>333.3</v>
      </c>
      <c r="K1778" s="5">
        <f t="shared" si="111"/>
        <v>0</v>
      </c>
      <c r="L1778" s="5">
        <v>0</v>
      </c>
      <c r="M1778" s="5">
        <v>0</v>
      </c>
      <c r="N1778" t="s">
        <v>12</v>
      </c>
      <c r="O1778" s="8">
        <v>18.038356164383561</v>
      </c>
      <c r="P1778" t="s">
        <v>32</v>
      </c>
      <c r="Q1778">
        <v>1</v>
      </c>
      <c r="R1778" s="2">
        <v>39367</v>
      </c>
    </row>
    <row r="1779" spans="1:18" x14ac:dyDescent="0.3">
      <c r="A1779" t="s">
        <v>7</v>
      </c>
      <c r="B1779">
        <v>18975117</v>
      </c>
      <c r="C1779" t="s">
        <v>10</v>
      </c>
      <c r="D1779" s="4">
        <v>45951</v>
      </c>
      <c r="E1779" s="11">
        <f t="shared" si="108"/>
        <v>2025</v>
      </c>
      <c r="F1779" s="11">
        <f t="shared" si="109"/>
        <v>10</v>
      </c>
      <c r="G1779" s="11" t="str">
        <f t="shared" si="110"/>
        <v>202510</v>
      </c>
      <c r="H1779" s="4">
        <v>45962</v>
      </c>
      <c r="I1779" s="5">
        <v>11</v>
      </c>
      <c r="J1779" s="5">
        <v>0.36666666666666664</v>
      </c>
      <c r="K1779" s="5">
        <f t="shared" si="111"/>
        <v>1</v>
      </c>
      <c r="L1779" s="5">
        <v>1</v>
      </c>
      <c r="M1779" s="5">
        <v>1</v>
      </c>
      <c r="N1779" t="s">
        <v>9</v>
      </c>
      <c r="O1779" s="8">
        <v>20.112328767123287</v>
      </c>
      <c r="P1779" t="s">
        <v>32</v>
      </c>
      <c r="Q1779">
        <v>1</v>
      </c>
      <c r="R1779" s="2">
        <v>38610</v>
      </c>
    </row>
    <row r="1780" spans="1:18" x14ac:dyDescent="0.3">
      <c r="A1780" t="s">
        <v>7</v>
      </c>
      <c r="B1780">
        <v>18975171</v>
      </c>
      <c r="C1780" t="s">
        <v>8</v>
      </c>
      <c r="D1780" s="4">
        <v>45952</v>
      </c>
      <c r="E1780" s="11">
        <f t="shared" si="108"/>
        <v>2025</v>
      </c>
      <c r="F1780" s="11">
        <f t="shared" si="109"/>
        <v>10</v>
      </c>
      <c r="G1780" s="11" t="str">
        <f t="shared" si="110"/>
        <v>202510</v>
      </c>
      <c r="I1780" s="5">
        <v>9999</v>
      </c>
      <c r="J1780" s="5">
        <v>333.3</v>
      </c>
      <c r="K1780" s="5">
        <f t="shared" si="111"/>
        <v>0</v>
      </c>
      <c r="L1780" s="5">
        <v>0</v>
      </c>
      <c r="M1780" s="5">
        <v>0</v>
      </c>
      <c r="N1780" t="s">
        <v>12</v>
      </c>
      <c r="O1780" s="8">
        <v>23.775342465753425</v>
      </c>
      <c r="P1780" t="s">
        <v>33</v>
      </c>
      <c r="Q1780">
        <v>2</v>
      </c>
      <c r="R1780" s="2">
        <v>37274</v>
      </c>
    </row>
    <row r="1781" spans="1:18" x14ac:dyDescent="0.3">
      <c r="A1781" t="s">
        <v>7</v>
      </c>
      <c r="B1781">
        <v>18975228</v>
      </c>
      <c r="C1781" t="s">
        <v>8</v>
      </c>
      <c r="D1781" s="4">
        <v>45952</v>
      </c>
      <c r="E1781" s="11">
        <f t="shared" si="108"/>
        <v>2025</v>
      </c>
      <c r="F1781" s="11">
        <f t="shared" si="109"/>
        <v>10</v>
      </c>
      <c r="G1781" s="11" t="str">
        <f t="shared" si="110"/>
        <v>202510</v>
      </c>
      <c r="I1781" s="5">
        <v>9999</v>
      </c>
      <c r="J1781" s="5">
        <v>333.3</v>
      </c>
      <c r="K1781" s="5">
        <f t="shared" si="111"/>
        <v>0</v>
      </c>
      <c r="L1781" s="5">
        <v>0</v>
      </c>
      <c r="M1781" s="5">
        <v>0</v>
      </c>
      <c r="N1781" t="s">
        <v>9</v>
      </c>
      <c r="O1781" s="8">
        <v>23.213698630136985</v>
      </c>
      <c r="P1781" t="s">
        <v>33</v>
      </c>
      <c r="Q1781">
        <v>2</v>
      </c>
      <c r="R1781" s="2">
        <v>37479</v>
      </c>
    </row>
    <row r="1782" spans="1:18" x14ac:dyDescent="0.3">
      <c r="A1782" t="s">
        <v>7</v>
      </c>
      <c r="B1782">
        <v>18975379</v>
      </c>
      <c r="C1782" t="s">
        <v>8</v>
      </c>
      <c r="D1782" s="4">
        <v>45952</v>
      </c>
      <c r="E1782" s="11">
        <f t="shared" si="108"/>
        <v>2025</v>
      </c>
      <c r="F1782" s="11">
        <f t="shared" si="109"/>
        <v>10</v>
      </c>
      <c r="G1782" s="11" t="str">
        <f t="shared" si="110"/>
        <v>202510</v>
      </c>
      <c r="I1782" s="5">
        <v>9999</v>
      </c>
      <c r="J1782" s="5">
        <v>333.3</v>
      </c>
      <c r="K1782" s="5">
        <f t="shared" si="111"/>
        <v>0</v>
      </c>
      <c r="L1782" s="5">
        <v>0</v>
      </c>
      <c r="M1782" s="5">
        <v>0</v>
      </c>
      <c r="N1782" t="s">
        <v>12</v>
      </c>
      <c r="O1782" s="8">
        <v>26.504109589041096</v>
      </c>
      <c r="P1782" t="s">
        <v>34</v>
      </c>
      <c r="Q1782">
        <v>3</v>
      </c>
      <c r="R1782" s="2">
        <v>36278</v>
      </c>
    </row>
    <row r="1783" spans="1:18" x14ac:dyDescent="0.3">
      <c r="A1783" t="s">
        <v>7</v>
      </c>
      <c r="B1783">
        <v>18975427</v>
      </c>
      <c r="C1783" t="s">
        <v>8</v>
      </c>
      <c r="D1783" s="4">
        <v>45953</v>
      </c>
      <c r="E1783" s="11">
        <f t="shared" si="108"/>
        <v>2025</v>
      </c>
      <c r="F1783" s="11">
        <f t="shared" si="109"/>
        <v>10</v>
      </c>
      <c r="G1783" s="11" t="str">
        <f t="shared" si="110"/>
        <v>202510</v>
      </c>
      <c r="I1783" s="5">
        <v>9999</v>
      </c>
      <c r="J1783" s="5">
        <v>333.3</v>
      </c>
      <c r="K1783" s="5">
        <f t="shared" si="111"/>
        <v>0</v>
      </c>
      <c r="L1783" s="5">
        <v>0</v>
      </c>
      <c r="M1783" s="5">
        <v>0</v>
      </c>
      <c r="N1783" t="s">
        <v>12</v>
      </c>
      <c r="O1783" s="8">
        <v>20.408219178082192</v>
      </c>
      <c r="P1783" t="s">
        <v>32</v>
      </c>
      <c r="Q1783">
        <v>1</v>
      </c>
      <c r="R1783" s="2">
        <v>38504</v>
      </c>
    </row>
    <row r="1784" spans="1:18" x14ac:dyDescent="0.3">
      <c r="A1784" t="s">
        <v>7</v>
      </c>
      <c r="B1784">
        <v>18975440</v>
      </c>
      <c r="C1784" t="s">
        <v>8</v>
      </c>
      <c r="D1784" s="4">
        <v>45953</v>
      </c>
      <c r="E1784" s="11">
        <f t="shared" si="108"/>
        <v>2025</v>
      </c>
      <c r="F1784" s="11">
        <f t="shared" si="109"/>
        <v>10</v>
      </c>
      <c r="G1784" s="11" t="str">
        <f t="shared" si="110"/>
        <v>202510</v>
      </c>
      <c r="I1784" s="5">
        <v>9999</v>
      </c>
      <c r="J1784" s="5">
        <v>333.3</v>
      </c>
      <c r="K1784" s="5">
        <f t="shared" si="111"/>
        <v>0</v>
      </c>
      <c r="L1784" s="5">
        <v>0</v>
      </c>
      <c r="M1784" s="5">
        <v>0</v>
      </c>
      <c r="N1784" t="s">
        <v>9</v>
      </c>
      <c r="O1784" s="8">
        <v>18.953424657534246</v>
      </c>
      <c r="P1784" t="s">
        <v>32</v>
      </c>
      <c r="Q1784">
        <v>1</v>
      </c>
      <c r="R1784" s="2">
        <v>39035</v>
      </c>
    </row>
    <row r="1785" spans="1:18" x14ac:dyDescent="0.3">
      <c r="A1785" t="s">
        <v>7</v>
      </c>
      <c r="B1785">
        <v>18975447</v>
      </c>
      <c r="C1785" t="s">
        <v>8</v>
      </c>
      <c r="D1785" s="4">
        <v>45953</v>
      </c>
      <c r="E1785" s="11">
        <f t="shared" si="108"/>
        <v>2025</v>
      </c>
      <c r="F1785" s="11">
        <f t="shared" si="109"/>
        <v>10</v>
      </c>
      <c r="G1785" s="11" t="str">
        <f t="shared" si="110"/>
        <v>202510</v>
      </c>
      <c r="I1785" s="5">
        <v>9999</v>
      </c>
      <c r="J1785" s="5">
        <v>333.3</v>
      </c>
      <c r="K1785" s="5">
        <f t="shared" si="111"/>
        <v>0</v>
      </c>
      <c r="L1785" s="5">
        <v>0</v>
      </c>
      <c r="M1785" s="5">
        <v>0</v>
      </c>
      <c r="N1785" t="s">
        <v>12</v>
      </c>
      <c r="O1785" s="8">
        <v>22.734246575342464</v>
      </c>
      <c r="P1785" t="s">
        <v>33</v>
      </c>
      <c r="Q1785">
        <v>2</v>
      </c>
      <c r="R1785" s="2">
        <v>37655</v>
      </c>
    </row>
    <row r="1786" spans="1:18" x14ac:dyDescent="0.3">
      <c r="A1786" t="s">
        <v>7</v>
      </c>
      <c r="B1786">
        <v>18975460</v>
      </c>
      <c r="C1786" t="s">
        <v>8</v>
      </c>
      <c r="D1786" s="4">
        <v>45953</v>
      </c>
      <c r="E1786" s="11">
        <f t="shared" si="108"/>
        <v>2025</v>
      </c>
      <c r="F1786" s="11">
        <f t="shared" si="109"/>
        <v>10</v>
      </c>
      <c r="G1786" s="11" t="str">
        <f t="shared" si="110"/>
        <v>202510</v>
      </c>
      <c r="H1786" s="4">
        <v>45965</v>
      </c>
      <c r="I1786" s="5">
        <v>12</v>
      </c>
      <c r="J1786" s="5">
        <v>0.4</v>
      </c>
      <c r="K1786" s="5">
        <f t="shared" si="111"/>
        <v>1</v>
      </c>
      <c r="L1786" s="5">
        <v>1</v>
      </c>
      <c r="M1786" s="5">
        <v>1</v>
      </c>
      <c r="N1786" t="s">
        <v>12</v>
      </c>
      <c r="O1786" s="8">
        <v>22.463013698630139</v>
      </c>
      <c r="P1786" t="s">
        <v>33</v>
      </c>
      <c r="Q1786">
        <v>2</v>
      </c>
      <c r="R1786" s="2">
        <v>37754</v>
      </c>
    </row>
    <row r="1787" spans="1:18" x14ac:dyDescent="0.3">
      <c r="A1787" t="s">
        <v>7</v>
      </c>
      <c r="B1787">
        <v>18975470</v>
      </c>
      <c r="C1787" t="s">
        <v>10</v>
      </c>
      <c r="D1787" s="4">
        <v>45953</v>
      </c>
      <c r="E1787" s="11">
        <f t="shared" si="108"/>
        <v>2025</v>
      </c>
      <c r="F1787" s="11">
        <f t="shared" si="109"/>
        <v>10</v>
      </c>
      <c r="G1787" s="11" t="str">
        <f t="shared" si="110"/>
        <v>202510</v>
      </c>
      <c r="H1787" s="4">
        <v>45992</v>
      </c>
      <c r="I1787" s="5">
        <v>39</v>
      </c>
      <c r="J1787" s="5">
        <v>1.3</v>
      </c>
      <c r="K1787" s="5">
        <f t="shared" si="111"/>
        <v>0</v>
      </c>
      <c r="L1787" s="5">
        <v>1</v>
      </c>
      <c r="M1787" s="5">
        <v>1</v>
      </c>
      <c r="N1787" t="s">
        <v>9</v>
      </c>
      <c r="O1787" s="8">
        <v>19.564383561643837</v>
      </c>
      <c r="P1787" t="s">
        <v>32</v>
      </c>
      <c r="Q1787">
        <v>1</v>
      </c>
      <c r="R1787" s="2">
        <v>38812</v>
      </c>
    </row>
    <row r="1788" spans="1:18" x14ac:dyDescent="0.3">
      <c r="A1788" t="s">
        <v>7</v>
      </c>
      <c r="B1788">
        <v>18975480</v>
      </c>
      <c r="C1788" t="s">
        <v>8</v>
      </c>
      <c r="D1788" s="4">
        <v>45953</v>
      </c>
      <c r="E1788" s="11">
        <f t="shared" si="108"/>
        <v>2025</v>
      </c>
      <c r="F1788" s="11">
        <f t="shared" si="109"/>
        <v>10</v>
      </c>
      <c r="G1788" s="11" t="str">
        <f t="shared" si="110"/>
        <v>202510</v>
      </c>
      <c r="I1788" s="5">
        <v>9999</v>
      </c>
      <c r="J1788" s="5">
        <v>333.3</v>
      </c>
      <c r="K1788" s="5">
        <f t="shared" si="111"/>
        <v>0</v>
      </c>
      <c r="L1788" s="5">
        <v>0</v>
      </c>
      <c r="M1788" s="5">
        <v>0</v>
      </c>
      <c r="N1788" t="s">
        <v>12</v>
      </c>
      <c r="O1788" s="8">
        <v>21.495890410958904</v>
      </c>
      <c r="P1788" t="s">
        <v>33</v>
      </c>
      <c r="Q1788">
        <v>2</v>
      </c>
      <c r="R1788" s="2">
        <v>38107</v>
      </c>
    </row>
    <row r="1789" spans="1:18" x14ac:dyDescent="0.3">
      <c r="A1789" t="s">
        <v>7</v>
      </c>
      <c r="B1789">
        <v>18975518</v>
      </c>
      <c r="C1789" t="s">
        <v>8</v>
      </c>
      <c r="D1789" s="4">
        <v>45953</v>
      </c>
      <c r="E1789" s="11">
        <f t="shared" si="108"/>
        <v>2025</v>
      </c>
      <c r="F1789" s="11">
        <f t="shared" si="109"/>
        <v>10</v>
      </c>
      <c r="G1789" s="11" t="str">
        <f t="shared" si="110"/>
        <v>202510</v>
      </c>
      <c r="H1789" s="4">
        <v>46053</v>
      </c>
      <c r="I1789" s="5">
        <v>100</v>
      </c>
      <c r="J1789" s="5">
        <v>3.3333333333333335</v>
      </c>
      <c r="K1789" s="5">
        <f t="shared" si="111"/>
        <v>0</v>
      </c>
      <c r="L1789" s="5">
        <v>0</v>
      </c>
      <c r="M1789" s="5">
        <v>1</v>
      </c>
      <c r="N1789" t="s">
        <v>9</v>
      </c>
      <c r="O1789" s="8">
        <v>18.717808219178082</v>
      </c>
      <c r="P1789" t="s">
        <v>32</v>
      </c>
      <c r="Q1789">
        <v>1</v>
      </c>
      <c r="R1789" s="2">
        <v>39121</v>
      </c>
    </row>
    <row r="1790" spans="1:18" x14ac:dyDescent="0.3">
      <c r="A1790" t="s">
        <v>7</v>
      </c>
      <c r="B1790">
        <v>18975521</v>
      </c>
      <c r="C1790" t="s">
        <v>10</v>
      </c>
      <c r="D1790" s="4">
        <v>45953</v>
      </c>
      <c r="E1790" s="11">
        <f t="shared" si="108"/>
        <v>2025</v>
      </c>
      <c r="F1790" s="11">
        <f t="shared" si="109"/>
        <v>10</v>
      </c>
      <c r="G1790" s="11" t="str">
        <f t="shared" si="110"/>
        <v>202510</v>
      </c>
      <c r="H1790" s="4">
        <v>45976</v>
      </c>
      <c r="I1790" s="5">
        <v>23</v>
      </c>
      <c r="J1790" s="5">
        <v>0.76666666666666672</v>
      </c>
      <c r="K1790" s="5">
        <f t="shared" si="111"/>
        <v>1</v>
      </c>
      <c r="L1790" s="5">
        <v>1</v>
      </c>
      <c r="M1790" s="5">
        <v>1</v>
      </c>
      <c r="N1790" t="s">
        <v>9</v>
      </c>
      <c r="O1790" s="8">
        <v>20.18904109589041</v>
      </c>
      <c r="P1790" t="s">
        <v>32</v>
      </c>
      <c r="Q1790">
        <v>1</v>
      </c>
      <c r="R1790" s="2">
        <v>38584</v>
      </c>
    </row>
    <row r="1791" spans="1:18" x14ac:dyDescent="0.3">
      <c r="A1791" t="s">
        <v>7</v>
      </c>
      <c r="B1791">
        <v>18975527</v>
      </c>
      <c r="C1791" t="s">
        <v>10</v>
      </c>
      <c r="D1791" s="4">
        <v>45953</v>
      </c>
      <c r="E1791" s="11">
        <f t="shared" si="108"/>
        <v>2025</v>
      </c>
      <c r="F1791" s="11">
        <f t="shared" si="109"/>
        <v>10</v>
      </c>
      <c r="G1791" s="11" t="str">
        <f t="shared" si="110"/>
        <v>202510</v>
      </c>
      <c r="H1791" s="4">
        <v>45962</v>
      </c>
      <c r="I1791" s="5">
        <v>9</v>
      </c>
      <c r="J1791" s="5">
        <v>0.3</v>
      </c>
      <c r="K1791" s="5">
        <f t="shared" si="111"/>
        <v>1</v>
      </c>
      <c r="L1791" s="5">
        <v>1</v>
      </c>
      <c r="M1791" s="5">
        <v>1</v>
      </c>
      <c r="N1791" t="s">
        <v>12</v>
      </c>
      <c r="O1791" s="8">
        <v>22.238356164383561</v>
      </c>
      <c r="P1791" t="s">
        <v>33</v>
      </c>
      <c r="Q1791">
        <v>2</v>
      </c>
      <c r="R1791" s="2">
        <v>37836</v>
      </c>
    </row>
    <row r="1792" spans="1:18" x14ac:dyDescent="0.3">
      <c r="A1792" t="s">
        <v>7</v>
      </c>
      <c r="B1792">
        <v>18975537</v>
      </c>
      <c r="C1792" t="s">
        <v>10</v>
      </c>
      <c r="D1792" s="4">
        <v>45953</v>
      </c>
      <c r="E1792" s="11">
        <f t="shared" si="108"/>
        <v>2025</v>
      </c>
      <c r="F1792" s="11">
        <f t="shared" si="109"/>
        <v>10</v>
      </c>
      <c r="G1792" s="11" t="str">
        <f t="shared" si="110"/>
        <v>202510</v>
      </c>
      <c r="I1792" s="5">
        <v>9999</v>
      </c>
      <c r="J1792" s="5">
        <v>333.3</v>
      </c>
      <c r="K1792" s="5">
        <f t="shared" si="111"/>
        <v>0</v>
      </c>
      <c r="L1792" s="5">
        <v>0</v>
      </c>
      <c r="M1792" s="5">
        <v>0</v>
      </c>
      <c r="N1792" t="s">
        <v>12</v>
      </c>
      <c r="O1792" s="8">
        <v>20.978082191780821</v>
      </c>
      <c r="P1792" t="s">
        <v>32</v>
      </c>
      <c r="Q1792">
        <v>1</v>
      </c>
      <c r="R1792" s="2">
        <v>38296</v>
      </c>
    </row>
    <row r="1793" spans="1:18" x14ac:dyDescent="0.3">
      <c r="A1793" t="s">
        <v>7</v>
      </c>
      <c r="B1793">
        <v>18975539</v>
      </c>
      <c r="C1793" t="s">
        <v>8</v>
      </c>
      <c r="D1793" s="4">
        <v>45953</v>
      </c>
      <c r="E1793" s="11">
        <f t="shared" si="108"/>
        <v>2025</v>
      </c>
      <c r="F1793" s="11">
        <f t="shared" si="109"/>
        <v>10</v>
      </c>
      <c r="G1793" s="11" t="str">
        <f t="shared" si="110"/>
        <v>202510</v>
      </c>
      <c r="H1793" s="4">
        <v>46045</v>
      </c>
      <c r="I1793" s="5">
        <v>92</v>
      </c>
      <c r="J1793" s="5">
        <v>3.0666666666666669</v>
      </c>
      <c r="K1793" s="5">
        <f t="shared" si="111"/>
        <v>0</v>
      </c>
      <c r="L1793" s="5">
        <v>0</v>
      </c>
      <c r="M1793" s="5">
        <v>1</v>
      </c>
      <c r="N1793" t="s">
        <v>12</v>
      </c>
      <c r="O1793" s="8">
        <v>21.556164383561644</v>
      </c>
      <c r="P1793" t="s">
        <v>33</v>
      </c>
      <c r="Q1793">
        <v>2</v>
      </c>
      <c r="R1793" s="2">
        <v>38085</v>
      </c>
    </row>
    <row r="1794" spans="1:18" x14ac:dyDescent="0.3">
      <c r="A1794" t="s">
        <v>7</v>
      </c>
      <c r="B1794">
        <v>18975544</v>
      </c>
      <c r="C1794" t="s">
        <v>10</v>
      </c>
      <c r="D1794" s="4">
        <v>45953</v>
      </c>
      <c r="E1794" s="11">
        <f t="shared" si="108"/>
        <v>2025</v>
      </c>
      <c r="F1794" s="11">
        <f t="shared" si="109"/>
        <v>10</v>
      </c>
      <c r="G1794" s="11" t="str">
        <f t="shared" si="110"/>
        <v>202510</v>
      </c>
      <c r="H1794" s="4">
        <v>45978</v>
      </c>
      <c r="I1794" s="5">
        <v>25</v>
      </c>
      <c r="J1794" s="5">
        <v>0.83333333333333337</v>
      </c>
      <c r="K1794" s="5">
        <f t="shared" si="111"/>
        <v>1</v>
      </c>
      <c r="L1794" s="5">
        <v>1</v>
      </c>
      <c r="M1794" s="5">
        <v>1</v>
      </c>
      <c r="N1794" t="s">
        <v>12</v>
      </c>
      <c r="O1794" s="8">
        <v>33.372602739726027</v>
      </c>
      <c r="P1794" t="s">
        <v>35</v>
      </c>
      <c r="Q1794">
        <v>4</v>
      </c>
      <c r="R1794" s="2">
        <v>33772</v>
      </c>
    </row>
    <row r="1795" spans="1:18" x14ac:dyDescent="0.3">
      <c r="A1795" t="s">
        <v>7</v>
      </c>
      <c r="B1795">
        <v>18975625</v>
      </c>
      <c r="C1795" t="s">
        <v>8</v>
      </c>
      <c r="D1795" s="4">
        <v>45953</v>
      </c>
      <c r="E1795" s="11">
        <f t="shared" ref="E1795:E1858" si="112">+YEAR(D1795)</f>
        <v>2025</v>
      </c>
      <c r="F1795" s="11">
        <f t="shared" ref="F1795:F1858" si="113">+MONTH(D1795)</f>
        <v>10</v>
      </c>
      <c r="G1795" s="11" t="str">
        <f t="shared" ref="G1795:G1858" si="114">+TEXT(D1795, "yyymm")</f>
        <v>202510</v>
      </c>
      <c r="I1795" s="5">
        <v>9999</v>
      </c>
      <c r="J1795" s="5">
        <v>333.3</v>
      </c>
      <c r="K1795" s="5">
        <f t="shared" ref="K1795:K1858" si="115">IF(J1795&lt;=1,1,0)</f>
        <v>0</v>
      </c>
      <c r="L1795" s="5">
        <v>0</v>
      </c>
      <c r="M1795" s="5">
        <v>0</v>
      </c>
      <c r="N1795" t="s">
        <v>12</v>
      </c>
      <c r="O1795" s="8">
        <v>28.465753424657535</v>
      </c>
      <c r="P1795" t="s">
        <v>34</v>
      </c>
      <c r="Q1795">
        <v>3</v>
      </c>
      <c r="R1795" s="2">
        <v>35563</v>
      </c>
    </row>
    <row r="1796" spans="1:18" x14ac:dyDescent="0.3">
      <c r="A1796" t="s">
        <v>7</v>
      </c>
      <c r="B1796">
        <v>18975626</v>
      </c>
      <c r="C1796" t="s">
        <v>8</v>
      </c>
      <c r="D1796" s="4">
        <v>45953</v>
      </c>
      <c r="E1796" s="11">
        <f t="shared" si="112"/>
        <v>2025</v>
      </c>
      <c r="F1796" s="11">
        <f t="shared" si="113"/>
        <v>10</v>
      </c>
      <c r="G1796" s="11" t="str">
        <f t="shared" si="114"/>
        <v>202510</v>
      </c>
      <c r="H1796" s="4">
        <v>46152</v>
      </c>
      <c r="I1796" s="5">
        <v>199</v>
      </c>
      <c r="J1796" s="5">
        <v>6.6333333333333337</v>
      </c>
      <c r="K1796" s="5">
        <f t="shared" si="115"/>
        <v>0</v>
      </c>
      <c r="L1796" s="5">
        <v>0</v>
      </c>
      <c r="M1796" s="5">
        <v>0</v>
      </c>
      <c r="N1796" t="s">
        <v>9</v>
      </c>
      <c r="O1796" s="8">
        <v>18.049315068493151</v>
      </c>
      <c r="P1796" t="s">
        <v>32</v>
      </c>
      <c r="Q1796">
        <v>1</v>
      </c>
      <c r="R1796" s="2">
        <v>39365</v>
      </c>
    </row>
    <row r="1797" spans="1:18" x14ac:dyDescent="0.3">
      <c r="A1797" t="s">
        <v>7</v>
      </c>
      <c r="B1797">
        <v>18975627</v>
      </c>
      <c r="C1797" t="s">
        <v>8</v>
      </c>
      <c r="D1797" s="4">
        <v>45953</v>
      </c>
      <c r="E1797" s="11">
        <f t="shared" si="112"/>
        <v>2025</v>
      </c>
      <c r="F1797" s="11">
        <f t="shared" si="113"/>
        <v>10</v>
      </c>
      <c r="G1797" s="11" t="str">
        <f t="shared" si="114"/>
        <v>202510</v>
      </c>
      <c r="H1797" s="4">
        <v>46042</v>
      </c>
      <c r="I1797" s="5">
        <v>89</v>
      </c>
      <c r="J1797" s="5">
        <v>2.9666666666666668</v>
      </c>
      <c r="K1797" s="5">
        <f t="shared" si="115"/>
        <v>0</v>
      </c>
      <c r="L1797" s="5">
        <v>1</v>
      </c>
      <c r="M1797" s="5">
        <v>1</v>
      </c>
      <c r="N1797" t="s">
        <v>9</v>
      </c>
      <c r="O1797" s="8">
        <v>18.747945205479454</v>
      </c>
      <c r="P1797" t="s">
        <v>32</v>
      </c>
      <c r="Q1797">
        <v>1</v>
      </c>
      <c r="R1797" s="2">
        <v>39110</v>
      </c>
    </row>
    <row r="1798" spans="1:18" x14ac:dyDescent="0.3">
      <c r="A1798" t="s">
        <v>7</v>
      </c>
      <c r="B1798">
        <v>18975628</v>
      </c>
      <c r="C1798" t="s">
        <v>8</v>
      </c>
      <c r="D1798" s="4">
        <v>45953</v>
      </c>
      <c r="E1798" s="11">
        <f t="shared" si="112"/>
        <v>2025</v>
      </c>
      <c r="F1798" s="11">
        <f t="shared" si="113"/>
        <v>10</v>
      </c>
      <c r="G1798" s="11" t="str">
        <f t="shared" si="114"/>
        <v>202510</v>
      </c>
      <c r="I1798" s="5">
        <v>9999</v>
      </c>
      <c r="J1798" s="5">
        <v>333.3</v>
      </c>
      <c r="K1798" s="5">
        <f t="shared" si="115"/>
        <v>0</v>
      </c>
      <c r="L1798" s="5">
        <v>0</v>
      </c>
      <c r="M1798" s="5">
        <v>0</v>
      </c>
      <c r="N1798" t="s">
        <v>12</v>
      </c>
      <c r="O1798" s="8">
        <v>21.769863013698629</v>
      </c>
      <c r="P1798" t="s">
        <v>33</v>
      </c>
      <c r="Q1798">
        <v>2</v>
      </c>
      <c r="R1798" s="2">
        <v>38007</v>
      </c>
    </row>
    <row r="1799" spans="1:18" x14ac:dyDescent="0.3">
      <c r="A1799" t="s">
        <v>7</v>
      </c>
      <c r="B1799">
        <v>18975629</v>
      </c>
      <c r="C1799" t="s">
        <v>8</v>
      </c>
      <c r="D1799" s="4">
        <v>45953</v>
      </c>
      <c r="E1799" s="11">
        <f t="shared" si="112"/>
        <v>2025</v>
      </c>
      <c r="F1799" s="11">
        <f t="shared" si="113"/>
        <v>10</v>
      </c>
      <c r="G1799" s="11" t="str">
        <f t="shared" si="114"/>
        <v>202510</v>
      </c>
      <c r="I1799" s="5">
        <v>9999</v>
      </c>
      <c r="J1799" s="5">
        <v>333.3</v>
      </c>
      <c r="K1799" s="5">
        <f t="shared" si="115"/>
        <v>0</v>
      </c>
      <c r="L1799" s="5">
        <v>0</v>
      </c>
      <c r="M1799" s="5">
        <v>0</v>
      </c>
      <c r="N1799" t="s">
        <v>9</v>
      </c>
      <c r="O1799" s="8">
        <v>18.526027397260275</v>
      </c>
      <c r="P1799" t="s">
        <v>32</v>
      </c>
      <c r="Q1799">
        <v>1</v>
      </c>
      <c r="R1799" s="2">
        <v>39191</v>
      </c>
    </row>
    <row r="1800" spans="1:18" x14ac:dyDescent="0.3">
      <c r="A1800" t="s">
        <v>7</v>
      </c>
      <c r="B1800">
        <v>18975640</v>
      </c>
      <c r="C1800" t="s">
        <v>8</v>
      </c>
      <c r="D1800" s="4">
        <v>45953</v>
      </c>
      <c r="E1800" s="11">
        <f t="shared" si="112"/>
        <v>2025</v>
      </c>
      <c r="F1800" s="11">
        <f t="shared" si="113"/>
        <v>10</v>
      </c>
      <c r="G1800" s="11" t="str">
        <f t="shared" si="114"/>
        <v>202510</v>
      </c>
      <c r="I1800" s="5">
        <v>9999</v>
      </c>
      <c r="J1800" s="5">
        <v>333.3</v>
      </c>
      <c r="K1800" s="5">
        <f t="shared" si="115"/>
        <v>0</v>
      </c>
      <c r="L1800" s="5">
        <v>0</v>
      </c>
      <c r="M1800" s="5">
        <v>0</v>
      </c>
      <c r="N1800" t="s">
        <v>9</v>
      </c>
      <c r="O1800" s="8">
        <v>18.890410958904109</v>
      </c>
      <c r="P1800" t="s">
        <v>32</v>
      </c>
      <c r="Q1800">
        <v>1</v>
      </c>
      <c r="R1800" s="2">
        <v>39058</v>
      </c>
    </row>
    <row r="1801" spans="1:18" x14ac:dyDescent="0.3">
      <c r="A1801" t="s">
        <v>7</v>
      </c>
      <c r="B1801">
        <v>18975642</v>
      </c>
      <c r="C1801" t="s">
        <v>8</v>
      </c>
      <c r="D1801" s="4">
        <v>45953</v>
      </c>
      <c r="E1801" s="11">
        <f t="shared" si="112"/>
        <v>2025</v>
      </c>
      <c r="F1801" s="11">
        <f t="shared" si="113"/>
        <v>10</v>
      </c>
      <c r="G1801" s="11" t="str">
        <f t="shared" si="114"/>
        <v>202510</v>
      </c>
      <c r="I1801" s="5">
        <v>9999</v>
      </c>
      <c r="J1801" s="5">
        <v>333.3</v>
      </c>
      <c r="K1801" s="5">
        <f t="shared" si="115"/>
        <v>0</v>
      </c>
      <c r="L1801" s="5">
        <v>0</v>
      </c>
      <c r="M1801" s="5">
        <v>0</v>
      </c>
      <c r="N1801" t="s">
        <v>9</v>
      </c>
      <c r="O1801" s="8">
        <v>20.484931506849314</v>
      </c>
      <c r="P1801" t="s">
        <v>32</v>
      </c>
      <c r="Q1801">
        <v>1</v>
      </c>
      <c r="R1801" s="2">
        <v>38476</v>
      </c>
    </row>
    <row r="1802" spans="1:18" x14ac:dyDescent="0.3">
      <c r="A1802" t="s">
        <v>7</v>
      </c>
      <c r="B1802">
        <v>18975729</v>
      </c>
      <c r="C1802" t="s">
        <v>8</v>
      </c>
      <c r="D1802" s="4">
        <v>45954</v>
      </c>
      <c r="E1802" s="11">
        <f t="shared" si="112"/>
        <v>2025</v>
      </c>
      <c r="F1802" s="11">
        <f t="shared" si="113"/>
        <v>10</v>
      </c>
      <c r="G1802" s="11" t="str">
        <f t="shared" si="114"/>
        <v>202510</v>
      </c>
      <c r="I1802" s="5">
        <v>9999</v>
      </c>
      <c r="J1802" s="5">
        <v>333.3</v>
      </c>
      <c r="K1802" s="5">
        <f t="shared" si="115"/>
        <v>0</v>
      </c>
      <c r="L1802" s="5">
        <v>0</v>
      </c>
      <c r="M1802" s="5">
        <v>0</v>
      </c>
      <c r="N1802" t="s">
        <v>12</v>
      </c>
      <c r="O1802" s="8">
        <v>34.254794520547946</v>
      </c>
      <c r="P1802" t="s">
        <v>35</v>
      </c>
      <c r="Q1802">
        <v>4</v>
      </c>
      <c r="R1802" s="2">
        <v>33451</v>
      </c>
    </row>
    <row r="1803" spans="1:18" x14ac:dyDescent="0.3">
      <c r="A1803" t="s">
        <v>7</v>
      </c>
      <c r="B1803">
        <v>18975790</v>
      </c>
      <c r="C1803" t="s">
        <v>8</v>
      </c>
      <c r="D1803" s="4">
        <v>45954</v>
      </c>
      <c r="E1803" s="11">
        <f t="shared" si="112"/>
        <v>2025</v>
      </c>
      <c r="F1803" s="11">
        <f t="shared" si="113"/>
        <v>10</v>
      </c>
      <c r="G1803" s="11" t="str">
        <f t="shared" si="114"/>
        <v>202510</v>
      </c>
      <c r="I1803" s="5">
        <v>9999</v>
      </c>
      <c r="J1803" s="5">
        <v>333.3</v>
      </c>
      <c r="K1803" s="5">
        <f t="shared" si="115"/>
        <v>0</v>
      </c>
      <c r="L1803" s="5">
        <v>0</v>
      </c>
      <c r="M1803" s="5">
        <v>0</v>
      </c>
      <c r="N1803" t="s">
        <v>12</v>
      </c>
      <c r="O1803" s="8">
        <v>22.75068493150685</v>
      </c>
      <c r="P1803" t="s">
        <v>33</v>
      </c>
      <c r="Q1803">
        <v>2</v>
      </c>
      <c r="R1803" s="2">
        <v>37650</v>
      </c>
    </row>
    <row r="1804" spans="1:18" x14ac:dyDescent="0.3">
      <c r="A1804" t="s">
        <v>7</v>
      </c>
      <c r="B1804">
        <v>18975791</v>
      </c>
      <c r="C1804" t="s">
        <v>8</v>
      </c>
      <c r="D1804" s="4">
        <v>45954</v>
      </c>
      <c r="E1804" s="11">
        <f t="shared" si="112"/>
        <v>2025</v>
      </c>
      <c r="F1804" s="11">
        <f t="shared" si="113"/>
        <v>10</v>
      </c>
      <c r="G1804" s="11" t="str">
        <f t="shared" si="114"/>
        <v>202510</v>
      </c>
      <c r="H1804" s="4">
        <v>46153</v>
      </c>
      <c r="I1804" s="5">
        <v>199</v>
      </c>
      <c r="J1804" s="5">
        <v>6.6333333333333337</v>
      </c>
      <c r="K1804" s="5">
        <f t="shared" si="115"/>
        <v>0</v>
      </c>
      <c r="L1804" s="5">
        <v>0</v>
      </c>
      <c r="M1804" s="5">
        <v>0</v>
      </c>
      <c r="N1804" t="s">
        <v>12</v>
      </c>
      <c r="O1804" s="8">
        <v>19.846575342465755</v>
      </c>
      <c r="P1804" t="s">
        <v>32</v>
      </c>
      <c r="Q1804">
        <v>1</v>
      </c>
      <c r="R1804" s="2">
        <v>38710</v>
      </c>
    </row>
    <row r="1805" spans="1:18" x14ac:dyDescent="0.3">
      <c r="A1805" t="s">
        <v>7</v>
      </c>
      <c r="B1805">
        <v>18975800</v>
      </c>
      <c r="C1805" t="s">
        <v>8</v>
      </c>
      <c r="D1805" s="4">
        <v>45954</v>
      </c>
      <c r="E1805" s="11">
        <f t="shared" si="112"/>
        <v>2025</v>
      </c>
      <c r="F1805" s="11">
        <f t="shared" si="113"/>
        <v>10</v>
      </c>
      <c r="G1805" s="11" t="str">
        <f t="shared" si="114"/>
        <v>202510</v>
      </c>
      <c r="I1805" s="5">
        <v>9999</v>
      </c>
      <c r="J1805" s="5">
        <v>333.3</v>
      </c>
      <c r="K1805" s="5">
        <f t="shared" si="115"/>
        <v>0</v>
      </c>
      <c r="L1805" s="5">
        <v>0</v>
      </c>
      <c r="M1805" s="5">
        <v>0</v>
      </c>
      <c r="N1805" t="s">
        <v>12</v>
      </c>
      <c r="O1805" s="8">
        <v>21.232876712328768</v>
      </c>
      <c r="P1805" t="s">
        <v>33</v>
      </c>
      <c r="Q1805">
        <v>2</v>
      </c>
      <c r="R1805" s="2">
        <v>38204</v>
      </c>
    </row>
    <row r="1806" spans="1:18" x14ac:dyDescent="0.3">
      <c r="A1806" t="s">
        <v>7</v>
      </c>
      <c r="B1806">
        <v>18975801</v>
      </c>
      <c r="C1806" t="s">
        <v>8</v>
      </c>
      <c r="D1806" s="4">
        <v>45954</v>
      </c>
      <c r="E1806" s="11">
        <f t="shared" si="112"/>
        <v>2025</v>
      </c>
      <c r="F1806" s="11">
        <f t="shared" si="113"/>
        <v>10</v>
      </c>
      <c r="G1806" s="11" t="str">
        <f t="shared" si="114"/>
        <v>202510</v>
      </c>
      <c r="I1806" s="5">
        <v>9999</v>
      </c>
      <c r="J1806" s="5">
        <v>333.3</v>
      </c>
      <c r="K1806" s="5">
        <f t="shared" si="115"/>
        <v>0</v>
      </c>
      <c r="L1806" s="5">
        <v>0</v>
      </c>
      <c r="M1806" s="5">
        <v>0</v>
      </c>
      <c r="N1806" t="s">
        <v>12</v>
      </c>
      <c r="O1806" s="8">
        <v>23.884931506849316</v>
      </c>
      <c r="P1806" t="s">
        <v>33</v>
      </c>
      <c r="Q1806">
        <v>2</v>
      </c>
      <c r="R1806" s="2">
        <v>37236</v>
      </c>
    </row>
    <row r="1807" spans="1:18" x14ac:dyDescent="0.3">
      <c r="A1807" t="s">
        <v>7</v>
      </c>
      <c r="B1807">
        <v>18975815</v>
      </c>
      <c r="C1807" t="s">
        <v>8</v>
      </c>
      <c r="D1807" s="4">
        <v>45954</v>
      </c>
      <c r="E1807" s="11">
        <f t="shared" si="112"/>
        <v>2025</v>
      </c>
      <c r="F1807" s="11">
        <f t="shared" si="113"/>
        <v>10</v>
      </c>
      <c r="G1807" s="11" t="str">
        <f t="shared" si="114"/>
        <v>202510</v>
      </c>
      <c r="H1807" s="4">
        <v>46117</v>
      </c>
      <c r="I1807" s="5">
        <v>163</v>
      </c>
      <c r="J1807" s="5">
        <v>5.4333333333333336</v>
      </c>
      <c r="K1807" s="5">
        <f t="shared" si="115"/>
        <v>0</v>
      </c>
      <c r="L1807" s="5">
        <v>0</v>
      </c>
      <c r="M1807" s="5">
        <v>1</v>
      </c>
      <c r="N1807" t="s">
        <v>9</v>
      </c>
      <c r="O1807" s="8">
        <v>20.413698630136988</v>
      </c>
      <c r="P1807" t="s">
        <v>32</v>
      </c>
      <c r="Q1807">
        <v>1</v>
      </c>
      <c r="R1807" s="2">
        <v>38503</v>
      </c>
    </row>
    <row r="1808" spans="1:18" x14ac:dyDescent="0.3">
      <c r="A1808" t="s">
        <v>7</v>
      </c>
      <c r="B1808">
        <v>18975824</v>
      </c>
      <c r="C1808" t="s">
        <v>8</v>
      </c>
      <c r="D1808" s="4">
        <v>45954</v>
      </c>
      <c r="E1808" s="11">
        <f t="shared" si="112"/>
        <v>2025</v>
      </c>
      <c r="F1808" s="11">
        <f t="shared" si="113"/>
        <v>10</v>
      </c>
      <c r="G1808" s="11" t="str">
        <f t="shared" si="114"/>
        <v>202510</v>
      </c>
      <c r="H1808" s="4">
        <v>45962</v>
      </c>
      <c r="I1808" s="5">
        <v>8</v>
      </c>
      <c r="J1808" s="5">
        <v>0.26666666666666666</v>
      </c>
      <c r="K1808" s="5">
        <f t="shared" si="115"/>
        <v>1</v>
      </c>
      <c r="L1808" s="5">
        <v>1</v>
      </c>
      <c r="M1808" s="5">
        <v>1</v>
      </c>
      <c r="N1808" t="s">
        <v>9</v>
      </c>
      <c r="O1808" s="8">
        <v>21.052054794520547</v>
      </c>
      <c r="P1808" t="s">
        <v>33</v>
      </c>
      <c r="Q1808">
        <v>2</v>
      </c>
      <c r="R1808" s="2">
        <v>38270</v>
      </c>
    </row>
    <row r="1809" spans="1:18" x14ac:dyDescent="0.3">
      <c r="A1809" t="s">
        <v>7</v>
      </c>
      <c r="B1809">
        <v>18975862</v>
      </c>
      <c r="C1809" t="s">
        <v>8</v>
      </c>
      <c r="D1809" s="4">
        <v>45954</v>
      </c>
      <c r="E1809" s="11">
        <f t="shared" si="112"/>
        <v>2025</v>
      </c>
      <c r="F1809" s="11">
        <f t="shared" si="113"/>
        <v>10</v>
      </c>
      <c r="G1809" s="11" t="str">
        <f t="shared" si="114"/>
        <v>202510</v>
      </c>
      <c r="H1809" s="4">
        <v>46089</v>
      </c>
      <c r="I1809" s="5">
        <v>135</v>
      </c>
      <c r="J1809" s="5">
        <v>4.5</v>
      </c>
      <c r="K1809" s="5">
        <f t="shared" si="115"/>
        <v>0</v>
      </c>
      <c r="L1809" s="5">
        <v>0</v>
      </c>
      <c r="M1809" s="5">
        <v>1</v>
      </c>
      <c r="N1809" t="s">
        <v>9</v>
      </c>
      <c r="O1809" s="8">
        <v>19.668493150684931</v>
      </c>
      <c r="P1809" t="s">
        <v>32</v>
      </c>
      <c r="Q1809">
        <v>1</v>
      </c>
      <c r="R1809" s="2">
        <v>38775</v>
      </c>
    </row>
    <row r="1810" spans="1:18" x14ac:dyDescent="0.3">
      <c r="A1810" t="s">
        <v>7</v>
      </c>
      <c r="B1810">
        <v>18975890</v>
      </c>
      <c r="C1810" t="s">
        <v>8</v>
      </c>
      <c r="D1810" s="4">
        <v>45954</v>
      </c>
      <c r="E1810" s="11">
        <f t="shared" si="112"/>
        <v>2025</v>
      </c>
      <c r="F1810" s="11">
        <f t="shared" si="113"/>
        <v>10</v>
      </c>
      <c r="G1810" s="11" t="str">
        <f t="shared" si="114"/>
        <v>202510</v>
      </c>
      <c r="H1810" s="4">
        <v>46096</v>
      </c>
      <c r="I1810" s="5">
        <v>142</v>
      </c>
      <c r="J1810" s="5">
        <v>4.7333333333333334</v>
      </c>
      <c r="K1810" s="5">
        <f t="shared" si="115"/>
        <v>0</v>
      </c>
      <c r="L1810" s="5">
        <v>0</v>
      </c>
      <c r="M1810" s="5">
        <v>1</v>
      </c>
      <c r="N1810" t="s">
        <v>9</v>
      </c>
      <c r="O1810" s="8">
        <v>21.295890410958904</v>
      </c>
      <c r="P1810" t="s">
        <v>33</v>
      </c>
      <c r="Q1810">
        <v>2</v>
      </c>
      <c r="R1810" s="2">
        <v>38181</v>
      </c>
    </row>
    <row r="1811" spans="1:18" x14ac:dyDescent="0.3">
      <c r="A1811" t="s">
        <v>7</v>
      </c>
      <c r="B1811">
        <v>18975933</v>
      </c>
      <c r="C1811" t="s">
        <v>8</v>
      </c>
      <c r="D1811" s="4">
        <v>45954</v>
      </c>
      <c r="E1811" s="11">
        <f t="shared" si="112"/>
        <v>2025</v>
      </c>
      <c r="F1811" s="11">
        <f t="shared" si="113"/>
        <v>10</v>
      </c>
      <c r="G1811" s="11" t="str">
        <f t="shared" si="114"/>
        <v>202510</v>
      </c>
      <c r="H1811" s="4">
        <v>45962</v>
      </c>
      <c r="I1811" s="5">
        <v>8</v>
      </c>
      <c r="J1811" s="5">
        <v>0.26666666666666666</v>
      </c>
      <c r="K1811" s="5">
        <f t="shared" si="115"/>
        <v>1</v>
      </c>
      <c r="L1811" s="5">
        <v>1</v>
      </c>
      <c r="M1811" s="5">
        <v>1</v>
      </c>
      <c r="N1811" t="s">
        <v>9</v>
      </c>
      <c r="O1811" s="8">
        <v>25.224657534246575</v>
      </c>
      <c r="P1811" t="s">
        <v>33</v>
      </c>
      <c r="Q1811">
        <v>2</v>
      </c>
      <c r="R1811" s="2">
        <v>36747</v>
      </c>
    </row>
    <row r="1812" spans="1:18" x14ac:dyDescent="0.3">
      <c r="A1812" t="s">
        <v>7</v>
      </c>
      <c r="B1812">
        <v>18975947</v>
      </c>
      <c r="C1812" t="s">
        <v>10</v>
      </c>
      <c r="D1812" s="4">
        <v>45954</v>
      </c>
      <c r="E1812" s="11">
        <f t="shared" si="112"/>
        <v>2025</v>
      </c>
      <c r="F1812" s="11">
        <f t="shared" si="113"/>
        <v>10</v>
      </c>
      <c r="G1812" s="11" t="str">
        <f t="shared" si="114"/>
        <v>202510</v>
      </c>
      <c r="H1812" s="4">
        <v>46055</v>
      </c>
      <c r="I1812" s="5">
        <v>101</v>
      </c>
      <c r="J1812" s="5">
        <v>3.3666666666666667</v>
      </c>
      <c r="K1812" s="5">
        <f t="shared" si="115"/>
        <v>0</v>
      </c>
      <c r="L1812" s="5">
        <v>0</v>
      </c>
      <c r="M1812" s="5">
        <v>1</v>
      </c>
      <c r="N1812" t="s">
        <v>12</v>
      </c>
      <c r="O1812" s="8">
        <v>28.753424657534246</v>
      </c>
      <c r="P1812" t="s">
        <v>34</v>
      </c>
      <c r="Q1812">
        <v>3</v>
      </c>
      <c r="R1812" s="2">
        <v>35459</v>
      </c>
    </row>
    <row r="1813" spans="1:18" x14ac:dyDescent="0.3">
      <c r="A1813" t="s">
        <v>7</v>
      </c>
      <c r="B1813">
        <v>18975958</v>
      </c>
      <c r="C1813" t="s">
        <v>8</v>
      </c>
      <c r="D1813" s="4">
        <v>45953</v>
      </c>
      <c r="E1813" s="11">
        <f t="shared" si="112"/>
        <v>2025</v>
      </c>
      <c r="F1813" s="11">
        <f t="shared" si="113"/>
        <v>10</v>
      </c>
      <c r="G1813" s="11" t="str">
        <f t="shared" si="114"/>
        <v>202510</v>
      </c>
      <c r="I1813" s="5">
        <v>9999</v>
      </c>
      <c r="J1813" s="5">
        <v>333.3</v>
      </c>
      <c r="K1813" s="5">
        <f t="shared" si="115"/>
        <v>0</v>
      </c>
      <c r="L1813" s="5">
        <v>0</v>
      </c>
      <c r="M1813" s="5">
        <v>0</v>
      </c>
      <c r="N1813" t="s">
        <v>9</v>
      </c>
      <c r="O1813" s="8">
        <v>18.580821917808219</v>
      </c>
      <c r="P1813" t="s">
        <v>32</v>
      </c>
      <c r="Q1813">
        <v>1</v>
      </c>
      <c r="R1813" s="2">
        <v>39171</v>
      </c>
    </row>
    <row r="1814" spans="1:18" x14ac:dyDescent="0.3">
      <c r="A1814" t="s">
        <v>7</v>
      </c>
      <c r="B1814">
        <v>18975981</v>
      </c>
      <c r="C1814" t="s">
        <v>10</v>
      </c>
      <c r="D1814" s="4">
        <v>45954</v>
      </c>
      <c r="E1814" s="11">
        <f t="shared" si="112"/>
        <v>2025</v>
      </c>
      <c r="F1814" s="11">
        <f t="shared" si="113"/>
        <v>10</v>
      </c>
      <c r="G1814" s="11" t="str">
        <f t="shared" si="114"/>
        <v>202510</v>
      </c>
      <c r="I1814" s="5">
        <v>9999</v>
      </c>
      <c r="J1814" s="5">
        <v>333.3</v>
      </c>
      <c r="K1814" s="5">
        <f t="shared" si="115"/>
        <v>0</v>
      </c>
      <c r="L1814" s="5">
        <v>0</v>
      </c>
      <c r="M1814" s="5">
        <v>0</v>
      </c>
      <c r="N1814" t="s">
        <v>9</v>
      </c>
      <c r="O1814" s="8">
        <v>18.36986301369863</v>
      </c>
      <c r="P1814" t="s">
        <v>32</v>
      </c>
      <c r="Q1814">
        <v>1</v>
      </c>
      <c r="R1814" s="2">
        <v>39249</v>
      </c>
    </row>
    <row r="1815" spans="1:18" x14ac:dyDescent="0.3">
      <c r="A1815" t="s">
        <v>7</v>
      </c>
      <c r="B1815">
        <v>18975982</v>
      </c>
      <c r="C1815" t="s">
        <v>8</v>
      </c>
      <c r="D1815" s="4">
        <v>45954</v>
      </c>
      <c r="E1815" s="11">
        <f t="shared" si="112"/>
        <v>2025</v>
      </c>
      <c r="F1815" s="11">
        <f t="shared" si="113"/>
        <v>10</v>
      </c>
      <c r="G1815" s="11" t="str">
        <f t="shared" si="114"/>
        <v>202510</v>
      </c>
      <c r="H1815" s="4">
        <v>45962</v>
      </c>
      <c r="I1815" s="5">
        <v>8</v>
      </c>
      <c r="J1815" s="5">
        <v>0.26666666666666666</v>
      </c>
      <c r="K1815" s="5">
        <f t="shared" si="115"/>
        <v>1</v>
      </c>
      <c r="L1815" s="5">
        <v>1</v>
      </c>
      <c r="M1815" s="5">
        <v>1</v>
      </c>
      <c r="N1815" t="s">
        <v>9</v>
      </c>
      <c r="O1815" s="8">
        <v>21.391780821917809</v>
      </c>
      <c r="P1815" t="s">
        <v>33</v>
      </c>
      <c r="Q1815">
        <v>2</v>
      </c>
      <c r="R1815" s="2">
        <v>38146</v>
      </c>
    </row>
    <row r="1816" spans="1:18" x14ac:dyDescent="0.3">
      <c r="A1816" t="s">
        <v>7</v>
      </c>
      <c r="B1816">
        <v>18976000</v>
      </c>
      <c r="C1816" t="s">
        <v>10</v>
      </c>
      <c r="D1816" s="4">
        <v>45954</v>
      </c>
      <c r="E1816" s="11">
        <f t="shared" si="112"/>
        <v>2025</v>
      </c>
      <c r="F1816" s="11">
        <f t="shared" si="113"/>
        <v>10</v>
      </c>
      <c r="G1816" s="11" t="str">
        <f t="shared" si="114"/>
        <v>202510</v>
      </c>
      <c r="I1816" s="5">
        <v>9999</v>
      </c>
      <c r="J1816" s="5">
        <v>333.3</v>
      </c>
      <c r="K1816" s="5">
        <f t="shared" si="115"/>
        <v>0</v>
      </c>
      <c r="L1816" s="5">
        <v>0</v>
      </c>
      <c r="M1816" s="5">
        <v>0</v>
      </c>
      <c r="N1816" t="s">
        <v>9</v>
      </c>
      <c r="O1816" s="8">
        <v>21.81095890410959</v>
      </c>
      <c r="P1816" t="s">
        <v>33</v>
      </c>
      <c r="Q1816">
        <v>2</v>
      </c>
      <c r="R1816" s="2">
        <v>37993</v>
      </c>
    </row>
    <row r="1817" spans="1:18" x14ac:dyDescent="0.3">
      <c r="A1817" t="s">
        <v>7</v>
      </c>
      <c r="B1817">
        <v>18976004</v>
      </c>
      <c r="C1817" t="s">
        <v>8</v>
      </c>
      <c r="D1817" s="4">
        <v>45954</v>
      </c>
      <c r="E1817" s="11">
        <f t="shared" si="112"/>
        <v>2025</v>
      </c>
      <c r="F1817" s="11">
        <f t="shared" si="113"/>
        <v>10</v>
      </c>
      <c r="G1817" s="11" t="str">
        <f t="shared" si="114"/>
        <v>202510</v>
      </c>
      <c r="I1817" s="5">
        <v>9999</v>
      </c>
      <c r="J1817" s="5">
        <v>333.3</v>
      </c>
      <c r="K1817" s="5">
        <f t="shared" si="115"/>
        <v>0</v>
      </c>
      <c r="L1817" s="5">
        <v>0</v>
      </c>
      <c r="M1817" s="5">
        <v>0</v>
      </c>
      <c r="N1817" t="s">
        <v>12</v>
      </c>
      <c r="O1817" s="8">
        <v>19.402739726027399</v>
      </c>
      <c r="P1817" t="s">
        <v>32</v>
      </c>
      <c r="Q1817">
        <v>1</v>
      </c>
      <c r="R1817" s="2">
        <v>38872</v>
      </c>
    </row>
    <row r="1818" spans="1:18" x14ac:dyDescent="0.3">
      <c r="A1818" t="s">
        <v>7</v>
      </c>
      <c r="B1818">
        <v>18976006</v>
      </c>
      <c r="C1818" t="s">
        <v>10</v>
      </c>
      <c r="D1818" s="4">
        <v>45954</v>
      </c>
      <c r="E1818" s="11">
        <f t="shared" si="112"/>
        <v>2025</v>
      </c>
      <c r="F1818" s="11">
        <f t="shared" si="113"/>
        <v>10</v>
      </c>
      <c r="G1818" s="11" t="str">
        <f t="shared" si="114"/>
        <v>202510</v>
      </c>
      <c r="H1818" s="4">
        <v>45962</v>
      </c>
      <c r="I1818" s="5">
        <v>8</v>
      </c>
      <c r="J1818" s="5">
        <v>0.26666666666666666</v>
      </c>
      <c r="K1818" s="5">
        <f t="shared" si="115"/>
        <v>1</v>
      </c>
      <c r="L1818" s="5">
        <v>1</v>
      </c>
      <c r="M1818" s="5">
        <v>1</v>
      </c>
      <c r="N1818" t="s">
        <v>9</v>
      </c>
      <c r="O1818" s="8">
        <v>19.657534246575342</v>
      </c>
      <c r="P1818" t="s">
        <v>32</v>
      </c>
      <c r="Q1818">
        <v>1</v>
      </c>
      <c r="R1818" s="2">
        <v>38779</v>
      </c>
    </row>
    <row r="1819" spans="1:18" x14ac:dyDescent="0.3">
      <c r="A1819" t="s">
        <v>7</v>
      </c>
      <c r="B1819">
        <v>18976025</v>
      </c>
      <c r="C1819" t="s">
        <v>10</v>
      </c>
      <c r="D1819" s="4">
        <v>45954</v>
      </c>
      <c r="E1819" s="11">
        <f t="shared" si="112"/>
        <v>2025</v>
      </c>
      <c r="F1819" s="11">
        <f t="shared" si="113"/>
        <v>10</v>
      </c>
      <c r="G1819" s="11" t="str">
        <f t="shared" si="114"/>
        <v>202510</v>
      </c>
      <c r="I1819" s="5">
        <v>9999</v>
      </c>
      <c r="J1819" s="5">
        <v>333.3</v>
      </c>
      <c r="K1819" s="5">
        <f t="shared" si="115"/>
        <v>0</v>
      </c>
      <c r="L1819" s="5">
        <v>0</v>
      </c>
      <c r="M1819" s="5">
        <v>0</v>
      </c>
      <c r="N1819" t="s">
        <v>9</v>
      </c>
      <c r="O1819" s="8">
        <v>19.605479452054794</v>
      </c>
      <c r="P1819" t="s">
        <v>32</v>
      </c>
      <c r="Q1819">
        <v>1</v>
      </c>
      <c r="R1819" s="2">
        <v>38798</v>
      </c>
    </row>
    <row r="1820" spans="1:18" x14ac:dyDescent="0.3">
      <c r="A1820" t="s">
        <v>7</v>
      </c>
      <c r="B1820">
        <v>18976026</v>
      </c>
      <c r="C1820" t="s">
        <v>10</v>
      </c>
      <c r="D1820" s="4">
        <v>45954</v>
      </c>
      <c r="E1820" s="11">
        <f t="shared" si="112"/>
        <v>2025</v>
      </c>
      <c r="F1820" s="11">
        <f t="shared" si="113"/>
        <v>10</v>
      </c>
      <c r="G1820" s="11" t="str">
        <f t="shared" si="114"/>
        <v>202510</v>
      </c>
      <c r="I1820" s="5">
        <v>9999</v>
      </c>
      <c r="J1820" s="5">
        <v>333.3</v>
      </c>
      <c r="K1820" s="5">
        <f t="shared" si="115"/>
        <v>0</v>
      </c>
      <c r="L1820" s="5">
        <v>0</v>
      </c>
      <c r="M1820" s="5">
        <v>0</v>
      </c>
      <c r="N1820" t="s">
        <v>9</v>
      </c>
      <c r="O1820" s="8">
        <v>18.830136986301369</v>
      </c>
      <c r="P1820" t="s">
        <v>32</v>
      </c>
      <c r="Q1820">
        <v>1</v>
      </c>
      <c r="R1820" s="2">
        <v>39081</v>
      </c>
    </row>
    <row r="1821" spans="1:18" x14ac:dyDescent="0.3">
      <c r="A1821" t="s">
        <v>7</v>
      </c>
      <c r="B1821">
        <v>18976029</v>
      </c>
      <c r="C1821" t="s">
        <v>8</v>
      </c>
      <c r="D1821" s="4">
        <v>45954</v>
      </c>
      <c r="E1821" s="11">
        <f t="shared" si="112"/>
        <v>2025</v>
      </c>
      <c r="F1821" s="11">
        <f t="shared" si="113"/>
        <v>10</v>
      </c>
      <c r="G1821" s="11" t="str">
        <f t="shared" si="114"/>
        <v>202510</v>
      </c>
      <c r="H1821" s="4">
        <v>46081</v>
      </c>
      <c r="I1821" s="5">
        <v>127</v>
      </c>
      <c r="J1821" s="5">
        <v>4.2333333333333334</v>
      </c>
      <c r="K1821" s="5">
        <f t="shared" si="115"/>
        <v>0</v>
      </c>
      <c r="L1821" s="5">
        <v>0</v>
      </c>
      <c r="M1821" s="5">
        <v>1</v>
      </c>
      <c r="N1821" t="s">
        <v>9</v>
      </c>
      <c r="O1821" s="8">
        <v>18.734246575342464</v>
      </c>
      <c r="P1821" t="s">
        <v>32</v>
      </c>
      <c r="Q1821">
        <v>1</v>
      </c>
      <c r="R1821" s="2">
        <v>39116</v>
      </c>
    </row>
    <row r="1822" spans="1:18" x14ac:dyDescent="0.3">
      <c r="A1822" t="s">
        <v>7</v>
      </c>
      <c r="B1822">
        <v>18976032</v>
      </c>
      <c r="C1822" t="s">
        <v>8</v>
      </c>
      <c r="D1822" s="4">
        <v>45955</v>
      </c>
      <c r="E1822" s="11">
        <f t="shared" si="112"/>
        <v>2025</v>
      </c>
      <c r="F1822" s="11">
        <f t="shared" si="113"/>
        <v>10</v>
      </c>
      <c r="G1822" s="11" t="str">
        <f t="shared" si="114"/>
        <v>202510</v>
      </c>
      <c r="I1822" s="5">
        <v>9999</v>
      </c>
      <c r="J1822" s="5">
        <v>333.3</v>
      </c>
      <c r="K1822" s="5">
        <f t="shared" si="115"/>
        <v>0</v>
      </c>
      <c r="L1822" s="5">
        <v>0</v>
      </c>
      <c r="M1822" s="5">
        <v>0</v>
      </c>
      <c r="N1822" t="s">
        <v>9</v>
      </c>
      <c r="O1822" s="8">
        <v>19.547945205479451</v>
      </c>
      <c r="P1822" t="s">
        <v>32</v>
      </c>
      <c r="Q1822">
        <v>1</v>
      </c>
      <c r="R1822" s="2">
        <v>38820</v>
      </c>
    </row>
    <row r="1823" spans="1:18" x14ac:dyDescent="0.3">
      <c r="A1823" t="s">
        <v>11</v>
      </c>
      <c r="B1823">
        <v>18976041</v>
      </c>
      <c r="C1823" t="s">
        <v>8</v>
      </c>
      <c r="D1823" s="4">
        <v>46082</v>
      </c>
      <c r="E1823" s="11">
        <f t="shared" si="112"/>
        <v>2026</v>
      </c>
      <c r="F1823" s="11">
        <f t="shared" si="113"/>
        <v>3</v>
      </c>
      <c r="G1823" s="11" t="str">
        <f t="shared" si="114"/>
        <v>202603</v>
      </c>
      <c r="H1823" s="4">
        <v>46097</v>
      </c>
      <c r="I1823" s="5">
        <v>15</v>
      </c>
      <c r="J1823" s="5">
        <v>0.5</v>
      </c>
      <c r="K1823" s="5">
        <f t="shared" si="115"/>
        <v>1</v>
      </c>
      <c r="L1823" s="5">
        <v>1</v>
      </c>
      <c r="M1823" s="5">
        <v>1</v>
      </c>
      <c r="N1823" t="s">
        <v>9</v>
      </c>
      <c r="O1823" s="8">
        <v>18.764383561643836</v>
      </c>
      <c r="P1823" t="s">
        <v>32</v>
      </c>
      <c r="Q1823">
        <v>1</v>
      </c>
      <c r="R1823" s="2">
        <v>39233</v>
      </c>
    </row>
    <row r="1824" spans="1:18" x14ac:dyDescent="0.3">
      <c r="A1824" t="s">
        <v>7</v>
      </c>
      <c r="B1824">
        <v>18976041</v>
      </c>
      <c r="C1824" t="s">
        <v>8</v>
      </c>
      <c r="D1824" s="4">
        <v>45955</v>
      </c>
      <c r="E1824" s="11">
        <f t="shared" si="112"/>
        <v>2025</v>
      </c>
      <c r="F1824" s="11">
        <f t="shared" si="113"/>
        <v>10</v>
      </c>
      <c r="G1824" s="11" t="str">
        <f t="shared" si="114"/>
        <v>202510</v>
      </c>
      <c r="H1824" s="4">
        <v>46081</v>
      </c>
      <c r="I1824" s="5">
        <v>126</v>
      </c>
      <c r="J1824" s="5">
        <v>4.2</v>
      </c>
      <c r="K1824" s="5">
        <f t="shared" si="115"/>
        <v>0</v>
      </c>
      <c r="L1824" s="5">
        <v>0</v>
      </c>
      <c r="M1824" s="5">
        <v>1</v>
      </c>
      <c r="N1824" t="s">
        <v>9</v>
      </c>
      <c r="O1824" s="8">
        <v>18.416438356164385</v>
      </c>
      <c r="P1824" t="s">
        <v>32</v>
      </c>
      <c r="Q1824">
        <v>1</v>
      </c>
      <c r="R1824" s="2">
        <v>39233</v>
      </c>
    </row>
    <row r="1825" spans="1:18" x14ac:dyDescent="0.3">
      <c r="A1825" t="s">
        <v>7</v>
      </c>
      <c r="B1825">
        <v>18976045</v>
      </c>
      <c r="C1825" t="s">
        <v>8</v>
      </c>
      <c r="D1825" s="4">
        <v>45955</v>
      </c>
      <c r="E1825" s="11">
        <f t="shared" si="112"/>
        <v>2025</v>
      </c>
      <c r="F1825" s="11">
        <f t="shared" si="113"/>
        <v>10</v>
      </c>
      <c r="G1825" s="11" t="str">
        <f t="shared" si="114"/>
        <v>202510</v>
      </c>
      <c r="H1825" s="4">
        <v>45964</v>
      </c>
      <c r="I1825" s="5">
        <v>9</v>
      </c>
      <c r="J1825" s="5">
        <v>0.3</v>
      </c>
      <c r="K1825" s="5">
        <f t="shared" si="115"/>
        <v>1</v>
      </c>
      <c r="L1825" s="5">
        <v>1</v>
      </c>
      <c r="M1825" s="5">
        <v>1</v>
      </c>
      <c r="N1825" t="s">
        <v>9</v>
      </c>
      <c r="O1825" s="8">
        <v>19.978082191780821</v>
      </c>
      <c r="P1825" t="s">
        <v>32</v>
      </c>
      <c r="Q1825">
        <v>1</v>
      </c>
      <c r="R1825" s="2">
        <v>38663</v>
      </c>
    </row>
    <row r="1826" spans="1:18" x14ac:dyDescent="0.3">
      <c r="A1826" t="s">
        <v>7</v>
      </c>
      <c r="B1826">
        <v>18976047</v>
      </c>
      <c r="C1826" t="s">
        <v>10</v>
      </c>
      <c r="D1826" s="4">
        <v>45955</v>
      </c>
      <c r="E1826" s="11">
        <f t="shared" si="112"/>
        <v>2025</v>
      </c>
      <c r="F1826" s="11">
        <f t="shared" si="113"/>
        <v>10</v>
      </c>
      <c r="G1826" s="11" t="str">
        <f t="shared" si="114"/>
        <v>202510</v>
      </c>
      <c r="H1826" s="4">
        <v>46038</v>
      </c>
      <c r="I1826" s="5">
        <v>83</v>
      </c>
      <c r="J1826" s="5">
        <v>2.7666666666666666</v>
      </c>
      <c r="K1826" s="5">
        <f t="shared" si="115"/>
        <v>0</v>
      </c>
      <c r="L1826" s="5">
        <v>1</v>
      </c>
      <c r="M1826" s="5">
        <v>1</v>
      </c>
      <c r="N1826" t="s">
        <v>9</v>
      </c>
      <c r="O1826" s="8">
        <v>21.884931506849316</v>
      </c>
      <c r="P1826" t="s">
        <v>33</v>
      </c>
      <c r="Q1826">
        <v>2</v>
      </c>
      <c r="R1826" s="2">
        <v>37967</v>
      </c>
    </row>
    <row r="1827" spans="1:18" x14ac:dyDescent="0.3">
      <c r="A1827" t="s">
        <v>7</v>
      </c>
      <c r="B1827">
        <v>18976051</v>
      </c>
      <c r="C1827" t="s">
        <v>10</v>
      </c>
      <c r="D1827" s="4">
        <v>45955</v>
      </c>
      <c r="E1827" s="11">
        <f t="shared" si="112"/>
        <v>2025</v>
      </c>
      <c r="F1827" s="11">
        <f t="shared" si="113"/>
        <v>10</v>
      </c>
      <c r="G1827" s="11" t="str">
        <f t="shared" si="114"/>
        <v>202510</v>
      </c>
      <c r="H1827" s="4">
        <v>46113</v>
      </c>
      <c r="I1827" s="5">
        <v>158</v>
      </c>
      <c r="J1827" s="5">
        <v>5.2666666666666666</v>
      </c>
      <c r="K1827" s="5">
        <f t="shared" si="115"/>
        <v>0</v>
      </c>
      <c r="L1827" s="5">
        <v>0</v>
      </c>
      <c r="M1827" s="5">
        <v>1</v>
      </c>
      <c r="N1827" t="s">
        <v>9</v>
      </c>
      <c r="O1827" s="8">
        <v>18.339726027397262</v>
      </c>
      <c r="P1827" t="s">
        <v>32</v>
      </c>
      <c r="Q1827">
        <v>1</v>
      </c>
      <c r="R1827" s="2">
        <v>39261</v>
      </c>
    </row>
    <row r="1828" spans="1:18" x14ac:dyDescent="0.3">
      <c r="A1828" t="s">
        <v>7</v>
      </c>
      <c r="B1828">
        <v>18976267</v>
      </c>
      <c r="C1828" t="s">
        <v>8</v>
      </c>
      <c r="D1828" s="4">
        <v>45957</v>
      </c>
      <c r="E1828" s="11">
        <f t="shared" si="112"/>
        <v>2025</v>
      </c>
      <c r="F1828" s="11">
        <f t="shared" si="113"/>
        <v>10</v>
      </c>
      <c r="G1828" s="11" t="str">
        <f t="shared" si="114"/>
        <v>202510</v>
      </c>
      <c r="I1828" s="5">
        <v>9999</v>
      </c>
      <c r="J1828" s="5">
        <v>333.3</v>
      </c>
      <c r="K1828" s="5">
        <f t="shared" si="115"/>
        <v>0</v>
      </c>
      <c r="L1828" s="5">
        <v>0</v>
      </c>
      <c r="M1828" s="5">
        <v>0</v>
      </c>
      <c r="N1828" t="s">
        <v>9</v>
      </c>
      <c r="O1828" s="8">
        <v>18.252054794520546</v>
      </c>
      <c r="P1828" t="s">
        <v>32</v>
      </c>
      <c r="Q1828">
        <v>1</v>
      </c>
      <c r="R1828" s="2">
        <v>39295</v>
      </c>
    </row>
    <row r="1829" spans="1:18" x14ac:dyDescent="0.3">
      <c r="A1829" t="s">
        <v>7</v>
      </c>
      <c r="B1829">
        <v>18976268</v>
      </c>
      <c r="C1829" t="s">
        <v>10</v>
      </c>
      <c r="D1829" s="4">
        <v>45957</v>
      </c>
      <c r="E1829" s="11">
        <f t="shared" si="112"/>
        <v>2025</v>
      </c>
      <c r="F1829" s="11">
        <f t="shared" si="113"/>
        <v>10</v>
      </c>
      <c r="G1829" s="11" t="str">
        <f t="shared" si="114"/>
        <v>202510</v>
      </c>
      <c r="I1829" s="5">
        <v>9999</v>
      </c>
      <c r="J1829" s="5">
        <v>333.3</v>
      </c>
      <c r="K1829" s="5">
        <f t="shared" si="115"/>
        <v>0</v>
      </c>
      <c r="L1829" s="5">
        <v>0</v>
      </c>
      <c r="M1829" s="5">
        <v>0</v>
      </c>
      <c r="N1829" t="s">
        <v>9</v>
      </c>
      <c r="O1829" s="8">
        <v>18.682191780821917</v>
      </c>
      <c r="P1829" t="s">
        <v>32</v>
      </c>
      <c r="Q1829">
        <v>1</v>
      </c>
      <c r="R1829" s="2">
        <v>39138</v>
      </c>
    </row>
    <row r="1830" spans="1:18" x14ac:dyDescent="0.3">
      <c r="A1830" t="s">
        <v>7</v>
      </c>
      <c r="B1830">
        <v>18976272</v>
      </c>
      <c r="C1830" t="s">
        <v>8</v>
      </c>
      <c r="D1830" s="4">
        <v>45957</v>
      </c>
      <c r="E1830" s="11">
        <f t="shared" si="112"/>
        <v>2025</v>
      </c>
      <c r="F1830" s="11">
        <f t="shared" si="113"/>
        <v>10</v>
      </c>
      <c r="G1830" s="11" t="str">
        <f t="shared" si="114"/>
        <v>202510</v>
      </c>
      <c r="H1830" s="4">
        <v>46054</v>
      </c>
      <c r="I1830" s="5">
        <v>97</v>
      </c>
      <c r="J1830" s="5">
        <v>3.2333333333333334</v>
      </c>
      <c r="K1830" s="5">
        <f t="shared" si="115"/>
        <v>0</v>
      </c>
      <c r="L1830" s="5">
        <v>0</v>
      </c>
      <c r="M1830" s="5">
        <v>1</v>
      </c>
      <c r="N1830" t="s">
        <v>9</v>
      </c>
      <c r="O1830" s="8">
        <v>18.87945205479452</v>
      </c>
      <c r="P1830" t="s">
        <v>32</v>
      </c>
      <c r="Q1830">
        <v>1</v>
      </c>
      <c r="R1830" s="2">
        <v>39066</v>
      </c>
    </row>
    <row r="1831" spans="1:18" x14ac:dyDescent="0.3">
      <c r="A1831" t="s">
        <v>7</v>
      </c>
      <c r="B1831">
        <v>18976301</v>
      </c>
      <c r="C1831" t="s">
        <v>8</v>
      </c>
      <c r="D1831" s="4">
        <v>45957</v>
      </c>
      <c r="E1831" s="11">
        <f t="shared" si="112"/>
        <v>2025</v>
      </c>
      <c r="F1831" s="11">
        <f t="shared" si="113"/>
        <v>10</v>
      </c>
      <c r="G1831" s="11" t="str">
        <f t="shared" si="114"/>
        <v>202510</v>
      </c>
      <c r="H1831" s="4">
        <v>45964</v>
      </c>
      <c r="I1831" s="5">
        <v>7</v>
      </c>
      <c r="J1831" s="5">
        <v>0.23333333333333334</v>
      </c>
      <c r="K1831" s="5">
        <f t="shared" si="115"/>
        <v>1</v>
      </c>
      <c r="L1831" s="5">
        <v>1</v>
      </c>
      <c r="M1831" s="5">
        <v>1</v>
      </c>
      <c r="N1831" t="s">
        <v>9</v>
      </c>
      <c r="O1831" s="8">
        <v>19.372602739726027</v>
      </c>
      <c r="P1831" t="s">
        <v>32</v>
      </c>
      <c r="Q1831">
        <v>1</v>
      </c>
      <c r="R1831" s="2">
        <v>38886</v>
      </c>
    </row>
    <row r="1832" spans="1:18" x14ac:dyDescent="0.3">
      <c r="A1832" t="s">
        <v>7</v>
      </c>
      <c r="B1832">
        <v>18976372</v>
      </c>
      <c r="C1832" t="s">
        <v>8</v>
      </c>
      <c r="D1832" s="4">
        <v>45957</v>
      </c>
      <c r="E1832" s="11">
        <f t="shared" si="112"/>
        <v>2025</v>
      </c>
      <c r="F1832" s="11">
        <f t="shared" si="113"/>
        <v>10</v>
      </c>
      <c r="G1832" s="11" t="str">
        <f t="shared" si="114"/>
        <v>202510</v>
      </c>
      <c r="I1832" s="5">
        <v>9999</v>
      </c>
      <c r="J1832" s="5">
        <v>333.3</v>
      </c>
      <c r="K1832" s="5">
        <f t="shared" si="115"/>
        <v>0</v>
      </c>
      <c r="L1832" s="5">
        <v>0</v>
      </c>
      <c r="M1832" s="5">
        <v>0</v>
      </c>
      <c r="N1832" t="s">
        <v>9</v>
      </c>
      <c r="O1832" s="8">
        <v>19.753424657534246</v>
      </c>
      <c r="P1832" t="s">
        <v>32</v>
      </c>
      <c r="Q1832">
        <v>1</v>
      </c>
      <c r="R1832" s="2">
        <v>38747</v>
      </c>
    </row>
    <row r="1833" spans="1:18" x14ac:dyDescent="0.3">
      <c r="A1833" t="s">
        <v>7</v>
      </c>
      <c r="B1833">
        <v>18976442</v>
      </c>
      <c r="C1833" t="s">
        <v>8</v>
      </c>
      <c r="D1833" s="4">
        <v>45957</v>
      </c>
      <c r="E1833" s="11">
        <f t="shared" si="112"/>
        <v>2025</v>
      </c>
      <c r="F1833" s="11">
        <f t="shared" si="113"/>
        <v>10</v>
      </c>
      <c r="G1833" s="11" t="str">
        <f t="shared" si="114"/>
        <v>202510</v>
      </c>
      <c r="I1833" s="5">
        <v>9999</v>
      </c>
      <c r="J1833" s="5">
        <v>333.3</v>
      </c>
      <c r="K1833" s="5">
        <f t="shared" si="115"/>
        <v>0</v>
      </c>
      <c r="L1833" s="5">
        <v>0</v>
      </c>
      <c r="M1833" s="5">
        <v>0</v>
      </c>
      <c r="N1833" t="s">
        <v>9</v>
      </c>
      <c r="O1833" s="8">
        <v>18.843835616438355</v>
      </c>
      <c r="P1833" t="s">
        <v>32</v>
      </c>
      <c r="Q1833">
        <v>1</v>
      </c>
      <c r="R1833" s="2">
        <v>39079</v>
      </c>
    </row>
    <row r="1834" spans="1:18" x14ac:dyDescent="0.3">
      <c r="A1834" t="s">
        <v>7</v>
      </c>
      <c r="B1834">
        <v>18976450</v>
      </c>
      <c r="C1834" t="s">
        <v>8</v>
      </c>
      <c r="D1834" s="4">
        <v>45957</v>
      </c>
      <c r="E1834" s="11">
        <f t="shared" si="112"/>
        <v>2025</v>
      </c>
      <c r="F1834" s="11">
        <f t="shared" si="113"/>
        <v>10</v>
      </c>
      <c r="G1834" s="11" t="str">
        <f t="shared" si="114"/>
        <v>202510</v>
      </c>
      <c r="H1834" s="4">
        <v>46030</v>
      </c>
      <c r="I1834" s="5">
        <v>73</v>
      </c>
      <c r="J1834" s="5">
        <v>2.4333333333333331</v>
      </c>
      <c r="K1834" s="5">
        <f t="shared" si="115"/>
        <v>0</v>
      </c>
      <c r="L1834" s="5">
        <v>1</v>
      </c>
      <c r="M1834" s="5">
        <v>1</v>
      </c>
      <c r="N1834" t="s">
        <v>9</v>
      </c>
      <c r="O1834" s="8">
        <v>20.986301369863014</v>
      </c>
      <c r="P1834" t="s">
        <v>32</v>
      </c>
      <c r="Q1834">
        <v>1</v>
      </c>
      <c r="R1834" s="2">
        <v>38297</v>
      </c>
    </row>
    <row r="1835" spans="1:18" x14ac:dyDescent="0.3">
      <c r="A1835" t="s">
        <v>7</v>
      </c>
      <c r="B1835">
        <v>18976552</v>
      </c>
      <c r="C1835" t="s">
        <v>8</v>
      </c>
      <c r="D1835" s="4">
        <v>45958</v>
      </c>
      <c r="E1835" s="11">
        <f t="shared" si="112"/>
        <v>2025</v>
      </c>
      <c r="F1835" s="11">
        <f t="shared" si="113"/>
        <v>10</v>
      </c>
      <c r="G1835" s="11" t="str">
        <f t="shared" si="114"/>
        <v>202510</v>
      </c>
      <c r="I1835" s="5">
        <v>9999</v>
      </c>
      <c r="J1835" s="5">
        <v>333.3</v>
      </c>
      <c r="K1835" s="5">
        <f t="shared" si="115"/>
        <v>0</v>
      </c>
      <c r="L1835" s="5">
        <v>0</v>
      </c>
      <c r="M1835" s="5">
        <v>0</v>
      </c>
      <c r="N1835" t="s">
        <v>9</v>
      </c>
      <c r="O1835" s="8">
        <v>19.161643835616438</v>
      </c>
      <c r="P1835" t="s">
        <v>32</v>
      </c>
      <c r="Q1835">
        <v>1</v>
      </c>
      <c r="R1835" s="2">
        <v>38964</v>
      </c>
    </row>
    <row r="1836" spans="1:18" x14ac:dyDescent="0.3">
      <c r="A1836" t="s">
        <v>7</v>
      </c>
      <c r="B1836">
        <v>18976579</v>
      </c>
      <c r="C1836" t="s">
        <v>10</v>
      </c>
      <c r="D1836" s="4">
        <v>45958</v>
      </c>
      <c r="E1836" s="11">
        <f t="shared" si="112"/>
        <v>2025</v>
      </c>
      <c r="F1836" s="11">
        <f t="shared" si="113"/>
        <v>10</v>
      </c>
      <c r="G1836" s="11" t="str">
        <f t="shared" si="114"/>
        <v>202510</v>
      </c>
      <c r="H1836" s="4">
        <v>45996</v>
      </c>
      <c r="I1836" s="5">
        <v>38</v>
      </c>
      <c r="J1836" s="5">
        <v>1.2666666666666666</v>
      </c>
      <c r="K1836" s="5">
        <f t="shared" si="115"/>
        <v>0</v>
      </c>
      <c r="L1836" s="5">
        <v>1</v>
      </c>
      <c r="M1836" s="5">
        <v>1</v>
      </c>
      <c r="N1836" t="s">
        <v>9</v>
      </c>
      <c r="O1836" s="8">
        <v>18.490410958904111</v>
      </c>
      <c r="P1836" t="s">
        <v>32</v>
      </c>
      <c r="Q1836">
        <v>1</v>
      </c>
      <c r="R1836" s="2">
        <v>39209</v>
      </c>
    </row>
    <row r="1837" spans="1:18" x14ac:dyDescent="0.3">
      <c r="A1837" t="s">
        <v>7</v>
      </c>
      <c r="B1837">
        <v>18976580</v>
      </c>
      <c r="C1837" t="s">
        <v>8</v>
      </c>
      <c r="D1837" s="4">
        <v>45958</v>
      </c>
      <c r="E1837" s="11">
        <f t="shared" si="112"/>
        <v>2025</v>
      </c>
      <c r="F1837" s="11">
        <f t="shared" si="113"/>
        <v>10</v>
      </c>
      <c r="G1837" s="11" t="str">
        <f t="shared" si="114"/>
        <v>202510</v>
      </c>
      <c r="I1837" s="5">
        <v>9999</v>
      </c>
      <c r="J1837" s="5">
        <v>333.3</v>
      </c>
      <c r="K1837" s="5">
        <f t="shared" si="115"/>
        <v>0</v>
      </c>
      <c r="L1837" s="5">
        <v>0</v>
      </c>
      <c r="M1837" s="5">
        <v>0</v>
      </c>
      <c r="N1837" t="s">
        <v>9</v>
      </c>
      <c r="O1837" s="8">
        <v>29.142465753424659</v>
      </c>
      <c r="P1837" t="s">
        <v>34</v>
      </c>
      <c r="Q1837">
        <v>3</v>
      </c>
      <c r="R1837" s="2">
        <v>35321</v>
      </c>
    </row>
    <row r="1838" spans="1:18" x14ac:dyDescent="0.3">
      <c r="A1838" t="s">
        <v>7</v>
      </c>
      <c r="B1838">
        <v>18976601</v>
      </c>
      <c r="C1838" t="s">
        <v>8</v>
      </c>
      <c r="D1838" s="4">
        <v>45958</v>
      </c>
      <c r="E1838" s="11">
        <f t="shared" si="112"/>
        <v>2025</v>
      </c>
      <c r="F1838" s="11">
        <f t="shared" si="113"/>
        <v>10</v>
      </c>
      <c r="G1838" s="11" t="str">
        <f t="shared" si="114"/>
        <v>202510</v>
      </c>
      <c r="H1838" s="4">
        <v>46113</v>
      </c>
      <c r="I1838" s="5">
        <v>155</v>
      </c>
      <c r="J1838" s="5">
        <v>5.166666666666667</v>
      </c>
      <c r="K1838" s="5">
        <f t="shared" si="115"/>
        <v>0</v>
      </c>
      <c r="L1838" s="5">
        <v>0</v>
      </c>
      <c r="M1838" s="5">
        <v>1</v>
      </c>
      <c r="N1838" t="s">
        <v>12</v>
      </c>
      <c r="O1838" s="8">
        <v>25.515068493150686</v>
      </c>
      <c r="P1838" t="s">
        <v>33</v>
      </c>
      <c r="Q1838">
        <v>2</v>
      </c>
      <c r="R1838" s="2">
        <v>36645</v>
      </c>
    </row>
    <row r="1839" spans="1:18" x14ac:dyDescent="0.3">
      <c r="A1839" t="s">
        <v>7</v>
      </c>
      <c r="B1839">
        <v>18976602</v>
      </c>
      <c r="C1839" t="s">
        <v>8</v>
      </c>
      <c r="D1839" s="4">
        <v>45958</v>
      </c>
      <c r="E1839" s="11">
        <f t="shared" si="112"/>
        <v>2025</v>
      </c>
      <c r="F1839" s="11">
        <f t="shared" si="113"/>
        <v>10</v>
      </c>
      <c r="G1839" s="11" t="str">
        <f t="shared" si="114"/>
        <v>202510</v>
      </c>
      <c r="I1839" s="5">
        <v>9999</v>
      </c>
      <c r="J1839" s="5">
        <v>333.3</v>
      </c>
      <c r="K1839" s="5">
        <f t="shared" si="115"/>
        <v>0</v>
      </c>
      <c r="L1839" s="5">
        <v>0</v>
      </c>
      <c r="M1839" s="5">
        <v>0</v>
      </c>
      <c r="N1839" t="s">
        <v>12</v>
      </c>
      <c r="O1839" s="8">
        <v>25.945205479452056</v>
      </c>
      <c r="P1839" t="s">
        <v>33</v>
      </c>
      <c r="Q1839">
        <v>2</v>
      </c>
      <c r="R1839" s="2">
        <v>36488</v>
      </c>
    </row>
    <row r="1840" spans="1:18" x14ac:dyDescent="0.3">
      <c r="A1840" t="s">
        <v>7</v>
      </c>
      <c r="B1840">
        <v>18976606</v>
      </c>
      <c r="C1840" t="s">
        <v>8</v>
      </c>
      <c r="D1840" s="4">
        <v>45958</v>
      </c>
      <c r="E1840" s="11">
        <f t="shared" si="112"/>
        <v>2025</v>
      </c>
      <c r="F1840" s="11">
        <f t="shared" si="113"/>
        <v>10</v>
      </c>
      <c r="G1840" s="11" t="str">
        <f t="shared" si="114"/>
        <v>202510</v>
      </c>
      <c r="I1840" s="5">
        <v>9999</v>
      </c>
      <c r="J1840" s="5">
        <v>333.3</v>
      </c>
      <c r="K1840" s="5">
        <f t="shared" si="115"/>
        <v>0</v>
      </c>
      <c r="L1840" s="5">
        <v>0</v>
      </c>
      <c r="M1840" s="5">
        <v>0</v>
      </c>
      <c r="N1840" t="s">
        <v>12</v>
      </c>
      <c r="O1840" s="8">
        <v>20.520547945205479</v>
      </c>
      <c r="P1840" t="s">
        <v>32</v>
      </c>
      <c r="Q1840">
        <v>1</v>
      </c>
      <c r="R1840" s="2">
        <v>38468</v>
      </c>
    </row>
    <row r="1841" spans="1:18" x14ac:dyDescent="0.3">
      <c r="A1841" t="s">
        <v>7</v>
      </c>
      <c r="B1841">
        <v>18976694</v>
      </c>
      <c r="C1841" t="s">
        <v>8</v>
      </c>
      <c r="D1841" s="4">
        <v>45959</v>
      </c>
      <c r="E1841" s="11">
        <f t="shared" si="112"/>
        <v>2025</v>
      </c>
      <c r="F1841" s="11">
        <f t="shared" si="113"/>
        <v>10</v>
      </c>
      <c r="G1841" s="11" t="str">
        <f t="shared" si="114"/>
        <v>202510</v>
      </c>
      <c r="I1841" s="5">
        <v>9999</v>
      </c>
      <c r="J1841" s="5">
        <v>333.3</v>
      </c>
      <c r="K1841" s="5">
        <f t="shared" si="115"/>
        <v>0</v>
      </c>
      <c r="L1841" s="5">
        <v>0</v>
      </c>
      <c r="M1841" s="5">
        <v>0</v>
      </c>
      <c r="N1841" t="s">
        <v>9</v>
      </c>
      <c r="O1841" s="8">
        <v>32.495890410958907</v>
      </c>
      <c r="P1841" t="s">
        <v>35</v>
      </c>
      <c r="Q1841">
        <v>4</v>
      </c>
      <c r="R1841" s="2">
        <v>34098</v>
      </c>
    </row>
    <row r="1842" spans="1:18" x14ac:dyDescent="0.3">
      <c r="A1842" t="s">
        <v>7</v>
      </c>
      <c r="B1842">
        <v>18976706</v>
      </c>
      <c r="C1842" t="s">
        <v>8</v>
      </c>
      <c r="D1842" s="4">
        <v>45959</v>
      </c>
      <c r="E1842" s="11">
        <f t="shared" si="112"/>
        <v>2025</v>
      </c>
      <c r="F1842" s="11">
        <f t="shared" si="113"/>
        <v>10</v>
      </c>
      <c r="G1842" s="11" t="str">
        <f t="shared" si="114"/>
        <v>202510</v>
      </c>
      <c r="I1842" s="5">
        <v>9999</v>
      </c>
      <c r="J1842" s="5">
        <v>333.3</v>
      </c>
      <c r="K1842" s="5">
        <f t="shared" si="115"/>
        <v>0</v>
      </c>
      <c r="L1842" s="5">
        <v>0</v>
      </c>
      <c r="M1842" s="5">
        <v>0</v>
      </c>
      <c r="N1842" t="s">
        <v>12</v>
      </c>
      <c r="O1842" s="8">
        <v>29.610958904109587</v>
      </c>
      <c r="P1842" t="s">
        <v>34</v>
      </c>
      <c r="Q1842">
        <v>3</v>
      </c>
      <c r="R1842" s="2">
        <v>35151</v>
      </c>
    </row>
    <row r="1843" spans="1:18" x14ac:dyDescent="0.3">
      <c r="A1843" t="s">
        <v>7</v>
      </c>
      <c r="B1843">
        <v>18976735</v>
      </c>
      <c r="C1843" t="s">
        <v>8</v>
      </c>
      <c r="D1843" s="4">
        <v>45959</v>
      </c>
      <c r="E1843" s="11">
        <f t="shared" si="112"/>
        <v>2025</v>
      </c>
      <c r="F1843" s="11">
        <f t="shared" si="113"/>
        <v>10</v>
      </c>
      <c r="G1843" s="11" t="str">
        <f t="shared" si="114"/>
        <v>202510</v>
      </c>
      <c r="I1843" s="5">
        <v>9999</v>
      </c>
      <c r="J1843" s="5">
        <v>333.3</v>
      </c>
      <c r="K1843" s="5">
        <f t="shared" si="115"/>
        <v>0</v>
      </c>
      <c r="L1843" s="5">
        <v>0</v>
      </c>
      <c r="M1843" s="5">
        <v>0</v>
      </c>
      <c r="N1843" t="s">
        <v>9</v>
      </c>
      <c r="O1843" s="8">
        <v>19.531506849315068</v>
      </c>
      <c r="P1843" t="s">
        <v>32</v>
      </c>
      <c r="Q1843">
        <v>1</v>
      </c>
      <c r="R1843" s="2">
        <v>38830</v>
      </c>
    </row>
    <row r="1844" spans="1:18" x14ac:dyDescent="0.3">
      <c r="A1844" t="s">
        <v>7</v>
      </c>
      <c r="B1844">
        <v>18976762</v>
      </c>
      <c r="C1844" t="s">
        <v>8</v>
      </c>
      <c r="D1844" s="4">
        <v>45959</v>
      </c>
      <c r="E1844" s="11">
        <f t="shared" si="112"/>
        <v>2025</v>
      </c>
      <c r="F1844" s="11">
        <f t="shared" si="113"/>
        <v>10</v>
      </c>
      <c r="G1844" s="11" t="str">
        <f t="shared" si="114"/>
        <v>202510</v>
      </c>
      <c r="H1844" s="4">
        <v>45964</v>
      </c>
      <c r="I1844" s="5">
        <v>5</v>
      </c>
      <c r="J1844" s="5">
        <v>0.16666666666666666</v>
      </c>
      <c r="K1844" s="5">
        <f t="shared" si="115"/>
        <v>1</v>
      </c>
      <c r="L1844" s="5">
        <v>1</v>
      </c>
      <c r="M1844" s="5">
        <v>1</v>
      </c>
      <c r="N1844" t="s">
        <v>9</v>
      </c>
      <c r="O1844" s="8">
        <v>36.443835616438356</v>
      </c>
      <c r="P1844" t="s">
        <v>35</v>
      </c>
      <c r="Q1844">
        <v>4</v>
      </c>
      <c r="R1844" s="2">
        <v>32657</v>
      </c>
    </row>
    <row r="1845" spans="1:18" x14ac:dyDescent="0.3">
      <c r="A1845" t="s">
        <v>7</v>
      </c>
      <c r="B1845">
        <v>18976888</v>
      </c>
      <c r="C1845" t="s">
        <v>8</v>
      </c>
      <c r="D1845" s="4">
        <v>45960</v>
      </c>
      <c r="E1845" s="11">
        <f t="shared" si="112"/>
        <v>2025</v>
      </c>
      <c r="F1845" s="11">
        <f t="shared" si="113"/>
        <v>10</v>
      </c>
      <c r="G1845" s="11" t="str">
        <f t="shared" si="114"/>
        <v>202510</v>
      </c>
      <c r="H1845" s="4">
        <v>46127</v>
      </c>
      <c r="I1845" s="5">
        <v>167</v>
      </c>
      <c r="J1845" s="5">
        <v>5.5666666666666664</v>
      </c>
      <c r="K1845" s="5">
        <f t="shared" si="115"/>
        <v>0</v>
      </c>
      <c r="L1845" s="5">
        <v>0</v>
      </c>
      <c r="M1845" s="5">
        <v>1</v>
      </c>
      <c r="N1845" t="s">
        <v>12</v>
      </c>
      <c r="O1845" s="8">
        <v>18.416438356164385</v>
      </c>
      <c r="P1845" t="s">
        <v>32</v>
      </c>
      <c r="Q1845">
        <v>1</v>
      </c>
      <c r="R1845" s="2">
        <v>39238</v>
      </c>
    </row>
    <row r="1846" spans="1:18" x14ac:dyDescent="0.3">
      <c r="A1846" t="s">
        <v>7</v>
      </c>
      <c r="B1846">
        <v>18976892</v>
      </c>
      <c r="C1846" t="s">
        <v>8</v>
      </c>
      <c r="D1846" s="4">
        <v>45960</v>
      </c>
      <c r="E1846" s="11">
        <f t="shared" si="112"/>
        <v>2025</v>
      </c>
      <c r="F1846" s="11">
        <f t="shared" si="113"/>
        <v>10</v>
      </c>
      <c r="G1846" s="11" t="str">
        <f t="shared" si="114"/>
        <v>202510</v>
      </c>
      <c r="H1846" s="4">
        <v>46175</v>
      </c>
      <c r="I1846" s="5">
        <v>215</v>
      </c>
      <c r="J1846" s="5">
        <v>7.166666666666667</v>
      </c>
      <c r="K1846" s="5">
        <f t="shared" si="115"/>
        <v>0</v>
      </c>
      <c r="L1846" s="5">
        <v>0</v>
      </c>
      <c r="M1846" s="5">
        <v>0</v>
      </c>
      <c r="N1846" t="s">
        <v>9</v>
      </c>
      <c r="O1846" s="8">
        <v>18.084931506849315</v>
      </c>
      <c r="P1846" t="s">
        <v>32</v>
      </c>
      <c r="Q1846">
        <v>1</v>
      </c>
      <c r="R1846" s="2">
        <v>39359</v>
      </c>
    </row>
    <row r="1847" spans="1:18" x14ac:dyDescent="0.3">
      <c r="A1847" t="s">
        <v>7</v>
      </c>
      <c r="B1847">
        <v>18976893</v>
      </c>
      <c r="C1847" t="s">
        <v>10</v>
      </c>
      <c r="D1847" s="4">
        <v>45960</v>
      </c>
      <c r="E1847" s="11">
        <f t="shared" si="112"/>
        <v>2025</v>
      </c>
      <c r="F1847" s="11">
        <f t="shared" si="113"/>
        <v>10</v>
      </c>
      <c r="G1847" s="11" t="str">
        <f t="shared" si="114"/>
        <v>202510</v>
      </c>
      <c r="H1847" s="4">
        <v>46025</v>
      </c>
      <c r="I1847" s="5">
        <v>65</v>
      </c>
      <c r="J1847" s="5">
        <v>2.1666666666666665</v>
      </c>
      <c r="K1847" s="5">
        <f t="shared" si="115"/>
        <v>0</v>
      </c>
      <c r="L1847" s="5">
        <v>1</v>
      </c>
      <c r="M1847" s="5">
        <v>1</v>
      </c>
      <c r="N1847" t="s">
        <v>9</v>
      </c>
      <c r="O1847" s="8">
        <v>18.13150684931507</v>
      </c>
      <c r="P1847" t="s">
        <v>32</v>
      </c>
      <c r="Q1847">
        <v>1</v>
      </c>
      <c r="R1847" s="2">
        <v>39342</v>
      </c>
    </row>
    <row r="1848" spans="1:18" x14ac:dyDescent="0.3">
      <c r="A1848" t="s">
        <v>7</v>
      </c>
      <c r="B1848">
        <v>18976937</v>
      </c>
      <c r="C1848" t="s">
        <v>10</v>
      </c>
      <c r="D1848" s="4">
        <v>45960</v>
      </c>
      <c r="E1848" s="11">
        <f t="shared" si="112"/>
        <v>2025</v>
      </c>
      <c r="F1848" s="11">
        <f t="shared" si="113"/>
        <v>10</v>
      </c>
      <c r="G1848" s="11" t="str">
        <f t="shared" si="114"/>
        <v>202510</v>
      </c>
      <c r="H1848" s="4">
        <v>46038</v>
      </c>
      <c r="I1848" s="5">
        <v>78</v>
      </c>
      <c r="J1848" s="5">
        <v>2.6</v>
      </c>
      <c r="K1848" s="5">
        <f t="shared" si="115"/>
        <v>0</v>
      </c>
      <c r="L1848" s="5">
        <v>1</v>
      </c>
      <c r="M1848" s="5">
        <v>1</v>
      </c>
      <c r="N1848" t="s">
        <v>9</v>
      </c>
      <c r="O1848" s="8">
        <v>40.745205479452054</v>
      </c>
      <c r="P1848" t="s">
        <v>35</v>
      </c>
      <c r="Q1848">
        <v>4</v>
      </c>
      <c r="R1848" s="2">
        <v>31088</v>
      </c>
    </row>
    <row r="1849" spans="1:18" x14ac:dyDescent="0.3">
      <c r="A1849" t="s">
        <v>7</v>
      </c>
      <c r="B1849">
        <v>18976940</v>
      </c>
      <c r="C1849" t="s">
        <v>10</v>
      </c>
      <c r="D1849" s="4">
        <v>45960</v>
      </c>
      <c r="E1849" s="11">
        <f t="shared" si="112"/>
        <v>2025</v>
      </c>
      <c r="F1849" s="11">
        <f t="shared" si="113"/>
        <v>10</v>
      </c>
      <c r="G1849" s="11" t="str">
        <f t="shared" si="114"/>
        <v>202510</v>
      </c>
      <c r="I1849" s="5">
        <v>9999</v>
      </c>
      <c r="J1849" s="5">
        <v>333.3</v>
      </c>
      <c r="K1849" s="5">
        <f t="shared" si="115"/>
        <v>0</v>
      </c>
      <c r="L1849" s="5">
        <v>0</v>
      </c>
      <c r="M1849" s="5">
        <v>0</v>
      </c>
      <c r="N1849" t="s">
        <v>9</v>
      </c>
      <c r="O1849" s="8">
        <v>22.912328767123288</v>
      </c>
      <c r="P1849" t="s">
        <v>33</v>
      </c>
      <c r="Q1849">
        <v>2</v>
      </c>
      <c r="R1849" s="2">
        <v>37597</v>
      </c>
    </row>
    <row r="1850" spans="1:18" x14ac:dyDescent="0.3">
      <c r="A1850" t="s">
        <v>7</v>
      </c>
      <c r="B1850">
        <v>18976941</v>
      </c>
      <c r="C1850" t="s">
        <v>10</v>
      </c>
      <c r="D1850" s="4">
        <v>45960</v>
      </c>
      <c r="E1850" s="11">
        <f t="shared" si="112"/>
        <v>2025</v>
      </c>
      <c r="F1850" s="11">
        <f t="shared" si="113"/>
        <v>10</v>
      </c>
      <c r="G1850" s="11" t="str">
        <f t="shared" si="114"/>
        <v>202510</v>
      </c>
      <c r="I1850" s="5">
        <v>9999</v>
      </c>
      <c r="J1850" s="5">
        <v>333.3</v>
      </c>
      <c r="K1850" s="5">
        <f t="shared" si="115"/>
        <v>0</v>
      </c>
      <c r="L1850" s="5">
        <v>0</v>
      </c>
      <c r="M1850" s="5">
        <v>0</v>
      </c>
      <c r="N1850" t="s">
        <v>9</v>
      </c>
      <c r="O1850" s="8">
        <v>19.315068493150687</v>
      </c>
      <c r="P1850" t="s">
        <v>32</v>
      </c>
      <c r="Q1850">
        <v>1</v>
      </c>
      <c r="R1850" s="2">
        <v>38910</v>
      </c>
    </row>
    <row r="1851" spans="1:18" x14ac:dyDescent="0.3">
      <c r="A1851" t="s">
        <v>7</v>
      </c>
      <c r="B1851">
        <v>18976951</v>
      </c>
      <c r="C1851" t="s">
        <v>10</v>
      </c>
      <c r="D1851" s="4">
        <v>45960</v>
      </c>
      <c r="E1851" s="11">
        <f t="shared" si="112"/>
        <v>2025</v>
      </c>
      <c r="F1851" s="11">
        <f t="shared" si="113"/>
        <v>10</v>
      </c>
      <c r="G1851" s="11" t="str">
        <f t="shared" si="114"/>
        <v>202510</v>
      </c>
      <c r="I1851" s="5">
        <v>9999</v>
      </c>
      <c r="J1851" s="5">
        <v>333.3</v>
      </c>
      <c r="K1851" s="5">
        <f t="shared" si="115"/>
        <v>0</v>
      </c>
      <c r="L1851" s="5">
        <v>0</v>
      </c>
      <c r="M1851" s="5">
        <v>0</v>
      </c>
      <c r="N1851" t="s">
        <v>9</v>
      </c>
      <c r="O1851" s="8">
        <v>22.18904109589041</v>
      </c>
      <c r="P1851" t="s">
        <v>33</v>
      </c>
      <c r="Q1851">
        <v>2</v>
      </c>
      <c r="R1851" s="2">
        <v>37861</v>
      </c>
    </row>
    <row r="1852" spans="1:18" x14ac:dyDescent="0.3">
      <c r="A1852" t="s">
        <v>7</v>
      </c>
      <c r="B1852">
        <v>18976952</v>
      </c>
      <c r="C1852" t="s">
        <v>8</v>
      </c>
      <c r="D1852" s="4">
        <v>45960</v>
      </c>
      <c r="E1852" s="11">
        <f t="shared" si="112"/>
        <v>2025</v>
      </c>
      <c r="F1852" s="11">
        <f t="shared" si="113"/>
        <v>10</v>
      </c>
      <c r="G1852" s="11" t="str">
        <f t="shared" si="114"/>
        <v>202510</v>
      </c>
      <c r="I1852" s="5">
        <v>9999</v>
      </c>
      <c r="J1852" s="5">
        <v>333.3</v>
      </c>
      <c r="K1852" s="5">
        <f t="shared" si="115"/>
        <v>0</v>
      </c>
      <c r="L1852" s="5">
        <v>0</v>
      </c>
      <c r="M1852" s="5">
        <v>0</v>
      </c>
      <c r="N1852" t="s">
        <v>9</v>
      </c>
      <c r="O1852" s="8">
        <v>23.860273972602741</v>
      </c>
      <c r="P1852" t="s">
        <v>33</v>
      </c>
      <c r="Q1852">
        <v>2</v>
      </c>
      <c r="R1852" s="2">
        <v>37251</v>
      </c>
    </row>
    <row r="1853" spans="1:18" x14ac:dyDescent="0.3">
      <c r="A1853" t="s">
        <v>7</v>
      </c>
      <c r="B1853">
        <v>18976954</v>
      </c>
      <c r="C1853" t="s">
        <v>8</v>
      </c>
      <c r="D1853" s="4">
        <v>45960</v>
      </c>
      <c r="E1853" s="11">
        <f t="shared" si="112"/>
        <v>2025</v>
      </c>
      <c r="F1853" s="11">
        <f t="shared" si="113"/>
        <v>10</v>
      </c>
      <c r="G1853" s="11" t="str">
        <f t="shared" si="114"/>
        <v>202510</v>
      </c>
      <c r="I1853" s="5">
        <v>9999</v>
      </c>
      <c r="J1853" s="5">
        <v>333.3</v>
      </c>
      <c r="K1853" s="5">
        <f t="shared" si="115"/>
        <v>0</v>
      </c>
      <c r="L1853" s="5">
        <v>0</v>
      </c>
      <c r="M1853" s="5">
        <v>0</v>
      </c>
      <c r="N1853" t="s">
        <v>9</v>
      </c>
      <c r="O1853" s="8">
        <v>24.298630136986301</v>
      </c>
      <c r="P1853" t="s">
        <v>33</v>
      </c>
      <c r="Q1853">
        <v>2</v>
      </c>
      <c r="R1853" s="2">
        <v>37091</v>
      </c>
    </row>
    <row r="1854" spans="1:18" x14ac:dyDescent="0.3">
      <c r="A1854" t="s">
        <v>7</v>
      </c>
      <c r="B1854">
        <v>18976955</v>
      </c>
      <c r="C1854" t="s">
        <v>8</v>
      </c>
      <c r="D1854" s="4">
        <v>45960</v>
      </c>
      <c r="E1854" s="11">
        <f t="shared" si="112"/>
        <v>2025</v>
      </c>
      <c r="F1854" s="11">
        <f t="shared" si="113"/>
        <v>10</v>
      </c>
      <c r="G1854" s="11" t="str">
        <f t="shared" si="114"/>
        <v>202510</v>
      </c>
      <c r="I1854" s="5">
        <v>9999</v>
      </c>
      <c r="J1854" s="5">
        <v>333.3</v>
      </c>
      <c r="K1854" s="5">
        <f t="shared" si="115"/>
        <v>0</v>
      </c>
      <c r="L1854" s="5">
        <v>0</v>
      </c>
      <c r="M1854" s="5">
        <v>0</v>
      </c>
      <c r="N1854" t="s">
        <v>9</v>
      </c>
      <c r="O1854" s="8">
        <v>24.610958904109587</v>
      </c>
      <c r="P1854" t="s">
        <v>33</v>
      </c>
      <c r="Q1854">
        <v>2</v>
      </c>
      <c r="R1854" s="2">
        <v>36977</v>
      </c>
    </row>
    <row r="1855" spans="1:18" x14ac:dyDescent="0.3">
      <c r="A1855" t="s">
        <v>7</v>
      </c>
      <c r="B1855">
        <v>18976962</v>
      </c>
      <c r="C1855" t="s">
        <v>10</v>
      </c>
      <c r="D1855" s="4">
        <v>45960</v>
      </c>
      <c r="E1855" s="11">
        <f t="shared" si="112"/>
        <v>2025</v>
      </c>
      <c r="F1855" s="11">
        <f t="shared" si="113"/>
        <v>10</v>
      </c>
      <c r="G1855" s="11" t="str">
        <f t="shared" si="114"/>
        <v>202510</v>
      </c>
      <c r="H1855" s="4">
        <v>45971</v>
      </c>
      <c r="I1855" s="5">
        <v>11</v>
      </c>
      <c r="J1855" s="5">
        <v>0.36666666666666664</v>
      </c>
      <c r="K1855" s="5">
        <f t="shared" si="115"/>
        <v>1</v>
      </c>
      <c r="L1855" s="5">
        <v>1</v>
      </c>
      <c r="M1855" s="5">
        <v>1</v>
      </c>
      <c r="N1855" t="s">
        <v>9</v>
      </c>
      <c r="O1855" s="8">
        <v>18.723287671232878</v>
      </c>
      <c r="P1855" t="s">
        <v>32</v>
      </c>
      <c r="Q1855">
        <v>1</v>
      </c>
      <c r="R1855" s="2">
        <v>39126</v>
      </c>
    </row>
    <row r="1856" spans="1:18" x14ac:dyDescent="0.3">
      <c r="A1856" t="s">
        <v>7</v>
      </c>
      <c r="B1856">
        <v>18976963</v>
      </c>
      <c r="C1856" t="s">
        <v>8</v>
      </c>
      <c r="D1856" s="4">
        <v>45960</v>
      </c>
      <c r="E1856" s="11">
        <f t="shared" si="112"/>
        <v>2025</v>
      </c>
      <c r="F1856" s="11">
        <f t="shared" si="113"/>
        <v>10</v>
      </c>
      <c r="G1856" s="11" t="str">
        <f t="shared" si="114"/>
        <v>202510</v>
      </c>
      <c r="I1856" s="5">
        <v>9999</v>
      </c>
      <c r="J1856" s="5">
        <v>333.3</v>
      </c>
      <c r="K1856" s="5">
        <f t="shared" si="115"/>
        <v>0</v>
      </c>
      <c r="L1856" s="5">
        <v>0</v>
      </c>
      <c r="M1856" s="5">
        <v>0</v>
      </c>
      <c r="N1856" t="s">
        <v>9</v>
      </c>
      <c r="O1856" s="8">
        <v>19.594520547945205</v>
      </c>
      <c r="P1856" t="s">
        <v>32</v>
      </c>
      <c r="Q1856">
        <v>1</v>
      </c>
      <c r="R1856" s="2">
        <v>38808</v>
      </c>
    </row>
    <row r="1857" spans="1:18" x14ac:dyDescent="0.3">
      <c r="A1857" t="s">
        <v>7</v>
      </c>
      <c r="B1857">
        <v>18976964</v>
      </c>
      <c r="C1857" t="s">
        <v>8</v>
      </c>
      <c r="D1857" s="4">
        <v>45960</v>
      </c>
      <c r="E1857" s="11">
        <f t="shared" si="112"/>
        <v>2025</v>
      </c>
      <c r="F1857" s="11">
        <f t="shared" si="113"/>
        <v>10</v>
      </c>
      <c r="G1857" s="11" t="str">
        <f t="shared" si="114"/>
        <v>202510</v>
      </c>
      <c r="I1857" s="5">
        <v>9999</v>
      </c>
      <c r="J1857" s="5">
        <v>333.3</v>
      </c>
      <c r="K1857" s="5">
        <f t="shared" si="115"/>
        <v>0</v>
      </c>
      <c r="L1857" s="5">
        <v>0</v>
      </c>
      <c r="M1857" s="5">
        <v>0</v>
      </c>
      <c r="N1857" t="s">
        <v>9</v>
      </c>
      <c r="O1857" s="8">
        <v>19.287671232876711</v>
      </c>
      <c r="P1857" t="s">
        <v>32</v>
      </c>
      <c r="Q1857">
        <v>1</v>
      </c>
      <c r="R1857" s="2">
        <v>38920</v>
      </c>
    </row>
    <row r="1858" spans="1:18" x14ac:dyDescent="0.3">
      <c r="A1858" t="s">
        <v>7</v>
      </c>
      <c r="B1858">
        <v>18976965</v>
      </c>
      <c r="C1858" t="s">
        <v>10</v>
      </c>
      <c r="D1858" s="4">
        <v>45960</v>
      </c>
      <c r="E1858" s="11">
        <f t="shared" si="112"/>
        <v>2025</v>
      </c>
      <c r="F1858" s="11">
        <f t="shared" si="113"/>
        <v>10</v>
      </c>
      <c r="G1858" s="11" t="str">
        <f t="shared" si="114"/>
        <v>202510</v>
      </c>
      <c r="H1858" s="4">
        <v>46174</v>
      </c>
      <c r="I1858" s="5">
        <v>214</v>
      </c>
      <c r="J1858" s="5">
        <v>7.1333333333333337</v>
      </c>
      <c r="K1858" s="5">
        <f t="shared" si="115"/>
        <v>0</v>
      </c>
      <c r="L1858" s="5">
        <v>0</v>
      </c>
      <c r="M1858" s="5">
        <v>0</v>
      </c>
      <c r="N1858" t="s">
        <v>9</v>
      </c>
      <c r="O1858" s="8">
        <v>20.372602739726027</v>
      </c>
      <c r="P1858" t="s">
        <v>32</v>
      </c>
      <c r="Q1858">
        <v>1</v>
      </c>
      <c r="R1858" s="2">
        <v>38524</v>
      </c>
    </row>
    <row r="1859" spans="1:18" x14ac:dyDescent="0.3">
      <c r="A1859" t="s">
        <v>7</v>
      </c>
      <c r="B1859">
        <v>18976966</v>
      </c>
      <c r="C1859" t="s">
        <v>8</v>
      </c>
      <c r="D1859" s="4">
        <v>45960</v>
      </c>
      <c r="E1859" s="11">
        <f t="shared" ref="E1859:E1922" si="116">+YEAR(D1859)</f>
        <v>2025</v>
      </c>
      <c r="F1859" s="11">
        <f t="shared" ref="F1859:F1922" si="117">+MONTH(D1859)</f>
        <v>10</v>
      </c>
      <c r="G1859" s="11" t="str">
        <f t="shared" ref="G1859:G1922" si="118">+TEXT(D1859, "yyymm")</f>
        <v>202510</v>
      </c>
      <c r="I1859" s="5">
        <v>9999</v>
      </c>
      <c r="J1859" s="5">
        <v>333.3</v>
      </c>
      <c r="K1859" s="5">
        <f t="shared" ref="K1859:K1922" si="119">IF(J1859&lt;=1,1,0)</f>
        <v>0</v>
      </c>
      <c r="L1859" s="5">
        <v>0</v>
      </c>
      <c r="M1859" s="5">
        <v>0</v>
      </c>
      <c r="N1859" t="s">
        <v>9</v>
      </c>
      <c r="O1859" s="8">
        <v>18.734246575342464</v>
      </c>
      <c r="P1859" t="s">
        <v>32</v>
      </c>
      <c r="Q1859">
        <v>1</v>
      </c>
      <c r="R1859" s="2">
        <v>39122</v>
      </c>
    </row>
    <row r="1860" spans="1:18" x14ac:dyDescent="0.3">
      <c r="A1860" t="s">
        <v>7</v>
      </c>
      <c r="B1860">
        <v>18976967</v>
      </c>
      <c r="C1860" t="s">
        <v>10</v>
      </c>
      <c r="D1860" s="4">
        <v>45960</v>
      </c>
      <c r="E1860" s="11">
        <f t="shared" si="116"/>
        <v>2025</v>
      </c>
      <c r="F1860" s="11">
        <f t="shared" si="117"/>
        <v>10</v>
      </c>
      <c r="G1860" s="11" t="str">
        <f t="shared" si="118"/>
        <v>202510</v>
      </c>
      <c r="H1860" s="4">
        <v>46047</v>
      </c>
      <c r="I1860" s="5">
        <v>87</v>
      </c>
      <c r="J1860" s="5">
        <v>2.9</v>
      </c>
      <c r="K1860" s="5">
        <f t="shared" si="119"/>
        <v>0</v>
      </c>
      <c r="L1860" s="5">
        <v>1</v>
      </c>
      <c r="M1860" s="5">
        <v>1</v>
      </c>
      <c r="N1860" t="s">
        <v>9</v>
      </c>
      <c r="O1860" s="8">
        <v>18.983561643835618</v>
      </c>
      <c r="P1860" t="s">
        <v>32</v>
      </c>
      <c r="Q1860">
        <v>1</v>
      </c>
      <c r="R1860" s="2">
        <v>39031</v>
      </c>
    </row>
    <row r="1861" spans="1:18" x14ac:dyDescent="0.3">
      <c r="A1861" t="s">
        <v>7</v>
      </c>
      <c r="B1861">
        <v>18976968</v>
      </c>
      <c r="C1861" t="s">
        <v>10</v>
      </c>
      <c r="D1861" s="4">
        <v>45960</v>
      </c>
      <c r="E1861" s="11">
        <f t="shared" si="116"/>
        <v>2025</v>
      </c>
      <c r="F1861" s="11">
        <f t="shared" si="117"/>
        <v>10</v>
      </c>
      <c r="G1861" s="11" t="str">
        <f t="shared" si="118"/>
        <v>202510</v>
      </c>
      <c r="I1861" s="5">
        <v>9999</v>
      </c>
      <c r="J1861" s="5">
        <v>333.3</v>
      </c>
      <c r="K1861" s="5">
        <f t="shared" si="119"/>
        <v>0</v>
      </c>
      <c r="L1861" s="5">
        <v>0</v>
      </c>
      <c r="M1861" s="5">
        <v>0</v>
      </c>
      <c r="N1861" t="s">
        <v>9</v>
      </c>
      <c r="O1861" s="8">
        <v>21.304109589041097</v>
      </c>
      <c r="P1861" t="s">
        <v>33</v>
      </c>
      <c r="Q1861">
        <v>2</v>
      </c>
      <c r="R1861" s="2">
        <v>38184</v>
      </c>
    </row>
    <row r="1862" spans="1:18" x14ac:dyDescent="0.3">
      <c r="A1862" t="s">
        <v>7</v>
      </c>
      <c r="B1862">
        <v>18977000</v>
      </c>
      <c r="C1862" t="s">
        <v>10</v>
      </c>
      <c r="D1862" s="4">
        <v>45960</v>
      </c>
      <c r="E1862" s="11">
        <f t="shared" si="116"/>
        <v>2025</v>
      </c>
      <c r="F1862" s="11">
        <f t="shared" si="117"/>
        <v>10</v>
      </c>
      <c r="G1862" s="11" t="str">
        <f t="shared" si="118"/>
        <v>202510</v>
      </c>
      <c r="H1862" s="4">
        <v>46157</v>
      </c>
      <c r="I1862" s="5">
        <v>197</v>
      </c>
      <c r="J1862" s="5">
        <v>6.5666666666666664</v>
      </c>
      <c r="K1862" s="5">
        <f t="shared" si="119"/>
        <v>0</v>
      </c>
      <c r="L1862" s="5">
        <v>0</v>
      </c>
      <c r="M1862" s="5">
        <v>0</v>
      </c>
      <c r="N1862" t="s">
        <v>9</v>
      </c>
      <c r="O1862" s="8">
        <v>18.421917808219177</v>
      </c>
      <c r="P1862" t="s">
        <v>32</v>
      </c>
      <c r="Q1862">
        <v>1</v>
      </c>
      <c r="R1862" s="2">
        <v>39236</v>
      </c>
    </row>
    <row r="1863" spans="1:18" x14ac:dyDescent="0.3">
      <c r="A1863" t="s">
        <v>7</v>
      </c>
      <c r="B1863">
        <v>18977012</v>
      </c>
      <c r="C1863" t="s">
        <v>8</v>
      </c>
      <c r="D1863" s="4">
        <v>45960</v>
      </c>
      <c r="E1863" s="11">
        <f t="shared" si="116"/>
        <v>2025</v>
      </c>
      <c r="F1863" s="11">
        <f t="shared" si="117"/>
        <v>10</v>
      </c>
      <c r="G1863" s="11" t="str">
        <f t="shared" si="118"/>
        <v>202510</v>
      </c>
      <c r="H1863" s="4">
        <v>46083</v>
      </c>
      <c r="I1863" s="5">
        <v>123</v>
      </c>
      <c r="J1863" s="5">
        <v>4.0999999999999996</v>
      </c>
      <c r="K1863" s="5">
        <f t="shared" si="119"/>
        <v>0</v>
      </c>
      <c r="L1863" s="5">
        <v>0</v>
      </c>
      <c r="M1863" s="5">
        <v>1</v>
      </c>
      <c r="N1863" t="s">
        <v>9</v>
      </c>
      <c r="O1863" s="8">
        <v>31.279452054794522</v>
      </c>
      <c r="P1863" t="s">
        <v>35</v>
      </c>
      <c r="Q1863">
        <v>4</v>
      </c>
      <c r="R1863" s="2">
        <v>34543</v>
      </c>
    </row>
    <row r="1864" spans="1:18" x14ac:dyDescent="0.3">
      <c r="A1864" t="s">
        <v>7</v>
      </c>
      <c r="B1864">
        <v>18977013</v>
      </c>
      <c r="C1864" t="s">
        <v>10</v>
      </c>
      <c r="D1864" s="4">
        <v>45960</v>
      </c>
      <c r="E1864" s="11">
        <f t="shared" si="116"/>
        <v>2025</v>
      </c>
      <c r="F1864" s="11">
        <f t="shared" si="117"/>
        <v>10</v>
      </c>
      <c r="G1864" s="11" t="str">
        <f t="shared" si="118"/>
        <v>202510</v>
      </c>
      <c r="I1864" s="5">
        <v>9999</v>
      </c>
      <c r="J1864" s="5">
        <v>333.3</v>
      </c>
      <c r="K1864" s="5">
        <f t="shared" si="119"/>
        <v>0</v>
      </c>
      <c r="L1864" s="5">
        <v>0</v>
      </c>
      <c r="M1864" s="5">
        <v>0</v>
      </c>
      <c r="N1864" t="s">
        <v>9</v>
      </c>
      <c r="O1864" s="8">
        <v>21.243835616438357</v>
      </c>
      <c r="P1864" t="s">
        <v>33</v>
      </c>
      <c r="Q1864">
        <v>2</v>
      </c>
      <c r="R1864" s="2">
        <v>38206</v>
      </c>
    </row>
    <row r="1865" spans="1:18" x14ac:dyDescent="0.3">
      <c r="A1865" t="s">
        <v>7</v>
      </c>
      <c r="B1865">
        <v>18977038</v>
      </c>
      <c r="C1865" t="s">
        <v>8</v>
      </c>
      <c r="D1865" s="4">
        <v>45960</v>
      </c>
      <c r="E1865" s="11">
        <f t="shared" si="116"/>
        <v>2025</v>
      </c>
      <c r="F1865" s="11">
        <f t="shared" si="117"/>
        <v>10</v>
      </c>
      <c r="G1865" s="11" t="str">
        <f t="shared" si="118"/>
        <v>202510</v>
      </c>
      <c r="H1865" s="4">
        <v>45972</v>
      </c>
      <c r="I1865" s="5">
        <v>12</v>
      </c>
      <c r="J1865" s="5">
        <v>0.4</v>
      </c>
      <c r="K1865" s="5">
        <f t="shared" si="119"/>
        <v>1</v>
      </c>
      <c r="L1865" s="5">
        <v>1</v>
      </c>
      <c r="M1865" s="5">
        <v>1</v>
      </c>
      <c r="N1865" t="s">
        <v>9</v>
      </c>
      <c r="O1865" s="8">
        <v>18.663013698630138</v>
      </c>
      <c r="P1865" t="s">
        <v>32</v>
      </c>
      <c r="Q1865">
        <v>1</v>
      </c>
      <c r="R1865" s="2">
        <v>39148</v>
      </c>
    </row>
    <row r="1866" spans="1:18" x14ac:dyDescent="0.3">
      <c r="A1866" t="s">
        <v>7</v>
      </c>
      <c r="B1866">
        <v>18977047</v>
      </c>
      <c r="C1866" t="s">
        <v>10</v>
      </c>
      <c r="D1866" s="4">
        <v>45961</v>
      </c>
      <c r="E1866" s="11">
        <f t="shared" si="116"/>
        <v>2025</v>
      </c>
      <c r="F1866" s="11">
        <f t="shared" si="117"/>
        <v>10</v>
      </c>
      <c r="G1866" s="11" t="str">
        <f t="shared" si="118"/>
        <v>202510</v>
      </c>
      <c r="H1866" s="4">
        <v>45992</v>
      </c>
      <c r="I1866" s="5">
        <v>31</v>
      </c>
      <c r="J1866" s="5">
        <v>1.0333333333333334</v>
      </c>
      <c r="K1866" s="5">
        <f t="shared" si="119"/>
        <v>0</v>
      </c>
      <c r="L1866" s="5">
        <v>1</v>
      </c>
      <c r="M1866" s="5">
        <v>1</v>
      </c>
      <c r="N1866" t="s">
        <v>12</v>
      </c>
      <c r="O1866" s="8">
        <v>22.019178082191782</v>
      </c>
      <c r="P1866" t="s">
        <v>33</v>
      </c>
      <c r="Q1866">
        <v>2</v>
      </c>
      <c r="R1866" s="2">
        <v>37924</v>
      </c>
    </row>
    <row r="1867" spans="1:18" x14ac:dyDescent="0.3">
      <c r="A1867" t="s">
        <v>7</v>
      </c>
      <c r="B1867">
        <v>18977047</v>
      </c>
      <c r="C1867" t="s">
        <v>10</v>
      </c>
      <c r="D1867" s="4">
        <v>45961</v>
      </c>
      <c r="E1867" s="11">
        <f t="shared" si="116"/>
        <v>2025</v>
      </c>
      <c r="F1867" s="11">
        <f t="shared" si="117"/>
        <v>10</v>
      </c>
      <c r="G1867" s="11" t="str">
        <f t="shared" si="118"/>
        <v>202510</v>
      </c>
      <c r="H1867" s="4">
        <v>45991</v>
      </c>
      <c r="I1867" s="5">
        <v>30</v>
      </c>
      <c r="J1867" s="5">
        <v>1</v>
      </c>
      <c r="K1867" s="5">
        <f t="shared" si="119"/>
        <v>1</v>
      </c>
      <c r="L1867" s="5">
        <v>1</v>
      </c>
      <c r="M1867" s="5">
        <v>1</v>
      </c>
      <c r="N1867" t="s">
        <v>12</v>
      </c>
      <c r="O1867" s="8">
        <v>22.019178082191782</v>
      </c>
      <c r="P1867" t="s">
        <v>33</v>
      </c>
      <c r="Q1867">
        <v>2</v>
      </c>
      <c r="R1867" s="2">
        <v>37924</v>
      </c>
    </row>
    <row r="1868" spans="1:18" x14ac:dyDescent="0.3">
      <c r="A1868" t="s">
        <v>7</v>
      </c>
      <c r="B1868">
        <v>18977085</v>
      </c>
      <c r="C1868" t="s">
        <v>8</v>
      </c>
      <c r="D1868" s="4">
        <v>45961</v>
      </c>
      <c r="E1868" s="11">
        <f t="shared" si="116"/>
        <v>2025</v>
      </c>
      <c r="F1868" s="11">
        <f t="shared" si="117"/>
        <v>10</v>
      </c>
      <c r="G1868" s="11" t="str">
        <f t="shared" si="118"/>
        <v>202510</v>
      </c>
      <c r="I1868" s="5">
        <v>9999</v>
      </c>
      <c r="J1868" s="5">
        <v>333.3</v>
      </c>
      <c r="K1868" s="5">
        <f t="shared" si="119"/>
        <v>0</v>
      </c>
      <c r="L1868" s="5">
        <v>0</v>
      </c>
      <c r="M1868" s="5">
        <v>0</v>
      </c>
      <c r="N1868" t="s">
        <v>12</v>
      </c>
      <c r="O1868" s="8">
        <v>20.265753424657536</v>
      </c>
      <c r="P1868" t="s">
        <v>32</v>
      </c>
      <c r="Q1868">
        <v>1</v>
      </c>
      <c r="R1868" s="2">
        <v>38564</v>
      </c>
    </row>
    <row r="1869" spans="1:18" x14ac:dyDescent="0.3">
      <c r="A1869" t="s">
        <v>7</v>
      </c>
      <c r="B1869">
        <v>18977087</v>
      </c>
      <c r="C1869" t="s">
        <v>10</v>
      </c>
      <c r="D1869" s="4">
        <v>45961</v>
      </c>
      <c r="E1869" s="11">
        <f t="shared" si="116"/>
        <v>2025</v>
      </c>
      <c r="F1869" s="11">
        <f t="shared" si="117"/>
        <v>10</v>
      </c>
      <c r="G1869" s="11" t="str">
        <f t="shared" si="118"/>
        <v>202510</v>
      </c>
      <c r="H1869" s="4">
        <v>46054</v>
      </c>
      <c r="I1869" s="5">
        <v>93</v>
      </c>
      <c r="J1869" s="5">
        <v>3.1</v>
      </c>
      <c r="K1869" s="5">
        <f t="shared" si="119"/>
        <v>0</v>
      </c>
      <c r="L1869" s="5">
        <v>0</v>
      </c>
      <c r="M1869" s="5">
        <v>1</v>
      </c>
      <c r="N1869" t="s">
        <v>9</v>
      </c>
      <c r="O1869" s="8">
        <v>32.726027397260275</v>
      </c>
      <c r="P1869" t="s">
        <v>35</v>
      </c>
      <c r="Q1869">
        <v>4</v>
      </c>
      <c r="R1869" s="2">
        <v>34016</v>
      </c>
    </row>
    <row r="1870" spans="1:18" x14ac:dyDescent="0.3">
      <c r="A1870" t="s">
        <v>7</v>
      </c>
      <c r="B1870">
        <v>18977088</v>
      </c>
      <c r="C1870" t="s">
        <v>8</v>
      </c>
      <c r="D1870" s="4">
        <v>45961</v>
      </c>
      <c r="E1870" s="11">
        <f t="shared" si="116"/>
        <v>2025</v>
      </c>
      <c r="F1870" s="11">
        <f t="shared" si="117"/>
        <v>10</v>
      </c>
      <c r="G1870" s="11" t="str">
        <f t="shared" si="118"/>
        <v>202510</v>
      </c>
      <c r="I1870" s="5">
        <v>9999</v>
      </c>
      <c r="J1870" s="5">
        <v>333.3</v>
      </c>
      <c r="K1870" s="5">
        <f t="shared" si="119"/>
        <v>0</v>
      </c>
      <c r="L1870" s="5">
        <v>0</v>
      </c>
      <c r="M1870" s="5">
        <v>0</v>
      </c>
      <c r="N1870" t="s">
        <v>9</v>
      </c>
      <c r="O1870" s="8">
        <v>19.408219178082192</v>
      </c>
      <c r="P1870" t="s">
        <v>32</v>
      </c>
      <c r="Q1870">
        <v>1</v>
      </c>
      <c r="R1870" s="2">
        <v>38877</v>
      </c>
    </row>
    <row r="1871" spans="1:18" x14ac:dyDescent="0.3">
      <c r="A1871" t="s">
        <v>7</v>
      </c>
      <c r="B1871">
        <v>18977109</v>
      </c>
      <c r="C1871" t="s">
        <v>10</v>
      </c>
      <c r="D1871" s="4">
        <v>45961</v>
      </c>
      <c r="E1871" s="11">
        <f t="shared" si="116"/>
        <v>2025</v>
      </c>
      <c r="F1871" s="11">
        <f t="shared" si="117"/>
        <v>10</v>
      </c>
      <c r="G1871" s="11" t="str">
        <f t="shared" si="118"/>
        <v>202510</v>
      </c>
      <c r="H1871" s="4">
        <v>46113</v>
      </c>
      <c r="I1871" s="5">
        <v>152</v>
      </c>
      <c r="J1871" s="5">
        <v>5.0666666666666664</v>
      </c>
      <c r="K1871" s="5">
        <f t="shared" si="119"/>
        <v>0</v>
      </c>
      <c r="L1871" s="5">
        <v>0</v>
      </c>
      <c r="M1871" s="5">
        <v>1</v>
      </c>
      <c r="N1871" t="s">
        <v>9</v>
      </c>
      <c r="O1871" s="8">
        <v>22.846575342465755</v>
      </c>
      <c r="P1871" t="s">
        <v>33</v>
      </c>
      <c r="Q1871">
        <v>2</v>
      </c>
      <c r="R1871" s="2">
        <v>37622</v>
      </c>
    </row>
    <row r="1872" spans="1:18" x14ac:dyDescent="0.3">
      <c r="A1872" t="s">
        <v>7</v>
      </c>
      <c r="B1872">
        <v>18977113</v>
      </c>
      <c r="C1872" t="s">
        <v>8</v>
      </c>
      <c r="D1872" s="4">
        <v>45961</v>
      </c>
      <c r="E1872" s="11">
        <f t="shared" si="116"/>
        <v>2025</v>
      </c>
      <c r="F1872" s="11">
        <f t="shared" si="117"/>
        <v>10</v>
      </c>
      <c r="G1872" s="11" t="str">
        <f t="shared" si="118"/>
        <v>202510</v>
      </c>
      <c r="H1872" s="4">
        <v>45968</v>
      </c>
      <c r="I1872" s="5">
        <v>7</v>
      </c>
      <c r="J1872" s="5">
        <v>0.23333333333333334</v>
      </c>
      <c r="K1872" s="5">
        <f t="shared" si="119"/>
        <v>1</v>
      </c>
      <c r="L1872" s="5">
        <v>1</v>
      </c>
      <c r="M1872" s="5">
        <v>1</v>
      </c>
      <c r="N1872" t="s">
        <v>12</v>
      </c>
      <c r="O1872" s="8">
        <v>23.457534246575342</v>
      </c>
      <c r="P1872" t="s">
        <v>33</v>
      </c>
      <c r="Q1872">
        <v>2</v>
      </c>
      <c r="R1872" s="2">
        <v>37399</v>
      </c>
    </row>
    <row r="1873" spans="1:18" x14ac:dyDescent="0.3">
      <c r="A1873" t="s">
        <v>7</v>
      </c>
      <c r="B1873">
        <v>18977114</v>
      </c>
      <c r="C1873" t="s">
        <v>8</v>
      </c>
      <c r="D1873" s="4">
        <v>45961</v>
      </c>
      <c r="E1873" s="11">
        <f t="shared" si="116"/>
        <v>2025</v>
      </c>
      <c r="F1873" s="11">
        <f t="shared" si="117"/>
        <v>10</v>
      </c>
      <c r="G1873" s="11" t="str">
        <f t="shared" si="118"/>
        <v>202510</v>
      </c>
      <c r="H1873" s="4">
        <v>46153</v>
      </c>
      <c r="I1873" s="5">
        <v>192</v>
      </c>
      <c r="J1873" s="5">
        <v>6.4</v>
      </c>
      <c r="K1873" s="5">
        <f t="shared" si="119"/>
        <v>0</v>
      </c>
      <c r="L1873" s="5">
        <v>0</v>
      </c>
      <c r="M1873" s="5">
        <v>0</v>
      </c>
      <c r="N1873" t="s">
        <v>12</v>
      </c>
      <c r="O1873" s="8">
        <v>20.684931506849313</v>
      </c>
      <c r="P1873" t="s">
        <v>32</v>
      </c>
      <c r="Q1873">
        <v>1</v>
      </c>
      <c r="R1873" s="2">
        <v>38411</v>
      </c>
    </row>
    <row r="1874" spans="1:18" x14ac:dyDescent="0.3">
      <c r="A1874" t="s">
        <v>7</v>
      </c>
      <c r="B1874">
        <v>18977117</v>
      </c>
      <c r="C1874" t="s">
        <v>8</v>
      </c>
      <c r="D1874" s="4">
        <v>45961</v>
      </c>
      <c r="E1874" s="11">
        <f t="shared" si="116"/>
        <v>2025</v>
      </c>
      <c r="F1874" s="11">
        <f t="shared" si="117"/>
        <v>10</v>
      </c>
      <c r="G1874" s="11" t="str">
        <f t="shared" si="118"/>
        <v>202510</v>
      </c>
      <c r="H1874" s="4">
        <v>46112</v>
      </c>
      <c r="I1874" s="5">
        <v>151</v>
      </c>
      <c r="J1874" s="5">
        <v>5.0333333333333332</v>
      </c>
      <c r="K1874" s="5">
        <f t="shared" si="119"/>
        <v>0</v>
      </c>
      <c r="L1874" s="5">
        <v>0</v>
      </c>
      <c r="M1874" s="5">
        <v>1</v>
      </c>
      <c r="N1874" t="s">
        <v>9</v>
      </c>
      <c r="O1874" s="8">
        <v>18.646575342465752</v>
      </c>
      <c r="P1874" t="s">
        <v>32</v>
      </c>
      <c r="Q1874">
        <v>1</v>
      </c>
      <c r="R1874" s="2">
        <v>39155</v>
      </c>
    </row>
    <row r="1875" spans="1:18" x14ac:dyDescent="0.3">
      <c r="A1875" t="s">
        <v>7</v>
      </c>
      <c r="B1875">
        <v>18977118</v>
      </c>
      <c r="C1875" t="s">
        <v>8</v>
      </c>
      <c r="D1875" s="4">
        <v>45961</v>
      </c>
      <c r="E1875" s="11">
        <f t="shared" si="116"/>
        <v>2025</v>
      </c>
      <c r="F1875" s="11">
        <f t="shared" si="117"/>
        <v>10</v>
      </c>
      <c r="G1875" s="11" t="str">
        <f t="shared" si="118"/>
        <v>202510</v>
      </c>
      <c r="I1875" s="5">
        <v>9999</v>
      </c>
      <c r="J1875" s="5">
        <v>333.3</v>
      </c>
      <c r="K1875" s="5">
        <f t="shared" si="119"/>
        <v>0</v>
      </c>
      <c r="L1875" s="5">
        <v>0</v>
      </c>
      <c r="M1875" s="5">
        <v>0</v>
      </c>
      <c r="N1875" t="s">
        <v>9</v>
      </c>
      <c r="O1875" s="8">
        <v>33.646575342465752</v>
      </c>
      <c r="P1875" t="s">
        <v>35</v>
      </c>
      <c r="Q1875">
        <v>4</v>
      </c>
      <c r="R1875" s="2">
        <v>33680</v>
      </c>
    </row>
    <row r="1876" spans="1:18" x14ac:dyDescent="0.3">
      <c r="A1876" t="s">
        <v>7</v>
      </c>
      <c r="B1876">
        <v>18977127</v>
      </c>
      <c r="C1876" t="s">
        <v>10</v>
      </c>
      <c r="D1876" s="4">
        <v>45961</v>
      </c>
      <c r="E1876" s="11">
        <f t="shared" si="116"/>
        <v>2025</v>
      </c>
      <c r="F1876" s="11">
        <f t="shared" si="117"/>
        <v>10</v>
      </c>
      <c r="G1876" s="11" t="str">
        <f t="shared" si="118"/>
        <v>202510</v>
      </c>
      <c r="H1876" s="4">
        <v>46081</v>
      </c>
      <c r="I1876" s="5">
        <v>120</v>
      </c>
      <c r="J1876" s="5">
        <v>4</v>
      </c>
      <c r="K1876" s="5">
        <f t="shared" si="119"/>
        <v>0</v>
      </c>
      <c r="L1876" s="5">
        <v>0</v>
      </c>
      <c r="M1876" s="5">
        <v>1</v>
      </c>
      <c r="N1876" t="s">
        <v>9</v>
      </c>
      <c r="O1876" s="8">
        <v>31.668493150684931</v>
      </c>
      <c r="P1876" t="s">
        <v>35</v>
      </c>
      <c r="Q1876">
        <v>4</v>
      </c>
      <c r="R1876" s="2">
        <v>34402</v>
      </c>
    </row>
    <row r="1877" spans="1:18" x14ac:dyDescent="0.3">
      <c r="A1877" t="s">
        <v>7</v>
      </c>
      <c r="B1877">
        <v>18977128</v>
      </c>
      <c r="C1877" t="s">
        <v>10</v>
      </c>
      <c r="D1877" s="4">
        <v>45961</v>
      </c>
      <c r="E1877" s="11">
        <f t="shared" si="116"/>
        <v>2025</v>
      </c>
      <c r="F1877" s="11">
        <f t="shared" si="117"/>
        <v>10</v>
      </c>
      <c r="G1877" s="11" t="str">
        <f t="shared" si="118"/>
        <v>202510</v>
      </c>
      <c r="H1877" s="4">
        <v>46082</v>
      </c>
      <c r="I1877" s="5">
        <v>121</v>
      </c>
      <c r="J1877" s="5">
        <v>4.0333333333333332</v>
      </c>
      <c r="K1877" s="5">
        <f t="shared" si="119"/>
        <v>0</v>
      </c>
      <c r="L1877" s="5">
        <v>0</v>
      </c>
      <c r="M1877" s="5">
        <v>1</v>
      </c>
      <c r="N1877" t="s">
        <v>9</v>
      </c>
      <c r="O1877" s="8">
        <v>20.30958904109589</v>
      </c>
      <c r="P1877" t="s">
        <v>32</v>
      </c>
      <c r="Q1877">
        <v>1</v>
      </c>
      <c r="R1877" s="2">
        <v>38548</v>
      </c>
    </row>
    <row r="1878" spans="1:18" x14ac:dyDescent="0.3">
      <c r="A1878" t="s">
        <v>7</v>
      </c>
      <c r="B1878">
        <v>18977131</v>
      </c>
      <c r="C1878" t="s">
        <v>10</v>
      </c>
      <c r="D1878" s="4">
        <v>45961</v>
      </c>
      <c r="E1878" s="11">
        <f t="shared" si="116"/>
        <v>2025</v>
      </c>
      <c r="F1878" s="11">
        <f t="shared" si="117"/>
        <v>10</v>
      </c>
      <c r="G1878" s="11" t="str">
        <f t="shared" si="118"/>
        <v>202510</v>
      </c>
      <c r="H1878" s="4">
        <v>46068</v>
      </c>
      <c r="I1878" s="5">
        <v>107</v>
      </c>
      <c r="J1878" s="5">
        <v>3.5666666666666669</v>
      </c>
      <c r="K1878" s="5">
        <f t="shared" si="119"/>
        <v>0</v>
      </c>
      <c r="L1878" s="5">
        <v>0</v>
      </c>
      <c r="M1878" s="5">
        <v>1</v>
      </c>
      <c r="N1878" t="s">
        <v>9</v>
      </c>
      <c r="O1878" s="8">
        <v>18.235616438356164</v>
      </c>
      <c r="P1878" t="s">
        <v>32</v>
      </c>
      <c r="Q1878">
        <v>1</v>
      </c>
      <c r="R1878" s="2">
        <v>39305</v>
      </c>
    </row>
    <row r="1879" spans="1:18" x14ac:dyDescent="0.3">
      <c r="A1879" t="s">
        <v>7</v>
      </c>
      <c r="B1879">
        <v>18977132</v>
      </c>
      <c r="C1879" t="s">
        <v>10</v>
      </c>
      <c r="D1879" s="4">
        <v>45961</v>
      </c>
      <c r="E1879" s="11">
        <f t="shared" si="116"/>
        <v>2025</v>
      </c>
      <c r="F1879" s="11">
        <f t="shared" si="117"/>
        <v>10</v>
      </c>
      <c r="G1879" s="11" t="str">
        <f t="shared" si="118"/>
        <v>202510</v>
      </c>
      <c r="I1879" s="5">
        <v>9999</v>
      </c>
      <c r="J1879" s="5">
        <v>333.3</v>
      </c>
      <c r="K1879" s="5">
        <f t="shared" si="119"/>
        <v>0</v>
      </c>
      <c r="L1879" s="5">
        <v>0</v>
      </c>
      <c r="M1879" s="5">
        <v>0</v>
      </c>
      <c r="N1879" t="s">
        <v>9</v>
      </c>
      <c r="O1879" s="8">
        <v>19.739726027397261</v>
      </c>
      <c r="P1879" t="s">
        <v>32</v>
      </c>
      <c r="Q1879">
        <v>1</v>
      </c>
      <c r="R1879" s="2">
        <v>38756</v>
      </c>
    </row>
    <row r="1880" spans="1:18" x14ac:dyDescent="0.3">
      <c r="A1880" t="s">
        <v>7</v>
      </c>
      <c r="B1880">
        <v>18977139</v>
      </c>
      <c r="C1880" t="s">
        <v>8</v>
      </c>
      <c r="D1880" s="4">
        <v>45961</v>
      </c>
      <c r="E1880" s="11">
        <f t="shared" si="116"/>
        <v>2025</v>
      </c>
      <c r="F1880" s="11">
        <f t="shared" si="117"/>
        <v>10</v>
      </c>
      <c r="G1880" s="11" t="str">
        <f t="shared" si="118"/>
        <v>202510</v>
      </c>
      <c r="H1880" s="4">
        <v>46096</v>
      </c>
      <c r="I1880" s="5">
        <v>135</v>
      </c>
      <c r="J1880" s="5">
        <v>4.5</v>
      </c>
      <c r="K1880" s="5">
        <f t="shared" si="119"/>
        <v>0</v>
      </c>
      <c r="L1880" s="5">
        <v>0</v>
      </c>
      <c r="M1880" s="5">
        <v>1</v>
      </c>
      <c r="N1880" t="s">
        <v>9</v>
      </c>
      <c r="O1880" s="8">
        <v>19.12054794520548</v>
      </c>
      <c r="P1880" t="s">
        <v>32</v>
      </c>
      <c r="Q1880">
        <v>1</v>
      </c>
      <c r="R1880" s="2">
        <v>38982</v>
      </c>
    </row>
    <row r="1881" spans="1:18" x14ac:dyDescent="0.3">
      <c r="A1881" t="s">
        <v>7</v>
      </c>
      <c r="B1881">
        <v>18977140</v>
      </c>
      <c r="C1881" t="s">
        <v>10</v>
      </c>
      <c r="D1881" s="4">
        <v>45961</v>
      </c>
      <c r="E1881" s="11">
        <f t="shared" si="116"/>
        <v>2025</v>
      </c>
      <c r="F1881" s="11">
        <f t="shared" si="117"/>
        <v>10</v>
      </c>
      <c r="G1881" s="11" t="str">
        <f t="shared" si="118"/>
        <v>202510</v>
      </c>
      <c r="H1881" s="4">
        <v>46025</v>
      </c>
      <c r="I1881" s="5">
        <v>64</v>
      </c>
      <c r="J1881" s="5">
        <v>2.1333333333333333</v>
      </c>
      <c r="K1881" s="5">
        <f t="shared" si="119"/>
        <v>0</v>
      </c>
      <c r="L1881" s="5">
        <v>1</v>
      </c>
      <c r="M1881" s="5">
        <v>1</v>
      </c>
      <c r="N1881" t="s">
        <v>9</v>
      </c>
      <c r="O1881" s="8">
        <v>28.93972602739726</v>
      </c>
      <c r="P1881" t="s">
        <v>34</v>
      </c>
      <c r="Q1881">
        <v>3</v>
      </c>
      <c r="R1881" s="2">
        <v>35398</v>
      </c>
    </row>
    <row r="1882" spans="1:18" x14ac:dyDescent="0.3">
      <c r="A1882" t="s">
        <v>7</v>
      </c>
      <c r="B1882">
        <v>18977142</v>
      </c>
      <c r="C1882" t="s">
        <v>8</v>
      </c>
      <c r="D1882" s="4">
        <v>45961</v>
      </c>
      <c r="E1882" s="11">
        <f t="shared" si="116"/>
        <v>2025</v>
      </c>
      <c r="F1882" s="11">
        <f t="shared" si="117"/>
        <v>10</v>
      </c>
      <c r="G1882" s="11" t="str">
        <f t="shared" si="118"/>
        <v>202510</v>
      </c>
      <c r="I1882" s="5">
        <v>9999</v>
      </c>
      <c r="J1882" s="5">
        <v>333.3</v>
      </c>
      <c r="K1882" s="5">
        <f t="shared" si="119"/>
        <v>0</v>
      </c>
      <c r="L1882" s="5">
        <v>0</v>
      </c>
      <c r="M1882" s="5">
        <v>0</v>
      </c>
      <c r="N1882" t="s">
        <v>9</v>
      </c>
      <c r="O1882" s="8">
        <v>34.367123287671234</v>
      </c>
      <c r="P1882" t="s">
        <v>35</v>
      </c>
      <c r="Q1882">
        <v>4</v>
      </c>
      <c r="R1882" s="2">
        <v>33417</v>
      </c>
    </row>
    <row r="1883" spans="1:18" x14ac:dyDescent="0.3">
      <c r="A1883" t="s">
        <v>7</v>
      </c>
      <c r="B1883">
        <v>18977143</v>
      </c>
      <c r="C1883" t="s">
        <v>10</v>
      </c>
      <c r="D1883" s="4">
        <v>45961</v>
      </c>
      <c r="E1883" s="11">
        <f t="shared" si="116"/>
        <v>2025</v>
      </c>
      <c r="F1883" s="11">
        <f t="shared" si="117"/>
        <v>10</v>
      </c>
      <c r="G1883" s="11" t="str">
        <f t="shared" si="118"/>
        <v>202510</v>
      </c>
      <c r="I1883" s="5">
        <v>9999</v>
      </c>
      <c r="J1883" s="5">
        <v>333.3</v>
      </c>
      <c r="K1883" s="5">
        <f t="shared" si="119"/>
        <v>0</v>
      </c>
      <c r="L1883" s="5">
        <v>0</v>
      </c>
      <c r="M1883" s="5">
        <v>0</v>
      </c>
      <c r="N1883" t="s">
        <v>9</v>
      </c>
      <c r="O1883" s="8">
        <v>18.493150684931507</v>
      </c>
      <c r="P1883" t="s">
        <v>32</v>
      </c>
      <c r="Q1883">
        <v>1</v>
      </c>
      <c r="R1883" s="2">
        <v>39211</v>
      </c>
    </row>
    <row r="1884" spans="1:18" x14ac:dyDescent="0.3">
      <c r="A1884" t="s">
        <v>7</v>
      </c>
      <c r="B1884">
        <v>18977144</v>
      </c>
      <c r="C1884" t="s">
        <v>8</v>
      </c>
      <c r="D1884" s="4">
        <v>45961</v>
      </c>
      <c r="E1884" s="11">
        <f t="shared" si="116"/>
        <v>2025</v>
      </c>
      <c r="F1884" s="11">
        <f t="shared" si="117"/>
        <v>10</v>
      </c>
      <c r="G1884" s="11" t="str">
        <f t="shared" si="118"/>
        <v>202510</v>
      </c>
      <c r="I1884" s="5">
        <v>9999</v>
      </c>
      <c r="J1884" s="5">
        <v>333.3</v>
      </c>
      <c r="K1884" s="5">
        <f t="shared" si="119"/>
        <v>0</v>
      </c>
      <c r="L1884" s="5">
        <v>0</v>
      </c>
      <c r="M1884" s="5">
        <v>0</v>
      </c>
      <c r="N1884" t="s">
        <v>9</v>
      </c>
      <c r="O1884" s="8">
        <v>20.657534246575342</v>
      </c>
      <c r="P1884" t="s">
        <v>32</v>
      </c>
      <c r="Q1884">
        <v>1</v>
      </c>
      <c r="R1884" s="2">
        <v>38421</v>
      </c>
    </row>
    <row r="1885" spans="1:18" x14ac:dyDescent="0.3">
      <c r="A1885" t="s">
        <v>7</v>
      </c>
      <c r="B1885">
        <v>18977152</v>
      </c>
      <c r="C1885" t="s">
        <v>10</v>
      </c>
      <c r="D1885" s="4">
        <v>45961</v>
      </c>
      <c r="E1885" s="11">
        <f t="shared" si="116"/>
        <v>2025</v>
      </c>
      <c r="F1885" s="11">
        <f t="shared" si="117"/>
        <v>10</v>
      </c>
      <c r="G1885" s="11" t="str">
        <f t="shared" si="118"/>
        <v>202510</v>
      </c>
      <c r="I1885" s="5">
        <v>9999</v>
      </c>
      <c r="J1885" s="5">
        <v>333.3</v>
      </c>
      <c r="K1885" s="5">
        <f t="shared" si="119"/>
        <v>0</v>
      </c>
      <c r="L1885" s="5">
        <v>0</v>
      </c>
      <c r="M1885" s="5">
        <v>0</v>
      </c>
      <c r="N1885" t="s">
        <v>9</v>
      </c>
      <c r="O1885" s="8">
        <v>19.232876712328768</v>
      </c>
      <c r="P1885" t="s">
        <v>32</v>
      </c>
      <c r="Q1885">
        <v>1</v>
      </c>
      <c r="R1885" s="2">
        <v>38941</v>
      </c>
    </row>
    <row r="1886" spans="1:18" x14ac:dyDescent="0.3">
      <c r="A1886" t="s">
        <v>7</v>
      </c>
      <c r="B1886">
        <v>18977153</v>
      </c>
      <c r="C1886" t="s">
        <v>10</v>
      </c>
      <c r="D1886" s="4">
        <v>45961</v>
      </c>
      <c r="E1886" s="11">
        <f t="shared" si="116"/>
        <v>2025</v>
      </c>
      <c r="F1886" s="11">
        <f t="shared" si="117"/>
        <v>10</v>
      </c>
      <c r="G1886" s="11" t="str">
        <f t="shared" si="118"/>
        <v>202510</v>
      </c>
      <c r="I1886" s="5">
        <v>9999</v>
      </c>
      <c r="J1886" s="5">
        <v>333.3</v>
      </c>
      <c r="K1886" s="5">
        <f t="shared" si="119"/>
        <v>0</v>
      </c>
      <c r="L1886" s="5">
        <v>0</v>
      </c>
      <c r="M1886" s="5">
        <v>0</v>
      </c>
      <c r="N1886" t="s">
        <v>9</v>
      </c>
      <c r="O1886" s="8">
        <v>18.06027397260274</v>
      </c>
      <c r="P1886" t="s">
        <v>32</v>
      </c>
      <c r="Q1886">
        <v>1</v>
      </c>
      <c r="R1886" s="2">
        <v>39369</v>
      </c>
    </row>
    <row r="1887" spans="1:18" x14ac:dyDescent="0.3">
      <c r="A1887" t="s">
        <v>7</v>
      </c>
      <c r="B1887">
        <v>18977158</v>
      </c>
      <c r="C1887" t="s">
        <v>8</v>
      </c>
      <c r="D1887" s="4">
        <v>45961</v>
      </c>
      <c r="E1887" s="11">
        <f t="shared" si="116"/>
        <v>2025</v>
      </c>
      <c r="F1887" s="11">
        <f t="shared" si="117"/>
        <v>10</v>
      </c>
      <c r="G1887" s="11" t="str">
        <f t="shared" si="118"/>
        <v>202510</v>
      </c>
      <c r="I1887" s="5">
        <v>9999</v>
      </c>
      <c r="J1887" s="5">
        <v>333.3</v>
      </c>
      <c r="K1887" s="5">
        <f t="shared" si="119"/>
        <v>0</v>
      </c>
      <c r="L1887" s="5">
        <v>0</v>
      </c>
      <c r="M1887" s="5">
        <v>0</v>
      </c>
      <c r="N1887" t="s">
        <v>9</v>
      </c>
      <c r="O1887" s="8">
        <v>18.934246575342467</v>
      </c>
      <c r="P1887" t="s">
        <v>32</v>
      </c>
      <c r="Q1887">
        <v>1</v>
      </c>
      <c r="R1887" s="2">
        <v>39050</v>
      </c>
    </row>
    <row r="1888" spans="1:18" x14ac:dyDescent="0.3">
      <c r="A1888" t="s">
        <v>11</v>
      </c>
      <c r="B1888">
        <v>18977162</v>
      </c>
      <c r="C1888" t="s">
        <v>8</v>
      </c>
      <c r="D1888" s="4">
        <v>46143</v>
      </c>
      <c r="E1888" s="11">
        <f t="shared" si="116"/>
        <v>2026</v>
      </c>
      <c r="F1888" s="11">
        <f t="shared" si="117"/>
        <v>5</v>
      </c>
      <c r="G1888" s="11" t="str">
        <f t="shared" si="118"/>
        <v>202605</v>
      </c>
      <c r="I1888" s="5">
        <v>9999</v>
      </c>
      <c r="J1888" s="5">
        <v>333.3</v>
      </c>
      <c r="K1888" s="5">
        <f t="shared" si="119"/>
        <v>0</v>
      </c>
      <c r="L1888" s="5">
        <v>0</v>
      </c>
      <c r="M1888" s="5">
        <v>0</v>
      </c>
      <c r="N1888" t="s">
        <v>9</v>
      </c>
      <c r="O1888" s="8">
        <v>24.438356164383563</v>
      </c>
      <c r="P1888" t="s">
        <v>33</v>
      </c>
      <c r="Q1888">
        <v>2</v>
      </c>
      <c r="R1888" s="2">
        <v>37223</v>
      </c>
    </row>
    <row r="1889" spans="1:18" x14ac:dyDescent="0.3">
      <c r="A1889" t="s">
        <v>7</v>
      </c>
      <c r="B1889">
        <v>18977180</v>
      </c>
      <c r="C1889" t="s">
        <v>8</v>
      </c>
      <c r="D1889" s="4">
        <v>45961</v>
      </c>
      <c r="E1889" s="11">
        <f t="shared" si="116"/>
        <v>2025</v>
      </c>
      <c r="F1889" s="11">
        <f t="shared" si="117"/>
        <v>10</v>
      </c>
      <c r="G1889" s="11" t="str">
        <f t="shared" si="118"/>
        <v>202510</v>
      </c>
      <c r="I1889" s="5">
        <v>9999</v>
      </c>
      <c r="J1889" s="5">
        <v>333.3</v>
      </c>
      <c r="K1889" s="5">
        <f t="shared" si="119"/>
        <v>0</v>
      </c>
      <c r="L1889" s="5">
        <v>0</v>
      </c>
      <c r="M1889" s="5">
        <v>0</v>
      </c>
      <c r="N1889" t="s">
        <v>9</v>
      </c>
      <c r="O1889" s="8">
        <v>21.531506849315068</v>
      </c>
      <c r="P1889" t="s">
        <v>33</v>
      </c>
      <c r="Q1889">
        <v>2</v>
      </c>
      <c r="R1889" s="2">
        <v>38102</v>
      </c>
    </row>
    <row r="1890" spans="1:18" x14ac:dyDescent="0.3">
      <c r="A1890" t="s">
        <v>7</v>
      </c>
      <c r="B1890">
        <v>18977181</v>
      </c>
      <c r="C1890" t="s">
        <v>8</v>
      </c>
      <c r="D1890" s="4">
        <v>45961</v>
      </c>
      <c r="E1890" s="11">
        <f t="shared" si="116"/>
        <v>2025</v>
      </c>
      <c r="F1890" s="11">
        <f t="shared" si="117"/>
        <v>10</v>
      </c>
      <c r="G1890" s="11" t="str">
        <f t="shared" si="118"/>
        <v>202510</v>
      </c>
      <c r="H1890" s="4">
        <v>46142</v>
      </c>
      <c r="I1890" s="5">
        <v>181</v>
      </c>
      <c r="J1890" s="5">
        <v>6.0333333333333332</v>
      </c>
      <c r="K1890" s="5">
        <f t="shared" si="119"/>
        <v>0</v>
      </c>
      <c r="L1890" s="5">
        <v>0</v>
      </c>
      <c r="M1890" s="5">
        <v>0</v>
      </c>
      <c r="N1890" t="s">
        <v>9</v>
      </c>
      <c r="O1890" s="8">
        <v>19.008219178082193</v>
      </c>
      <c r="P1890" t="s">
        <v>32</v>
      </c>
      <c r="Q1890">
        <v>1</v>
      </c>
      <c r="R1890" s="2">
        <v>39023</v>
      </c>
    </row>
    <row r="1891" spans="1:18" x14ac:dyDescent="0.3">
      <c r="A1891" t="s">
        <v>7</v>
      </c>
      <c r="B1891">
        <v>18977205</v>
      </c>
      <c r="C1891" t="s">
        <v>8</v>
      </c>
      <c r="D1891" s="4">
        <v>45961</v>
      </c>
      <c r="E1891" s="11">
        <f t="shared" si="116"/>
        <v>2025</v>
      </c>
      <c r="F1891" s="11">
        <f t="shared" si="117"/>
        <v>10</v>
      </c>
      <c r="G1891" s="11" t="str">
        <f t="shared" si="118"/>
        <v>202510</v>
      </c>
      <c r="I1891" s="5">
        <v>9999</v>
      </c>
      <c r="J1891" s="5">
        <v>333.3</v>
      </c>
      <c r="K1891" s="5">
        <f t="shared" si="119"/>
        <v>0</v>
      </c>
      <c r="L1891" s="5">
        <v>0</v>
      </c>
      <c r="M1891" s="5">
        <v>0</v>
      </c>
      <c r="N1891" t="s">
        <v>9</v>
      </c>
      <c r="O1891" s="8">
        <v>19.317808219178083</v>
      </c>
      <c r="P1891" t="s">
        <v>32</v>
      </c>
      <c r="Q1891">
        <v>1</v>
      </c>
      <c r="R1891" s="2">
        <v>38910</v>
      </c>
    </row>
    <row r="1892" spans="1:18" x14ac:dyDescent="0.3">
      <c r="A1892" t="s">
        <v>7</v>
      </c>
      <c r="B1892">
        <v>18977206</v>
      </c>
      <c r="C1892" t="s">
        <v>10</v>
      </c>
      <c r="D1892" s="4">
        <v>45961</v>
      </c>
      <c r="E1892" s="11">
        <f t="shared" si="116"/>
        <v>2025</v>
      </c>
      <c r="F1892" s="11">
        <f t="shared" si="117"/>
        <v>10</v>
      </c>
      <c r="G1892" s="11" t="str">
        <f t="shared" si="118"/>
        <v>202510</v>
      </c>
      <c r="H1892" s="4">
        <v>46096</v>
      </c>
      <c r="I1892" s="5">
        <v>135</v>
      </c>
      <c r="J1892" s="5">
        <v>4.5</v>
      </c>
      <c r="K1892" s="5">
        <f t="shared" si="119"/>
        <v>0</v>
      </c>
      <c r="L1892" s="5">
        <v>0</v>
      </c>
      <c r="M1892" s="5">
        <v>1</v>
      </c>
      <c r="N1892" t="s">
        <v>9</v>
      </c>
      <c r="O1892" s="8">
        <v>19.572602739726026</v>
      </c>
      <c r="P1892" t="s">
        <v>32</v>
      </c>
      <c r="Q1892">
        <v>1</v>
      </c>
      <c r="R1892" s="2">
        <v>38817</v>
      </c>
    </row>
    <row r="1893" spans="1:18" x14ac:dyDescent="0.3">
      <c r="A1893" t="s">
        <v>7</v>
      </c>
      <c r="B1893">
        <v>18977211</v>
      </c>
      <c r="C1893" t="s">
        <v>8</v>
      </c>
      <c r="D1893" s="4">
        <v>45968</v>
      </c>
      <c r="E1893" s="11">
        <f t="shared" si="116"/>
        <v>2025</v>
      </c>
      <c r="F1893" s="11">
        <f t="shared" si="117"/>
        <v>11</v>
      </c>
      <c r="G1893" s="11" t="str">
        <f t="shared" si="118"/>
        <v>202511</v>
      </c>
      <c r="H1893" s="4">
        <v>46082</v>
      </c>
      <c r="I1893" s="5">
        <v>114</v>
      </c>
      <c r="J1893" s="5">
        <v>3.8</v>
      </c>
      <c r="K1893" s="5">
        <f t="shared" si="119"/>
        <v>0</v>
      </c>
      <c r="L1893" s="5">
        <v>0</v>
      </c>
      <c r="M1893" s="5">
        <v>1</v>
      </c>
      <c r="N1893" t="s">
        <v>9</v>
      </c>
      <c r="O1893" s="8">
        <v>20.791780821917808</v>
      </c>
      <c r="P1893" t="s">
        <v>32</v>
      </c>
      <c r="Q1893">
        <v>1</v>
      </c>
      <c r="R1893" s="2">
        <v>38379</v>
      </c>
    </row>
    <row r="1894" spans="1:18" x14ac:dyDescent="0.3">
      <c r="A1894" t="s">
        <v>7</v>
      </c>
      <c r="B1894">
        <v>18977213</v>
      </c>
      <c r="C1894" t="s">
        <v>8</v>
      </c>
      <c r="D1894" s="4">
        <v>45961</v>
      </c>
      <c r="E1894" s="11">
        <f t="shared" si="116"/>
        <v>2025</v>
      </c>
      <c r="F1894" s="11">
        <f t="shared" si="117"/>
        <v>10</v>
      </c>
      <c r="G1894" s="11" t="str">
        <f t="shared" si="118"/>
        <v>202510</v>
      </c>
      <c r="H1894" s="4">
        <v>45991</v>
      </c>
      <c r="I1894" s="5">
        <v>30</v>
      </c>
      <c r="J1894" s="5">
        <v>1</v>
      </c>
      <c r="K1894" s="5">
        <f t="shared" si="119"/>
        <v>1</v>
      </c>
      <c r="L1894" s="5">
        <v>1</v>
      </c>
      <c r="M1894" s="5">
        <v>1</v>
      </c>
      <c r="N1894" t="s">
        <v>9</v>
      </c>
      <c r="O1894" s="8">
        <v>27.383561643835616</v>
      </c>
      <c r="P1894" t="s">
        <v>34</v>
      </c>
      <c r="Q1894">
        <v>3</v>
      </c>
      <c r="R1894" s="2">
        <v>35966</v>
      </c>
    </row>
    <row r="1895" spans="1:18" x14ac:dyDescent="0.3">
      <c r="A1895" t="s">
        <v>7</v>
      </c>
      <c r="B1895">
        <v>18977277</v>
      </c>
      <c r="C1895" t="s">
        <v>8</v>
      </c>
      <c r="D1895" s="4">
        <v>45964</v>
      </c>
      <c r="E1895" s="11">
        <f t="shared" si="116"/>
        <v>2025</v>
      </c>
      <c r="F1895" s="11">
        <f t="shared" si="117"/>
        <v>11</v>
      </c>
      <c r="G1895" s="11" t="str">
        <f t="shared" si="118"/>
        <v>202511</v>
      </c>
      <c r="I1895" s="5">
        <v>9999</v>
      </c>
      <c r="J1895" s="5">
        <v>333.3</v>
      </c>
      <c r="K1895" s="5">
        <f t="shared" si="119"/>
        <v>0</v>
      </c>
      <c r="L1895" s="5">
        <v>0</v>
      </c>
      <c r="M1895" s="5">
        <v>0</v>
      </c>
      <c r="N1895" t="s">
        <v>12</v>
      </c>
      <c r="O1895" s="8">
        <v>20.82191780821918</v>
      </c>
      <c r="P1895" t="s">
        <v>32</v>
      </c>
      <c r="Q1895">
        <v>1</v>
      </c>
      <c r="R1895" s="2">
        <v>38364</v>
      </c>
    </row>
    <row r="1896" spans="1:18" x14ac:dyDescent="0.3">
      <c r="A1896" t="s">
        <v>7</v>
      </c>
      <c r="B1896">
        <v>18977280</v>
      </c>
      <c r="C1896" t="s">
        <v>8</v>
      </c>
      <c r="D1896" s="4">
        <v>45964</v>
      </c>
      <c r="E1896" s="11">
        <f t="shared" si="116"/>
        <v>2025</v>
      </c>
      <c r="F1896" s="11">
        <f t="shared" si="117"/>
        <v>11</v>
      </c>
      <c r="G1896" s="11" t="str">
        <f t="shared" si="118"/>
        <v>202511</v>
      </c>
      <c r="I1896" s="5">
        <v>9999</v>
      </c>
      <c r="J1896" s="5">
        <v>333.3</v>
      </c>
      <c r="K1896" s="5">
        <f t="shared" si="119"/>
        <v>0</v>
      </c>
      <c r="L1896" s="5">
        <v>0</v>
      </c>
      <c r="M1896" s="5">
        <v>0</v>
      </c>
      <c r="N1896" t="s">
        <v>12</v>
      </c>
      <c r="O1896" s="8">
        <v>33.580821917808223</v>
      </c>
      <c r="P1896" t="s">
        <v>35</v>
      </c>
      <c r="Q1896">
        <v>4</v>
      </c>
      <c r="R1896" s="2">
        <v>33707</v>
      </c>
    </row>
    <row r="1897" spans="1:18" x14ac:dyDescent="0.3">
      <c r="A1897" t="s">
        <v>7</v>
      </c>
      <c r="B1897">
        <v>18977281</v>
      </c>
      <c r="C1897" t="s">
        <v>8</v>
      </c>
      <c r="D1897" s="4">
        <v>45964</v>
      </c>
      <c r="E1897" s="11">
        <f t="shared" si="116"/>
        <v>2025</v>
      </c>
      <c r="F1897" s="11">
        <f t="shared" si="117"/>
        <v>11</v>
      </c>
      <c r="G1897" s="11" t="str">
        <f t="shared" si="118"/>
        <v>202511</v>
      </c>
      <c r="I1897" s="5">
        <v>9999</v>
      </c>
      <c r="J1897" s="5">
        <v>333.3</v>
      </c>
      <c r="K1897" s="5">
        <f t="shared" si="119"/>
        <v>0</v>
      </c>
      <c r="L1897" s="5">
        <v>0</v>
      </c>
      <c r="M1897" s="5">
        <v>0</v>
      </c>
      <c r="N1897" t="s">
        <v>12</v>
      </c>
      <c r="O1897" s="8">
        <v>43.956164383561642</v>
      </c>
      <c r="P1897" t="s">
        <v>35</v>
      </c>
      <c r="Q1897">
        <v>4</v>
      </c>
      <c r="R1897" s="2">
        <v>29920</v>
      </c>
    </row>
    <row r="1898" spans="1:18" x14ac:dyDescent="0.3">
      <c r="A1898" t="s">
        <v>7</v>
      </c>
      <c r="B1898">
        <v>18977320</v>
      </c>
      <c r="C1898" t="s">
        <v>10</v>
      </c>
      <c r="D1898" s="4">
        <v>45964</v>
      </c>
      <c r="E1898" s="11">
        <f t="shared" si="116"/>
        <v>2025</v>
      </c>
      <c r="F1898" s="11">
        <f t="shared" si="117"/>
        <v>11</v>
      </c>
      <c r="G1898" s="11" t="str">
        <f t="shared" si="118"/>
        <v>202511</v>
      </c>
      <c r="I1898" s="5">
        <v>9999</v>
      </c>
      <c r="J1898" s="5">
        <v>333.3</v>
      </c>
      <c r="K1898" s="5">
        <f t="shared" si="119"/>
        <v>0</v>
      </c>
      <c r="L1898" s="5">
        <v>0</v>
      </c>
      <c r="M1898" s="5">
        <v>0</v>
      </c>
      <c r="N1898" t="s">
        <v>9</v>
      </c>
      <c r="O1898" s="8">
        <v>19.797260273972604</v>
      </c>
      <c r="P1898" t="s">
        <v>32</v>
      </c>
      <c r="Q1898">
        <v>1</v>
      </c>
      <c r="R1898" s="2">
        <v>38738</v>
      </c>
    </row>
    <row r="1899" spans="1:18" x14ac:dyDescent="0.3">
      <c r="A1899" t="s">
        <v>7</v>
      </c>
      <c r="B1899">
        <v>18977322</v>
      </c>
      <c r="C1899" t="s">
        <v>10</v>
      </c>
      <c r="D1899" s="4">
        <v>45964</v>
      </c>
      <c r="E1899" s="11">
        <f t="shared" si="116"/>
        <v>2025</v>
      </c>
      <c r="F1899" s="11">
        <f t="shared" si="117"/>
        <v>11</v>
      </c>
      <c r="G1899" s="11" t="str">
        <f t="shared" si="118"/>
        <v>202511</v>
      </c>
      <c r="H1899" s="4">
        <v>46055</v>
      </c>
      <c r="I1899" s="5">
        <v>91</v>
      </c>
      <c r="J1899" s="5">
        <v>3.0333333333333332</v>
      </c>
      <c r="K1899" s="5">
        <f t="shared" si="119"/>
        <v>0</v>
      </c>
      <c r="L1899" s="5">
        <v>0</v>
      </c>
      <c r="M1899" s="5">
        <v>1</v>
      </c>
      <c r="N1899" t="s">
        <v>9</v>
      </c>
      <c r="O1899" s="8">
        <v>31.18904109589041</v>
      </c>
      <c r="P1899" t="s">
        <v>35</v>
      </c>
      <c r="Q1899">
        <v>4</v>
      </c>
      <c r="R1899" s="2">
        <v>34580</v>
      </c>
    </row>
    <row r="1900" spans="1:18" x14ac:dyDescent="0.3">
      <c r="A1900" t="s">
        <v>7</v>
      </c>
      <c r="B1900">
        <v>18977324</v>
      </c>
      <c r="C1900" t="s">
        <v>8</v>
      </c>
      <c r="D1900" s="4">
        <v>45964</v>
      </c>
      <c r="E1900" s="11">
        <f t="shared" si="116"/>
        <v>2025</v>
      </c>
      <c r="F1900" s="11">
        <f t="shared" si="117"/>
        <v>11</v>
      </c>
      <c r="G1900" s="11" t="str">
        <f t="shared" si="118"/>
        <v>202511</v>
      </c>
      <c r="I1900" s="5">
        <v>9999</v>
      </c>
      <c r="J1900" s="5">
        <v>333.3</v>
      </c>
      <c r="K1900" s="5">
        <f t="shared" si="119"/>
        <v>0</v>
      </c>
      <c r="L1900" s="5">
        <v>0</v>
      </c>
      <c r="M1900" s="5">
        <v>0</v>
      </c>
      <c r="N1900" t="s">
        <v>9</v>
      </c>
      <c r="O1900" s="8">
        <v>19.076712328767123</v>
      </c>
      <c r="P1900" t="s">
        <v>32</v>
      </c>
      <c r="Q1900">
        <v>1</v>
      </c>
      <c r="R1900" s="2">
        <v>39001</v>
      </c>
    </row>
    <row r="1901" spans="1:18" x14ac:dyDescent="0.3">
      <c r="A1901" t="s">
        <v>7</v>
      </c>
      <c r="B1901">
        <v>18977328</v>
      </c>
      <c r="C1901" t="s">
        <v>8</v>
      </c>
      <c r="D1901" s="4">
        <v>45964</v>
      </c>
      <c r="E1901" s="11">
        <f t="shared" si="116"/>
        <v>2025</v>
      </c>
      <c r="F1901" s="11">
        <f t="shared" si="117"/>
        <v>11</v>
      </c>
      <c r="G1901" s="11" t="str">
        <f t="shared" si="118"/>
        <v>202511</v>
      </c>
      <c r="I1901" s="5">
        <v>9999</v>
      </c>
      <c r="J1901" s="5">
        <v>333.3</v>
      </c>
      <c r="K1901" s="5">
        <f t="shared" si="119"/>
        <v>0</v>
      </c>
      <c r="L1901" s="5">
        <v>0</v>
      </c>
      <c r="M1901" s="5">
        <v>0</v>
      </c>
      <c r="N1901" t="s">
        <v>9</v>
      </c>
      <c r="O1901" s="8">
        <v>29.235616438356164</v>
      </c>
      <c r="P1901" t="s">
        <v>34</v>
      </c>
      <c r="Q1901">
        <v>3</v>
      </c>
      <c r="R1901" s="2">
        <v>35293</v>
      </c>
    </row>
    <row r="1902" spans="1:18" x14ac:dyDescent="0.3">
      <c r="A1902" t="s">
        <v>7</v>
      </c>
      <c r="B1902">
        <v>18977330</v>
      </c>
      <c r="C1902" t="s">
        <v>8</v>
      </c>
      <c r="D1902" s="4">
        <v>45964</v>
      </c>
      <c r="E1902" s="11">
        <f t="shared" si="116"/>
        <v>2025</v>
      </c>
      <c r="F1902" s="11">
        <f t="shared" si="117"/>
        <v>11</v>
      </c>
      <c r="G1902" s="11" t="str">
        <f t="shared" si="118"/>
        <v>202511</v>
      </c>
      <c r="H1902" s="4">
        <v>46037</v>
      </c>
      <c r="I1902" s="5">
        <v>73</v>
      </c>
      <c r="J1902" s="5">
        <v>2.4333333333333331</v>
      </c>
      <c r="K1902" s="5">
        <f t="shared" si="119"/>
        <v>0</v>
      </c>
      <c r="L1902" s="5">
        <v>1</v>
      </c>
      <c r="M1902" s="5">
        <v>1</v>
      </c>
      <c r="N1902" t="s">
        <v>9</v>
      </c>
      <c r="O1902" s="8">
        <v>23.471232876712328</v>
      </c>
      <c r="P1902" t="s">
        <v>33</v>
      </c>
      <c r="Q1902">
        <v>2</v>
      </c>
      <c r="R1902" s="2">
        <v>37397</v>
      </c>
    </row>
    <row r="1903" spans="1:18" x14ac:dyDescent="0.3">
      <c r="A1903" t="s">
        <v>7</v>
      </c>
      <c r="B1903">
        <v>18977341</v>
      </c>
      <c r="C1903" t="s">
        <v>10</v>
      </c>
      <c r="D1903" s="4">
        <v>45964</v>
      </c>
      <c r="E1903" s="11">
        <f t="shared" si="116"/>
        <v>2025</v>
      </c>
      <c r="F1903" s="11">
        <f t="shared" si="117"/>
        <v>11</v>
      </c>
      <c r="G1903" s="11" t="str">
        <f t="shared" si="118"/>
        <v>202511</v>
      </c>
      <c r="H1903" s="4">
        <v>46094</v>
      </c>
      <c r="I1903" s="5">
        <v>130</v>
      </c>
      <c r="J1903" s="5">
        <v>4.333333333333333</v>
      </c>
      <c r="K1903" s="5">
        <f t="shared" si="119"/>
        <v>0</v>
      </c>
      <c r="L1903" s="5">
        <v>0</v>
      </c>
      <c r="M1903" s="5">
        <v>1</v>
      </c>
      <c r="N1903" t="s">
        <v>9</v>
      </c>
      <c r="O1903" s="8">
        <v>19.649315068493152</v>
      </c>
      <c r="P1903" t="s">
        <v>32</v>
      </c>
      <c r="Q1903">
        <v>1</v>
      </c>
      <c r="R1903" s="2">
        <v>38792</v>
      </c>
    </row>
    <row r="1904" spans="1:18" x14ac:dyDescent="0.3">
      <c r="A1904" t="s">
        <v>7</v>
      </c>
      <c r="B1904">
        <v>18977342</v>
      </c>
      <c r="C1904" t="s">
        <v>8</v>
      </c>
      <c r="D1904" s="4">
        <v>45964</v>
      </c>
      <c r="E1904" s="11">
        <f t="shared" si="116"/>
        <v>2025</v>
      </c>
      <c r="F1904" s="11">
        <f t="shared" si="117"/>
        <v>11</v>
      </c>
      <c r="G1904" s="11" t="str">
        <f t="shared" si="118"/>
        <v>202511</v>
      </c>
      <c r="I1904" s="5">
        <v>9999</v>
      </c>
      <c r="J1904" s="5">
        <v>333.3</v>
      </c>
      <c r="K1904" s="5">
        <f t="shared" si="119"/>
        <v>0</v>
      </c>
      <c r="L1904" s="5">
        <v>0</v>
      </c>
      <c r="M1904" s="5">
        <v>0</v>
      </c>
      <c r="N1904" t="s">
        <v>9</v>
      </c>
      <c r="O1904" s="8">
        <v>24.556164383561644</v>
      </c>
      <c r="P1904" t="s">
        <v>33</v>
      </c>
      <c r="Q1904">
        <v>2</v>
      </c>
      <c r="R1904" s="2">
        <v>37001</v>
      </c>
    </row>
    <row r="1905" spans="1:18" x14ac:dyDescent="0.3">
      <c r="A1905" t="s">
        <v>7</v>
      </c>
      <c r="B1905">
        <v>18977369</v>
      </c>
      <c r="C1905" t="s">
        <v>8</v>
      </c>
      <c r="D1905" s="4">
        <v>45964</v>
      </c>
      <c r="E1905" s="11">
        <f t="shared" si="116"/>
        <v>2025</v>
      </c>
      <c r="F1905" s="11">
        <f t="shared" si="117"/>
        <v>11</v>
      </c>
      <c r="G1905" s="11" t="str">
        <f t="shared" si="118"/>
        <v>202511</v>
      </c>
      <c r="I1905" s="5">
        <v>9999</v>
      </c>
      <c r="J1905" s="5">
        <v>333.3</v>
      </c>
      <c r="K1905" s="5">
        <f t="shared" si="119"/>
        <v>0</v>
      </c>
      <c r="L1905" s="5">
        <v>0</v>
      </c>
      <c r="M1905" s="5">
        <v>0</v>
      </c>
      <c r="N1905" t="s">
        <v>9</v>
      </c>
      <c r="O1905" s="8">
        <v>21.147945205479452</v>
      </c>
      <c r="P1905" t="s">
        <v>33</v>
      </c>
      <c r="Q1905">
        <v>2</v>
      </c>
      <c r="R1905" s="2">
        <v>38245</v>
      </c>
    </row>
    <row r="1906" spans="1:18" x14ac:dyDescent="0.3">
      <c r="A1906" t="s">
        <v>7</v>
      </c>
      <c r="B1906">
        <v>18977370</v>
      </c>
      <c r="C1906" t="s">
        <v>10</v>
      </c>
      <c r="D1906" s="4">
        <v>45964</v>
      </c>
      <c r="E1906" s="11">
        <f t="shared" si="116"/>
        <v>2025</v>
      </c>
      <c r="F1906" s="11">
        <f t="shared" si="117"/>
        <v>11</v>
      </c>
      <c r="G1906" s="11" t="str">
        <f t="shared" si="118"/>
        <v>202511</v>
      </c>
      <c r="H1906" s="4">
        <v>46081</v>
      </c>
      <c r="I1906" s="5">
        <v>117</v>
      </c>
      <c r="J1906" s="5">
        <v>3.9</v>
      </c>
      <c r="K1906" s="5">
        <f t="shared" si="119"/>
        <v>0</v>
      </c>
      <c r="L1906" s="5">
        <v>0</v>
      </c>
      <c r="M1906" s="5">
        <v>1</v>
      </c>
      <c r="N1906" t="s">
        <v>9</v>
      </c>
      <c r="O1906" s="8">
        <v>18.745205479452054</v>
      </c>
      <c r="P1906" t="s">
        <v>32</v>
      </c>
      <c r="Q1906">
        <v>1</v>
      </c>
      <c r="R1906" s="2">
        <v>39122</v>
      </c>
    </row>
    <row r="1907" spans="1:18" x14ac:dyDescent="0.3">
      <c r="A1907" t="s">
        <v>7</v>
      </c>
      <c r="B1907">
        <v>18977403</v>
      </c>
      <c r="C1907" t="s">
        <v>10</v>
      </c>
      <c r="D1907" s="4">
        <v>45964</v>
      </c>
      <c r="E1907" s="11">
        <f t="shared" si="116"/>
        <v>2025</v>
      </c>
      <c r="F1907" s="11">
        <f t="shared" si="117"/>
        <v>11</v>
      </c>
      <c r="G1907" s="11" t="str">
        <f t="shared" si="118"/>
        <v>202511</v>
      </c>
      <c r="I1907" s="5">
        <v>9999</v>
      </c>
      <c r="J1907" s="5">
        <v>333.3</v>
      </c>
      <c r="K1907" s="5">
        <f t="shared" si="119"/>
        <v>0</v>
      </c>
      <c r="L1907" s="5">
        <v>0</v>
      </c>
      <c r="M1907" s="5">
        <v>0</v>
      </c>
      <c r="N1907" t="s">
        <v>12</v>
      </c>
      <c r="O1907" s="8">
        <v>24.920547945205481</v>
      </c>
      <c r="P1907" t="s">
        <v>33</v>
      </c>
      <c r="Q1907">
        <v>2</v>
      </c>
      <c r="R1907" s="2">
        <v>36868</v>
      </c>
    </row>
    <row r="1908" spans="1:18" x14ac:dyDescent="0.3">
      <c r="A1908" t="s">
        <v>7</v>
      </c>
      <c r="B1908">
        <v>18977404</v>
      </c>
      <c r="C1908" t="s">
        <v>8</v>
      </c>
      <c r="D1908" s="4">
        <v>45964</v>
      </c>
      <c r="E1908" s="11">
        <f t="shared" si="116"/>
        <v>2025</v>
      </c>
      <c r="F1908" s="11">
        <f t="shared" si="117"/>
        <v>11</v>
      </c>
      <c r="G1908" s="11" t="str">
        <f t="shared" si="118"/>
        <v>202511</v>
      </c>
      <c r="I1908" s="5">
        <v>9999</v>
      </c>
      <c r="J1908" s="5">
        <v>333.3</v>
      </c>
      <c r="K1908" s="5">
        <f t="shared" si="119"/>
        <v>0</v>
      </c>
      <c r="L1908" s="5">
        <v>0</v>
      </c>
      <c r="M1908" s="5">
        <v>0</v>
      </c>
      <c r="N1908" t="s">
        <v>12</v>
      </c>
      <c r="O1908" s="8">
        <v>25.13150684931507</v>
      </c>
      <c r="P1908" t="s">
        <v>33</v>
      </c>
      <c r="Q1908">
        <v>2</v>
      </c>
      <c r="R1908" s="2">
        <v>36791</v>
      </c>
    </row>
    <row r="1909" spans="1:18" x14ac:dyDescent="0.3">
      <c r="A1909" t="s">
        <v>7</v>
      </c>
      <c r="B1909">
        <v>18977477</v>
      </c>
      <c r="C1909" t="s">
        <v>8</v>
      </c>
      <c r="D1909" s="4">
        <v>45964</v>
      </c>
      <c r="E1909" s="11">
        <f t="shared" si="116"/>
        <v>2025</v>
      </c>
      <c r="F1909" s="11">
        <f t="shared" si="117"/>
        <v>11</v>
      </c>
      <c r="G1909" s="11" t="str">
        <f t="shared" si="118"/>
        <v>202511</v>
      </c>
      <c r="H1909" s="4">
        <v>46142</v>
      </c>
      <c r="I1909" s="5">
        <v>178</v>
      </c>
      <c r="J1909" s="5">
        <v>5.9333333333333336</v>
      </c>
      <c r="K1909" s="5">
        <f t="shared" si="119"/>
        <v>0</v>
      </c>
      <c r="L1909" s="5">
        <v>0</v>
      </c>
      <c r="M1909" s="5">
        <v>1</v>
      </c>
      <c r="N1909" t="s">
        <v>12</v>
      </c>
      <c r="O1909" s="8">
        <v>26.950684931506849</v>
      </c>
      <c r="P1909" t="s">
        <v>34</v>
      </c>
      <c r="Q1909">
        <v>3</v>
      </c>
      <c r="R1909" s="2">
        <v>36127</v>
      </c>
    </row>
    <row r="1910" spans="1:18" x14ac:dyDescent="0.3">
      <c r="A1910" t="s">
        <v>7</v>
      </c>
      <c r="B1910">
        <v>18977478</v>
      </c>
      <c r="C1910" t="s">
        <v>10</v>
      </c>
      <c r="D1910" s="4">
        <v>45964</v>
      </c>
      <c r="E1910" s="11">
        <f t="shared" si="116"/>
        <v>2025</v>
      </c>
      <c r="F1910" s="11">
        <f t="shared" si="117"/>
        <v>11</v>
      </c>
      <c r="G1910" s="11" t="str">
        <f t="shared" si="118"/>
        <v>202511</v>
      </c>
      <c r="H1910" s="4">
        <v>45991</v>
      </c>
      <c r="I1910" s="5">
        <v>27</v>
      </c>
      <c r="J1910" s="5">
        <v>0.9</v>
      </c>
      <c r="K1910" s="5">
        <f t="shared" si="119"/>
        <v>1</v>
      </c>
      <c r="L1910" s="5">
        <v>1</v>
      </c>
      <c r="M1910" s="5">
        <v>1</v>
      </c>
      <c r="N1910" t="s">
        <v>12</v>
      </c>
      <c r="O1910" s="8">
        <v>20.435616438356163</v>
      </c>
      <c r="P1910" t="s">
        <v>32</v>
      </c>
      <c r="Q1910">
        <v>1</v>
      </c>
      <c r="R1910" s="2">
        <v>38505</v>
      </c>
    </row>
    <row r="1911" spans="1:18" x14ac:dyDescent="0.3">
      <c r="A1911" t="s">
        <v>7</v>
      </c>
      <c r="B1911">
        <v>18977481</v>
      </c>
      <c r="C1911" t="s">
        <v>8</v>
      </c>
      <c r="D1911" s="4">
        <v>45964</v>
      </c>
      <c r="E1911" s="11">
        <f t="shared" si="116"/>
        <v>2025</v>
      </c>
      <c r="F1911" s="11">
        <f t="shared" si="117"/>
        <v>11</v>
      </c>
      <c r="G1911" s="11" t="str">
        <f t="shared" si="118"/>
        <v>202511</v>
      </c>
      <c r="H1911" s="4">
        <v>46024</v>
      </c>
      <c r="I1911" s="5">
        <v>60</v>
      </c>
      <c r="J1911" s="5">
        <v>2</v>
      </c>
      <c r="K1911" s="5">
        <f t="shared" si="119"/>
        <v>0</v>
      </c>
      <c r="L1911" s="5">
        <v>1</v>
      </c>
      <c r="M1911" s="5">
        <v>1</v>
      </c>
      <c r="N1911" t="s">
        <v>12</v>
      </c>
      <c r="O1911" s="8">
        <v>21.956164383561642</v>
      </c>
      <c r="P1911" t="s">
        <v>33</v>
      </c>
      <c r="Q1911">
        <v>2</v>
      </c>
      <c r="R1911" s="2">
        <v>37950</v>
      </c>
    </row>
    <row r="1912" spans="1:18" x14ac:dyDescent="0.3">
      <c r="A1912" t="s">
        <v>7</v>
      </c>
      <c r="B1912">
        <v>18977482</v>
      </c>
      <c r="C1912" t="s">
        <v>8</v>
      </c>
      <c r="D1912" s="4">
        <v>45964</v>
      </c>
      <c r="E1912" s="11">
        <f t="shared" si="116"/>
        <v>2025</v>
      </c>
      <c r="F1912" s="11">
        <f t="shared" si="117"/>
        <v>11</v>
      </c>
      <c r="G1912" s="11" t="str">
        <f t="shared" si="118"/>
        <v>202511</v>
      </c>
      <c r="I1912" s="5">
        <v>9999</v>
      </c>
      <c r="J1912" s="5">
        <v>333.3</v>
      </c>
      <c r="K1912" s="5">
        <f t="shared" si="119"/>
        <v>0</v>
      </c>
      <c r="L1912" s="5">
        <v>0</v>
      </c>
      <c r="M1912" s="5">
        <v>0</v>
      </c>
      <c r="N1912" t="s">
        <v>12</v>
      </c>
      <c r="O1912" s="8">
        <v>20.306849315068494</v>
      </c>
      <c r="P1912" t="s">
        <v>32</v>
      </c>
      <c r="Q1912">
        <v>1</v>
      </c>
      <c r="R1912" s="2">
        <v>38552</v>
      </c>
    </row>
    <row r="1913" spans="1:18" x14ac:dyDescent="0.3">
      <c r="A1913" t="s">
        <v>7</v>
      </c>
      <c r="B1913">
        <v>18977507</v>
      </c>
      <c r="C1913" t="s">
        <v>8</v>
      </c>
      <c r="D1913" s="4">
        <v>45964</v>
      </c>
      <c r="E1913" s="11">
        <f t="shared" si="116"/>
        <v>2025</v>
      </c>
      <c r="F1913" s="11">
        <f t="shared" si="117"/>
        <v>11</v>
      </c>
      <c r="G1913" s="11" t="str">
        <f t="shared" si="118"/>
        <v>202511</v>
      </c>
      <c r="I1913" s="5">
        <v>9999</v>
      </c>
      <c r="J1913" s="5">
        <v>333.3</v>
      </c>
      <c r="K1913" s="5">
        <f t="shared" si="119"/>
        <v>0</v>
      </c>
      <c r="L1913" s="5">
        <v>0</v>
      </c>
      <c r="M1913" s="5">
        <v>0</v>
      </c>
      <c r="N1913" t="s">
        <v>12</v>
      </c>
      <c r="O1913" s="8">
        <v>40.904109589041099</v>
      </c>
      <c r="P1913" t="s">
        <v>35</v>
      </c>
      <c r="Q1913">
        <v>4</v>
      </c>
      <c r="R1913" s="2">
        <v>31034</v>
      </c>
    </row>
    <row r="1914" spans="1:18" x14ac:dyDescent="0.3">
      <c r="A1914" t="s">
        <v>7</v>
      </c>
      <c r="B1914">
        <v>18977515</v>
      </c>
      <c r="C1914" t="s">
        <v>8</v>
      </c>
      <c r="D1914" s="4">
        <v>45964</v>
      </c>
      <c r="E1914" s="11">
        <f t="shared" si="116"/>
        <v>2025</v>
      </c>
      <c r="F1914" s="11">
        <f t="shared" si="117"/>
        <v>11</v>
      </c>
      <c r="G1914" s="11" t="str">
        <f t="shared" si="118"/>
        <v>202511</v>
      </c>
      <c r="I1914" s="5">
        <v>9999</v>
      </c>
      <c r="J1914" s="5">
        <v>333.3</v>
      </c>
      <c r="K1914" s="5">
        <f t="shared" si="119"/>
        <v>0</v>
      </c>
      <c r="L1914" s="5">
        <v>0</v>
      </c>
      <c r="M1914" s="5">
        <v>0</v>
      </c>
      <c r="N1914" t="s">
        <v>9</v>
      </c>
      <c r="O1914" s="8">
        <v>22.449315068493149</v>
      </c>
      <c r="P1914" t="s">
        <v>33</v>
      </c>
      <c r="Q1914">
        <v>2</v>
      </c>
      <c r="R1914" s="2">
        <v>37770</v>
      </c>
    </row>
    <row r="1915" spans="1:18" x14ac:dyDescent="0.3">
      <c r="A1915" t="s">
        <v>7</v>
      </c>
      <c r="B1915">
        <v>18977541</v>
      </c>
      <c r="C1915" t="s">
        <v>8</v>
      </c>
      <c r="D1915" s="4">
        <v>45964</v>
      </c>
      <c r="E1915" s="11">
        <f t="shared" si="116"/>
        <v>2025</v>
      </c>
      <c r="F1915" s="11">
        <f t="shared" si="117"/>
        <v>11</v>
      </c>
      <c r="G1915" s="11" t="str">
        <f t="shared" si="118"/>
        <v>202511</v>
      </c>
      <c r="I1915" s="5">
        <v>9999</v>
      </c>
      <c r="J1915" s="5">
        <v>333.3</v>
      </c>
      <c r="K1915" s="5">
        <f t="shared" si="119"/>
        <v>0</v>
      </c>
      <c r="L1915" s="5">
        <v>0</v>
      </c>
      <c r="M1915" s="5">
        <v>0</v>
      </c>
      <c r="N1915" t="s">
        <v>9</v>
      </c>
      <c r="O1915" s="8">
        <v>22.816438356164383</v>
      </c>
      <c r="P1915" t="s">
        <v>33</v>
      </c>
      <c r="Q1915">
        <v>2</v>
      </c>
      <c r="R1915" s="2">
        <v>37636</v>
      </c>
    </row>
    <row r="1916" spans="1:18" x14ac:dyDescent="0.3">
      <c r="A1916" t="s">
        <v>7</v>
      </c>
      <c r="B1916">
        <v>18977661</v>
      </c>
      <c r="C1916" t="s">
        <v>8</v>
      </c>
      <c r="D1916" s="4">
        <v>45964</v>
      </c>
      <c r="E1916" s="11">
        <f t="shared" si="116"/>
        <v>2025</v>
      </c>
      <c r="F1916" s="11">
        <f t="shared" si="117"/>
        <v>11</v>
      </c>
      <c r="G1916" s="11" t="str">
        <f t="shared" si="118"/>
        <v>202511</v>
      </c>
      <c r="H1916" s="4">
        <v>46027</v>
      </c>
      <c r="I1916" s="5">
        <v>63</v>
      </c>
      <c r="J1916" s="5">
        <v>2.1</v>
      </c>
      <c r="K1916" s="5">
        <f t="shared" si="119"/>
        <v>0</v>
      </c>
      <c r="L1916" s="5">
        <v>1</v>
      </c>
      <c r="M1916" s="5">
        <v>1</v>
      </c>
      <c r="N1916" t="s">
        <v>12</v>
      </c>
      <c r="O1916" s="8">
        <v>22.227397260273971</v>
      </c>
      <c r="P1916" t="s">
        <v>33</v>
      </c>
      <c r="Q1916">
        <v>2</v>
      </c>
      <c r="R1916" s="2">
        <v>37851</v>
      </c>
    </row>
    <row r="1917" spans="1:18" x14ac:dyDescent="0.3">
      <c r="A1917" t="s">
        <v>7</v>
      </c>
      <c r="B1917">
        <v>18977675</v>
      </c>
      <c r="C1917" t="s">
        <v>8</v>
      </c>
      <c r="D1917" s="4">
        <v>46150</v>
      </c>
      <c r="E1917" s="11">
        <f t="shared" si="116"/>
        <v>2026</v>
      </c>
      <c r="F1917" s="11">
        <f t="shared" si="117"/>
        <v>5</v>
      </c>
      <c r="G1917" s="11" t="str">
        <f t="shared" si="118"/>
        <v>202605</v>
      </c>
      <c r="I1917" s="5">
        <v>9999</v>
      </c>
      <c r="J1917" s="5">
        <v>333.3</v>
      </c>
      <c r="K1917" s="5">
        <f t="shared" si="119"/>
        <v>0</v>
      </c>
      <c r="L1917" s="5">
        <v>0</v>
      </c>
      <c r="M1917" s="5">
        <v>0</v>
      </c>
      <c r="N1917" t="s">
        <v>9</v>
      </c>
      <c r="O1917" s="8">
        <v>22.775342465753425</v>
      </c>
      <c r="P1917" t="s">
        <v>33</v>
      </c>
      <c r="Q1917">
        <v>2</v>
      </c>
      <c r="R1917" s="2">
        <v>37837</v>
      </c>
    </row>
    <row r="1918" spans="1:18" x14ac:dyDescent="0.3">
      <c r="A1918" t="s">
        <v>7</v>
      </c>
      <c r="B1918">
        <v>18977710</v>
      </c>
      <c r="C1918" t="s">
        <v>10</v>
      </c>
      <c r="D1918" s="4">
        <v>45964</v>
      </c>
      <c r="E1918" s="11">
        <f t="shared" si="116"/>
        <v>2025</v>
      </c>
      <c r="F1918" s="11">
        <f t="shared" si="117"/>
        <v>11</v>
      </c>
      <c r="G1918" s="11" t="str">
        <f t="shared" si="118"/>
        <v>202511</v>
      </c>
      <c r="I1918" s="5">
        <v>9999</v>
      </c>
      <c r="J1918" s="5">
        <v>333.3</v>
      </c>
      <c r="K1918" s="5">
        <f t="shared" si="119"/>
        <v>0</v>
      </c>
      <c r="L1918" s="5">
        <v>0</v>
      </c>
      <c r="M1918" s="5">
        <v>0</v>
      </c>
      <c r="N1918" t="s">
        <v>12</v>
      </c>
      <c r="O1918" s="8">
        <v>20.186301369863013</v>
      </c>
      <c r="P1918" t="s">
        <v>32</v>
      </c>
      <c r="Q1918">
        <v>1</v>
      </c>
      <c r="R1918" s="2">
        <v>38596</v>
      </c>
    </row>
    <row r="1919" spans="1:18" x14ac:dyDescent="0.3">
      <c r="A1919" t="s">
        <v>7</v>
      </c>
      <c r="B1919">
        <v>18977715</v>
      </c>
      <c r="C1919" t="s">
        <v>8</v>
      </c>
      <c r="D1919" s="4">
        <v>45964</v>
      </c>
      <c r="E1919" s="11">
        <f t="shared" si="116"/>
        <v>2025</v>
      </c>
      <c r="F1919" s="11">
        <f t="shared" si="117"/>
        <v>11</v>
      </c>
      <c r="G1919" s="11" t="str">
        <f t="shared" si="118"/>
        <v>202511</v>
      </c>
      <c r="I1919" s="5">
        <v>9999</v>
      </c>
      <c r="J1919" s="5">
        <v>333.3</v>
      </c>
      <c r="K1919" s="5">
        <f t="shared" si="119"/>
        <v>0</v>
      </c>
      <c r="L1919" s="5">
        <v>0</v>
      </c>
      <c r="M1919" s="5">
        <v>0</v>
      </c>
      <c r="N1919" t="s">
        <v>12</v>
      </c>
      <c r="O1919" s="8">
        <v>26.150684931506849</v>
      </c>
      <c r="P1919" t="s">
        <v>34</v>
      </c>
      <c r="Q1919">
        <v>3</v>
      </c>
      <c r="R1919" s="2">
        <v>36419</v>
      </c>
    </row>
    <row r="1920" spans="1:18" x14ac:dyDescent="0.3">
      <c r="A1920" t="s">
        <v>7</v>
      </c>
      <c r="B1920">
        <v>18977718</v>
      </c>
      <c r="C1920" t="s">
        <v>10</v>
      </c>
      <c r="D1920" s="4">
        <v>45964</v>
      </c>
      <c r="E1920" s="11">
        <f t="shared" si="116"/>
        <v>2025</v>
      </c>
      <c r="F1920" s="11">
        <f t="shared" si="117"/>
        <v>11</v>
      </c>
      <c r="G1920" s="11" t="str">
        <f t="shared" si="118"/>
        <v>202511</v>
      </c>
      <c r="H1920" s="4">
        <v>45991</v>
      </c>
      <c r="I1920" s="5">
        <v>27</v>
      </c>
      <c r="J1920" s="5">
        <v>0.9</v>
      </c>
      <c r="K1920" s="5">
        <f t="shared" si="119"/>
        <v>1</v>
      </c>
      <c r="L1920" s="5">
        <v>1</v>
      </c>
      <c r="M1920" s="5">
        <v>1</v>
      </c>
      <c r="N1920" t="s">
        <v>12</v>
      </c>
      <c r="O1920" s="8">
        <v>18.860273972602741</v>
      </c>
      <c r="P1920" t="s">
        <v>32</v>
      </c>
      <c r="Q1920">
        <v>1</v>
      </c>
      <c r="R1920" s="2">
        <v>39080</v>
      </c>
    </row>
    <row r="1921" spans="1:18" x14ac:dyDescent="0.3">
      <c r="A1921" t="s">
        <v>7</v>
      </c>
      <c r="B1921">
        <v>18977805</v>
      </c>
      <c r="C1921" t="s">
        <v>8</v>
      </c>
      <c r="D1921" s="4">
        <v>45964</v>
      </c>
      <c r="E1921" s="11">
        <f t="shared" si="116"/>
        <v>2025</v>
      </c>
      <c r="F1921" s="11">
        <f t="shared" si="117"/>
        <v>11</v>
      </c>
      <c r="G1921" s="11" t="str">
        <f t="shared" si="118"/>
        <v>202511</v>
      </c>
      <c r="I1921" s="5">
        <v>9999</v>
      </c>
      <c r="J1921" s="5">
        <v>333.3</v>
      </c>
      <c r="K1921" s="5">
        <f t="shared" si="119"/>
        <v>0</v>
      </c>
      <c r="L1921" s="5">
        <v>0</v>
      </c>
      <c r="M1921" s="5">
        <v>0</v>
      </c>
      <c r="N1921" t="s">
        <v>12</v>
      </c>
      <c r="O1921" s="8">
        <v>22.964383561643835</v>
      </c>
      <c r="P1921" t="s">
        <v>33</v>
      </c>
      <c r="Q1921">
        <v>2</v>
      </c>
      <c r="R1921" s="2">
        <v>37582</v>
      </c>
    </row>
    <row r="1922" spans="1:18" x14ac:dyDescent="0.3">
      <c r="A1922" t="s">
        <v>7</v>
      </c>
      <c r="B1922">
        <v>18977810</v>
      </c>
      <c r="C1922" t="s">
        <v>8</v>
      </c>
      <c r="D1922" s="4">
        <v>45964</v>
      </c>
      <c r="E1922" s="11">
        <f t="shared" si="116"/>
        <v>2025</v>
      </c>
      <c r="F1922" s="11">
        <f t="shared" si="117"/>
        <v>11</v>
      </c>
      <c r="G1922" s="11" t="str">
        <f t="shared" si="118"/>
        <v>202511</v>
      </c>
      <c r="H1922" s="4">
        <v>46157</v>
      </c>
      <c r="I1922" s="5">
        <v>193</v>
      </c>
      <c r="J1922" s="5">
        <v>6.4333333333333336</v>
      </c>
      <c r="K1922" s="5">
        <f t="shared" si="119"/>
        <v>0</v>
      </c>
      <c r="L1922" s="5">
        <v>0</v>
      </c>
      <c r="M1922" s="5">
        <v>0</v>
      </c>
      <c r="N1922" t="s">
        <v>12</v>
      </c>
      <c r="O1922" s="8">
        <v>25.109589041095891</v>
      </c>
      <c r="P1922" t="s">
        <v>33</v>
      </c>
      <c r="Q1922">
        <v>2</v>
      </c>
      <c r="R1922" s="2">
        <v>36799</v>
      </c>
    </row>
    <row r="1923" spans="1:18" x14ac:dyDescent="0.3">
      <c r="A1923" t="s">
        <v>7</v>
      </c>
      <c r="B1923">
        <v>18977897</v>
      </c>
      <c r="C1923" t="s">
        <v>10</v>
      </c>
      <c r="D1923" s="4">
        <v>45965</v>
      </c>
      <c r="E1923" s="11">
        <f t="shared" ref="E1923:E1986" si="120">+YEAR(D1923)</f>
        <v>2025</v>
      </c>
      <c r="F1923" s="11">
        <f t="shared" ref="F1923:F1986" si="121">+MONTH(D1923)</f>
        <v>11</v>
      </c>
      <c r="G1923" s="11" t="str">
        <f t="shared" ref="G1923:G1986" si="122">+TEXT(D1923, "yyymm")</f>
        <v>202511</v>
      </c>
      <c r="H1923" s="4">
        <v>46081</v>
      </c>
      <c r="I1923" s="5">
        <v>116</v>
      </c>
      <c r="J1923" s="5">
        <v>3.8666666666666667</v>
      </c>
      <c r="K1923" s="5">
        <f t="shared" ref="K1923:K1986" si="123">IF(J1923&lt;=1,1,0)</f>
        <v>0</v>
      </c>
      <c r="L1923" s="5">
        <v>0</v>
      </c>
      <c r="M1923" s="5">
        <v>1</v>
      </c>
      <c r="N1923" t="s">
        <v>9</v>
      </c>
      <c r="O1923" s="8">
        <v>20.079452054794519</v>
      </c>
      <c r="P1923" t="s">
        <v>32</v>
      </c>
      <c r="Q1923">
        <v>1</v>
      </c>
      <c r="R1923" s="2">
        <v>38636</v>
      </c>
    </row>
    <row r="1924" spans="1:18" x14ac:dyDescent="0.3">
      <c r="A1924" t="s">
        <v>7</v>
      </c>
      <c r="B1924">
        <v>18977898</v>
      </c>
      <c r="C1924" t="s">
        <v>8</v>
      </c>
      <c r="D1924" s="4">
        <v>45965</v>
      </c>
      <c r="E1924" s="11">
        <f t="shared" si="120"/>
        <v>2025</v>
      </c>
      <c r="F1924" s="11">
        <f t="shared" si="121"/>
        <v>11</v>
      </c>
      <c r="G1924" s="11" t="str">
        <f t="shared" si="122"/>
        <v>202511</v>
      </c>
      <c r="H1924" s="4">
        <v>45978</v>
      </c>
      <c r="I1924" s="5">
        <v>13</v>
      </c>
      <c r="J1924" s="5">
        <v>0.43333333333333335</v>
      </c>
      <c r="K1924" s="5">
        <f t="shared" si="123"/>
        <v>1</v>
      </c>
      <c r="L1924" s="5">
        <v>1</v>
      </c>
      <c r="M1924" s="5">
        <v>1</v>
      </c>
      <c r="N1924" t="s">
        <v>9</v>
      </c>
      <c r="O1924" s="8">
        <v>26.832876712328765</v>
      </c>
      <c r="P1924" t="s">
        <v>34</v>
      </c>
      <c r="Q1924">
        <v>3</v>
      </c>
      <c r="R1924" s="2">
        <v>36171</v>
      </c>
    </row>
    <row r="1925" spans="1:18" x14ac:dyDescent="0.3">
      <c r="A1925" t="s">
        <v>7</v>
      </c>
      <c r="B1925">
        <v>18977899</v>
      </c>
      <c r="C1925" t="s">
        <v>8</v>
      </c>
      <c r="D1925" s="4">
        <v>45965</v>
      </c>
      <c r="E1925" s="11">
        <f t="shared" si="120"/>
        <v>2025</v>
      </c>
      <c r="F1925" s="11">
        <f t="shared" si="121"/>
        <v>11</v>
      </c>
      <c r="G1925" s="11" t="str">
        <f t="shared" si="122"/>
        <v>202511</v>
      </c>
      <c r="I1925" s="5">
        <v>9999</v>
      </c>
      <c r="J1925" s="5">
        <v>333.3</v>
      </c>
      <c r="K1925" s="5">
        <f t="shared" si="123"/>
        <v>0</v>
      </c>
      <c r="L1925" s="5">
        <v>0</v>
      </c>
      <c r="M1925" s="5">
        <v>0</v>
      </c>
      <c r="N1925" t="s">
        <v>9</v>
      </c>
      <c r="O1925" s="8">
        <v>18.046575342465754</v>
      </c>
      <c r="P1925" t="s">
        <v>32</v>
      </c>
      <c r="Q1925">
        <v>1</v>
      </c>
      <c r="R1925" s="2">
        <v>39378</v>
      </c>
    </row>
    <row r="1926" spans="1:18" x14ac:dyDescent="0.3">
      <c r="A1926" t="s">
        <v>7</v>
      </c>
      <c r="B1926">
        <v>18977903</v>
      </c>
      <c r="C1926" t="s">
        <v>10</v>
      </c>
      <c r="D1926" s="4">
        <v>45965</v>
      </c>
      <c r="E1926" s="11">
        <f t="shared" si="120"/>
        <v>2025</v>
      </c>
      <c r="F1926" s="11">
        <f t="shared" si="121"/>
        <v>11</v>
      </c>
      <c r="G1926" s="11" t="str">
        <f t="shared" si="122"/>
        <v>202511</v>
      </c>
      <c r="H1926" s="4">
        <v>46176</v>
      </c>
      <c r="I1926" s="5">
        <v>211</v>
      </c>
      <c r="J1926" s="5">
        <v>7.0333333333333332</v>
      </c>
      <c r="K1926" s="5">
        <f t="shared" si="123"/>
        <v>0</v>
      </c>
      <c r="L1926" s="5">
        <v>0</v>
      </c>
      <c r="M1926" s="5">
        <v>0</v>
      </c>
      <c r="N1926" t="s">
        <v>9</v>
      </c>
      <c r="O1926" s="8">
        <v>20.882191780821916</v>
      </c>
      <c r="P1926" t="s">
        <v>32</v>
      </c>
      <c r="Q1926">
        <v>1</v>
      </c>
      <c r="R1926" s="2">
        <v>38343</v>
      </c>
    </row>
    <row r="1927" spans="1:18" x14ac:dyDescent="0.3">
      <c r="A1927" t="s">
        <v>7</v>
      </c>
      <c r="B1927">
        <v>18977904</v>
      </c>
      <c r="C1927" t="s">
        <v>10</v>
      </c>
      <c r="D1927" s="4">
        <v>45965</v>
      </c>
      <c r="E1927" s="11">
        <f t="shared" si="120"/>
        <v>2025</v>
      </c>
      <c r="F1927" s="11">
        <f t="shared" si="121"/>
        <v>11</v>
      </c>
      <c r="G1927" s="11" t="str">
        <f t="shared" si="122"/>
        <v>202511</v>
      </c>
      <c r="H1927" s="4">
        <v>46054</v>
      </c>
      <c r="I1927" s="5">
        <v>89</v>
      </c>
      <c r="J1927" s="5">
        <v>2.9666666666666668</v>
      </c>
      <c r="K1927" s="5">
        <f t="shared" si="123"/>
        <v>0</v>
      </c>
      <c r="L1927" s="5">
        <v>1</v>
      </c>
      <c r="M1927" s="5">
        <v>1</v>
      </c>
      <c r="N1927" t="s">
        <v>9</v>
      </c>
      <c r="O1927" s="8">
        <v>18.030136986301368</v>
      </c>
      <c r="P1927" t="s">
        <v>32</v>
      </c>
      <c r="Q1927">
        <v>1</v>
      </c>
      <c r="R1927" s="2">
        <v>39384</v>
      </c>
    </row>
    <row r="1928" spans="1:18" x14ac:dyDescent="0.3">
      <c r="A1928" t="s">
        <v>7</v>
      </c>
      <c r="B1928">
        <v>18977905</v>
      </c>
      <c r="C1928" t="s">
        <v>8</v>
      </c>
      <c r="D1928" s="4">
        <v>45965</v>
      </c>
      <c r="E1928" s="11">
        <f t="shared" si="120"/>
        <v>2025</v>
      </c>
      <c r="F1928" s="11">
        <f t="shared" si="121"/>
        <v>11</v>
      </c>
      <c r="G1928" s="11" t="str">
        <f t="shared" si="122"/>
        <v>202511</v>
      </c>
      <c r="I1928" s="5">
        <v>9999</v>
      </c>
      <c r="J1928" s="5">
        <v>333.3</v>
      </c>
      <c r="K1928" s="5">
        <f t="shared" si="123"/>
        <v>0</v>
      </c>
      <c r="L1928" s="5">
        <v>0</v>
      </c>
      <c r="M1928" s="5">
        <v>0</v>
      </c>
      <c r="N1928" t="s">
        <v>12</v>
      </c>
      <c r="O1928" s="8">
        <v>21.882191780821916</v>
      </c>
      <c r="P1928" t="s">
        <v>33</v>
      </c>
      <c r="Q1928">
        <v>2</v>
      </c>
      <c r="R1928" s="2">
        <v>37978</v>
      </c>
    </row>
    <row r="1929" spans="1:18" x14ac:dyDescent="0.3">
      <c r="A1929" t="s">
        <v>7</v>
      </c>
      <c r="B1929">
        <v>18977906</v>
      </c>
      <c r="C1929" t="s">
        <v>10</v>
      </c>
      <c r="D1929" s="4">
        <v>45965</v>
      </c>
      <c r="E1929" s="11">
        <f t="shared" si="120"/>
        <v>2025</v>
      </c>
      <c r="F1929" s="11">
        <f t="shared" si="121"/>
        <v>11</v>
      </c>
      <c r="G1929" s="11" t="str">
        <f t="shared" si="122"/>
        <v>202511</v>
      </c>
      <c r="H1929" s="4">
        <v>45996</v>
      </c>
      <c r="I1929" s="5">
        <v>31</v>
      </c>
      <c r="J1929" s="5">
        <v>1.0333333333333334</v>
      </c>
      <c r="K1929" s="5">
        <f t="shared" si="123"/>
        <v>0</v>
      </c>
      <c r="L1929" s="5">
        <v>1</v>
      </c>
      <c r="M1929" s="5">
        <v>1</v>
      </c>
      <c r="N1929" t="s">
        <v>9</v>
      </c>
      <c r="O1929" s="8">
        <v>19.942465753424656</v>
      </c>
      <c r="P1929" t="s">
        <v>32</v>
      </c>
      <c r="Q1929">
        <v>1</v>
      </c>
      <c r="R1929" s="2">
        <v>38686</v>
      </c>
    </row>
    <row r="1930" spans="1:18" x14ac:dyDescent="0.3">
      <c r="A1930" t="s">
        <v>7</v>
      </c>
      <c r="B1930">
        <v>18977908</v>
      </c>
      <c r="C1930" t="s">
        <v>10</v>
      </c>
      <c r="D1930" s="4">
        <v>45965</v>
      </c>
      <c r="E1930" s="11">
        <f t="shared" si="120"/>
        <v>2025</v>
      </c>
      <c r="F1930" s="11">
        <f t="shared" si="121"/>
        <v>11</v>
      </c>
      <c r="G1930" s="11" t="str">
        <f t="shared" si="122"/>
        <v>202511</v>
      </c>
      <c r="I1930" s="5">
        <v>9999</v>
      </c>
      <c r="J1930" s="5">
        <v>333.3</v>
      </c>
      <c r="K1930" s="5">
        <f t="shared" si="123"/>
        <v>0</v>
      </c>
      <c r="L1930" s="5">
        <v>0</v>
      </c>
      <c r="M1930" s="5">
        <v>0</v>
      </c>
      <c r="N1930" t="s">
        <v>9</v>
      </c>
      <c r="O1930" s="8">
        <v>21.775342465753425</v>
      </c>
      <c r="P1930" t="s">
        <v>33</v>
      </c>
      <c r="Q1930">
        <v>2</v>
      </c>
      <c r="R1930" s="2">
        <v>38017</v>
      </c>
    </row>
    <row r="1931" spans="1:18" x14ac:dyDescent="0.3">
      <c r="A1931" t="s">
        <v>7</v>
      </c>
      <c r="B1931">
        <v>18977909</v>
      </c>
      <c r="C1931" t="s">
        <v>8</v>
      </c>
      <c r="D1931" s="4">
        <v>45965</v>
      </c>
      <c r="E1931" s="11">
        <f t="shared" si="120"/>
        <v>2025</v>
      </c>
      <c r="F1931" s="11">
        <f t="shared" si="121"/>
        <v>11</v>
      </c>
      <c r="G1931" s="11" t="str">
        <f t="shared" si="122"/>
        <v>202511</v>
      </c>
      <c r="I1931" s="5">
        <v>9999</v>
      </c>
      <c r="J1931" s="5">
        <v>333.3</v>
      </c>
      <c r="K1931" s="5">
        <f t="shared" si="123"/>
        <v>0</v>
      </c>
      <c r="L1931" s="5">
        <v>0</v>
      </c>
      <c r="M1931" s="5">
        <v>0</v>
      </c>
      <c r="N1931" t="s">
        <v>9</v>
      </c>
      <c r="O1931" s="8">
        <v>20.726027397260275</v>
      </c>
      <c r="P1931" t="s">
        <v>32</v>
      </c>
      <c r="Q1931">
        <v>1</v>
      </c>
      <c r="R1931" s="2">
        <v>38400</v>
      </c>
    </row>
    <row r="1932" spans="1:18" x14ac:dyDescent="0.3">
      <c r="A1932" t="s">
        <v>7</v>
      </c>
      <c r="B1932">
        <v>18977910</v>
      </c>
      <c r="C1932" t="s">
        <v>10</v>
      </c>
      <c r="D1932" s="4">
        <v>45965</v>
      </c>
      <c r="E1932" s="11">
        <f t="shared" si="120"/>
        <v>2025</v>
      </c>
      <c r="F1932" s="11">
        <f t="shared" si="121"/>
        <v>11</v>
      </c>
      <c r="G1932" s="11" t="str">
        <f t="shared" si="122"/>
        <v>202511</v>
      </c>
      <c r="H1932" s="4">
        <v>46030</v>
      </c>
      <c r="I1932" s="5">
        <v>65</v>
      </c>
      <c r="J1932" s="5">
        <v>2.1666666666666665</v>
      </c>
      <c r="K1932" s="5">
        <f t="shared" si="123"/>
        <v>0</v>
      </c>
      <c r="L1932" s="5">
        <v>1</v>
      </c>
      <c r="M1932" s="5">
        <v>1</v>
      </c>
      <c r="N1932" t="s">
        <v>9</v>
      </c>
      <c r="O1932" s="8">
        <v>18.063013698630137</v>
      </c>
      <c r="P1932" t="s">
        <v>32</v>
      </c>
      <c r="Q1932">
        <v>1</v>
      </c>
      <c r="R1932" s="2">
        <v>39372</v>
      </c>
    </row>
    <row r="1933" spans="1:18" x14ac:dyDescent="0.3">
      <c r="A1933" t="s">
        <v>7</v>
      </c>
      <c r="B1933">
        <v>18977915</v>
      </c>
      <c r="C1933" t="s">
        <v>10</v>
      </c>
      <c r="D1933" s="4">
        <v>45965</v>
      </c>
      <c r="E1933" s="11">
        <f t="shared" si="120"/>
        <v>2025</v>
      </c>
      <c r="F1933" s="11">
        <f t="shared" si="121"/>
        <v>11</v>
      </c>
      <c r="G1933" s="11" t="str">
        <f t="shared" si="122"/>
        <v>202511</v>
      </c>
      <c r="H1933" s="4">
        <v>45992</v>
      </c>
      <c r="I1933" s="5">
        <v>27</v>
      </c>
      <c r="J1933" s="5">
        <v>0.9</v>
      </c>
      <c r="K1933" s="5">
        <f t="shared" si="123"/>
        <v>1</v>
      </c>
      <c r="L1933" s="5">
        <v>1</v>
      </c>
      <c r="M1933" s="5">
        <v>1</v>
      </c>
      <c r="N1933" t="s">
        <v>9</v>
      </c>
      <c r="O1933" s="8">
        <v>18.2</v>
      </c>
      <c r="P1933" t="s">
        <v>32</v>
      </c>
      <c r="Q1933">
        <v>1</v>
      </c>
      <c r="R1933" s="2">
        <v>39322</v>
      </c>
    </row>
    <row r="1934" spans="1:18" x14ac:dyDescent="0.3">
      <c r="A1934" t="s">
        <v>7</v>
      </c>
      <c r="B1934">
        <v>18977920</v>
      </c>
      <c r="C1934" t="s">
        <v>10</v>
      </c>
      <c r="D1934" s="4">
        <v>45965</v>
      </c>
      <c r="E1934" s="11">
        <f t="shared" si="120"/>
        <v>2025</v>
      </c>
      <c r="F1934" s="11">
        <f t="shared" si="121"/>
        <v>11</v>
      </c>
      <c r="G1934" s="11" t="str">
        <f t="shared" si="122"/>
        <v>202511</v>
      </c>
      <c r="I1934" s="5">
        <v>9999</v>
      </c>
      <c r="J1934" s="5">
        <v>333.3</v>
      </c>
      <c r="K1934" s="5">
        <f t="shared" si="123"/>
        <v>0</v>
      </c>
      <c r="L1934" s="5">
        <v>0</v>
      </c>
      <c r="M1934" s="5">
        <v>0</v>
      </c>
      <c r="N1934" t="s">
        <v>12</v>
      </c>
      <c r="O1934" s="8">
        <v>18.238356164383561</v>
      </c>
      <c r="P1934" t="s">
        <v>32</v>
      </c>
      <c r="Q1934">
        <v>1</v>
      </c>
      <c r="R1934" s="2">
        <v>39308</v>
      </c>
    </row>
    <row r="1935" spans="1:18" x14ac:dyDescent="0.3">
      <c r="A1935" t="s">
        <v>7</v>
      </c>
      <c r="B1935">
        <v>18977929</v>
      </c>
      <c r="C1935" t="s">
        <v>10</v>
      </c>
      <c r="D1935" s="4">
        <v>45965</v>
      </c>
      <c r="E1935" s="11">
        <f t="shared" si="120"/>
        <v>2025</v>
      </c>
      <c r="F1935" s="11">
        <f t="shared" si="121"/>
        <v>11</v>
      </c>
      <c r="G1935" s="11" t="str">
        <f t="shared" si="122"/>
        <v>202511</v>
      </c>
      <c r="H1935" s="4">
        <v>46142</v>
      </c>
      <c r="I1935" s="5">
        <v>177</v>
      </c>
      <c r="J1935" s="5">
        <v>5.9</v>
      </c>
      <c r="K1935" s="5">
        <f t="shared" si="123"/>
        <v>0</v>
      </c>
      <c r="L1935" s="5">
        <v>0</v>
      </c>
      <c r="M1935" s="5">
        <v>1</v>
      </c>
      <c r="N1935" t="s">
        <v>12</v>
      </c>
      <c r="O1935" s="8">
        <v>26.032876712328768</v>
      </c>
      <c r="P1935" t="s">
        <v>34</v>
      </c>
      <c r="Q1935">
        <v>3</v>
      </c>
      <c r="R1935" s="2">
        <v>36463</v>
      </c>
    </row>
    <row r="1936" spans="1:18" x14ac:dyDescent="0.3">
      <c r="A1936" t="s">
        <v>7</v>
      </c>
      <c r="B1936">
        <v>18977934</v>
      </c>
      <c r="C1936" t="s">
        <v>8</v>
      </c>
      <c r="D1936" s="4">
        <v>45965</v>
      </c>
      <c r="E1936" s="11">
        <f t="shared" si="120"/>
        <v>2025</v>
      </c>
      <c r="F1936" s="11">
        <f t="shared" si="121"/>
        <v>11</v>
      </c>
      <c r="G1936" s="11" t="str">
        <f t="shared" si="122"/>
        <v>202511</v>
      </c>
      <c r="H1936" s="4">
        <v>46119</v>
      </c>
      <c r="I1936" s="5">
        <v>154</v>
      </c>
      <c r="J1936" s="5">
        <v>5.1333333333333337</v>
      </c>
      <c r="K1936" s="5">
        <f t="shared" si="123"/>
        <v>0</v>
      </c>
      <c r="L1936" s="5">
        <v>0</v>
      </c>
      <c r="M1936" s="5">
        <v>1</v>
      </c>
      <c r="N1936" t="s">
        <v>12</v>
      </c>
      <c r="O1936" s="8">
        <v>21.931506849315067</v>
      </c>
      <c r="P1936" t="s">
        <v>33</v>
      </c>
      <c r="Q1936">
        <v>2</v>
      </c>
      <c r="R1936" s="2">
        <v>37960</v>
      </c>
    </row>
    <row r="1937" spans="1:18" x14ac:dyDescent="0.3">
      <c r="A1937" t="s">
        <v>7</v>
      </c>
      <c r="B1937">
        <v>18977944</v>
      </c>
      <c r="C1937" t="s">
        <v>8</v>
      </c>
      <c r="D1937" s="4">
        <v>45965</v>
      </c>
      <c r="E1937" s="11">
        <f t="shared" si="120"/>
        <v>2025</v>
      </c>
      <c r="F1937" s="11">
        <f t="shared" si="121"/>
        <v>11</v>
      </c>
      <c r="G1937" s="11" t="str">
        <f t="shared" si="122"/>
        <v>202511</v>
      </c>
      <c r="I1937" s="5">
        <v>9999</v>
      </c>
      <c r="J1937" s="5">
        <v>333.3</v>
      </c>
      <c r="K1937" s="5">
        <f t="shared" si="123"/>
        <v>0</v>
      </c>
      <c r="L1937" s="5">
        <v>0</v>
      </c>
      <c r="M1937" s="5">
        <v>0</v>
      </c>
      <c r="N1937" t="s">
        <v>12</v>
      </c>
      <c r="O1937" s="8">
        <v>21.076712328767123</v>
      </c>
      <c r="P1937" t="s">
        <v>33</v>
      </c>
      <c r="Q1937">
        <v>2</v>
      </c>
      <c r="R1937" s="2">
        <v>38272</v>
      </c>
    </row>
    <row r="1938" spans="1:18" x14ac:dyDescent="0.3">
      <c r="A1938" t="s">
        <v>7</v>
      </c>
      <c r="B1938">
        <v>18977945</v>
      </c>
      <c r="C1938" t="s">
        <v>8</v>
      </c>
      <c r="D1938" s="4">
        <v>45965</v>
      </c>
      <c r="E1938" s="11">
        <f t="shared" si="120"/>
        <v>2025</v>
      </c>
      <c r="F1938" s="11">
        <f t="shared" si="121"/>
        <v>11</v>
      </c>
      <c r="G1938" s="11" t="str">
        <f t="shared" si="122"/>
        <v>202511</v>
      </c>
      <c r="H1938" s="4">
        <v>46053</v>
      </c>
      <c r="I1938" s="5">
        <v>88</v>
      </c>
      <c r="J1938" s="5">
        <v>2.9333333333333331</v>
      </c>
      <c r="K1938" s="5">
        <f t="shared" si="123"/>
        <v>0</v>
      </c>
      <c r="L1938" s="5">
        <v>1</v>
      </c>
      <c r="M1938" s="5">
        <v>1</v>
      </c>
      <c r="N1938" t="s">
        <v>12</v>
      </c>
      <c r="O1938" s="8">
        <v>27.421917808219177</v>
      </c>
      <c r="P1938" t="s">
        <v>34</v>
      </c>
      <c r="Q1938">
        <v>3</v>
      </c>
      <c r="R1938" s="2">
        <v>35956</v>
      </c>
    </row>
    <row r="1939" spans="1:18" x14ac:dyDescent="0.3">
      <c r="A1939" t="s">
        <v>7</v>
      </c>
      <c r="B1939">
        <v>18977947</v>
      </c>
      <c r="C1939" t="s">
        <v>8</v>
      </c>
      <c r="D1939" s="4">
        <v>45965</v>
      </c>
      <c r="E1939" s="11">
        <f t="shared" si="120"/>
        <v>2025</v>
      </c>
      <c r="F1939" s="11">
        <f t="shared" si="121"/>
        <v>11</v>
      </c>
      <c r="G1939" s="11" t="str">
        <f t="shared" si="122"/>
        <v>202511</v>
      </c>
      <c r="H1939" s="4">
        <v>45966</v>
      </c>
      <c r="I1939" s="5">
        <v>1</v>
      </c>
      <c r="J1939" s="5">
        <v>3.3333333333333333E-2</v>
      </c>
      <c r="K1939" s="5">
        <f t="shared" si="123"/>
        <v>1</v>
      </c>
      <c r="L1939" s="5">
        <v>1</v>
      </c>
      <c r="M1939" s="5">
        <v>1</v>
      </c>
      <c r="N1939" t="s">
        <v>9</v>
      </c>
      <c r="O1939" s="8">
        <v>28.093150684931508</v>
      </c>
      <c r="P1939" t="s">
        <v>34</v>
      </c>
      <c r="Q1939">
        <v>3</v>
      </c>
      <c r="R1939" s="2">
        <v>35711</v>
      </c>
    </row>
    <row r="1940" spans="1:18" x14ac:dyDescent="0.3">
      <c r="A1940" t="s">
        <v>7</v>
      </c>
      <c r="B1940">
        <v>18978108</v>
      </c>
      <c r="C1940" t="s">
        <v>10</v>
      </c>
      <c r="D1940" s="4">
        <v>45966</v>
      </c>
      <c r="E1940" s="11">
        <f t="shared" si="120"/>
        <v>2025</v>
      </c>
      <c r="F1940" s="11">
        <f t="shared" si="121"/>
        <v>11</v>
      </c>
      <c r="G1940" s="11" t="str">
        <f t="shared" si="122"/>
        <v>202511</v>
      </c>
      <c r="I1940" s="5">
        <v>9999</v>
      </c>
      <c r="J1940" s="5">
        <v>333.3</v>
      </c>
      <c r="K1940" s="5">
        <f t="shared" si="123"/>
        <v>0</v>
      </c>
      <c r="L1940" s="5">
        <v>0</v>
      </c>
      <c r="M1940" s="5">
        <v>0</v>
      </c>
      <c r="N1940" t="s">
        <v>9</v>
      </c>
      <c r="O1940" s="8">
        <v>19.594520547945205</v>
      </c>
      <c r="P1940" t="s">
        <v>32</v>
      </c>
      <c r="Q1940">
        <v>1</v>
      </c>
      <c r="R1940" s="2">
        <v>38814</v>
      </c>
    </row>
    <row r="1941" spans="1:18" x14ac:dyDescent="0.3">
      <c r="A1941" t="s">
        <v>7</v>
      </c>
      <c r="B1941">
        <v>18978140</v>
      </c>
      <c r="C1941" t="s">
        <v>8</v>
      </c>
      <c r="D1941" s="4">
        <v>45966</v>
      </c>
      <c r="E1941" s="11">
        <f t="shared" si="120"/>
        <v>2025</v>
      </c>
      <c r="F1941" s="11">
        <f t="shared" si="121"/>
        <v>11</v>
      </c>
      <c r="G1941" s="11" t="str">
        <f t="shared" si="122"/>
        <v>202511</v>
      </c>
      <c r="H1941" s="4">
        <v>46082</v>
      </c>
      <c r="I1941" s="5">
        <v>116</v>
      </c>
      <c r="J1941" s="5">
        <v>3.8666666666666667</v>
      </c>
      <c r="K1941" s="5">
        <f t="shared" si="123"/>
        <v>0</v>
      </c>
      <c r="L1941" s="5">
        <v>0</v>
      </c>
      <c r="M1941" s="5">
        <v>1</v>
      </c>
      <c r="N1941" t="s">
        <v>12</v>
      </c>
      <c r="O1941" s="8">
        <v>26.172602739726027</v>
      </c>
      <c r="P1941" t="s">
        <v>34</v>
      </c>
      <c r="Q1941">
        <v>3</v>
      </c>
      <c r="R1941" s="2">
        <v>36413</v>
      </c>
    </row>
    <row r="1942" spans="1:18" x14ac:dyDescent="0.3">
      <c r="A1942" t="s">
        <v>7</v>
      </c>
      <c r="B1942">
        <v>18978157</v>
      </c>
      <c r="C1942" t="s">
        <v>10</v>
      </c>
      <c r="D1942" s="4">
        <v>45966</v>
      </c>
      <c r="E1942" s="11">
        <f t="shared" si="120"/>
        <v>2025</v>
      </c>
      <c r="F1942" s="11">
        <f t="shared" si="121"/>
        <v>11</v>
      </c>
      <c r="G1942" s="11" t="str">
        <f t="shared" si="122"/>
        <v>202511</v>
      </c>
      <c r="I1942" s="5">
        <v>9999</v>
      </c>
      <c r="J1942" s="5">
        <v>333.3</v>
      </c>
      <c r="K1942" s="5">
        <f t="shared" si="123"/>
        <v>0</v>
      </c>
      <c r="L1942" s="5">
        <v>0</v>
      </c>
      <c r="M1942" s="5">
        <v>0</v>
      </c>
      <c r="N1942" t="s">
        <v>9</v>
      </c>
      <c r="O1942" s="8">
        <v>22.504109589041096</v>
      </c>
      <c r="P1942" t="s">
        <v>33</v>
      </c>
      <c r="Q1942">
        <v>2</v>
      </c>
      <c r="R1942" s="2">
        <v>37752</v>
      </c>
    </row>
    <row r="1943" spans="1:18" x14ac:dyDescent="0.3">
      <c r="A1943" t="s">
        <v>7</v>
      </c>
      <c r="B1943">
        <v>18978160</v>
      </c>
      <c r="C1943" t="s">
        <v>8</v>
      </c>
      <c r="D1943" s="4">
        <v>45966</v>
      </c>
      <c r="E1943" s="11">
        <f t="shared" si="120"/>
        <v>2025</v>
      </c>
      <c r="F1943" s="11">
        <f t="shared" si="121"/>
        <v>11</v>
      </c>
      <c r="G1943" s="11" t="str">
        <f t="shared" si="122"/>
        <v>202511</v>
      </c>
      <c r="I1943" s="5">
        <v>9999</v>
      </c>
      <c r="J1943" s="5">
        <v>333.3</v>
      </c>
      <c r="K1943" s="5">
        <f t="shared" si="123"/>
        <v>0</v>
      </c>
      <c r="L1943" s="5">
        <v>0</v>
      </c>
      <c r="M1943" s="5">
        <v>0</v>
      </c>
      <c r="N1943" t="s">
        <v>9</v>
      </c>
      <c r="O1943" s="8">
        <v>19.654794520547945</v>
      </c>
      <c r="P1943" t="s">
        <v>32</v>
      </c>
      <c r="Q1943">
        <v>1</v>
      </c>
      <c r="R1943" s="2">
        <v>38792</v>
      </c>
    </row>
    <row r="1944" spans="1:18" x14ac:dyDescent="0.3">
      <c r="A1944" t="s">
        <v>7</v>
      </c>
      <c r="B1944">
        <v>18978161</v>
      </c>
      <c r="C1944" t="s">
        <v>8</v>
      </c>
      <c r="D1944" s="4">
        <v>45966</v>
      </c>
      <c r="E1944" s="11">
        <f t="shared" si="120"/>
        <v>2025</v>
      </c>
      <c r="F1944" s="11">
        <f t="shared" si="121"/>
        <v>11</v>
      </c>
      <c r="G1944" s="11" t="str">
        <f t="shared" si="122"/>
        <v>202511</v>
      </c>
      <c r="I1944" s="5">
        <v>9999</v>
      </c>
      <c r="J1944" s="5">
        <v>333.3</v>
      </c>
      <c r="K1944" s="5">
        <f t="shared" si="123"/>
        <v>0</v>
      </c>
      <c r="L1944" s="5">
        <v>0</v>
      </c>
      <c r="M1944" s="5">
        <v>0</v>
      </c>
      <c r="N1944" t="s">
        <v>9</v>
      </c>
      <c r="O1944" s="8">
        <v>28.024657534246575</v>
      </c>
      <c r="P1944" t="s">
        <v>34</v>
      </c>
      <c r="Q1944">
        <v>3</v>
      </c>
      <c r="R1944" s="2">
        <v>35737</v>
      </c>
    </row>
    <row r="1945" spans="1:18" x14ac:dyDescent="0.3">
      <c r="A1945" t="s">
        <v>7</v>
      </c>
      <c r="B1945">
        <v>18978165</v>
      </c>
      <c r="C1945" t="s">
        <v>8</v>
      </c>
      <c r="D1945" s="4">
        <v>45966</v>
      </c>
      <c r="E1945" s="11">
        <f t="shared" si="120"/>
        <v>2025</v>
      </c>
      <c r="F1945" s="11">
        <f t="shared" si="121"/>
        <v>11</v>
      </c>
      <c r="G1945" s="11" t="str">
        <f t="shared" si="122"/>
        <v>202511</v>
      </c>
      <c r="H1945" s="4">
        <v>46084</v>
      </c>
      <c r="I1945" s="5">
        <v>118</v>
      </c>
      <c r="J1945" s="5">
        <v>3.9333333333333331</v>
      </c>
      <c r="K1945" s="5">
        <f t="shared" si="123"/>
        <v>0</v>
      </c>
      <c r="L1945" s="5">
        <v>0</v>
      </c>
      <c r="M1945" s="5">
        <v>1</v>
      </c>
      <c r="N1945" t="s">
        <v>9</v>
      </c>
      <c r="O1945" s="8">
        <v>42.408219178082192</v>
      </c>
      <c r="P1945" t="s">
        <v>35</v>
      </c>
      <c r="Q1945">
        <v>4</v>
      </c>
      <c r="R1945" s="2">
        <v>30487</v>
      </c>
    </row>
    <row r="1946" spans="1:18" x14ac:dyDescent="0.3">
      <c r="A1946" t="s">
        <v>7</v>
      </c>
      <c r="B1946">
        <v>18978169</v>
      </c>
      <c r="C1946" t="s">
        <v>8</v>
      </c>
      <c r="D1946" s="4">
        <v>45966</v>
      </c>
      <c r="E1946" s="11">
        <f t="shared" si="120"/>
        <v>2025</v>
      </c>
      <c r="F1946" s="11">
        <f t="shared" si="121"/>
        <v>11</v>
      </c>
      <c r="G1946" s="11" t="str">
        <f t="shared" si="122"/>
        <v>202511</v>
      </c>
      <c r="H1946" s="4">
        <v>46055</v>
      </c>
      <c r="I1946" s="5">
        <v>89</v>
      </c>
      <c r="J1946" s="5">
        <v>2.9666666666666668</v>
      </c>
      <c r="K1946" s="5">
        <f t="shared" si="123"/>
        <v>0</v>
      </c>
      <c r="L1946" s="5">
        <v>1</v>
      </c>
      <c r="M1946" s="5">
        <v>1</v>
      </c>
      <c r="N1946" t="s">
        <v>9</v>
      </c>
      <c r="O1946" s="8">
        <v>32.31232876712329</v>
      </c>
      <c r="P1946" t="s">
        <v>35</v>
      </c>
      <c r="Q1946">
        <v>4</v>
      </c>
      <c r="R1946" s="2">
        <v>34172</v>
      </c>
    </row>
    <row r="1947" spans="1:18" x14ac:dyDescent="0.3">
      <c r="A1947" t="s">
        <v>7</v>
      </c>
      <c r="B1947">
        <v>18978170</v>
      </c>
      <c r="C1947" t="s">
        <v>8</v>
      </c>
      <c r="D1947" s="4">
        <v>45966</v>
      </c>
      <c r="E1947" s="11">
        <f t="shared" si="120"/>
        <v>2025</v>
      </c>
      <c r="F1947" s="11">
        <f t="shared" si="121"/>
        <v>11</v>
      </c>
      <c r="G1947" s="11" t="str">
        <f t="shared" si="122"/>
        <v>202511</v>
      </c>
      <c r="I1947" s="5">
        <v>9999</v>
      </c>
      <c r="J1947" s="5">
        <v>333.3</v>
      </c>
      <c r="K1947" s="5">
        <f t="shared" si="123"/>
        <v>0</v>
      </c>
      <c r="L1947" s="5">
        <v>0</v>
      </c>
      <c r="M1947" s="5">
        <v>0</v>
      </c>
      <c r="N1947" t="s">
        <v>12</v>
      </c>
      <c r="O1947" s="8">
        <v>25.410958904109588</v>
      </c>
      <c r="P1947" t="s">
        <v>33</v>
      </c>
      <c r="Q1947">
        <v>2</v>
      </c>
      <c r="R1947" s="2">
        <v>36691</v>
      </c>
    </row>
    <row r="1948" spans="1:18" x14ac:dyDescent="0.3">
      <c r="A1948" t="s">
        <v>7</v>
      </c>
      <c r="B1948">
        <v>18978171</v>
      </c>
      <c r="C1948" t="s">
        <v>8</v>
      </c>
      <c r="D1948" s="4">
        <v>45966</v>
      </c>
      <c r="E1948" s="11">
        <f t="shared" si="120"/>
        <v>2025</v>
      </c>
      <c r="F1948" s="11">
        <f t="shared" si="121"/>
        <v>11</v>
      </c>
      <c r="G1948" s="11" t="str">
        <f t="shared" si="122"/>
        <v>202511</v>
      </c>
      <c r="I1948" s="5">
        <v>9999</v>
      </c>
      <c r="J1948" s="5">
        <v>333.3</v>
      </c>
      <c r="K1948" s="5">
        <f t="shared" si="123"/>
        <v>0</v>
      </c>
      <c r="L1948" s="5">
        <v>0</v>
      </c>
      <c r="M1948" s="5">
        <v>0</v>
      </c>
      <c r="N1948" t="s">
        <v>12</v>
      </c>
      <c r="O1948" s="8">
        <v>21.304109589041097</v>
      </c>
      <c r="P1948" t="s">
        <v>33</v>
      </c>
      <c r="Q1948">
        <v>2</v>
      </c>
      <c r="R1948" s="2">
        <v>38190</v>
      </c>
    </row>
    <row r="1949" spans="1:18" x14ac:dyDescent="0.3">
      <c r="A1949" t="s">
        <v>7</v>
      </c>
      <c r="B1949">
        <v>18978203</v>
      </c>
      <c r="C1949" t="s">
        <v>8</v>
      </c>
      <c r="D1949" s="4">
        <v>45966</v>
      </c>
      <c r="E1949" s="11">
        <f t="shared" si="120"/>
        <v>2025</v>
      </c>
      <c r="F1949" s="11">
        <f t="shared" si="121"/>
        <v>11</v>
      </c>
      <c r="G1949" s="11" t="str">
        <f t="shared" si="122"/>
        <v>202511</v>
      </c>
      <c r="H1949" s="4">
        <v>46159</v>
      </c>
      <c r="I1949" s="5">
        <v>193</v>
      </c>
      <c r="J1949" s="5">
        <v>6.4333333333333336</v>
      </c>
      <c r="K1949" s="5">
        <f t="shared" si="123"/>
        <v>0</v>
      </c>
      <c r="L1949" s="5">
        <v>0</v>
      </c>
      <c r="M1949" s="5">
        <v>0</v>
      </c>
      <c r="N1949" t="s">
        <v>9</v>
      </c>
      <c r="O1949" s="8">
        <v>18.794520547945204</v>
      </c>
      <c r="P1949" t="s">
        <v>32</v>
      </c>
      <c r="Q1949">
        <v>1</v>
      </c>
      <c r="R1949" s="2">
        <v>39106</v>
      </c>
    </row>
    <row r="1950" spans="1:18" x14ac:dyDescent="0.3">
      <c r="A1950" t="s">
        <v>7</v>
      </c>
      <c r="B1950">
        <v>18978211</v>
      </c>
      <c r="C1950" t="s">
        <v>10</v>
      </c>
      <c r="D1950" s="4">
        <v>45966</v>
      </c>
      <c r="E1950" s="11">
        <f t="shared" si="120"/>
        <v>2025</v>
      </c>
      <c r="F1950" s="11">
        <f t="shared" si="121"/>
        <v>11</v>
      </c>
      <c r="G1950" s="11" t="str">
        <f t="shared" si="122"/>
        <v>202511</v>
      </c>
      <c r="H1950" s="4">
        <v>46026</v>
      </c>
      <c r="I1950" s="5">
        <v>60</v>
      </c>
      <c r="J1950" s="5">
        <v>2</v>
      </c>
      <c r="K1950" s="5">
        <f t="shared" si="123"/>
        <v>0</v>
      </c>
      <c r="L1950" s="5">
        <v>1</v>
      </c>
      <c r="M1950" s="5">
        <v>1</v>
      </c>
      <c r="N1950" t="s">
        <v>9</v>
      </c>
      <c r="O1950" s="8">
        <v>18.786301369863015</v>
      </c>
      <c r="P1950" t="s">
        <v>32</v>
      </c>
      <c r="Q1950">
        <v>1</v>
      </c>
      <c r="R1950" s="2">
        <v>39109</v>
      </c>
    </row>
    <row r="1951" spans="1:18" x14ac:dyDescent="0.3">
      <c r="A1951" t="s">
        <v>7</v>
      </c>
      <c r="B1951">
        <v>18978244</v>
      </c>
      <c r="C1951" t="s">
        <v>8</v>
      </c>
      <c r="D1951" s="4">
        <v>45966</v>
      </c>
      <c r="E1951" s="11">
        <f t="shared" si="120"/>
        <v>2025</v>
      </c>
      <c r="F1951" s="11">
        <f t="shared" si="121"/>
        <v>11</v>
      </c>
      <c r="G1951" s="11" t="str">
        <f t="shared" si="122"/>
        <v>202511</v>
      </c>
      <c r="I1951" s="5">
        <v>9999</v>
      </c>
      <c r="J1951" s="5">
        <v>333.3</v>
      </c>
      <c r="K1951" s="5">
        <f t="shared" si="123"/>
        <v>0</v>
      </c>
      <c r="L1951" s="5">
        <v>0</v>
      </c>
      <c r="M1951" s="5">
        <v>0</v>
      </c>
      <c r="N1951" t="s">
        <v>9</v>
      </c>
      <c r="O1951" s="8">
        <v>46.350684931506848</v>
      </c>
      <c r="P1951" t="s">
        <v>35</v>
      </c>
      <c r="Q1951">
        <v>4</v>
      </c>
      <c r="R1951" s="2">
        <v>29048</v>
      </c>
    </row>
    <row r="1952" spans="1:18" x14ac:dyDescent="0.3">
      <c r="A1952" t="s">
        <v>7</v>
      </c>
      <c r="B1952">
        <v>18978268</v>
      </c>
      <c r="C1952" t="s">
        <v>8</v>
      </c>
      <c r="D1952" s="4">
        <v>45967</v>
      </c>
      <c r="E1952" s="11">
        <f t="shared" si="120"/>
        <v>2025</v>
      </c>
      <c r="F1952" s="11">
        <f t="shared" si="121"/>
        <v>11</v>
      </c>
      <c r="G1952" s="11" t="str">
        <f t="shared" si="122"/>
        <v>202511</v>
      </c>
      <c r="I1952" s="5">
        <v>9999</v>
      </c>
      <c r="J1952" s="5">
        <v>333.3</v>
      </c>
      <c r="K1952" s="5">
        <f t="shared" si="123"/>
        <v>0</v>
      </c>
      <c r="L1952" s="5">
        <v>0</v>
      </c>
      <c r="M1952" s="5">
        <v>0</v>
      </c>
      <c r="N1952" t="s">
        <v>9</v>
      </c>
      <c r="O1952" s="8">
        <v>21.101369863013698</v>
      </c>
      <c r="P1952" t="s">
        <v>33</v>
      </c>
      <c r="Q1952">
        <v>2</v>
      </c>
      <c r="R1952" s="2">
        <v>38265</v>
      </c>
    </row>
    <row r="1953" spans="1:18" x14ac:dyDescent="0.3">
      <c r="A1953" t="s">
        <v>7</v>
      </c>
      <c r="B1953">
        <v>18978272</v>
      </c>
      <c r="C1953" t="s">
        <v>8</v>
      </c>
      <c r="D1953" s="4">
        <v>45967</v>
      </c>
      <c r="E1953" s="11">
        <f t="shared" si="120"/>
        <v>2025</v>
      </c>
      <c r="F1953" s="11">
        <f t="shared" si="121"/>
        <v>11</v>
      </c>
      <c r="G1953" s="11" t="str">
        <f t="shared" si="122"/>
        <v>202511</v>
      </c>
      <c r="H1953" s="4">
        <v>46025</v>
      </c>
      <c r="I1953" s="5">
        <v>58</v>
      </c>
      <c r="J1953" s="5">
        <v>1.9333333333333333</v>
      </c>
      <c r="K1953" s="5">
        <f t="shared" si="123"/>
        <v>0</v>
      </c>
      <c r="L1953" s="5">
        <v>1</v>
      </c>
      <c r="M1953" s="5">
        <v>1</v>
      </c>
      <c r="N1953" t="s">
        <v>9</v>
      </c>
      <c r="O1953" s="8">
        <v>25.643835616438356</v>
      </c>
      <c r="P1953" t="s">
        <v>33</v>
      </c>
      <c r="Q1953">
        <v>2</v>
      </c>
      <c r="R1953" s="2">
        <v>36607</v>
      </c>
    </row>
    <row r="1954" spans="1:18" x14ac:dyDescent="0.3">
      <c r="A1954" t="s">
        <v>7</v>
      </c>
      <c r="B1954">
        <v>18978273</v>
      </c>
      <c r="C1954" t="s">
        <v>8</v>
      </c>
      <c r="D1954" s="4">
        <v>45967</v>
      </c>
      <c r="E1954" s="11">
        <f t="shared" si="120"/>
        <v>2025</v>
      </c>
      <c r="F1954" s="11">
        <f t="shared" si="121"/>
        <v>11</v>
      </c>
      <c r="G1954" s="11" t="str">
        <f t="shared" si="122"/>
        <v>202511</v>
      </c>
      <c r="I1954" s="5">
        <v>9999</v>
      </c>
      <c r="J1954" s="5">
        <v>333.3</v>
      </c>
      <c r="K1954" s="5">
        <f t="shared" si="123"/>
        <v>0</v>
      </c>
      <c r="L1954" s="5">
        <v>0</v>
      </c>
      <c r="M1954" s="5">
        <v>0</v>
      </c>
      <c r="N1954" t="s">
        <v>9</v>
      </c>
      <c r="O1954" s="8">
        <v>20.153424657534245</v>
      </c>
      <c r="P1954" t="s">
        <v>32</v>
      </c>
      <c r="Q1954">
        <v>1</v>
      </c>
      <c r="R1954" s="2">
        <v>38611</v>
      </c>
    </row>
    <row r="1955" spans="1:18" x14ac:dyDescent="0.3">
      <c r="A1955" t="s">
        <v>7</v>
      </c>
      <c r="B1955">
        <v>18978313</v>
      </c>
      <c r="C1955" t="s">
        <v>8</v>
      </c>
      <c r="D1955" s="4">
        <v>45967</v>
      </c>
      <c r="E1955" s="11">
        <f t="shared" si="120"/>
        <v>2025</v>
      </c>
      <c r="F1955" s="11">
        <f t="shared" si="121"/>
        <v>11</v>
      </c>
      <c r="G1955" s="11" t="str">
        <f t="shared" si="122"/>
        <v>202511</v>
      </c>
      <c r="I1955" s="5">
        <v>9999</v>
      </c>
      <c r="J1955" s="5">
        <v>333.3</v>
      </c>
      <c r="K1955" s="5">
        <f t="shared" si="123"/>
        <v>0</v>
      </c>
      <c r="L1955" s="5">
        <v>0</v>
      </c>
      <c r="M1955" s="5">
        <v>0</v>
      </c>
      <c r="N1955" t="s">
        <v>9</v>
      </c>
      <c r="O1955" s="8">
        <v>30.386301369863013</v>
      </c>
      <c r="P1955" t="s">
        <v>34</v>
      </c>
      <c r="Q1955">
        <v>3</v>
      </c>
      <c r="R1955" s="2">
        <v>34876</v>
      </c>
    </row>
    <row r="1956" spans="1:18" x14ac:dyDescent="0.3">
      <c r="A1956" t="s">
        <v>7</v>
      </c>
      <c r="B1956">
        <v>18978314</v>
      </c>
      <c r="C1956" t="s">
        <v>8</v>
      </c>
      <c r="D1956" s="4">
        <v>45967</v>
      </c>
      <c r="E1956" s="11">
        <f t="shared" si="120"/>
        <v>2025</v>
      </c>
      <c r="F1956" s="11">
        <f t="shared" si="121"/>
        <v>11</v>
      </c>
      <c r="G1956" s="11" t="str">
        <f t="shared" si="122"/>
        <v>202511</v>
      </c>
      <c r="I1956" s="5">
        <v>9999</v>
      </c>
      <c r="J1956" s="5">
        <v>333.3</v>
      </c>
      <c r="K1956" s="5">
        <f t="shared" si="123"/>
        <v>0</v>
      </c>
      <c r="L1956" s="5">
        <v>0</v>
      </c>
      <c r="M1956" s="5">
        <v>0</v>
      </c>
      <c r="N1956" t="s">
        <v>9</v>
      </c>
      <c r="O1956" s="8">
        <v>19.282191780821918</v>
      </c>
      <c r="P1956" t="s">
        <v>32</v>
      </c>
      <c r="Q1956">
        <v>1</v>
      </c>
      <c r="R1956" s="2">
        <v>38929</v>
      </c>
    </row>
    <row r="1957" spans="1:18" x14ac:dyDescent="0.3">
      <c r="A1957" t="s">
        <v>7</v>
      </c>
      <c r="B1957">
        <v>18978315</v>
      </c>
      <c r="C1957" t="s">
        <v>8</v>
      </c>
      <c r="D1957" s="4">
        <v>45967</v>
      </c>
      <c r="E1957" s="11">
        <f t="shared" si="120"/>
        <v>2025</v>
      </c>
      <c r="F1957" s="11">
        <f t="shared" si="121"/>
        <v>11</v>
      </c>
      <c r="G1957" s="11" t="str">
        <f t="shared" si="122"/>
        <v>202511</v>
      </c>
      <c r="I1957" s="5">
        <v>9999</v>
      </c>
      <c r="J1957" s="5">
        <v>333.3</v>
      </c>
      <c r="K1957" s="5">
        <f t="shared" si="123"/>
        <v>0</v>
      </c>
      <c r="L1957" s="5">
        <v>0</v>
      </c>
      <c r="M1957" s="5">
        <v>0</v>
      </c>
      <c r="N1957" t="s">
        <v>9</v>
      </c>
      <c r="O1957" s="8">
        <v>20.465753424657535</v>
      </c>
      <c r="P1957" t="s">
        <v>32</v>
      </c>
      <c r="Q1957">
        <v>1</v>
      </c>
      <c r="R1957" s="2">
        <v>38497</v>
      </c>
    </row>
    <row r="1958" spans="1:18" x14ac:dyDescent="0.3">
      <c r="A1958" t="s">
        <v>7</v>
      </c>
      <c r="B1958">
        <v>18978381</v>
      </c>
      <c r="C1958" t="s">
        <v>8</v>
      </c>
      <c r="D1958" s="4">
        <v>45968</v>
      </c>
      <c r="E1958" s="11">
        <f t="shared" si="120"/>
        <v>2025</v>
      </c>
      <c r="F1958" s="11">
        <f t="shared" si="121"/>
        <v>11</v>
      </c>
      <c r="G1958" s="11" t="str">
        <f t="shared" si="122"/>
        <v>202511</v>
      </c>
      <c r="I1958" s="5">
        <v>9999</v>
      </c>
      <c r="J1958" s="5">
        <v>333.3</v>
      </c>
      <c r="K1958" s="5">
        <f t="shared" si="123"/>
        <v>0</v>
      </c>
      <c r="L1958" s="5">
        <v>0</v>
      </c>
      <c r="M1958" s="5">
        <v>0</v>
      </c>
      <c r="N1958" t="s">
        <v>12</v>
      </c>
      <c r="O1958" s="8">
        <v>35.753424657534246</v>
      </c>
      <c r="P1958" t="s">
        <v>35</v>
      </c>
      <c r="Q1958">
        <v>4</v>
      </c>
      <c r="R1958" s="2">
        <v>32918</v>
      </c>
    </row>
    <row r="1959" spans="1:18" x14ac:dyDescent="0.3">
      <c r="A1959" t="s">
        <v>7</v>
      </c>
      <c r="B1959">
        <v>18978392</v>
      </c>
      <c r="C1959" t="s">
        <v>8</v>
      </c>
      <c r="D1959" s="4">
        <v>45968</v>
      </c>
      <c r="E1959" s="11">
        <f t="shared" si="120"/>
        <v>2025</v>
      </c>
      <c r="F1959" s="11">
        <f t="shared" si="121"/>
        <v>11</v>
      </c>
      <c r="G1959" s="11" t="str">
        <f t="shared" si="122"/>
        <v>202511</v>
      </c>
      <c r="H1959" s="4">
        <v>46030</v>
      </c>
      <c r="I1959" s="5">
        <v>62</v>
      </c>
      <c r="J1959" s="5">
        <v>2.0666666666666669</v>
      </c>
      <c r="K1959" s="5">
        <f t="shared" si="123"/>
        <v>0</v>
      </c>
      <c r="L1959" s="5">
        <v>1</v>
      </c>
      <c r="M1959" s="5">
        <v>1</v>
      </c>
      <c r="N1959" t="s">
        <v>9</v>
      </c>
      <c r="O1959" s="8">
        <v>21.252054794520546</v>
      </c>
      <c r="P1959" t="s">
        <v>33</v>
      </c>
      <c r="Q1959">
        <v>2</v>
      </c>
      <c r="R1959" s="2">
        <v>38211</v>
      </c>
    </row>
    <row r="1960" spans="1:18" x14ac:dyDescent="0.3">
      <c r="A1960" t="s">
        <v>7</v>
      </c>
      <c r="B1960">
        <v>18978407</v>
      </c>
      <c r="C1960" t="s">
        <v>10</v>
      </c>
      <c r="D1960" s="4">
        <v>45968</v>
      </c>
      <c r="E1960" s="11">
        <f t="shared" si="120"/>
        <v>2025</v>
      </c>
      <c r="F1960" s="11">
        <f t="shared" si="121"/>
        <v>11</v>
      </c>
      <c r="G1960" s="11" t="str">
        <f t="shared" si="122"/>
        <v>202511</v>
      </c>
      <c r="H1960" s="4">
        <v>46097</v>
      </c>
      <c r="I1960" s="5">
        <v>129</v>
      </c>
      <c r="J1960" s="5">
        <v>4.3</v>
      </c>
      <c r="K1960" s="5">
        <f t="shared" si="123"/>
        <v>0</v>
      </c>
      <c r="L1960" s="5">
        <v>0</v>
      </c>
      <c r="M1960" s="5">
        <v>1</v>
      </c>
      <c r="N1960" t="s">
        <v>9</v>
      </c>
      <c r="O1960" s="8">
        <v>23.049315068493151</v>
      </c>
      <c r="P1960" t="s">
        <v>33</v>
      </c>
      <c r="Q1960">
        <v>2</v>
      </c>
      <c r="R1960" s="2">
        <v>37555</v>
      </c>
    </row>
    <row r="1961" spans="1:18" x14ac:dyDescent="0.3">
      <c r="A1961" t="s">
        <v>7</v>
      </c>
      <c r="B1961">
        <v>18978415</v>
      </c>
      <c r="C1961" t="s">
        <v>8</v>
      </c>
      <c r="D1961" s="4">
        <v>45968</v>
      </c>
      <c r="E1961" s="11">
        <f t="shared" si="120"/>
        <v>2025</v>
      </c>
      <c r="F1961" s="11">
        <f t="shared" si="121"/>
        <v>11</v>
      </c>
      <c r="G1961" s="11" t="str">
        <f t="shared" si="122"/>
        <v>202511</v>
      </c>
      <c r="I1961" s="5">
        <v>9999</v>
      </c>
      <c r="J1961" s="5">
        <v>333.3</v>
      </c>
      <c r="K1961" s="5">
        <f t="shared" si="123"/>
        <v>0</v>
      </c>
      <c r="L1961" s="5">
        <v>0</v>
      </c>
      <c r="M1961" s="5">
        <v>0</v>
      </c>
      <c r="N1961" t="s">
        <v>9</v>
      </c>
      <c r="O1961" s="8">
        <v>21.342465753424658</v>
      </c>
      <c r="P1961" t="s">
        <v>33</v>
      </c>
      <c r="Q1961">
        <v>2</v>
      </c>
      <c r="R1961" s="2">
        <v>38178</v>
      </c>
    </row>
    <row r="1962" spans="1:18" x14ac:dyDescent="0.3">
      <c r="A1962" t="s">
        <v>7</v>
      </c>
      <c r="B1962">
        <v>18978417</v>
      </c>
      <c r="C1962" t="s">
        <v>8</v>
      </c>
      <c r="D1962" s="4">
        <v>45968</v>
      </c>
      <c r="E1962" s="11">
        <f t="shared" si="120"/>
        <v>2025</v>
      </c>
      <c r="F1962" s="11">
        <f t="shared" si="121"/>
        <v>11</v>
      </c>
      <c r="G1962" s="11" t="str">
        <f t="shared" si="122"/>
        <v>202511</v>
      </c>
      <c r="I1962" s="5">
        <v>9999</v>
      </c>
      <c r="J1962" s="5">
        <v>333.3</v>
      </c>
      <c r="K1962" s="5">
        <f t="shared" si="123"/>
        <v>0</v>
      </c>
      <c r="L1962" s="5">
        <v>0</v>
      </c>
      <c r="M1962" s="5">
        <v>0</v>
      </c>
      <c r="N1962" t="s">
        <v>9</v>
      </c>
      <c r="O1962" s="8">
        <v>18.315068493150687</v>
      </c>
      <c r="P1962" t="s">
        <v>32</v>
      </c>
      <c r="Q1962">
        <v>1</v>
      </c>
      <c r="R1962" s="2">
        <v>39283</v>
      </c>
    </row>
    <row r="1963" spans="1:18" x14ac:dyDescent="0.3">
      <c r="A1963" t="s">
        <v>7</v>
      </c>
      <c r="B1963">
        <v>18978422</v>
      </c>
      <c r="C1963" t="s">
        <v>8</v>
      </c>
      <c r="D1963" s="4">
        <v>45968</v>
      </c>
      <c r="E1963" s="11">
        <f t="shared" si="120"/>
        <v>2025</v>
      </c>
      <c r="F1963" s="11">
        <f t="shared" si="121"/>
        <v>11</v>
      </c>
      <c r="G1963" s="11" t="str">
        <f t="shared" si="122"/>
        <v>202511</v>
      </c>
      <c r="I1963" s="5">
        <v>9999</v>
      </c>
      <c r="J1963" s="5">
        <v>333.3</v>
      </c>
      <c r="K1963" s="5">
        <f t="shared" si="123"/>
        <v>0</v>
      </c>
      <c r="L1963" s="5">
        <v>0</v>
      </c>
      <c r="M1963" s="5">
        <v>0</v>
      </c>
      <c r="N1963" t="s">
        <v>9</v>
      </c>
      <c r="O1963" s="8">
        <v>38.528767123287672</v>
      </c>
      <c r="P1963" t="s">
        <v>35</v>
      </c>
      <c r="Q1963">
        <v>4</v>
      </c>
      <c r="R1963" s="2">
        <v>31905</v>
      </c>
    </row>
    <row r="1964" spans="1:18" x14ac:dyDescent="0.3">
      <c r="A1964" t="s">
        <v>7</v>
      </c>
      <c r="B1964">
        <v>18978436</v>
      </c>
      <c r="C1964" t="s">
        <v>8</v>
      </c>
      <c r="D1964" s="4">
        <v>45968</v>
      </c>
      <c r="E1964" s="11">
        <f t="shared" si="120"/>
        <v>2025</v>
      </c>
      <c r="F1964" s="11">
        <f t="shared" si="121"/>
        <v>11</v>
      </c>
      <c r="G1964" s="11" t="str">
        <f t="shared" si="122"/>
        <v>202511</v>
      </c>
      <c r="H1964" s="4">
        <v>46173</v>
      </c>
      <c r="I1964" s="5">
        <v>205</v>
      </c>
      <c r="J1964" s="5">
        <v>6.833333333333333</v>
      </c>
      <c r="K1964" s="5">
        <f t="shared" si="123"/>
        <v>0</v>
      </c>
      <c r="L1964" s="5">
        <v>0</v>
      </c>
      <c r="M1964" s="5">
        <v>0</v>
      </c>
      <c r="N1964" t="s">
        <v>9</v>
      </c>
      <c r="O1964" s="8">
        <v>26.473972602739725</v>
      </c>
      <c r="P1964" t="s">
        <v>34</v>
      </c>
      <c r="Q1964">
        <v>3</v>
      </c>
      <c r="R1964" s="2">
        <v>36305</v>
      </c>
    </row>
    <row r="1965" spans="1:18" x14ac:dyDescent="0.3">
      <c r="A1965" t="s">
        <v>7</v>
      </c>
      <c r="B1965">
        <v>18978437</v>
      </c>
      <c r="C1965" t="s">
        <v>8</v>
      </c>
      <c r="D1965" s="4">
        <v>45968</v>
      </c>
      <c r="E1965" s="11">
        <f t="shared" si="120"/>
        <v>2025</v>
      </c>
      <c r="F1965" s="11">
        <f t="shared" si="121"/>
        <v>11</v>
      </c>
      <c r="G1965" s="11" t="str">
        <f t="shared" si="122"/>
        <v>202511</v>
      </c>
      <c r="I1965" s="5">
        <v>9999</v>
      </c>
      <c r="J1965" s="5">
        <v>333.3</v>
      </c>
      <c r="K1965" s="5">
        <f t="shared" si="123"/>
        <v>0</v>
      </c>
      <c r="L1965" s="5">
        <v>0</v>
      </c>
      <c r="M1965" s="5">
        <v>0</v>
      </c>
      <c r="N1965" t="s">
        <v>9</v>
      </c>
      <c r="O1965" s="8">
        <v>20.364383561643837</v>
      </c>
      <c r="P1965" t="s">
        <v>32</v>
      </c>
      <c r="Q1965">
        <v>1</v>
      </c>
      <c r="R1965" s="2">
        <v>38535</v>
      </c>
    </row>
    <row r="1966" spans="1:18" x14ac:dyDescent="0.3">
      <c r="A1966" t="s">
        <v>7</v>
      </c>
      <c r="B1966">
        <v>18978438</v>
      </c>
      <c r="C1966" t="s">
        <v>8</v>
      </c>
      <c r="D1966" s="4">
        <v>45968</v>
      </c>
      <c r="E1966" s="11">
        <f t="shared" si="120"/>
        <v>2025</v>
      </c>
      <c r="F1966" s="11">
        <f t="shared" si="121"/>
        <v>11</v>
      </c>
      <c r="G1966" s="11" t="str">
        <f t="shared" si="122"/>
        <v>202511</v>
      </c>
      <c r="I1966" s="5">
        <v>9999</v>
      </c>
      <c r="J1966" s="5">
        <v>333.3</v>
      </c>
      <c r="K1966" s="5">
        <f t="shared" si="123"/>
        <v>0</v>
      </c>
      <c r="L1966" s="5">
        <v>0</v>
      </c>
      <c r="M1966" s="5">
        <v>0</v>
      </c>
      <c r="N1966" t="s">
        <v>9</v>
      </c>
      <c r="O1966" s="8">
        <v>21.241095890410961</v>
      </c>
      <c r="P1966" t="s">
        <v>33</v>
      </c>
      <c r="Q1966">
        <v>2</v>
      </c>
      <c r="R1966" s="2">
        <v>38215</v>
      </c>
    </row>
    <row r="1967" spans="1:18" x14ac:dyDescent="0.3">
      <c r="A1967" t="s">
        <v>7</v>
      </c>
      <c r="B1967">
        <v>18978439</v>
      </c>
      <c r="C1967" t="s">
        <v>10</v>
      </c>
      <c r="D1967" s="4">
        <v>45968</v>
      </c>
      <c r="E1967" s="11">
        <f t="shared" si="120"/>
        <v>2025</v>
      </c>
      <c r="F1967" s="11">
        <f t="shared" si="121"/>
        <v>11</v>
      </c>
      <c r="G1967" s="11" t="str">
        <f t="shared" si="122"/>
        <v>202511</v>
      </c>
      <c r="I1967" s="5">
        <v>9999</v>
      </c>
      <c r="J1967" s="5">
        <v>333.3</v>
      </c>
      <c r="K1967" s="5">
        <f t="shared" si="123"/>
        <v>0</v>
      </c>
      <c r="L1967" s="5">
        <v>0</v>
      </c>
      <c r="M1967" s="5">
        <v>0</v>
      </c>
      <c r="N1967" t="s">
        <v>9</v>
      </c>
      <c r="O1967" s="8">
        <v>18.591780821917808</v>
      </c>
      <c r="P1967" t="s">
        <v>32</v>
      </c>
      <c r="Q1967">
        <v>1</v>
      </c>
      <c r="R1967" s="2">
        <v>39182</v>
      </c>
    </row>
    <row r="1968" spans="1:18" x14ac:dyDescent="0.3">
      <c r="A1968" t="s">
        <v>7</v>
      </c>
      <c r="B1968">
        <v>18978768</v>
      </c>
      <c r="C1968" t="s">
        <v>8</v>
      </c>
      <c r="D1968" s="4">
        <v>45971</v>
      </c>
      <c r="E1968" s="11">
        <f t="shared" si="120"/>
        <v>2025</v>
      </c>
      <c r="F1968" s="11">
        <f t="shared" si="121"/>
        <v>11</v>
      </c>
      <c r="G1968" s="11" t="str">
        <f t="shared" si="122"/>
        <v>202511</v>
      </c>
      <c r="H1968" s="4">
        <v>46096</v>
      </c>
      <c r="I1968" s="5">
        <v>125</v>
      </c>
      <c r="J1968" s="5">
        <v>4.166666666666667</v>
      </c>
      <c r="K1968" s="5">
        <f t="shared" si="123"/>
        <v>0</v>
      </c>
      <c r="L1968" s="5">
        <v>0</v>
      </c>
      <c r="M1968" s="5">
        <v>1</v>
      </c>
      <c r="N1968" t="s">
        <v>9</v>
      </c>
      <c r="O1968" s="8">
        <v>21.372602739726027</v>
      </c>
      <c r="P1968" t="s">
        <v>33</v>
      </c>
      <c r="Q1968">
        <v>2</v>
      </c>
      <c r="R1968" s="2">
        <v>38170</v>
      </c>
    </row>
    <row r="1969" spans="1:18" x14ac:dyDescent="0.3">
      <c r="A1969" t="s">
        <v>7</v>
      </c>
      <c r="B1969">
        <v>18978770</v>
      </c>
      <c r="C1969" t="s">
        <v>10</v>
      </c>
      <c r="D1969" s="4">
        <v>45968</v>
      </c>
      <c r="E1969" s="11">
        <f t="shared" si="120"/>
        <v>2025</v>
      </c>
      <c r="F1969" s="11">
        <f t="shared" si="121"/>
        <v>11</v>
      </c>
      <c r="G1969" s="11" t="str">
        <f t="shared" si="122"/>
        <v>202511</v>
      </c>
      <c r="I1969" s="5">
        <v>9999</v>
      </c>
      <c r="J1969" s="5">
        <v>333.3</v>
      </c>
      <c r="K1969" s="5">
        <f t="shared" si="123"/>
        <v>0</v>
      </c>
      <c r="L1969" s="5">
        <v>0</v>
      </c>
      <c r="M1969" s="5">
        <v>0</v>
      </c>
      <c r="N1969" t="s">
        <v>12</v>
      </c>
      <c r="O1969" s="8">
        <v>20.197260273972603</v>
      </c>
      <c r="P1969" t="s">
        <v>32</v>
      </c>
      <c r="Q1969">
        <v>1</v>
      </c>
      <c r="R1969" s="2">
        <v>38596</v>
      </c>
    </row>
    <row r="1970" spans="1:18" x14ac:dyDescent="0.3">
      <c r="A1970" t="s">
        <v>7</v>
      </c>
      <c r="B1970">
        <v>18978771</v>
      </c>
      <c r="C1970" t="s">
        <v>8</v>
      </c>
      <c r="D1970" s="4">
        <v>45968</v>
      </c>
      <c r="E1970" s="11">
        <f t="shared" si="120"/>
        <v>2025</v>
      </c>
      <c r="F1970" s="11">
        <f t="shared" si="121"/>
        <v>11</v>
      </c>
      <c r="G1970" s="11" t="str">
        <f t="shared" si="122"/>
        <v>202511</v>
      </c>
      <c r="H1970" s="4">
        <v>46122</v>
      </c>
      <c r="I1970" s="5">
        <v>154</v>
      </c>
      <c r="J1970" s="5">
        <v>5.1333333333333337</v>
      </c>
      <c r="K1970" s="5">
        <f t="shared" si="123"/>
        <v>0</v>
      </c>
      <c r="L1970" s="5">
        <v>0</v>
      </c>
      <c r="M1970" s="5">
        <v>1</v>
      </c>
      <c r="N1970" t="s">
        <v>12</v>
      </c>
      <c r="O1970" s="8">
        <v>21.353424657534248</v>
      </c>
      <c r="P1970" t="s">
        <v>33</v>
      </c>
      <c r="Q1970">
        <v>2</v>
      </c>
      <c r="R1970" s="2">
        <v>38174</v>
      </c>
    </row>
    <row r="1971" spans="1:18" x14ac:dyDescent="0.3">
      <c r="A1971" t="s">
        <v>7</v>
      </c>
      <c r="B1971">
        <v>18978774</v>
      </c>
      <c r="C1971" t="s">
        <v>8</v>
      </c>
      <c r="D1971" s="4">
        <v>45968</v>
      </c>
      <c r="E1971" s="11">
        <f t="shared" si="120"/>
        <v>2025</v>
      </c>
      <c r="F1971" s="11">
        <f t="shared" si="121"/>
        <v>11</v>
      </c>
      <c r="G1971" s="11" t="str">
        <f t="shared" si="122"/>
        <v>202511</v>
      </c>
      <c r="I1971" s="5">
        <v>9999</v>
      </c>
      <c r="J1971" s="5">
        <v>333.3</v>
      </c>
      <c r="K1971" s="5">
        <f t="shared" si="123"/>
        <v>0</v>
      </c>
      <c r="L1971" s="5">
        <v>0</v>
      </c>
      <c r="M1971" s="5">
        <v>0</v>
      </c>
      <c r="N1971" t="s">
        <v>9</v>
      </c>
      <c r="O1971" s="8">
        <v>18.32054794520548</v>
      </c>
      <c r="P1971" t="s">
        <v>32</v>
      </c>
      <c r="Q1971">
        <v>1</v>
      </c>
      <c r="R1971" s="2">
        <v>39281</v>
      </c>
    </row>
    <row r="1972" spans="1:18" x14ac:dyDescent="0.3">
      <c r="A1972" t="s">
        <v>7</v>
      </c>
      <c r="B1972">
        <v>18978789</v>
      </c>
      <c r="C1972" t="s">
        <v>8</v>
      </c>
      <c r="D1972" s="4">
        <v>45971</v>
      </c>
      <c r="E1972" s="11">
        <f t="shared" si="120"/>
        <v>2025</v>
      </c>
      <c r="F1972" s="11">
        <f t="shared" si="121"/>
        <v>11</v>
      </c>
      <c r="G1972" s="11" t="str">
        <f t="shared" si="122"/>
        <v>202511</v>
      </c>
      <c r="H1972" s="4">
        <v>46057</v>
      </c>
      <c r="I1972" s="5">
        <v>86</v>
      </c>
      <c r="J1972" s="5">
        <v>2.8666666666666667</v>
      </c>
      <c r="K1972" s="5">
        <f t="shared" si="123"/>
        <v>0</v>
      </c>
      <c r="L1972" s="5">
        <v>1</v>
      </c>
      <c r="M1972" s="5">
        <v>1</v>
      </c>
      <c r="N1972" t="s">
        <v>9</v>
      </c>
      <c r="O1972" s="8">
        <v>19.479452054794521</v>
      </c>
      <c r="P1972" t="s">
        <v>32</v>
      </c>
      <c r="Q1972">
        <v>1</v>
      </c>
      <c r="R1972" s="2">
        <v>38861</v>
      </c>
    </row>
    <row r="1973" spans="1:18" x14ac:dyDescent="0.3">
      <c r="A1973" t="s">
        <v>7</v>
      </c>
      <c r="B1973">
        <v>18978811</v>
      </c>
      <c r="C1973" t="s">
        <v>8</v>
      </c>
      <c r="D1973" s="4">
        <v>45971</v>
      </c>
      <c r="E1973" s="11">
        <f t="shared" si="120"/>
        <v>2025</v>
      </c>
      <c r="F1973" s="11">
        <f t="shared" si="121"/>
        <v>11</v>
      </c>
      <c r="G1973" s="11" t="str">
        <f t="shared" si="122"/>
        <v>202511</v>
      </c>
      <c r="I1973" s="5">
        <v>9999</v>
      </c>
      <c r="J1973" s="5">
        <v>333.3</v>
      </c>
      <c r="K1973" s="5">
        <f t="shared" si="123"/>
        <v>0</v>
      </c>
      <c r="L1973" s="5">
        <v>0</v>
      </c>
      <c r="M1973" s="5">
        <v>0</v>
      </c>
      <c r="N1973" t="s">
        <v>9</v>
      </c>
      <c r="O1973" s="8">
        <v>19.24931506849315</v>
      </c>
      <c r="P1973" t="s">
        <v>32</v>
      </c>
      <c r="Q1973">
        <v>1</v>
      </c>
      <c r="R1973" s="2">
        <v>38945</v>
      </c>
    </row>
    <row r="1974" spans="1:18" x14ac:dyDescent="0.3">
      <c r="A1974" t="s">
        <v>7</v>
      </c>
      <c r="B1974">
        <v>18978812</v>
      </c>
      <c r="C1974" t="s">
        <v>10</v>
      </c>
      <c r="D1974" s="4">
        <v>45971</v>
      </c>
      <c r="E1974" s="11">
        <f t="shared" si="120"/>
        <v>2025</v>
      </c>
      <c r="F1974" s="11">
        <f t="shared" si="121"/>
        <v>11</v>
      </c>
      <c r="G1974" s="11" t="str">
        <f t="shared" si="122"/>
        <v>202511</v>
      </c>
      <c r="H1974" s="4">
        <v>46001</v>
      </c>
      <c r="I1974" s="5">
        <v>30</v>
      </c>
      <c r="J1974" s="5">
        <v>1</v>
      </c>
      <c r="K1974" s="5">
        <f t="shared" si="123"/>
        <v>1</v>
      </c>
      <c r="L1974" s="5">
        <v>1</v>
      </c>
      <c r="M1974" s="5">
        <v>1</v>
      </c>
      <c r="N1974" t="s">
        <v>9</v>
      </c>
      <c r="O1974" s="8">
        <v>20.86849315068493</v>
      </c>
      <c r="P1974" t="s">
        <v>32</v>
      </c>
      <c r="Q1974">
        <v>1</v>
      </c>
      <c r="R1974" s="2">
        <v>38354</v>
      </c>
    </row>
    <row r="1975" spans="1:18" x14ac:dyDescent="0.3">
      <c r="A1975" t="s">
        <v>7</v>
      </c>
      <c r="B1975">
        <v>18978818</v>
      </c>
      <c r="C1975" t="s">
        <v>10</v>
      </c>
      <c r="D1975" s="4">
        <v>45971</v>
      </c>
      <c r="E1975" s="11">
        <f t="shared" si="120"/>
        <v>2025</v>
      </c>
      <c r="F1975" s="11">
        <f t="shared" si="121"/>
        <v>11</v>
      </c>
      <c r="G1975" s="11" t="str">
        <f t="shared" si="122"/>
        <v>202511</v>
      </c>
      <c r="I1975" s="5">
        <v>9999</v>
      </c>
      <c r="J1975" s="5">
        <v>333.3</v>
      </c>
      <c r="K1975" s="5">
        <f t="shared" si="123"/>
        <v>0</v>
      </c>
      <c r="L1975" s="5">
        <v>0</v>
      </c>
      <c r="M1975" s="5">
        <v>0</v>
      </c>
      <c r="N1975" t="s">
        <v>9</v>
      </c>
      <c r="O1975" s="8">
        <v>19.068493150684933</v>
      </c>
      <c r="P1975" t="s">
        <v>32</v>
      </c>
      <c r="Q1975">
        <v>1</v>
      </c>
      <c r="R1975" s="2">
        <v>39011</v>
      </c>
    </row>
    <row r="1976" spans="1:18" x14ac:dyDescent="0.3">
      <c r="A1976" t="s">
        <v>7</v>
      </c>
      <c r="B1976">
        <v>18978830</v>
      </c>
      <c r="C1976" t="s">
        <v>10</v>
      </c>
      <c r="D1976" s="4">
        <v>45971</v>
      </c>
      <c r="E1976" s="11">
        <f t="shared" si="120"/>
        <v>2025</v>
      </c>
      <c r="F1976" s="11">
        <f t="shared" si="121"/>
        <v>11</v>
      </c>
      <c r="G1976" s="11" t="str">
        <f t="shared" si="122"/>
        <v>202511</v>
      </c>
      <c r="H1976" s="4">
        <v>46001</v>
      </c>
      <c r="I1976" s="5">
        <v>30</v>
      </c>
      <c r="J1976" s="5">
        <v>1</v>
      </c>
      <c r="K1976" s="5">
        <f t="shared" si="123"/>
        <v>1</v>
      </c>
      <c r="L1976" s="5">
        <v>1</v>
      </c>
      <c r="M1976" s="5">
        <v>1</v>
      </c>
      <c r="N1976" t="s">
        <v>9</v>
      </c>
      <c r="O1976" s="8">
        <v>21.07123287671233</v>
      </c>
      <c r="P1976" t="s">
        <v>33</v>
      </c>
      <c r="Q1976">
        <v>2</v>
      </c>
      <c r="R1976" s="2">
        <v>38280</v>
      </c>
    </row>
    <row r="1977" spans="1:18" x14ac:dyDescent="0.3">
      <c r="A1977" t="s">
        <v>7</v>
      </c>
      <c r="B1977">
        <v>18978853</v>
      </c>
      <c r="C1977" t="s">
        <v>8</v>
      </c>
      <c r="D1977" s="4">
        <v>45971</v>
      </c>
      <c r="E1977" s="11">
        <f t="shared" si="120"/>
        <v>2025</v>
      </c>
      <c r="F1977" s="11">
        <f t="shared" si="121"/>
        <v>11</v>
      </c>
      <c r="G1977" s="11" t="str">
        <f t="shared" si="122"/>
        <v>202511</v>
      </c>
      <c r="I1977" s="5">
        <v>9999</v>
      </c>
      <c r="J1977" s="5">
        <v>333.3</v>
      </c>
      <c r="K1977" s="5">
        <f t="shared" si="123"/>
        <v>0</v>
      </c>
      <c r="L1977" s="5">
        <v>0</v>
      </c>
      <c r="M1977" s="5">
        <v>0</v>
      </c>
      <c r="N1977" t="s">
        <v>12</v>
      </c>
      <c r="O1977" s="8">
        <v>18.989041095890411</v>
      </c>
      <c r="P1977" t="s">
        <v>32</v>
      </c>
      <c r="Q1977">
        <v>1</v>
      </c>
      <c r="R1977" s="2">
        <v>39040</v>
      </c>
    </row>
    <row r="1978" spans="1:18" x14ac:dyDescent="0.3">
      <c r="A1978" t="s">
        <v>7</v>
      </c>
      <c r="B1978">
        <v>18978856</v>
      </c>
      <c r="C1978" t="s">
        <v>8</v>
      </c>
      <c r="D1978" s="4">
        <v>45971</v>
      </c>
      <c r="E1978" s="11">
        <f t="shared" si="120"/>
        <v>2025</v>
      </c>
      <c r="F1978" s="11">
        <f t="shared" si="121"/>
        <v>11</v>
      </c>
      <c r="G1978" s="11" t="str">
        <f t="shared" si="122"/>
        <v>202511</v>
      </c>
      <c r="H1978" s="4">
        <v>45991</v>
      </c>
      <c r="I1978" s="5">
        <v>20</v>
      </c>
      <c r="J1978" s="5">
        <v>0.66666666666666663</v>
      </c>
      <c r="K1978" s="5">
        <f t="shared" si="123"/>
        <v>1</v>
      </c>
      <c r="L1978" s="5">
        <v>1</v>
      </c>
      <c r="M1978" s="5">
        <v>1</v>
      </c>
      <c r="N1978" t="s">
        <v>9</v>
      </c>
      <c r="O1978" s="8">
        <v>21.698630136986303</v>
      </c>
      <c r="P1978" t="s">
        <v>33</v>
      </c>
      <c r="Q1978">
        <v>2</v>
      </c>
      <c r="R1978" s="2">
        <v>38051</v>
      </c>
    </row>
    <row r="1979" spans="1:18" x14ac:dyDescent="0.3">
      <c r="A1979" t="s">
        <v>7</v>
      </c>
      <c r="B1979">
        <v>18978936</v>
      </c>
      <c r="C1979" t="s">
        <v>8</v>
      </c>
      <c r="D1979" s="4">
        <v>45971</v>
      </c>
      <c r="E1979" s="11">
        <f t="shared" si="120"/>
        <v>2025</v>
      </c>
      <c r="F1979" s="11">
        <f t="shared" si="121"/>
        <v>11</v>
      </c>
      <c r="G1979" s="11" t="str">
        <f t="shared" si="122"/>
        <v>202511</v>
      </c>
      <c r="I1979" s="5">
        <v>9999</v>
      </c>
      <c r="J1979" s="5">
        <v>333.3</v>
      </c>
      <c r="K1979" s="5">
        <f t="shared" si="123"/>
        <v>0</v>
      </c>
      <c r="L1979" s="5">
        <v>0</v>
      </c>
      <c r="M1979" s="5">
        <v>0</v>
      </c>
      <c r="N1979" t="s">
        <v>12</v>
      </c>
      <c r="O1979" s="8">
        <v>20.583561643835615</v>
      </c>
      <c r="P1979" t="s">
        <v>32</v>
      </c>
      <c r="Q1979">
        <v>1</v>
      </c>
      <c r="R1979" s="2">
        <v>38458</v>
      </c>
    </row>
    <row r="1980" spans="1:18" x14ac:dyDescent="0.3">
      <c r="A1980" t="s">
        <v>7</v>
      </c>
      <c r="B1980">
        <v>18979206</v>
      </c>
      <c r="C1980" t="s">
        <v>8</v>
      </c>
      <c r="D1980" s="4">
        <v>45972</v>
      </c>
      <c r="E1980" s="11">
        <f t="shared" si="120"/>
        <v>2025</v>
      </c>
      <c r="F1980" s="11">
        <f t="shared" si="121"/>
        <v>11</v>
      </c>
      <c r="G1980" s="11" t="str">
        <f t="shared" si="122"/>
        <v>202511</v>
      </c>
      <c r="H1980" s="4">
        <v>45996</v>
      </c>
      <c r="I1980" s="5">
        <v>24</v>
      </c>
      <c r="J1980" s="5">
        <v>0.8</v>
      </c>
      <c r="K1980" s="5">
        <f t="shared" si="123"/>
        <v>1</v>
      </c>
      <c r="L1980" s="5">
        <v>1</v>
      </c>
      <c r="M1980" s="5">
        <v>1</v>
      </c>
      <c r="N1980" t="s">
        <v>9</v>
      </c>
      <c r="O1980" s="8">
        <v>25.523287671232875</v>
      </c>
      <c r="P1980" t="s">
        <v>33</v>
      </c>
      <c r="Q1980">
        <v>2</v>
      </c>
      <c r="R1980" s="2">
        <v>36656</v>
      </c>
    </row>
    <row r="1981" spans="1:18" x14ac:dyDescent="0.3">
      <c r="A1981" t="s">
        <v>7</v>
      </c>
      <c r="B1981">
        <v>18979229</v>
      </c>
      <c r="C1981" t="s">
        <v>10</v>
      </c>
      <c r="D1981" s="4">
        <v>45972</v>
      </c>
      <c r="E1981" s="11">
        <f t="shared" si="120"/>
        <v>2025</v>
      </c>
      <c r="F1981" s="11">
        <f t="shared" si="121"/>
        <v>11</v>
      </c>
      <c r="G1981" s="11" t="str">
        <f t="shared" si="122"/>
        <v>202511</v>
      </c>
      <c r="I1981" s="5">
        <v>9999</v>
      </c>
      <c r="J1981" s="5">
        <v>333.3</v>
      </c>
      <c r="K1981" s="5">
        <f t="shared" si="123"/>
        <v>0</v>
      </c>
      <c r="L1981" s="5">
        <v>0</v>
      </c>
      <c r="M1981" s="5">
        <v>0</v>
      </c>
      <c r="N1981" t="s">
        <v>9</v>
      </c>
      <c r="O1981" s="8">
        <v>21.794520547945204</v>
      </c>
      <c r="P1981" t="s">
        <v>33</v>
      </c>
      <c r="Q1981">
        <v>2</v>
      </c>
      <c r="R1981" s="2">
        <v>38017</v>
      </c>
    </row>
    <row r="1982" spans="1:18" x14ac:dyDescent="0.3">
      <c r="A1982" t="s">
        <v>7</v>
      </c>
      <c r="B1982">
        <v>18979231</v>
      </c>
      <c r="C1982" t="s">
        <v>8</v>
      </c>
      <c r="D1982" s="4">
        <v>45972</v>
      </c>
      <c r="E1982" s="11">
        <f t="shared" si="120"/>
        <v>2025</v>
      </c>
      <c r="F1982" s="11">
        <f t="shared" si="121"/>
        <v>11</v>
      </c>
      <c r="G1982" s="11" t="str">
        <f t="shared" si="122"/>
        <v>202511</v>
      </c>
      <c r="H1982" s="4">
        <v>46173</v>
      </c>
      <c r="I1982" s="5">
        <v>201</v>
      </c>
      <c r="J1982" s="5">
        <v>6.7</v>
      </c>
      <c r="K1982" s="5">
        <f t="shared" si="123"/>
        <v>0</v>
      </c>
      <c r="L1982" s="5">
        <v>0</v>
      </c>
      <c r="M1982" s="5">
        <v>0</v>
      </c>
      <c r="N1982" t="s">
        <v>9</v>
      </c>
      <c r="O1982" s="8">
        <v>25.484931506849314</v>
      </c>
      <c r="P1982" t="s">
        <v>33</v>
      </c>
      <c r="Q1982">
        <v>2</v>
      </c>
      <c r="R1982" s="2">
        <v>36670</v>
      </c>
    </row>
    <row r="1983" spans="1:18" x14ac:dyDescent="0.3">
      <c r="A1983" t="s">
        <v>7</v>
      </c>
      <c r="B1983">
        <v>18979233</v>
      </c>
      <c r="C1983" t="s">
        <v>8</v>
      </c>
      <c r="D1983" s="4">
        <v>45972</v>
      </c>
      <c r="E1983" s="11">
        <f t="shared" si="120"/>
        <v>2025</v>
      </c>
      <c r="F1983" s="11">
        <f t="shared" si="121"/>
        <v>11</v>
      </c>
      <c r="G1983" s="11" t="str">
        <f t="shared" si="122"/>
        <v>202511</v>
      </c>
      <c r="I1983" s="5">
        <v>9999</v>
      </c>
      <c r="J1983" s="5">
        <v>333.3</v>
      </c>
      <c r="K1983" s="5">
        <f t="shared" si="123"/>
        <v>0</v>
      </c>
      <c r="L1983" s="5">
        <v>0</v>
      </c>
      <c r="M1983" s="5">
        <v>0</v>
      </c>
      <c r="N1983" t="s">
        <v>9</v>
      </c>
      <c r="O1983" s="8">
        <v>20.345205479452055</v>
      </c>
      <c r="P1983" t="s">
        <v>32</v>
      </c>
      <c r="Q1983">
        <v>1</v>
      </c>
      <c r="R1983" s="2">
        <v>38546</v>
      </c>
    </row>
    <row r="1984" spans="1:18" x14ac:dyDescent="0.3">
      <c r="A1984" t="s">
        <v>7</v>
      </c>
      <c r="B1984">
        <v>18979257</v>
      </c>
      <c r="C1984" t="s">
        <v>10</v>
      </c>
      <c r="D1984" s="4">
        <v>45972</v>
      </c>
      <c r="E1984" s="11">
        <f t="shared" si="120"/>
        <v>2025</v>
      </c>
      <c r="F1984" s="11">
        <f t="shared" si="121"/>
        <v>11</v>
      </c>
      <c r="G1984" s="11" t="str">
        <f t="shared" si="122"/>
        <v>202511</v>
      </c>
      <c r="I1984" s="5">
        <v>9999</v>
      </c>
      <c r="J1984" s="5">
        <v>333.3</v>
      </c>
      <c r="K1984" s="5">
        <f t="shared" si="123"/>
        <v>0</v>
      </c>
      <c r="L1984" s="5">
        <v>0</v>
      </c>
      <c r="M1984" s="5">
        <v>0</v>
      </c>
      <c r="N1984" t="s">
        <v>9</v>
      </c>
      <c r="O1984" s="8">
        <v>32.742465753424661</v>
      </c>
      <c r="P1984" t="s">
        <v>35</v>
      </c>
      <c r="Q1984">
        <v>4</v>
      </c>
      <c r="R1984" s="2">
        <v>34021</v>
      </c>
    </row>
    <row r="1985" spans="1:18" x14ac:dyDescent="0.3">
      <c r="A1985" t="s">
        <v>7</v>
      </c>
      <c r="B1985">
        <v>18979258</v>
      </c>
      <c r="C1985" t="s">
        <v>8</v>
      </c>
      <c r="D1985" s="4">
        <v>45972</v>
      </c>
      <c r="E1985" s="11">
        <f t="shared" si="120"/>
        <v>2025</v>
      </c>
      <c r="F1985" s="11">
        <f t="shared" si="121"/>
        <v>11</v>
      </c>
      <c r="G1985" s="11" t="str">
        <f t="shared" si="122"/>
        <v>202511</v>
      </c>
      <c r="I1985" s="5">
        <v>9999</v>
      </c>
      <c r="J1985" s="5">
        <v>333.3</v>
      </c>
      <c r="K1985" s="5">
        <f t="shared" si="123"/>
        <v>0</v>
      </c>
      <c r="L1985" s="5">
        <v>0</v>
      </c>
      <c r="M1985" s="5">
        <v>0</v>
      </c>
      <c r="N1985" t="s">
        <v>9</v>
      </c>
      <c r="O1985" s="8">
        <v>22.227397260273971</v>
      </c>
      <c r="P1985" t="s">
        <v>33</v>
      </c>
      <c r="Q1985">
        <v>2</v>
      </c>
      <c r="R1985" s="2">
        <v>37859</v>
      </c>
    </row>
    <row r="1986" spans="1:18" x14ac:dyDescent="0.3">
      <c r="A1986" t="s">
        <v>7</v>
      </c>
      <c r="B1986">
        <v>18979260</v>
      </c>
      <c r="C1986" t="s">
        <v>8</v>
      </c>
      <c r="D1986" s="4">
        <v>45972</v>
      </c>
      <c r="E1986" s="11">
        <f t="shared" si="120"/>
        <v>2025</v>
      </c>
      <c r="F1986" s="11">
        <f t="shared" si="121"/>
        <v>11</v>
      </c>
      <c r="G1986" s="11" t="str">
        <f t="shared" si="122"/>
        <v>202511</v>
      </c>
      <c r="H1986" s="4">
        <v>46113</v>
      </c>
      <c r="I1986" s="5">
        <v>141</v>
      </c>
      <c r="J1986" s="5">
        <v>4.7</v>
      </c>
      <c r="K1986" s="5">
        <f t="shared" si="123"/>
        <v>0</v>
      </c>
      <c r="L1986" s="5">
        <v>0</v>
      </c>
      <c r="M1986" s="5">
        <v>1</v>
      </c>
      <c r="N1986" t="s">
        <v>12</v>
      </c>
      <c r="O1986" s="8">
        <v>33.904109589041099</v>
      </c>
      <c r="P1986" t="s">
        <v>35</v>
      </c>
      <c r="Q1986">
        <v>4</v>
      </c>
      <c r="R1986" s="2">
        <v>33597</v>
      </c>
    </row>
    <row r="1987" spans="1:18" x14ac:dyDescent="0.3">
      <c r="A1987" t="s">
        <v>7</v>
      </c>
      <c r="B1987">
        <v>18979338</v>
      </c>
      <c r="C1987" t="s">
        <v>10</v>
      </c>
      <c r="D1987" s="4">
        <v>46148</v>
      </c>
      <c r="E1987" s="11">
        <f t="shared" ref="E1987:E2050" si="124">+YEAR(D1987)</f>
        <v>2026</v>
      </c>
      <c r="F1987" s="11">
        <f t="shared" ref="F1987:F2050" si="125">+MONTH(D1987)</f>
        <v>5</v>
      </c>
      <c r="G1987" s="11" t="str">
        <f t="shared" ref="G1987:G2050" si="126">+TEXT(D1987, "yyymm")</f>
        <v>202605</v>
      </c>
      <c r="I1987" s="5">
        <v>9999</v>
      </c>
      <c r="J1987" s="5">
        <v>333.3</v>
      </c>
      <c r="K1987" s="5">
        <f t="shared" ref="K1987:K2050" si="127">IF(J1987&lt;=1,1,0)</f>
        <v>0</v>
      </c>
      <c r="L1987" s="5">
        <v>0</v>
      </c>
      <c r="M1987" s="5">
        <v>0</v>
      </c>
      <c r="N1987" t="s">
        <v>12</v>
      </c>
      <c r="O1987" s="8">
        <v>18.591780821917808</v>
      </c>
      <c r="P1987" t="s">
        <v>32</v>
      </c>
      <c r="Q1987">
        <v>1</v>
      </c>
      <c r="R1987" s="2">
        <v>39362</v>
      </c>
    </row>
    <row r="1988" spans="1:18" x14ac:dyDescent="0.3">
      <c r="A1988" t="s">
        <v>7</v>
      </c>
      <c r="B1988">
        <v>18979355</v>
      </c>
      <c r="C1988" t="s">
        <v>10</v>
      </c>
      <c r="D1988" s="4">
        <v>45973</v>
      </c>
      <c r="E1988" s="11">
        <f t="shared" si="124"/>
        <v>2025</v>
      </c>
      <c r="F1988" s="11">
        <f t="shared" si="125"/>
        <v>11</v>
      </c>
      <c r="G1988" s="11" t="str">
        <f t="shared" si="126"/>
        <v>202511</v>
      </c>
      <c r="H1988" s="4">
        <v>46113</v>
      </c>
      <c r="I1988" s="5">
        <v>140</v>
      </c>
      <c r="J1988" s="5">
        <v>4.666666666666667</v>
      </c>
      <c r="K1988" s="5">
        <f t="shared" si="127"/>
        <v>0</v>
      </c>
      <c r="L1988" s="5">
        <v>0</v>
      </c>
      <c r="M1988" s="5">
        <v>1</v>
      </c>
      <c r="N1988" t="s">
        <v>9</v>
      </c>
      <c r="O1988" s="8">
        <v>20.12054794520548</v>
      </c>
      <c r="P1988" t="s">
        <v>32</v>
      </c>
      <c r="Q1988">
        <v>1</v>
      </c>
      <c r="R1988" s="2">
        <v>38629</v>
      </c>
    </row>
    <row r="1989" spans="1:18" x14ac:dyDescent="0.3">
      <c r="A1989" t="s">
        <v>7</v>
      </c>
      <c r="B1989">
        <v>18979356</v>
      </c>
      <c r="C1989" t="s">
        <v>8</v>
      </c>
      <c r="D1989" s="4">
        <v>45973</v>
      </c>
      <c r="E1989" s="11">
        <f t="shared" si="124"/>
        <v>2025</v>
      </c>
      <c r="F1989" s="11">
        <f t="shared" si="125"/>
        <v>11</v>
      </c>
      <c r="G1989" s="11" t="str">
        <f t="shared" si="126"/>
        <v>202511</v>
      </c>
      <c r="I1989" s="5">
        <v>9999</v>
      </c>
      <c r="J1989" s="5">
        <v>333.3</v>
      </c>
      <c r="K1989" s="5">
        <f t="shared" si="127"/>
        <v>0</v>
      </c>
      <c r="L1989" s="5">
        <v>0</v>
      </c>
      <c r="M1989" s="5">
        <v>0</v>
      </c>
      <c r="N1989" t="s">
        <v>9</v>
      </c>
      <c r="O1989" s="8">
        <v>19.06027397260274</v>
      </c>
      <c r="P1989" t="s">
        <v>32</v>
      </c>
      <c r="Q1989">
        <v>1</v>
      </c>
      <c r="R1989" s="2">
        <v>39016</v>
      </c>
    </row>
    <row r="1990" spans="1:18" x14ac:dyDescent="0.3">
      <c r="A1990" t="s">
        <v>7</v>
      </c>
      <c r="B1990">
        <v>18979381</v>
      </c>
      <c r="C1990" t="s">
        <v>10</v>
      </c>
      <c r="D1990" s="4">
        <v>45973</v>
      </c>
      <c r="E1990" s="11">
        <f t="shared" si="124"/>
        <v>2025</v>
      </c>
      <c r="F1990" s="11">
        <f t="shared" si="125"/>
        <v>11</v>
      </c>
      <c r="G1990" s="11" t="str">
        <f t="shared" si="126"/>
        <v>202511</v>
      </c>
      <c r="H1990" s="4">
        <v>46034</v>
      </c>
      <c r="I1990" s="5">
        <v>61</v>
      </c>
      <c r="J1990" s="5">
        <v>2.0333333333333332</v>
      </c>
      <c r="K1990" s="5">
        <f t="shared" si="127"/>
        <v>0</v>
      </c>
      <c r="L1990" s="5">
        <v>1</v>
      </c>
      <c r="M1990" s="5">
        <v>1</v>
      </c>
      <c r="N1990" t="s">
        <v>9</v>
      </c>
      <c r="O1990" s="8">
        <v>23.460273972602739</v>
      </c>
      <c r="P1990" t="s">
        <v>33</v>
      </c>
      <c r="Q1990">
        <v>2</v>
      </c>
      <c r="R1990" s="2">
        <v>37410</v>
      </c>
    </row>
    <row r="1991" spans="1:18" x14ac:dyDescent="0.3">
      <c r="A1991" t="s">
        <v>7</v>
      </c>
      <c r="B1991">
        <v>18979382</v>
      </c>
      <c r="C1991" t="s">
        <v>8</v>
      </c>
      <c r="D1991" s="4">
        <v>45973</v>
      </c>
      <c r="E1991" s="11">
        <f t="shared" si="124"/>
        <v>2025</v>
      </c>
      <c r="F1991" s="11">
        <f t="shared" si="125"/>
        <v>11</v>
      </c>
      <c r="G1991" s="11" t="str">
        <f t="shared" si="126"/>
        <v>202511</v>
      </c>
      <c r="H1991" s="4">
        <v>45974</v>
      </c>
      <c r="I1991" s="5">
        <v>1</v>
      </c>
      <c r="J1991" s="5">
        <v>3.3333333333333333E-2</v>
      </c>
      <c r="K1991" s="5">
        <f t="shared" si="127"/>
        <v>1</v>
      </c>
      <c r="L1991" s="5">
        <v>1</v>
      </c>
      <c r="M1991" s="5">
        <v>1</v>
      </c>
      <c r="N1991" t="s">
        <v>9</v>
      </c>
      <c r="O1991" s="8">
        <v>20.632876712328766</v>
      </c>
      <c r="P1991" t="s">
        <v>32</v>
      </c>
      <c r="Q1991">
        <v>1</v>
      </c>
      <c r="R1991" s="2">
        <v>38442</v>
      </c>
    </row>
    <row r="1992" spans="1:18" x14ac:dyDescent="0.3">
      <c r="A1992" t="s">
        <v>7</v>
      </c>
      <c r="B1992">
        <v>18979435</v>
      </c>
      <c r="C1992" t="s">
        <v>8</v>
      </c>
      <c r="D1992" s="4">
        <v>45973</v>
      </c>
      <c r="E1992" s="11">
        <f t="shared" si="124"/>
        <v>2025</v>
      </c>
      <c r="F1992" s="11">
        <f t="shared" si="125"/>
        <v>11</v>
      </c>
      <c r="G1992" s="11" t="str">
        <f t="shared" si="126"/>
        <v>202511</v>
      </c>
      <c r="H1992" s="4">
        <v>45991</v>
      </c>
      <c r="I1992" s="5">
        <v>18</v>
      </c>
      <c r="J1992" s="5">
        <v>0.6</v>
      </c>
      <c r="K1992" s="5">
        <f t="shared" si="127"/>
        <v>1</v>
      </c>
      <c r="L1992" s="5">
        <v>1</v>
      </c>
      <c r="M1992" s="5">
        <v>1</v>
      </c>
      <c r="N1992" t="s">
        <v>12</v>
      </c>
      <c r="O1992" s="8">
        <v>22.676712328767124</v>
      </c>
      <c r="P1992" t="s">
        <v>33</v>
      </c>
      <c r="Q1992">
        <v>2</v>
      </c>
      <c r="R1992" s="2">
        <v>37696</v>
      </c>
    </row>
    <row r="1993" spans="1:18" x14ac:dyDescent="0.3">
      <c r="A1993" t="s">
        <v>7</v>
      </c>
      <c r="B1993">
        <v>18979445</v>
      </c>
      <c r="C1993" t="s">
        <v>8</v>
      </c>
      <c r="D1993" s="4">
        <v>45973</v>
      </c>
      <c r="E1993" s="11">
        <f t="shared" si="124"/>
        <v>2025</v>
      </c>
      <c r="F1993" s="11">
        <f t="shared" si="125"/>
        <v>11</v>
      </c>
      <c r="G1993" s="11" t="str">
        <f t="shared" si="126"/>
        <v>202511</v>
      </c>
      <c r="H1993" s="4">
        <v>46040</v>
      </c>
      <c r="I1993" s="5">
        <v>67</v>
      </c>
      <c r="J1993" s="5">
        <v>2.2333333333333334</v>
      </c>
      <c r="K1993" s="5">
        <f t="shared" si="127"/>
        <v>0</v>
      </c>
      <c r="L1993" s="5">
        <v>1</v>
      </c>
      <c r="M1993" s="5">
        <v>1</v>
      </c>
      <c r="N1993" t="s">
        <v>9</v>
      </c>
      <c r="O1993" s="8">
        <v>21.832876712328765</v>
      </c>
      <c r="P1993" t="s">
        <v>33</v>
      </c>
      <c r="Q1993">
        <v>2</v>
      </c>
      <c r="R1993" s="2">
        <v>38004</v>
      </c>
    </row>
    <row r="1994" spans="1:18" x14ac:dyDescent="0.3">
      <c r="A1994" t="s">
        <v>7</v>
      </c>
      <c r="B1994">
        <v>18979517</v>
      </c>
      <c r="C1994" t="s">
        <v>10</v>
      </c>
      <c r="D1994" s="4">
        <v>45973</v>
      </c>
      <c r="E1994" s="11">
        <f t="shared" si="124"/>
        <v>2025</v>
      </c>
      <c r="F1994" s="11">
        <f t="shared" si="125"/>
        <v>11</v>
      </c>
      <c r="G1994" s="11" t="str">
        <f t="shared" si="126"/>
        <v>202511</v>
      </c>
      <c r="I1994" s="5">
        <v>9999</v>
      </c>
      <c r="J1994" s="5">
        <v>333.3</v>
      </c>
      <c r="K1994" s="5">
        <f t="shared" si="127"/>
        <v>0</v>
      </c>
      <c r="L1994" s="5">
        <v>0</v>
      </c>
      <c r="M1994" s="5">
        <v>0</v>
      </c>
      <c r="N1994" t="s">
        <v>12</v>
      </c>
      <c r="O1994" s="8">
        <v>24.654794520547945</v>
      </c>
      <c r="P1994" t="s">
        <v>33</v>
      </c>
      <c r="Q1994">
        <v>2</v>
      </c>
      <c r="R1994" s="2">
        <v>36974</v>
      </c>
    </row>
    <row r="1995" spans="1:18" x14ac:dyDescent="0.3">
      <c r="A1995" t="s">
        <v>7</v>
      </c>
      <c r="B1995">
        <v>18979533</v>
      </c>
      <c r="C1995" t="s">
        <v>8</v>
      </c>
      <c r="D1995" s="4">
        <v>45973</v>
      </c>
      <c r="E1995" s="11">
        <f t="shared" si="124"/>
        <v>2025</v>
      </c>
      <c r="F1995" s="11">
        <f t="shared" si="125"/>
        <v>11</v>
      </c>
      <c r="G1995" s="11" t="str">
        <f t="shared" si="126"/>
        <v>202511</v>
      </c>
      <c r="I1995" s="5">
        <v>9999</v>
      </c>
      <c r="J1995" s="5">
        <v>333.3</v>
      </c>
      <c r="K1995" s="5">
        <f t="shared" si="127"/>
        <v>0</v>
      </c>
      <c r="L1995" s="5">
        <v>0</v>
      </c>
      <c r="M1995" s="5">
        <v>0</v>
      </c>
      <c r="N1995" t="s">
        <v>12</v>
      </c>
      <c r="O1995" s="8">
        <v>20.591780821917808</v>
      </c>
      <c r="P1995" t="s">
        <v>32</v>
      </c>
      <c r="Q1995">
        <v>1</v>
      </c>
      <c r="R1995" s="2">
        <v>38457</v>
      </c>
    </row>
    <row r="1996" spans="1:18" x14ac:dyDescent="0.3">
      <c r="A1996" t="s">
        <v>7</v>
      </c>
      <c r="B1996">
        <v>18979556</v>
      </c>
      <c r="C1996" t="s">
        <v>8</v>
      </c>
      <c r="D1996" s="4">
        <v>45973</v>
      </c>
      <c r="E1996" s="11">
        <f t="shared" si="124"/>
        <v>2025</v>
      </c>
      <c r="F1996" s="11">
        <f t="shared" si="125"/>
        <v>11</v>
      </c>
      <c r="G1996" s="11" t="str">
        <f t="shared" si="126"/>
        <v>202511</v>
      </c>
      <c r="H1996" s="4">
        <v>45974</v>
      </c>
      <c r="I1996" s="5">
        <v>1</v>
      </c>
      <c r="J1996" s="5">
        <v>3.3333333333333333E-2</v>
      </c>
      <c r="K1996" s="5">
        <f t="shared" si="127"/>
        <v>1</v>
      </c>
      <c r="L1996" s="5">
        <v>1</v>
      </c>
      <c r="M1996" s="5">
        <v>1</v>
      </c>
      <c r="N1996" t="s">
        <v>12</v>
      </c>
      <c r="O1996" s="8">
        <v>24.950684931506849</v>
      </c>
      <c r="P1996" t="s">
        <v>33</v>
      </c>
      <c r="Q1996">
        <v>2</v>
      </c>
      <c r="R1996" s="2">
        <v>36866</v>
      </c>
    </row>
    <row r="1997" spans="1:18" x14ac:dyDescent="0.3">
      <c r="A1997" t="s">
        <v>7</v>
      </c>
      <c r="B1997">
        <v>18979572</v>
      </c>
      <c r="C1997" t="s">
        <v>8</v>
      </c>
      <c r="D1997" s="4">
        <v>45973</v>
      </c>
      <c r="E1997" s="11">
        <f t="shared" si="124"/>
        <v>2025</v>
      </c>
      <c r="F1997" s="11">
        <f t="shared" si="125"/>
        <v>11</v>
      </c>
      <c r="G1997" s="11" t="str">
        <f t="shared" si="126"/>
        <v>202511</v>
      </c>
      <c r="H1997" s="4">
        <v>45974</v>
      </c>
      <c r="I1997" s="5">
        <v>1</v>
      </c>
      <c r="J1997" s="5">
        <v>3.3333333333333333E-2</v>
      </c>
      <c r="K1997" s="5">
        <f t="shared" si="127"/>
        <v>1</v>
      </c>
      <c r="L1997" s="5">
        <v>1</v>
      </c>
      <c r="M1997" s="5">
        <v>1</v>
      </c>
      <c r="N1997" t="s">
        <v>12</v>
      </c>
      <c r="O1997" s="8">
        <v>19.624657534246577</v>
      </c>
      <c r="P1997" t="s">
        <v>32</v>
      </c>
      <c r="Q1997">
        <v>1</v>
      </c>
      <c r="R1997" s="2">
        <v>38810</v>
      </c>
    </row>
    <row r="1998" spans="1:18" x14ac:dyDescent="0.3">
      <c r="A1998" t="s">
        <v>7</v>
      </c>
      <c r="B1998">
        <v>18979573</v>
      </c>
      <c r="C1998" t="s">
        <v>8</v>
      </c>
      <c r="D1998" s="4">
        <v>45973</v>
      </c>
      <c r="E1998" s="11">
        <f t="shared" si="124"/>
        <v>2025</v>
      </c>
      <c r="F1998" s="11">
        <f t="shared" si="125"/>
        <v>11</v>
      </c>
      <c r="G1998" s="11" t="str">
        <f t="shared" si="126"/>
        <v>202511</v>
      </c>
      <c r="H1998" s="4">
        <v>46053</v>
      </c>
      <c r="I1998" s="5">
        <v>80</v>
      </c>
      <c r="J1998" s="5">
        <v>2.6666666666666665</v>
      </c>
      <c r="K1998" s="5">
        <f t="shared" si="127"/>
        <v>0</v>
      </c>
      <c r="L1998" s="5">
        <v>1</v>
      </c>
      <c r="M1998" s="5">
        <v>1</v>
      </c>
      <c r="N1998" t="s">
        <v>12</v>
      </c>
      <c r="O1998" s="8">
        <v>20.339726027397262</v>
      </c>
      <c r="P1998" t="s">
        <v>32</v>
      </c>
      <c r="Q1998">
        <v>1</v>
      </c>
      <c r="R1998" s="2">
        <v>38549</v>
      </c>
    </row>
    <row r="1999" spans="1:18" x14ac:dyDescent="0.3">
      <c r="A1999" t="s">
        <v>7</v>
      </c>
      <c r="B1999">
        <v>18979586</v>
      </c>
      <c r="C1999" t="s">
        <v>8</v>
      </c>
      <c r="D1999" s="4">
        <v>45973</v>
      </c>
      <c r="E1999" s="11">
        <f t="shared" si="124"/>
        <v>2025</v>
      </c>
      <c r="F1999" s="11">
        <f t="shared" si="125"/>
        <v>11</v>
      </c>
      <c r="G1999" s="11" t="str">
        <f t="shared" si="126"/>
        <v>202511</v>
      </c>
      <c r="H1999" s="4">
        <v>46113</v>
      </c>
      <c r="I1999" s="5">
        <v>140</v>
      </c>
      <c r="J1999" s="5">
        <v>4.666666666666667</v>
      </c>
      <c r="K1999" s="5">
        <f t="shared" si="127"/>
        <v>0</v>
      </c>
      <c r="L1999" s="5">
        <v>0</v>
      </c>
      <c r="M1999" s="5">
        <v>1</v>
      </c>
      <c r="N1999" t="s">
        <v>9</v>
      </c>
      <c r="O1999" s="8">
        <v>21.350684931506848</v>
      </c>
      <c r="P1999" t="s">
        <v>33</v>
      </c>
      <c r="Q1999">
        <v>2</v>
      </c>
      <c r="R1999" s="2">
        <v>38180</v>
      </c>
    </row>
    <row r="2000" spans="1:18" x14ac:dyDescent="0.3">
      <c r="A2000" t="s">
        <v>7</v>
      </c>
      <c r="B2000">
        <v>18979587</v>
      </c>
      <c r="C2000" t="s">
        <v>10</v>
      </c>
      <c r="D2000" s="4">
        <v>45973</v>
      </c>
      <c r="E2000" s="11">
        <f t="shared" si="124"/>
        <v>2025</v>
      </c>
      <c r="F2000" s="11">
        <f t="shared" si="125"/>
        <v>11</v>
      </c>
      <c r="G2000" s="11" t="str">
        <f t="shared" si="126"/>
        <v>202511</v>
      </c>
      <c r="I2000" s="5">
        <v>9999</v>
      </c>
      <c r="J2000" s="5">
        <v>333.3</v>
      </c>
      <c r="K2000" s="5">
        <f t="shared" si="127"/>
        <v>0</v>
      </c>
      <c r="L2000" s="5">
        <v>0</v>
      </c>
      <c r="M2000" s="5">
        <v>0</v>
      </c>
      <c r="N2000" t="s">
        <v>12</v>
      </c>
      <c r="O2000" s="8">
        <v>19.723287671232878</v>
      </c>
      <c r="P2000" t="s">
        <v>32</v>
      </c>
      <c r="Q2000">
        <v>1</v>
      </c>
      <c r="R2000" s="2">
        <v>38774</v>
      </c>
    </row>
    <row r="2001" spans="1:18" x14ac:dyDescent="0.3">
      <c r="A2001" t="s">
        <v>7</v>
      </c>
      <c r="B2001">
        <v>18979713</v>
      </c>
      <c r="C2001" t="s">
        <v>8</v>
      </c>
      <c r="D2001" s="4">
        <v>45974</v>
      </c>
      <c r="E2001" s="11">
        <f t="shared" si="124"/>
        <v>2025</v>
      </c>
      <c r="F2001" s="11">
        <f t="shared" si="125"/>
        <v>11</v>
      </c>
      <c r="G2001" s="11" t="str">
        <f t="shared" si="126"/>
        <v>202511</v>
      </c>
      <c r="I2001" s="5">
        <v>9999</v>
      </c>
      <c r="J2001" s="5">
        <v>333.3</v>
      </c>
      <c r="K2001" s="5">
        <f t="shared" si="127"/>
        <v>0</v>
      </c>
      <c r="L2001" s="5">
        <v>0</v>
      </c>
      <c r="M2001" s="5">
        <v>0</v>
      </c>
      <c r="N2001" t="s">
        <v>12</v>
      </c>
      <c r="O2001" s="8">
        <v>22.964383561643835</v>
      </c>
      <c r="P2001" t="s">
        <v>33</v>
      </c>
      <c r="Q2001">
        <v>2</v>
      </c>
      <c r="R2001" s="2">
        <v>37592</v>
      </c>
    </row>
    <row r="2002" spans="1:18" x14ac:dyDescent="0.3">
      <c r="A2002" t="s">
        <v>7</v>
      </c>
      <c r="B2002">
        <v>18979714</v>
      </c>
      <c r="C2002" t="s">
        <v>8</v>
      </c>
      <c r="D2002" s="4">
        <v>45974</v>
      </c>
      <c r="E2002" s="11">
        <f t="shared" si="124"/>
        <v>2025</v>
      </c>
      <c r="F2002" s="11">
        <f t="shared" si="125"/>
        <v>11</v>
      </c>
      <c r="G2002" s="11" t="str">
        <f t="shared" si="126"/>
        <v>202511</v>
      </c>
      <c r="H2002" s="4">
        <v>46054</v>
      </c>
      <c r="I2002" s="5">
        <v>80</v>
      </c>
      <c r="J2002" s="5">
        <v>2.6666666666666665</v>
      </c>
      <c r="K2002" s="5">
        <f t="shared" si="127"/>
        <v>0</v>
      </c>
      <c r="L2002" s="5">
        <v>1</v>
      </c>
      <c r="M2002" s="5">
        <v>1</v>
      </c>
      <c r="N2002" t="s">
        <v>12</v>
      </c>
      <c r="O2002" s="8">
        <v>23.158904109589042</v>
      </c>
      <c r="P2002" t="s">
        <v>33</v>
      </c>
      <c r="Q2002">
        <v>2</v>
      </c>
      <c r="R2002" s="2">
        <v>37521</v>
      </c>
    </row>
    <row r="2003" spans="1:18" x14ac:dyDescent="0.3">
      <c r="A2003" t="s">
        <v>7</v>
      </c>
      <c r="B2003">
        <v>18979715</v>
      </c>
      <c r="C2003" t="s">
        <v>8</v>
      </c>
      <c r="D2003" s="4">
        <v>45974</v>
      </c>
      <c r="E2003" s="11">
        <f t="shared" si="124"/>
        <v>2025</v>
      </c>
      <c r="F2003" s="11">
        <f t="shared" si="125"/>
        <v>11</v>
      </c>
      <c r="G2003" s="11" t="str">
        <f t="shared" si="126"/>
        <v>202511</v>
      </c>
      <c r="I2003" s="5">
        <v>9999</v>
      </c>
      <c r="J2003" s="5">
        <v>333.3</v>
      </c>
      <c r="K2003" s="5">
        <f t="shared" si="127"/>
        <v>0</v>
      </c>
      <c r="L2003" s="5">
        <v>0</v>
      </c>
      <c r="M2003" s="5">
        <v>0</v>
      </c>
      <c r="N2003" t="s">
        <v>9</v>
      </c>
      <c r="O2003" s="8">
        <v>18.336986301369862</v>
      </c>
      <c r="P2003" t="s">
        <v>32</v>
      </c>
      <c r="Q2003">
        <v>1</v>
      </c>
      <c r="R2003" s="2">
        <v>39281</v>
      </c>
    </row>
    <row r="2004" spans="1:18" x14ac:dyDescent="0.3">
      <c r="A2004" t="s">
        <v>7</v>
      </c>
      <c r="B2004">
        <v>18979716</v>
      </c>
      <c r="C2004" t="s">
        <v>8</v>
      </c>
      <c r="D2004" s="4">
        <v>45974</v>
      </c>
      <c r="E2004" s="11">
        <f t="shared" si="124"/>
        <v>2025</v>
      </c>
      <c r="F2004" s="11">
        <f t="shared" si="125"/>
        <v>11</v>
      </c>
      <c r="G2004" s="11" t="str">
        <f t="shared" si="126"/>
        <v>202511</v>
      </c>
      <c r="I2004" s="5">
        <v>9999</v>
      </c>
      <c r="J2004" s="5">
        <v>333.3</v>
      </c>
      <c r="K2004" s="5">
        <f t="shared" si="127"/>
        <v>0</v>
      </c>
      <c r="L2004" s="5">
        <v>0</v>
      </c>
      <c r="M2004" s="5">
        <v>0</v>
      </c>
      <c r="N2004" t="s">
        <v>12</v>
      </c>
      <c r="O2004" s="8">
        <v>23.030136986301368</v>
      </c>
      <c r="P2004" t="s">
        <v>33</v>
      </c>
      <c r="Q2004">
        <v>2</v>
      </c>
      <c r="R2004" s="2">
        <v>37568</v>
      </c>
    </row>
    <row r="2005" spans="1:18" x14ac:dyDescent="0.3">
      <c r="A2005" t="s">
        <v>7</v>
      </c>
      <c r="B2005">
        <v>18979727</v>
      </c>
      <c r="C2005" t="s">
        <v>8</v>
      </c>
      <c r="D2005" s="4">
        <v>45974</v>
      </c>
      <c r="E2005" s="11">
        <f t="shared" si="124"/>
        <v>2025</v>
      </c>
      <c r="F2005" s="11">
        <f t="shared" si="125"/>
        <v>11</v>
      </c>
      <c r="G2005" s="11" t="str">
        <f t="shared" si="126"/>
        <v>202511</v>
      </c>
      <c r="I2005" s="5">
        <v>9999</v>
      </c>
      <c r="J2005" s="5">
        <v>333.3</v>
      </c>
      <c r="K2005" s="5">
        <f t="shared" si="127"/>
        <v>0</v>
      </c>
      <c r="L2005" s="5">
        <v>0</v>
      </c>
      <c r="M2005" s="5">
        <v>0</v>
      </c>
      <c r="N2005" t="s">
        <v>9</v>
      </c>
      <c r="O2005" s="8">
        <v>18.490410958904111</v>
      </c>
      <c r="P2005" t="s">
        <v>32</v>
      </c>
      <c r="Q2005">
        <v>1</v>
      </c>
      <c r="R2005" s="2">
        <v>39225</v>
      </c>
    </row>
    <row r="2006" spans="1:18" x14ac:dyDescent="0.3">
      <c r="A2006" t="s">
        <v>7</v>
      </c>
      <c r="B2006">
        <v>18979732</v>
      </c>
      <c r="C2006" t="s">
        <v>8</v>
      </c>
      <c r="D2006" s="4">
        <v>45974</v>
      </c>
      <c r="E2006" s="11">
        <f t="shared" si="124"/>
        <v>2025</v>
      </c>
      <c r="F2006" s="11">
        <f t="shared" si="125"/>
        <v>11</v>
      </c>
      <c r="G2006" s="11" t="str">
        <f t="shared" si="126"/>
        <v>202511</v>
      </c>
      <c r="I2006" s="5">
        <v>9999</v>
      </c>
      <c r="J2006" s="5">
        <v>333.3</v>
      </c>
      <c r="K2006" s="5">
        <f t="shared" si="127"/>
        <v>0</v>
      </c>
      <c r="L2006" s="5">
        <v>0</v>
      </c>
      <c r="M2006" s="5">
        <v>0</v>
      </c>
      <c r="N2006" t="s">
        <v>9</v>
      </c>
      <c r="O2006" s="8">
        <v>22.550684931506851</v>
      </c>
      <c r="P2006" t="s">
        <v>33</v>
      </c>
      <c r="Q2006">
        <v>2</v>
      </c>
      <c r="R2006" s="2">
        <v>37743</v>
      </c>
    </row>
    <row r="2007" spans="1:18" x14ac:dyDescent="0.3">
      <c r="A2007" t="s">
        <v>7</v>
      </c>
      <c r="B2007">
        <v>18979733</v>
      </c>
      <c r="C2007" t="s">
        <v>10</v>
      </c>
      <c r="D2007" s="4">
        <v>45974</v>
      </c>
      <c r="E2007" s="11">
        <f t="shared" si="124"/>
        <v>2025</v>
      </c>
      <c r="F2007" s="11">
        <f t="shared" si="125"/>
        <v>11</v>
      </c>
      <c r="G2007" s="11" t="str">
        <f t="shared" si="126"/>
        <v>202511</v>
      </c>
      <c r="I2007" s="5">
        <v>9999</v>
      </c>
      <c r="J2007" s="5">
        <v>333.3</v>
      </c>
      <c r="K2007" s="5">
        <f t="shared" si="127"/>
        <v>0</v>
      </c>
      <c r="L2007" s="5">
        <v>0</v>
      </c>
      <c r="M2007" s="5">
        <v>0</v>
      </c>
      <c r="N2007" t="s">
        <v>9</v>
      </c>
      <c r="O2007" s="8">
        <v>18.463013698630139</v>
      </c>
      <c r="P2007" t="s">
        <v>32</v>
      </c>
      <c r="Q2007">
        <v>1</v>
      </c>
      <c r="R2007" s="2">
        <v>39235</v>
      </c>
    </row>
    <row r="2008" spans="1:18" x14ac:dyDescent="0.3">
      <c r="A2008" t="s">
        <v>7</v>
      </c>
      <c r="B2008">
        <v>18979734</v>
      </c>
      <c r="C2008" t="s">
        <v>10</v>
      </c>
      <c r="D2008" s="4">
        <v>45974</v>
      </c>
      <c r="E2008" s="11">
        <f t="shared" si="124"/>
        <v>2025</v>
      </c>
      <c r="F2008" s="11">
        <f t="shared" si="125"/>
        <v>11</v>
      </c>
      <c r="G2008" s="11" t="str">
        <f t="shared" si="126"/>
        <v>202511</v>
      </c>
      <c r="I2008" s="5">
        <v>9999</v>
      </c>
      <c r="J2008" s="5">
        <v>333.3</v>
      </c>
      <c r="K2008" s="5">
        <f t="shared" si="127"/>
        <v>0</v>
      </c>
      <c r="L2008" s="5">
        <v>0</v>
      </c>
      <c r="M2008" s="5">
        <v>0</v>
      </c>
      <c r="N2008" t="s">
        <v>9</v>
      </c>
      <c r="O2008" s="8">
        <v>18.052054794520547</v>
      </c>
      <c r="P2008" t="s">
        <v>32</v>
      </c>
      <c r="Q2008">
        <v>1</v>
      </c>
      <c r="R2008" s="2">
        <v>39385</v>
      </c>
    </row>
    <row r="2009" spans="1:18" x14ac:dyDescent="0.3">
      <c r="A2009" t="s">
        <v>7</v>
      </c>
      <c r="B2009">
        <v>18979736</v>
      </c>
      <c r="C2009" t="s">
        <v>8</v>
      </c>
      <c r="D2009" s="4">
        <v>45974</v>
      </c>
      <c r="E2009" s="11">
        <f t="shared" si="124"/>
        <v>2025</v>
      </c>
      <c r="F2009" s="11">
        <f t="shared" si="125"/>
        <v>11</v>
      </c>
      <c r="G2009" s="11" t="str">
        <f t="shared" si="126"/>
        <v>202511</v>
      </c>
      <c r="H2009" s="4">
        <v>45979</v>
      </c>
      <c r="I2009" s="5">
        <v>5</v>
      </c>
      <c r="J2009" s="5">
        <v>0.16666666666666666</v>
      </c>
      <c r="K2009" s="5">
        <f t="shared" si="127"/>
        <v>1</v>
      </c>
      <c r="L2009" s="5">
        <v>1</v>
      </c>
      <c r="M2009" s="5">
        <v>1</v>
      </c>
      <c r="N2009" t="s">
        <v>9</v>
      </c>
      <c r="O2009" s="8">
        <v>25.660273972602738</v>
      </c>
      <c r="P2009" t="s">
        <v>33</v>
      </c>
      <c r="Q2009">
        <v>2</v>
      </c>
      <c r="R2009" s="2">
        <v>36608</v>
      </c>
    </row>
    <row r="2010" spans="1:18" x14ac:dyDescent="0.3">
      <c r="A2010" t="s">
        <v>7</v>
      </c>
      <c r="B2010">
        <v>18979742</v>
      </c>
      <c r="C2010" t="s">
        <v>10</v>
      </c>
      <c r="D2010" s="4">
        <v>45974</v>
      </c>
      <c r="E2010" s="11">
        <f t="shared" si="124"/>
        <v>2025</v>
      </c>
      <c r="F2010" s="11">
        <f t="shared" si="125"/>
        <v>11</v>
      </c>
      <c r="G2010" s="11" t="str">
        <f t="shared" si="126"/>
        <v>202511</v>
      </c>
      <c r="I2010" s="5">
        <v>9999</v>
      </c>
      <c r="J2010" s="5">
        <v>333.3</v>
      </c>
      <c r="K2010" s="5">
        <f t="shared" si="127"/>
        <v>0</v>
      </c>
      <c r="L2010" s="5">
        <v>0</v>
      </c>
      <c r="M2010" s="5">
        <v>0</v>
      </c>
      <c r="N2010" t="s">
        <v>12</v>
      </c>
      <c r="O2010" s="8">
        <v>23.12876712328767</v>
      </c>
      <c r="P2010" t="s">
        <v>33</v>
      </c>
      <c r="Q2010">
        <v>2</v>
      </c>
      <c r="R2010" s="2">
        <v>37532</v>
      </c>
    </row>
    <row r="2011" spans="1:18" x14ac:dyDescent="0.3">
      <c r="A2011" t="s">
        <v>7</v>
      </c>
      <c r="B2011">
        <v>18979743</v>
      </c>
      <c r="C2011" t="s">
        <v>8</v>
      </c>
      <c r="D2011" s="4">
        <v>45974</v>
      </c>
      <c r="E2011" s="11">
        <f t="shared" si="124"/>
        <v>2025</v>
      </c>
      <c r="F2011" s="11">
        <f t="shared" si="125"/>
        <v>11</v>
      </c>
      <c r="G2011" s="11" t="str">
        <f t="shared" si="126"/>
        <v>202511</v>
      </c>
      <c r="H2011" s="4">
        <v>46112</v>
      </c>
      <c r="I2011" s="5">
        <v>138</v>
      </c>
      <c r="J2011" s="5">
        <v>4.5999999999999996</v>
      </c>
      <c r="K2011" s="5">
        <f t="shared" si="127"/>
        <v>0</v>
      </c>
      <c r="L2011" s="5">
        <v>0</v>
      </c>
      <c r="M2011" s="5">
        <v>1</v>
      </c>
      <c r="N2011" t="s">
        <v>12</v>
      </c>
      <c r="O2011" s="8">
        <v>23.106849315068494</v>
      </c>
      <c r="P2011" t="s">
        <v>33</v>
      </c>
      <c r="Q2011">
        <v>2</v>
      </c>
      <c r="R2011" s="2">
        <v>37540</v>
      </c>
    </row>
    <row r="2012" spans="1:18" x14ac:dyDescent="0.3">
      <c r="A2012" t="s">
        <v>7</v>
      </c>
      <c r="B2012">
        <v>18979744</v>
      </c>
      <c r="C2012" t="s">
        <v>8</v>
      </c>
      <c r="D2012" s="4">
        <v>45974</v>
      </c>
      <c r="E2012" s="11">
        <f t="shared" si="124"/>
        <v>2025</v>
      </c>
      <c r="F2012" s="11">
        <f t="shared" si="125"/>
        <v>11</v>
      </c>
      <c r="G2012" s="11" t="str">
        <f t="shared" si="126"/>
        <v>202511</v>
      </c>
      <c r="H2012" s="4">
        <v>46029</v>
      </c>
      <c r="I2012" s="5">
        <v>55</v>
      </c>
      <c r="J2012" s="5">
        <v>1.8333333333333333</v>
      </c>
      <c r="K2012" s="5">
        <f t="shared" si="127"/>
        <v>0</v>
      </c>
      <c r="L2012" s="5">
        <v>1</v>
      </c>
      <c r="M2012" s="5">
        <v>1</v>
      </c>
      <c r="N2012" t="s">
        <v>12</v>
      </c>
      <c r="O2012" s="8">
        <v>30.778082191780822</v>
      </c>
      <c r="P2012" t="s">
        <v>34</v>
      </c>
      <c r="Q2012">
        <v>3</v>
      </c>
      <c r="R2012" s="2">
        <v>34740</v>
      </c>
    </row>
    <row r="2013" spans="1:18" x14ac:dyDescent="0.3">
      <c r="A2013" t="s">
        <v>7</v>
      </c>
      <c r="B2013">
        <v>18979745</v>
      </c>
      <c r="C2013" t="s">
        <v>8</v>
      </c>
      <c r="D2013" s="4">
        <v>45974</v>
      </c>
      <c r="E2013" s="11">
        <f t="shared" si="124"/>
        <v>2025</v>
      </c>
      <c r="F2013" s="11">
        <f t="shared" si="125"/>
        <v>11</v>
      </c>
      <c r="G2013" s="11" t="str">
        <f t="shared" si="126"/>
        <v>202511</v>
      </c>
      <c r="H2013" s="4">
        <v>46024</v>
      </c>
      <c r="I2013" s="5">
        <v>50</v>
      </c>
      <c r="J2013" s="5">
        <v>1.6666666666666667</v>
      </c>
      <c r="K2013" s="5">
        <f t="shared" si="127"/>
        <v>0</v>
      </c>
      <c r="L2013" s="5">
        <v>1</v>
      </c>
      <c r="M2013" s="5">
        <v>1</v>
      </c>
      <c r="N2013" t="s">
        <v>12</v>
      </c>
      <c r="O2013" s="8">
        <v>19.493150684931507</v>
      </c>
      <c r="P2013" t="s">
        <v>32</v>
      </c>
      <c r="Q2013">
        <v>1</v>
      </c>
      <c r="R2013" s="2">
        <v>38859</v>
      </c>
    </row>
    <row r="2014" spans="1:18" x14ac:dyDescent="0.3">
      <c r="A2014" t="s">
        <v>7</v>
      </c>
      <c r="B2014">
        <v>18979753</v>
      </c>
      <c r="C2014" t="s">
        <v>8</v>
      </c>
      <c r="D2014" s="4">
        <v>45974</v>
      </c>
      <c r="E2014" s="11">
        <f t="shared" si="124"/>
        <v>2025</v>
      </c>
      <c r="F2014" s="11">
        <f t="shared" si="125"/>
        <v>11</v>
      </c>
      <c r="G2014" s="11" t="str">
        <f t="shared" si="126"/>
        <v>202511</v>
      </c>
      <c r="H2014" s="4">
        <v>46034</v>
      </c>
      <c r="I2014" s="5">
        <v>60</v>
      </c>
      <c r="J2014" s="5">
        <v>2</v>
      </c>
      <c r="K2014" s="5">
        <f t="shared" si="127"/>
        <v>0</v>
      </c>
      <c r="L2014" s="5">
        <v>1</v>
      </c>
      <c r="M2014" s="5">
        <v>1</v>
      </c>
      <c r="N2014" t="s">
        <v>12</v>
      </c>
      <c r="O2014" s="8">
        <v>20.383561643835616</v>
      </c>
      <c r="P2014" t="s">
        <v>32</v>
      </c>
      <c r="Q2014">
        <v>1</v>
      </c>
      <c r="R2014" s="2">
        <v>38534</v>
      </c>
    </row>
    <row r="2015" spans="1:18" x14ac:dyDescent="0.3">
      <c r="A2015" t="s">
        <v>7</v>
      </c>
      <c r="B2015">
        <v>18979754</v>
      </c>
      <c r="C2015" t="s">
        <v>8</v>
      </c>
      <c r="D2015" s="4">
        <v>45974</v>
      </c>
      <c r="E2015" s="11">
        <f t="shared" si="124"/>
        <v>2025</v>
      </c>
      <c r="F2015" s="11">
        <f t="shared" si="125"/>
        <v>11</v>
      </c>
      <c r="G2015" s="11" t="str">
        <f t="shared" si="126"/>
        <v>202511</v>
      </c>
      <c r="H2015" s="4">
        <v>46082</v>
      </c>
      <c r="I2015" s="5">
        <v>108</v>
      </c>
      <c r="J2015" s="5">
        <v>3.6</v>
      </c>
      <c r="K2015" s="5">
        <f t="shared" si="127"/>
        <v>0</v>
      </c>
      <c r="L2015" s="5">
        <v>0</v>
      </c>
      <c r="M2015" s="5">
        <v>1</v>
      </c>
      <c r="N2015" t="s">
        <v>12</v>
      </c>
      <c r="O2015" s="8">
        <v>21.504109589041096</v>
      </c>
      <c r="P2015" t="s">
        <v>33</v>
      </c>
      <c r="Q2015">
        <v>2</v>
      </c>
      <c r="R2015" s="2">
        <v>38125</v>
      </c>
    </row>
    <row r="2016" spans="1:18" x14ac:dyDescent="0.3">
      <c r="A2016" t="s">
        <v>7</v>
      </c>
      <c r="B2016">
        <v>18979785</v>
      </c>
      <c r="C2016" t="s">
        <v>8</v>
      </c>
      <c r="D2016" s="4">
        <v>45974</v>
      </c>
      <c r="E2016" s="11">
        <f t="shared" si="124"/>
        <v>2025</v>
      </c>
      <c r="F2016" s="11">
        <f t="shared" si="125"/>
        <v>11</v>
      </c>
      <c r="G2016" s="11" t="str">
        <f t="shared" si="126"/>
        <v>202511</v>
      </c>
      <c r="I2016" s="5">
        <v>9999</v>
      </c>
      <c r="J2016" s="5">
        <v>333.3</v>
      </c>
      <c r="K2016" s="5">
        <f t="shared" si="127"/>
        <v>0</v>
      </c>
      <c r="L2016" s="5">
        <v>0</v>
      </c>
      <c r="M2016" s="5">
        <v>0</v>
      </c>
      <c r="N2016" t="s">
        <v>9</v>
      </c>
      <c r="O2016" s="8">
        <v>22.175342465753424</v>
      </c>
      <c r="P2016" t="s">
        <v>33</v>
      </c>
      <c r="Q2016">
        <v>2</v>
      </c>
      <c r="R2016" s="2">
        <v>37880</v>
      </c>
    </row>
    <row r="2017" spans="1:18" x14ac:dyDescent="0.3">
      <c r="A2017" t="s">
        <v>7</v>
      </c>
      <c r="B2017">
        <v>18979789</v>
      </c>
      <c r="C2017" t="s">
        <v>8</v>
      </c>
      <c r="D2017" s="4">
        <v>45974</v>
      </c>
      <c r="E2017" s="11">
        <f t="shared" si="124"/>
        <v>2025</v>
      </c>
      <c r="F2017" s="11">
        <f t="shared" si="125"/>
        <v>11</v>
      </c>
      <c r="G2017" s="11" t="str">
        <f t="shared" si="126"/>
        <v>202511</v>
      </c>
      <c r="H2017" s="4">
        <v>46062</v>
      </c>
      <c r="I2017" s="5">
        <v>88</v>
      </c>
      <c r="J2017" s="5">
        <v>2.9333333333333331</v>
      </c>
      <c r="K2017" s="5">
        <f t="shared" si="127"/>
        <v>0</v>
      </c>
      <c r="L2017" s="5">
        <v>1</v>
      </c>
      <c r="M2017" s="5">
        <v>1</v>
      </c>
      <c r="N2017" t="s">
        <v>9</v>
      </c>
      <c r="O2017" s="8">
        <v>19.32054794520548</v>
      </c>
      <c r="P2017" t="s">
        <v>32</v>
      </c>
      <c r="Q2017">
        <v>1</v>
      </c>
      <c r="R2017" s="2">
        <v>38922</v>
      </c>
    </row>
    <row r="2018" spans="1:18" x14ac:dyDescent="0.3">
      <c r="A2018" t="s">
        <v>7</v>
      </c>
      <c r="B2018">
        <v>18979872</v>
      </c>
      <c r="C2018" t="s">
        <v>10</v>
      </c>
      <c r="D2018" s="4">
        <v>45975</v>
      </c>
      <c r="E2018" s="11">
        <f t="shared" si="124"/>
        <v>2025</v>
      </c>
      <c r="F2018" s="11">
        <f t="shared" si="125"/>
        <v>11</v>
      </c>
      <c r="G2018" s="11" t="str">
        <f t="shared" si="126"/>
        <v>202511</v>
      </c>
      <c r="H2018" s="4">
        <v>46113</v>
      </c>
      <c r="I2018" s="5">
        <v>138</v>
      </c>
      <c r="J2018" s="5">
        <v>4.5999999999999996</v>
      </c>
      <c r="K2018" s="5">
        <f t="shared" si="127"/>
        <v>0</v>
      </c>
      <c r="L2018" s="5">
        <v>0</v>
      </c>
      <c r="M2018" s="5">
        <v>1</v>
      </c>
      <c r="N2018" t="s">
        <v>9</v>
      </c>
      <c r="O2018" s="8">
        <v>20.38082191780822</v>
      </c>
      <c r="P2018" t="s">
        <v>32</v>
      </c>
      <c r="Q2018">
        <v>1</v>
      </c>
      <c r="R2018" s="2">
        <v>38536</v>
      </c>
    </row>
    <row r="2019" spans="1:18" x14ac:dyDescent="0.3">
      <c r="A2019" t="s">
        <v>7</v>
      </c>
      <c r="B2019">
        <v>18979888</v>
      </c>
      <c r="C2019" t="s">
        <v>10</v>
      </c>
      <c r="D2019" s="4">
        <v>45975</v>
      </c>
      <c r="E2019" s="11">
        <f t="shared" si="124"/>
        <v>2025</v>
      </c>
      <c r="F2019" s="11">
        <f t="shared" si="125"/>
        <v>11</v>
      </c>
      <c r="G2019" s="11" t="str">
        <f t="shared" si="126"/>
        <v>202511</v>
      </c>
      <c r="I2019" s="5">
        <v>9999</v>
      </c>
      <c r="J2019" s="5">
        <v>333.3</v>
      </c>
      <c r="K2019" s="5">
        <f t="shared" si="127"/>
        <v>0</v>
      </c>
      <c r="L2019" s="5">
        <v>0</v>
      </c>
      <c r="M2019" s="5">
        <v>0</v>
      </c>
      <c r="N2019" t="s">
        <v>12</v>
      </c>
      <c r="O2019" s="8">
        <v>19.432876712328767</v>
      </c>
      <c r="P2019" t="s">
        <v>32</v>
      </c>
      <c r="Q2019">
        <v>1</v>
      </c>
      <c r="R2019" s="2">
        <v>38882</v>
      </c>
    </row>
    <row r="2020" spans="1:18" x14ac:dyDescent="0.3">
      <c r="A2020" t="s">
        <v>7</v>
      </c>
      <c r="B2020">
        <v>18979892</v>
      </c>
      <c r="C2020" t="s">
        <v>8</v>
      </c>
      <c r="D2020" s="4">
        <v>45975</v>
      </c>
      <c r="E2020" s="11">
        <f t="shared" si="124"/>
        <v>2025</v>
      </c>
      <c r="F2020" s="11">
        <f t="shared" si="125"/>
        <v>11</v>
      </c>
      <c r="G2020" s="11" t="str">
        <f t="shared" si="126"/>
        <v>202511</v>
      </c>
      <c r="I2020" s="5">
        <v>9999</v>
      </c>
      <c r="J2020" s="5">
        <v>333.3</v>
      </c>
      <c r="K2020" s="5">
        <f t="shared" si="127"/>
        <v>0</v>
      </c>
      <c r="L2020" s="5">
        <v>0</v>
      </c>
      <c r="M2020" s="5">
        <v>0</v>
      </c>
      <c r="N2020" t="s">
        <v>9</v>
      </c>
      <c r="O2020" s="8">
        <v>30.293150684931508</v>
      </c>
      <c r="P2020" t="s">
        <v>34</v>
      </c>
      <c r="Q2020">
        <v>3</v>
      </c>
      <c r="R2020" s="2">
        <v>34918</v>
      </c>
    </row>
    <row r="2021" spans="1:18" x14ac:dyDescent="0.3">
      <c r="A2021" t="s">
        <v>7</v>
      </c>
      <c r="B2021">
        <v>18979893</v>
      </c>
      <c r="C2021" t="s">
        <v>8</v>
      </c>
      <c r="D2021" s="4">
        <v>45975</v>
      </c>
      <c r="E2021" s="11">
        <f t="shared" si="124"/>
        <v>2025</v>
      </c>
      <c r="F2021" s="11">
        <f t="shared" si="125"/>
        <v>11</v>
      </c>
      <c r="G2021" s="11" t="str">
        <f t="shared" si="126"/>
        <v>202511</v>
      </c>
      <c r="H2021" s="4">
        <v>46065</v>
      </c>
      <c r="I2021" s="5">
        <v>90</v>
      </c>
      <c r="J2021" s="5">
        <v>3</v>
      </c>
      <c r="K2021" s="5">
        <f t="shared" si="127"/>
        <v>0</v>
      </c>
      <c r="L2021" s="5">
        <v>1</v>
      </c>
      <c r="M2021" s="5">
        <v>1</v>
      </c>
      <c r="N2021" t="s">
        <v>9</v>
      </c>
      <c r="O2021" s="8">
        <v>20.616438356164384</v>
      </c>
      <c r="P2021" t="s">
        <v>32</v>
      </c>
      <c r="Q2021">
        <v>1</v>
      </c>
      <c r="R2021" s="2">
        <v>38450</v>
      </c>
    </row>
    <row r="2022" spans="1:18" x14ac:dyDescent="0.3">
      <c r="A2022" t="s">
        <v>7</v>
      </c>
      <c r="B2022">
        <v>18979895</v>
      </c>
      <c r="C2022" t="s">
        <v>8</v>
      </c>
      <c r="D2022" s="4">
        <v>45975</v>
      </c>
      <c r="E2022" s="11">
        <f t="shared" si="124"/>
        <v>2025</v>
      </c>
      <c r="F2022" s="11">
        <f t="shared" si="125"/>
        <v>11</v>
      </c>
      <c r="G2022" s="11" t="str">
        <f t="shared" si="126"/>
        <v>202511</v>
      </c>
      <c r="H2022" s="4">
        <v>46028</v>
      </c>
      <c r="I2022" s="5">
        <v>53</v>
      </c>
      <c r="J2022" s="5">
        <v>1.7666666666666666</v>
      </c>
      <c r="K2022" s="5">
        <f t="shared" si="127"/>
        <v>0</v>
      </c>
      <c r="L2022" s="5">
        <v>1</v>
      </c>
      <c r="M2022" s="5">
        <v>1</v>
      </c>
      <c r="N2022" t="s">
        <v>9</v>
      </c>
      <c r="O2022" s="8">
        <v>54.0027397260274</v>
      </c>
      <c r="P2022" t="s">
        <v>35</v>
      </c>
      <c r="Q2022">
        <v>4</v>
      </c>
      <c r="R2022" s="2">
        <v>26264</v>
      </c>
    </row>
    <row r="2023" spans="1:18" x14ac:dyDescent="0.3">
      <c r="A2023" t="s">
        <v>7</v>
      </c>
      <c r="B2023">
        <v>18979911</v>
      </c>
      <c r="C2023" t="s">
        <v>8</v>
      </c>
      <c r="D2023" s="4">
        <v>45975</v>
      </c>
      <c r="E2023" s="11">
        <f t="shared" si="124"/>
        <v>2025</v>
      </c>
      <c r="F2023" s="11">
        <f t="shared" si="125"/>
        <v>11</v>
      </c>
      <c r="G2023" s="11" t="str">
        <f t="shared" si="126"/>
        <v>202511</v>
      </c>
      <c r="H2023" s="4">
        <v>45991</v>
      </c>
      <c r="I2023" s="5">
        <v>16</v>
      </c>
      <c r="J2023" s="5">
        <v>0.53333333333333333</v>
      </c>
      <c r="K2023" s="5">
        <f t="shared" si="127"/>
        <v>1</v>
      </c>
      <c r="L2023" s="5">
        <v>1</v>
      </c>
      <c r="M2023" s="5">
        <v>1</v>
      </c>
      <c r="N2023" t="s">
        <v>9</v>
      </c>
      <c r="O2023" s="8">
        <v>19.597260273972601</v>
      </c>
      <c r="P2023" t="s">
        <v>32</v>
      </c>
      <c r="Q2023">
        <v>1</v>
      </c>
      <c r="R2023" s="2">
        <v>38822</v>
      </c>
    </row>
    <row r="2024" spans="1:18" x14ac:dyDescent="0.3">
      <c r="A2024" t="s">
        <v>7</v>
      </c>
      <c r="B2024">
        <v>18979913</v>
      </c>
      <c r="C2024" t="s">
        <v>8</v>
      </c>
      <c r="D2024" s="4">
        <v>45975</v>
      </c>
      <c r="E2024" s="11">
        <f t="shared" si="124"/>
        <v>2025</v>
      </c>
      <c r="F2024" s="11">
        <f t="shared" si="125"/>
        <v>11</v>
      </c>
      <c r="G2024" s="11" t="str">
        <f t="shared" si="126"/>
        <v>202511</v>
      </c>
      <c r="H2024" s="4">
        <v>46066</v>
      </c>
      <c r="I2024" s="5">
        <v>91</v>
      </c>
      <c r="J2024" s="5">
        <v>3.0333333333333332</v>
      </c>
      <c r="K2024" s="5">
        <f t="shared" si="127"/>
        <v>0</v>
      </c>
      <c r="L2024" s="5">
        <v>0</v>
      </c>
      <c r="M2024" s="5">
        <v>1</v>
      </c>
      <c r="N2024" t="s">
        <v>12</v>
      </c>
      <c r="O2024" s="8">
        <v>20.24931506849315</v>
      </c>
      <c r="P2024" t="s">
        <v>32</v>
      </c>
      <c r="Q2024">
        <v>1</v>
      </c>
      <c r="R2024" s="2">
        <v>38584</v>
      </c>
    </row>
    <row r="2025" spans="1:18" x14ac:dyDescent="0.3">
      <c r="A2025" t="s">
        <v>7</v>
      </c>
      <c r="B2025">
        <v>18979961</v>
      </c>
      <c r="C2025" t="s">
        <v>8</v>
      </c>
      <c r="D2025" s="4">
        <v>45975</v>
      </c>
      <c r="E2025" s="11">
        <f t="shared" si="124"/>
        <v>2025</v>
      </c>
      <c r="F2025" s="11">
        <f t="shared" si="125"/>
        <v>11</v>
      </c>
      <c r="G2025" s="11" t="str">
        <f t="shared" si="126"/>
        <v>202511</v>
      </c>
      <c r="I2025" s="5">
        <v>9999</v>
      </c>
      <c r="J2025" s="5">
        <v>333.3</v>
      </c>
      <c r="K2025" s="5">
        <f t="shared" si="127"/>
        <v>0</v>
      </c>
      <c r="L2025" s="5">
        <v>0</v>
      </c>
      <c r="M2025" s="5">
        <v>0</v>
      </c>
      <c r="N2025" t="s">
        <v>12</v>
      </c>
      <c r="O2025" s="8">
        <v>21.616438356164384</v>
      </c>
      <c r="P2025" t="s">
        <v>33</v>
      </c>
      <c r="Q2025">
        <v>2</v>
      </c>
      <c r="R2025" s="2">
        <v>38085</v>
      </c>
    </row>
    <row r="2026" spans="1:18" x14ac:dyDescent="0.3">
      <c r="A2026" t="s">
        <v>7</v>
      </c>
      <c r="B2026">
        <v>18979988</v>
      </c>
      <c r="C2026" t="s">
        <v>8</v>
      </c>
      <c r="D2026" s="4">
        <v>45975</v>
      </c>
      <c r="E2026" s="11">
        <f t="shared" si="124"/>
        <v>2025</v>
      </c>
      <c r="F2026" s="11">
        <f t="shared" si="125"/>
        <v>11</v>
      </c>
      <c r="G2026" s="11" t="str">
        <f t="shared" si="126"/>
        <v>202511</v>
      </c>
      <c r="H2026" s="4">
        <v>45993</v>
      </c>
      <c r="I2026" s="5">
        <v>18</v>
      </c>
      <c r="J2026" s="5">
        <v>0.6</v>
      </c>
      <c r="K2026" s="5">
        <f t="shared" si="127"/>
        <v>1</v>
      </c>
      <c r="L2026" s="5">
        <v>1</v>
      </c>
      <c r="M2026" s="5">
        <v>1</v>
      </c>
      <c r="N2026" t="s">
        <v>12</v>
      </c>
      <c r="O2026" s="8">
        <v>21.775342465753425</v>
      </c>
      <c r="P2026" t="s">
        <v>33</v>
      </c>
      <c r="Q2026">
        <v>2</v>
      </c>
      <c r="R2026" s="2">
        <v>38027</v>
      </c>
    </row>
    <row r="2027" spans="1:18" x14ac:dyDescent="0.3">
      <c r="A2027" t="s">
        <v>7</v>
      </c>
      <c r="B2027">
        <v>18979996</v>
      </c>
      <c r="C2027" t="s">
        <v>10</v>
      </c>
      <c r="D2027" s="4">
        <v>45975</v>
      </c>
      <c r="E2027" s="11">
        <f t="shared" si="124"/>
        <v>2025</v>
      </c>
      <c r="F2027" s="11">
        <f t="shared" si="125"/>
        <v>11</v>
      </c>
      <c r="G2027" s="11" t="str">
        <f t="shared" si="126"/>
        <v>202511</v>
      </c>
      <c r="I2027" s="5">
        <v>9999</v>
      </c>
      <c r="J2027" s="5">
        <v>333.3</v>
      </c>
      <c r="K2027" s="5">
        <f t="shared" si="127"/>
        <v>0</v>
      </c>
      <c r="L2027" s="5">
        <v>0</v>
      </c>
      <c r="M2027" s="5">
        <v>0</v>
      </c>
      <c r="N2027" t="s">
        <v>12</v>
      </c>
      <c r="O2027" s="8">
        <v>23.106849315068494</v>
      </c>
      <c r="P2027" t="s">
        <v>33</v>
      </c>
      <c r="Q2027">
        <v>2</v>
      </c>
      <c r="R2027" s="2">
        <v>37541</v>
      </c>
    </row>
    <row r="2028" spans="1:18" x14ac:dyDescent="0.3">
      <c r="A2028" t="s">
        <v>7</v>
      </c>
      <c r="B2028">
        <v>18980066</v>
      </c>
      <c r="C2028" t="s">
        <v>8</v>
      </c>
      <c r="D2028" s="4">
        <v>45975</v>
      </c>
      <c r="E2028" s="11">
        <f t="shared" si="124"/>
        <v>2025</v>
      </c>
      <c r="F2028" s="11">
        <f t="shared" si="125"/>
        <v>11</v>
      </c>
      <c r="G2028" s="11" t="str">
        <f t="shared" si="126"/>
        <v>202511</v>
      </c>
      <c r="H2028" s="4">
        <v>46037</v>
      </c>
      <c r="I2028" s="5">
        <v>62</v>
      </c>
      <c r="J2028" s="5">
        <v>2.0666666666666669</v>
      </c>
      <c r="K2028" s="5">
        <f t="shared" si="127"/>
        <v>0</v>
      </c>
      <c r="L2028" s="5">
        <v>1</v>
      </c>
      <c r="M2028" s="5">
        <v>1</v>
      </c>
      <c r="N2028" t="s">
        <v>12</v>
      </c>
      <c r="O2028" s="8">
        <v>20.161643835616438</v>
      </c>
      <c r="P2028" t="s">
        <v>32</v>
      </c>
      <c r="Q2028">
        <v>1</v>
      </c>
      <c r="R2028" s="2">
        <v>38616</v>
      </c>
    </row>
    <row r="2029" spans="1:18" x14ac:dyDescent="0.3">
      <c r="A2029" t="s">
        <v>7</v>
      </c>
      <c r="B2029">
        <v>18980343</v>
      </c>
      <c r="C2029" t="s">
        <v>8</v>
      </c>
      <c r="D2029" s="4">
        <v>45978</v>
      </c>
      <c r="E2029" s="11">
        <f t="shared" si="124"/>
        <v>2025</v>
      </c>
      <c r="F2029" s="11">
        <f t="shared" si="125"/>
        <v>11</v>
      </c>
      <c r="G2029" s="11" t="str">
        <f t="shared" si="126"/>
        <v>202511</v>
      </c>
      <c r="H2029" s="4">
        <v>46082</v>
      </c>
      <c r="I2029" s="5">
        <v>104</v>
      </c>
      <c r="J2029" s="5">
        <v>3.4666666666666668</v>
      </c>
      <c r="K2029" s="5">
        <f t="shared" si="127"/>
        <v>0</v>
      </c>
      <c r="L2029" s="5">
        <v>0</v>
      </c>
      <c r="M2029" s="5">
        <v>1</v>
      </c>
      <c r="N2029" t="s">
        <v>12</v>
      </c>
      <c r="O2029" s="8">
        <v>22.578082191780823</v>
      </c>
      <c r="P2029" t="s">
        <v>33</v>
      </c>
      <c r="Q2029">
        <v>2</v>
      </c>
      <c r="R2029" s="2">
        <v>37737</v>
      </c>
    </row>
    <row r="2030" spans="1:18" x14ac:dyDescent="0.3">
      <c r="A2030" t="s">
        <v>7</v>
      </c>
      <c r="B2030">
        <v>18980381</v>
      </c>
      <c r="C2030" t="s">
        <v>8</v>
      </c>
      <c r="D2030" s="4">
        <v>45978</v>
      </c>
      <c r="E2030" s="11">
        <f t="shared" si="124"/>
        <v>2025</v>
      </c>
      <c r="F2030" s="11">
        <f t="shared" si="125"/>
        <v>11</v>
      </c>
      <c r="G2030" s="11" t="str">
        <f t="shared" si="126"/>
        <v>202511</v>
      </c>
      <c r="H2030" s="4">
        <v>46022</v>
      </c>
      <c r="I2030" s="5">
        <v>44</v>
      </c>
      <c r="J2030" s="5">
        <v>1.4666666666666666</v>
      </c>
      <c r="K2030" s="5">
        <f t="shared" si="127"/>
        <v>0</v>
      </c>
      <c r="L2030" s="5">
        <v>1</v>
      </c>
      <c r="M2030" s="5">
        <v>1</v>
      </c>
      <c r="N2030" t="s">
        <v>9</v>
      </c>
      <c r="O2030" s="8">
        <v>18.315068493150687</v>
      </c>
      <c r="P2030" t="s">
        <v>32</v>
      </c>
      <c r="Q2030">
        <v>1</v>
      </c>
      <c r="R2030" s="2">
        <v>39293</v>
      </c>
    </row>
    <row r="2031" spans="1:18" x14ac:dyDescent="0.3">
      <c r="A2031" t="s">
        <v>7</v>
      </c>
      <c r="B2031">
        <v>18980390</v>
      </c>
      <c r="C2031" t="s">
        <v>8</v>
      </c>
      <c r="D2031" s="4">
        <v>45978</v>
      </c>
      <c r="E2031" s="11">
        <f t="shared" si="124"/>
        <v>2025</v>
      </c>
      <c r="F2031" s="11">
        <f t="shared" si="125"/>
        <v>11</v>
      </c>
      <c r="G2031" s="11" t="str">
        <f t="shared" si="126"/>
        <v>202511</v>
      </c>
      <c r="I2031" s="5">
        <v>9999</v>
      </c>
      <c r="J2031" s="5">
        <v>333.3</v>
      </c>
      <c r="K2031" s="5">
        <f t="shared" si="127"/>
        <v>0</v>
      </c>
      <c r="L2031" s="5">
        <v>0</v>
      </c>
      <c r="M2031" s="5">
        <v>0</v>
      </c>
      <c r="N2031" t="s">
        <v>9</v>
      </c>
      <c r="O2031" s="8">
        <v>19.408219178082192</v>
      </c>
      <c r="P2031" t="s">
        <v>32</v>
      </c>
      <c r="Q2031">
        <v>1</v>
      </c>
      <c r="R2031" s="2">
        <v>38894</v>
      </c>
    </row>
    <row r="2032" spans="1:18" x14ac:dyDescent="0.3">
      <c r="A2032" t="s">
        <v>7</v>
      </c>
      <c r="B2032">
        <v>18980395</v>
      </c>
      <c r="C2032" t="s">
        <v>8</v>
      </c>
      <c r="D2032" s="4">
        <v>45978</v>
      </c>
      <c r="E2032" s="11">
        <f t="shared" si="124"/>
        <v>2025</v>
      </c>
      <c r="F2032" s="11">
        <f t="shared" si="125"/>
        <v>11</v>
      </c>
      <c r="G2032" s="11" t="str">
        <f t="shared" si="126"/>
        <v>202511</v>
      </c>
      <c r="H2032" s="4">
        <v>46161</v>
      </c>
      <c r="I2032" s="5">
        <v>183</v>
      </c>
      <c r="J2032" s="5">
        <v>6.1</v>
      </c>
      <c r="K2032" s="5">
        <f t="shared" si="127"/>
        <v>0</v>
      </c>
      <c r="L2032" s="5">
        <v>0</v>
      </c>
      <c r="M2032" s="5">
        <v>0</v>
      </c>
      <c r="N2032" t="s">
        <v>12</v>
      </c>
      <c r="O2032" s="8">
        <v>19.542465753424658</v>
      </c>
      <c r="P2032" t="s">
        <v>32</v>
      </c>
      <c r="Q2032">
        <v>1</v>
      </c>
      <c r="R2032" s="2">
        <v>38845</v>
      </c>
    </row>
    <row r="2033" spans="1:18" x14ac:dyDescent="0.3">
      <c r="A2033" t="s">
        <v>7</v>
      </c>
      <c r="B2033">
        <v>18980400</v>
      </c>
      <c r="C2033" t="s">
        <v>8</v>
      </c>
      <c r="D2033" s="4">
        <v>45978</v>
      </c>
      <c r="E2033" s="11">
        <f t="shared" si="124"/>
        <v>2025</v>
      </c>
      <c r="F2033" s="11">
        <f t="shared" si="125"/>
        <v>11</v>
      </c>
      <c r="G2033" s="11" t="str">
        <f t="shared" si="126"/>
        <v>202511</v>
      </c>
      <c r="H2033" s="4">
        <v>45979</v>
      </c>
      <c r="I2033" s="5">
        <v>1</v>
      </c>
      <c r="J2033" s="5">
        <v>3.3333333333333333E-2</v>
      </c>
      <c r="K2033" s="5">
        <f t="shared" si="127"/>
        <v>1</v>
      </c>
      <c r="L2033" s="5">
        <v>1</v>
      </c>
      <c r="M2033" s="5">
        <v>1</v>
      </c>
      <c r="N2033" t="s">
        <v>9</v>
      </c>
      <c r="O2033" s="8">
        <v>20.838356164383562</v>
      </c>
      <c r="P2033" t="s">
        <v>32</v>
      </c>
      <c r="Q2033">
        <v>1</v>
      </c>
      <c r="R2033" s="2">
        <v>38372</v>
      </c>
    </row>
    <row r="2034" spans="1:18" x14ac:dyDescent="0.3">
      <c r="A2034" t="s">
        <v>7</v>
      </c>
      <c r="B2034">
        <v>18980402</v>
      </c>
      <c r="C2034" t="s">
        <v>8</v>
      </c>
      <c r="D2034" s="4">
        <v>45978</v>
      </c>
      <c r="E2034" s="11">
        <f t="shared" si="124"/>
        <v>2025</v>
      </c>
      <c r="F2034" s="11">
        <f t="shared" si="125"/>
        <v>11</v>
      </c>
      <c r="G2034" s="11" t="str">
        <f t="shared" si="126"/>
        <v>202511</v>
      </c>
      <c r="H2034" s="4">
        <v>45991</v>
      </c>
      <c r="I2034" s="5">
        <v>13</v>
      </c>
      <c r="J2034" s="5">
        <v>0.43333333333333335</v>
      </c>
      <c r="K2034" s="5">
        <f t="shared" si="127"/>
        <v>1</v>
      </c>
      <c r="L2034" s="5">
        <v>1</v>
      </c>
      <c r="M2034" s="5">
        <v>1</v>
      </c>
      <c r="N2034" t="s">
        <v>9</v>
      </c>
      <c r="O2034" s="8">
        <v>18.397260273972602</v>
      </c>
      <c r="P2034" t="s">
        <v>32</v>
      </c>
      <c r="Q2034">
        <v>1</v>
      </c>
      <c r="R2034" s="2">
        <v>39263</v>
      </c>
    </row>
    <row r="2035" spans="1:18" x14ac:dyDescent="0.3">
      <c r="A2035" t="s">
        <v>7</v>
      </c>
      <c r="B2035">
        <v>18980403</v>
      </c>
      <c r="C2035" t="s">
        <v>10</v>
      </c>
      <c r="D2035" s="4">
        <v>45978</v>
      </c>
      <c r="E2035" s="11">
        <f t="shared" si="124"/>
        <v>2025</v>
      </c>
      <c r="F2035" s="11">
        <f t="shared" si="125"/>
        <v>11</v>
      </c>
      <c r="G2035" s="11" t="str">
        <f t="shared" si="126"/>
        <v>202511</v>
      </c>
      <c r="H2035" s="4">
        <v>46022</v>
      </c>
      <c r="I2035" s="5">
        <v>44</v>
      </c>
      <c r="J2035" s="5">
        <v>1.4666666666666666</v>
      </c>
      <c r="K2035" s="5">
        <f t="shared" si="127"/>
        <v>0</v>
      </c>
      <c r="L2035" s="5">
        <v>1</v>
      </c>
      <c r="M2035" s="5">
        <v>1</v>
      </c>
      <c r="N2035" t="s">
        <v>9</v>
      </c>
      <c r="O2035" s="8">
        <v>19.523287671232875</v>
      </c>
      <c r="P2035" t="s">
        <v>32</v>
      </c>
      <c r="Q2035">
        <v>1</v>
      </c>
      <c r="R2035" s="2">
        <v>38852</v>
      </c>
    </row>
    <row r="2036" spans="1:18" x14ac:dyDescent="0.3">
      <c r="A2036" t="s">
        <v>7</v>
      </c>
      <c r="B2036">
        <v>18980404</v>
      </c>
      <c r="C2036" t="s">
        <v>8</v>
      </c>
      <c r="D2036" s="4">
        <v>45978</v>
      </c>
      <c r="E2036" s="11">
        <f t="shared" si="124"/>
        <v>2025</v>
      </c>
      <c r="F2036" s="11">
        <f t="shared" si="125"/>
        <v>11</v>
      </c>
      <c r="G2036" s="11" t="str">
        <f t="shared" si="126"/>
        <v>202511</v>
      </c>
      <c r="H2036" s="4">
        <v>46053</v>
      </c>
      <c r="I2036" s="5">
        <v>75</v>
      </c>
      <c r="J2036" s="5">
        <v>2.5</v>
      </c>
      <c r="K2036" s="5">
        <f t="shared" si="127"/>
        <v>0</v>
      </c>
      <c r="L2036" s="5">
        <v>1</v>
      </c>
      <c r="M2036" s="5">
        <v>1</v>
      </c>
      <c r="N2036" t="s">
        <v>9</v>
      </c>
      <c r="O2036" s="8">
        <v>19.339726027397262</v>
      </c>
      <c r="P2036" t="s">
        <v>32</v>
      </c>
      <c r="Q2036">
        <v>1</v>
      </c>
      <c r="R2036" s="2">
        <v>38919</v>
      </c>
    </row>
    <row r="2037" spans="1:18" x14ac:dyDescent="0.3">
      <c r="A2037" t="s">
        <v>7</v>
      </c>
      <c r="B2037">
        <v>18980431</v>
      </c>
      <c r="C2037" t="s">
        <v>8</v>
      </c>
      <c r="D2037" s="4">
        <v>45978</v>
      </c>
      <c r="E2037" s="11">
        <f t="shared" si="124"/>
        <v>2025</v>
      </c>
      <c r="F2037" s="11">
        <f t="shared" si="125"/>
        <v>11</v>
      </c>
      <c r="G2037" s="11" t="str">
        <f t="shared" si="126"/>
        <v>202511</v>
      </c>
      <c r="H2037" s="4">
        <v>46022</v>
      </c>
      <c r="I2037" s="5">
        <v>44</v>
      </c>
      <c r="J2037" s="5">
        <v>1.4666666666666666</v>
      </c>
      <c r="K2037" s="5">
        <f t="shared" si="127"/>
        <v>0</v>
      </c>
      <c r="L2037" s="5">
        <v>1</v>
      </c>
      <c r="M2037" s="5">
        <v>1</v>
      </c>
      <c r="N2037" t="s">
        <v>12</v>
      </c>
      <c r="O2037" s="8">
        <v>18.482191780821918</v>
      </c>
      <c r="P2037" t="s">
        <v>32</v>
      </c>
      <c r="Q2037">
        <v>1</v>
      </c>
      <c r="R2037" s="2">
        <v>39232</v>
      </c>
    </row>
    <row r="2038" spans="1:18" x14ac:dyDescent="0.3">
      <c r="A2038" t="s">
        <v>7</v>
      </c>
      <c r="B2038">
        <v>18980465</v>
      </c>
      <c r="C2038" t="s">
        <v>8</v>
      </c>
      <c r="D2038" s="4">
        <v>45978</v>
      </c>
      <c r="E2038" s="11">
        <f t="shared" si="124"/>
        <v>2025</v>
      </c>
      <c r="F2038" s="11">
        <f t="shared" si="125"/>
        <v>11</v>
      </c>
      <c r="G2038" s="11" t="str">
        <f t="shared" si="126"/>
        <v>202511</v>
      </c>
      <c r="H2038" s="4">
        <v>46022</v>
      </c>
      <c r="I2038" s="5">
        <v>44</v>
      </c>
      <c r="J2038" s="5">
        <v>1.4666666666666666</v>
      </c>
      <c r="K2038" s="5">
        <f t="shared" si="127"/>
        <v>0</v>
      </c>
      <c r="L2038" s="5">
        <v>1</v>
      </c>
      <c r="M2038" s="5">
        <v>1</v>
      </c>
      <c r="N2038" t="s">
        <v>12</v>
      </c>
      <c r="O2038" s="8">
        <v>18.589041095890412</v>
      </c>
      <c r="P2038" t="s">
        <v>32</v>
      </c>
      <c r="Q2038">
        <v>1</v>
      </c>
      <c r="R2038" s="2">
        <v>39193</v>
      </c>
    </row>
    <row r="2039" spans="1:18" x14ac:dyDescent="0.3">
      <c r="A2039" t="s">
        <v>7</v>
      </c>
      <c r="B2039">
        <v>18980468</v>
      </c>
      <c r="C2039" t="s">
        <v>10</v>
      </c>
      <c r="D2039" s="4">
        <v>45978</v>
      </c>
      <c r="E2039" s="11">
        <f t="shared" si="124"/>
        <v>2025</v>
      </c>
      <c r="F2039" s="11">
        <f t="shared" si="125"/>
        <v>11</v>
      </c>
      <c r="G2039" s="11" t="str">
        <f t="shared" si="126"/>
        <v>202511</v>
      </c>
      <c r="I2039" s="5">
        <v>9999</v>
      </c>
      <c r="J2039" s="5">
        <v>333.3</v>
      </c>
      <c r="K2039" s="5">
        <f t="shared" si="127"/>
        <v>0</v>
      </c>
      <c r="L2039" s="5">
        <v>0</v>
      </c>
      <c r="M2039" s="5">
        <v>0</v>
      </c>
      <c r="N2039" t="s">
        <v>12</v>
      </c>
      <c r="O2039" s="8">
        <v>20.213698630136985</v>
      </c>
      <c r="P2039" t="s">
        <v>32</v>
      </c>
      <c r="Q2039">
        <v>1</v>
      </c>
      <c r="R2039" s="2">
        <v>38600</v>
      </c>
    </row>
    <row r="2040" spans="1:18" x14ac:dyDescent="0.3">
      <c r="A2040" t="s">
        <v>7</v>
      </c>
      <c r="B2040">
        <v>18980469</v>
      </c>
      <c r="C2040" t="s">
        <v>8</v>
      </c>
      <c r="D2040" s="4">
        <v>45978</v>
      </c>
      <c r="E2040" s="11">
        <f t="shared" si="124"/>
        <v>2025</v>
      </c>
      <c r="F2040" s="11">
        <f t="shared" si="125"/>
        <v>11</v>
      </c>
      <c r="G2040" s="11" t="str">
        <f t="shared" si="126"/>
        <v>202511</v>
      </c>
      <c r="H2040" s="4">
        <v>46059</v>
      </c>
      <c r="I2040" s="5">
        <v>81</v>
      </c>
      <c r="J2040" s="5">
        <v>2.7</v>
      </c>
      <c r="K2040" s="5">
        <f t="shared" si="127"/>
        <v>0</v>
      </c>
      <c r="L2040" s="5">
        <v>1</v>
      </c>
      <c r="M2040" s="5">
        <v>1</v>
      </c>
      <c r="N2040" t="s">
        <v>9</v>
      </c>
      <c r="O2040" s="8">
        <v>21.413698630136988</v>
      </c>
      <c r="P2040" t="s">
        <v>33</v>
      </c>
      <c r="Q2040">
        <v>2</v>
      </c>
      <c r="R2040" s="2">
        <v>38162</v>
      </c>
    </row>
    <row r="2041" spans="1:18" x14ac:dyDescent="0.3">
      <c r="A2041" t="s">
        <v>7</v>
      </c>
      <c r="B2041">
        <v>18980470</v>
      </c>
      <c r="C2041" t="s">
        <v>10</v>
      </c>
      <c r="D2041" s="4">
        <v>45978</v>
      </c>
      <c r="E2041" s="11">
        <f t="shared" si="124"/>
        <v>2025</v>
      </c>
      <c r="F2041" s="11">
        <f t="shared" si="125"/>
        <v>11</v>
      </c>
      <c r="G2041" s="11" t="str">
        <f t="shared" si="126"/>
        <v>202511</v>
      </c>
      <c r="I2041" s="5">
        <v>9999</v>
      </c>
      <c r="J2041" s="5">
        <v>333.3</v>
      </c>
      <c r="K2041" s="5">
        <f t="shared" si="127"/>
        <v>0</v>
      </c>
      <c r="L2041" s="5">
        <v>0</v>
      </c>
      <c r="M2041" s="5">
        <v>0</v>
      </c>
      <c r="N2041" t="s">
        <v>9</v>
      </c>
      <c r="O2041" s="8">
        <v>18.542465753424658</v>
      </c>
      <c r="P2041" t="s">
        <v>32</v>
      </c>
      <c r="Q2041">
        <v>1</v>
      </c>
      <c r="R2041" s="2">
        <v>39210</v>
      </c>
    </row>
    <row r="2042" spans="1:18" x14ac:dyDescent="0.3">
      <c r="A2042" t="s">
        <v>7</v>
      </c>
      <c r="B2042">
        <v>18980471</v>
      </c>
      <c r="C2042" t="s">
        <v>10</v>
      </c>
      <c r="D2042" s="4">
        <v>45978</v>
      </c>
      <c r="E2042" s="11">
        <f t="shared" si="124"/>
        <v>2025</v>
      </c>
      <c r="F2042" s="11">
        <f t="shared" si="125"/>
        <v>11</v>
      </c>
      <c r="G2042" s="11" t="str">
        <f t="shared" si="126"/>
        <v>202511</v>
      </c>
      <c r="H2042" s="4">
        <v>46022</v>
      </c>
      <c r="I2042" s="5">
        <v>44</v>
      </c>
      <c r="J2042" s="5">
        <v>1.4666666666666666</v>
      </c>
      <c r="K2042" s="5">
        <f t="shared" si="127"/>
        <v>0</v>
      </c>
      <c r="L2042" s="5">
        <v>1</v>
      </c>
      <c r="M2042" s="5">
        <v>1</v>
      </c>
      <c r="N2042" t="s">
        <v>12</v>
      </c>
      <c r="O2042" s="8">
        <v>20.221917808219178</v>
      </c>
      <c r="P2042" t="s">
        <v>32</v>
      </c>
      <c r="Q2042">
        <v>1</v>
      </c>
      <c r="R2042" s="2">
        <v>38597</v>
      </c>
    </row>
    <row r="2043" spans="1:18" x14ac:dyDescent="0.3">
      <c r="A2043" t="s">
        <v>7</v>
      </c>
      <c r="B2043">
        <v>18980473</v>
      </c>
      <c r="C2043" t="s">
        <v>10</v>
      </c>
      <c r="D2043" s="4">
        <v>45978</v>
      </c>
      <c r="E2043" s="11">
        <f t="shared" si="124"/>
        <v>2025</v>
      </c>
      <c r="F2043" s="11">
        <f t="shared" si="125"/>
        <v>11</v>
      </c>
      <c r="G2043" s="11" t="str">
        <f t="shared" si="126"/>
        <v>202511</v>
      </c>
      <c r="H2043" s="4">
        <v>46022</v>
      </c>
      <c r="I2043" s="5">
        <v>44</v>
      </c>
      <c r="J2043" s="5">
        <v>1.4666666666666666</v>
      </c>
      <c r="K2043" s="5">
        <f t="shared" si="127"/>
        <v>0</v>
      </c>
      <c r="L2043" s="5">
        <v>1</v>
      </c>
      <c r="M2043" s="5">
        <v>1</v>
      </c>
      <c r="N2043" t="s">
        <v>12</v>
      </c>
      <c r="O2043" s="8">
        <v>19.947945205479453</v>
      </c>
      <c r="P2043" t="s">
        <v>32</v>
      </c>
      <c r="Q2043">
        <v>1</v>
      </c>
      <c r="R2043" s="2">
        <v>38697</v>
      </c>
    </row>
    <row r="2044" spans="1:18" x14ac:dyDescent="0.3">
      <c r="A2044" t="s">
        <v>7</v>
      </c>
      <c r="B2044">
        <v>18980474</v>
      </c>
      <c r="C2044" t="s">
        <v>8</v>
      </c>
      <c r="D2044" s="4">
        <v>45978</v>
      </c>
      <c r="E2044" s="11">
        <f t="shared" si="124"/>
        <v>2025</v>
      </c>
      <c r="F2044" s="11">
        <f t="shared" si="125"/>
        <v>11</v>
      </c>
      <c r="G2044" s="11" t="str">
        <f t="shared" si="126"/>
        <v>202511</v>
      </c>
      <c r="I2044" s="5">
        <v>9999</v>
      </c>
      <c r="J2044" s="5">
        <v>333.3</v>
      </c>
      <c r="K2044" s="5">
        <f t="shared" si="127"/>
        <v>0</v>
      </c>
      <c r="L2044" s="5">
        <v>0</v>
      </c>
      <c r="M2044" s="5">
        <v>0</v>
      </c>
      <c r="N2044" t="s">
        <v>9</v>
      </c>
      <c r="O2044" s="8">
        <v>23.350684931506848</v>
      </c>
      <c r="P2044" t="s">
        <v>33</v>
      </c>
      <c r="Q2044">
        <v>2</v>
      </c>
      <c r="R2044" s="2">
        <v>37455</v>
      </c>
    </row>
    <row r="2045" spans="1:18" x14ac:dyDescent="0.3">
      <c r="A2045" t="s">
        <v>7</v>
      </c>
      <c r="B2045">
        <v>18980475</v>
      </c>
      <c r="C2045" t="s">
        <v>8</v>
      </c>
      <c r="D2045" s="4">
        <v>45978</v>
      </c>
      <c r="E2045" s="11">
        <f t="shared" si="124"/>
        <v>2025</v>
      </c>
      <c r="F2045" s="11">
        <f t="shared" si="125"/>
        <v>11</v>
      </c>
      <c r="G2045" s="11" t="str">
        <f t="shared" si="126"/>
        <v>202511</v>
      </c>
      <c r="I2045" s="5">
        <v>9999</v>
      </c>
      <c r="J2045" s="5">
        <v>333.3</v>
      </c>
      <c r="K2045" s="5">
        <f t="shared" si="127"/>
        <v>0</v>
      </c>
      <c r="L2045" s="5">
        <v>0</v>
      </c>
      <c r="M2045" s="5">
        <v>0</v>
      </c>
      <c r="N2045" t="s">
        <v>9</v>
      </c>
      <c r="O2045" s="8">
        <v>37.032876712328765</v>
      </c>
      <c r="P2045" t="s">
        <v>35</v>
      </c>
      <c r="Q2045">
        <v>4</v>
      </c>
      <c r="R2045" s="2">
        <v>32461</v>
      </c>
    </row>
    <row r="2046" spans="1:18" x14ac:dyDescent="0.3">
      <c r="A2046" t="s">
        <v>7</v>
      </c>
      <c r="B2046">
        <v>18980477</v>
      </c>
      <c r="C2046" t="s">
        <v>8</v>
      </c>
      <c r="D2046" s="4">
        <v>45978</v>
      </c>
      <c r="E2046" s="11">
        <f t="shared" si="124"/>
        <v>2025</v>
      </c>
      <c r="F2046" s="11">
        <f t="shared" si="125"/>
        <v>11</v>
      </c>
      <c r="G2046" s="11" t="str">
        <f t="shared" si="126"/>
        <v>202511</v>
      </c>
      <c r="I2046" s="5">
        <v>9999</v>
      </c>
      <c r="J2046" s="5">
        <v>333.3</v>
      </c>
      <c r="K2046" s="5">
        <f t="shared" si="127"/>
        <v>0</v>
      </c>
      <c r="L2046" s="5">
        <v>0</v>
      </c>
      <c r="M2046" s="5">
        <v>0</v>
      </c>
      <c r="N2046" t="s">
        <v>9</v>
      </c>
      <c r="O2046" s="8">
        <v>22.715068493150685</v>
      </c>
      <c r="P2046" t="s">
        <v>33</v>
      </c>
      <c r="Q2046">
        <v>2</v>
      </c>
      <c r="R2046" s="2">
        <v>37687</v>
      </c>
    </row>
    <row r="2047" spans="1:18" x14ac:dyDescent="0.3">
      <c r="A2047" t="s">
        <v>7</v>
      </c>
      <c r="B2047">
        <v>18980482</v>
      </c>
      <c r="C2047" t="s">
        <v>8</v>
      </c>
      <c r="D2047" s="4">
        <v>45978</v>
      </c>
      <c r="E2047" s="11">
        <f t="shared" si="124"/>
        <v>2025</v>
      </c>
      <c r="F2047" s="11">
        <f t="shared" si="125"/>
        <v>11</v>
      </c>
      <c r="G2047" s="11" t="str">
        <f t="shared" si="126"/>
        <v>202511</v>
      </c>
      <c r="H2047" s="4">
        <v>45992</v>
      </c>
      <c r="I2047" s="5">
        <v>14</v>
      </c>
      <c r="J2047" s="5">
        <v>0.46666666666666667</v>
      </c>
      <c r="K2047" s="5">
        <f t="shared" si="127"/>
        <v>1</v>
      </c>
      <c r="L2047" s="5">
        <v>1</v>
      </c>
      <c r="M2047" s="5">
        <v>1</v>
      </c>
      <c r="N2047" t="s">
        <v>12</v>
      </c>
      <c r="O2047" s="8">
        <v>19.767123287671232</v>
      </c>
      <c r="P2047" t="s">
        <v>32</v>
      </c>
      <c r="Q2047">
        <v>1</v>
      </c>
      <c r="R2047" s="2">
        <v>38763</v>
      </c>
    </row>
    <row r="2048" spans="1:18" x14ac:dyDescent="0.3">
      <c r="A2048" t="s">
        <v>7</v>
      </c>
      <c r="B2048">
        <v>18980483</v>
      </c>
      <c r="C2048" t="s">
        <v>10</v>
      </c>
      <c r="D2048" s="4">
        <v>45978</v>
      </c>
      <c r="E2048" s="11">
        <f t="shared" si="124"/>
        <v>2025</v>
      </c>
      <c r="F2048" s="11">
        <f t="shared" si="125"/>
        <v>11</v>
      </c>
      <c r="G2048" s="11" t="str">
        <f t="shared" si="126"/>
        <v>202511</v>
      </c>
      <c r="H2048" s="4">
        <v>46113</v>
      </c>
      <c r="I2048" s="5">
        <v>135</v>
      </c>
      <c r="J2048" s="5">
        <v>4.5</v>
      </c>
      <c r="K2048" s="5">
        <f t="shared" si="127"/>
        <v>0</v>
      </c>
      <c r="L2048" s="5">
        <v>0</v>
      </c>
      <c r="M2048" s="5">
        <v>1</v>
      </c>
      <c r="N2048" t="s">
        <v>9</v>
      </c>
      <c r="O2048" s="8">
        <v>23.284931506849315</v>
      </c>
      <c r="P2048" t="s">
        <v>33</v>
      </c>
      <c r="Q2048">
        <v>2</v>
      </c>
      <c r="R2048" s="2">
        <v>37479</v>
      </c>
    </row>
    <row r="2049" spans="1:18" x14ac:dyDescent="0.3">
      <c r="A2049" t="s">
        <v>7</v>
      </c>
      <c r="B2049">
        <v>18980484</v>
      </c>
      <c r="C2049" t="s">
        <v>8</v>
      </c>
      <c r="D2049" s="4">
        <v>45978</v>
      </c>
      <c r="E2049" s="11">
        <f t="shared" si="124"/>
        <v>2025</v>
      </c>
      <c r="F2049" s="11">
        <f t="shared" si="125"/>
        <v>11</v>
      </c>
      <c r="G2049" s="11" t="str">
        <f t="shared" si="126"/>
        <v>202511</v>
      </c>
      <c r="H2049" s="4">
        <v>46053</v>
      </c>
      <c r="I2049" s="5">
        <v>75</v>
      </c>
      <c r="J2049" s="5">
        <v>2.5</v>
      </c>
      <c r="K2049" s="5">
        <f t="shared" si="127"/>
        <v>0</v>
      </c>
      <c r="L2049" s="5">
        <v>1</v>
      </c>
      <c r="M2049" s="5">
        <v>1</v>
      </c>
      <c r="N2049" t="s">
        <v>12</v>
      </c>
      <c r="O2049" s="8">
        <v>21.065753424657533</v>
      </c>
      <c r="P2049" t="s">
        <v>33</v>
      </c>
      <c r="Q2049">
        <v>2</v>
      </c>
      <c r="R2049" s="2">
        <v>38289</v>
      </c>
    </row>
    <row r="2050" spans="1:18" x14ac:dyDescent="0.3">
      <c r="A2050" t="s">
        <v>7</v>
      </c>
      <c r="B2050">
        <v>18980488</v>
      </c>
      <c r="C2050" t="s">
        <v>10</v>
      </c>
      <c r="D2050" s="4">
        <v>45978</v>
      </c>
      <c r="E2050" s="11">
        <f t="shared" si="124"/>
        <v>2025</v>
      </c>
      <c r="F2050" s="11">
        <f t="shared" si="125"/>
        <v>11</v>
      </c>
      <c r="G2050" s="11" t="str">
        <f t="shared" si="126"/>
        <v>202511</v>
      </c>
      <c r="I2050" s="5">
        <v>9999</v>
      </c>
      <c r="J2050" s="5">
        <v>333.3</v>
      </c>
      <c r="K2050" s="5">
        <f t="shared" si="127"/>
        <v>0</v>
      </c>
      <c r="L2050" s="5">
        <v>0</v>
      </c>
      <c r="M2050" s="5">
        <v>0</v>
      </c>
      <c r="N2050" t="s">
        <v>12</v>
      </c>
      <c r="O2050" s="8">
        <v>19.816438356164383</v>
      </c>
      <c r="P2050" t="s">
        <v>32</v>
      </c>
      <c r="Q2050">
        <v>1</v>
      </c>
      <c r="R2050" s="2">
        <v>38745</v>
      </c>
    </row>
    <row r="2051" spans="1:18" x14ac:dyDescent="0.3">
      <c r="A2051" t="s">
        <v>7</v>
      </c>
      <c r="B2051">
        <v>18980490</v>
      </c>
      <c r="C2051" t="s">
        <v>8</v>
      </c>
      <c r="D2051" s="4">
        <v>45978</v>
      </c>
      <c r="E2051" s="11">
        <f t="shared" ref="E2051:E2114" si="128">+YEAR(D2051)</f>
        <v>2025</v>
      </c>
      <c r="F2051" s="11">
        <f t="shared" ref="F2051:F2114" si="129">+MONTH(D2051)</f>
        <v>11</v>
      </c>
      <c r="G2051" s="11" t="str">
        <f t="shared" ref="G2051:G2114" si="130">+TEXT(D2051, "yyymm")</f>
        <v>202511</v>
      </c>
      <c r="H2051" s="4">
        <v>46142</v>
      </c>
      <c r="I2051" s="5">
        <v>164</v>
      </c>
      <c r="J2051" s="5">
        <v>5.4666666666666668</v>
      </c>
      <c r="K2051" s="5">
        <f t="shared" ref="K2051:K2114" si="131">IF(J2051&lt;=1,1,0)</f>
        <v>0</v>
      </c>
      <c r="L2051" s="5">
        <v>0</v>
      </c>
      <c r="M2051" s="5">
        <v>1</v>
      </c>
      <c r="N2051" t="s">
        <v>12</v>
      </c>
      <c r="O2051" s="8">
        <v>21.909589041095892</v>
      </c>
      <c r="P2051" t="s">
        <v>33</v>
      </c>
      <c r="Q2051">
        <v>2</v>
      </c>
      <c r="R2051" s="2">
        <v>37981</v>
      </c>
    </row>
    <row r="2052" spans="1:18" x14ac:dyDescent="0.3">
      <c r="A2052" t="s">
        <v>7</v>
      </c>
      <c r="B2052">
        <v>18980491</v>
      </c>
      <c r="C2052" t="s">
        <v>8</v>
      </c>
      <c r="D2052" s="4">
        <v>45978</v>
      </c>
      <c r="E2052" s="11">
        <f t="shared" si="128"/>
        <v>2025</v>
      </c>
      <c r="F2052" s="11">
        <f t="shared" si="129"/>
        <v>11</v>
      </c>
      <c r="G2052" s="11" t="str">
        <f t="shared" si="130"/>
        <v>202511</v>
      </c>
      <c r="I2052" s="5">
        <v>9999</v>
      </c>
      <c r="J2052" s="5">
        <v>333.3</v>
      </c>
      <c r="K2052" s="5">
        <f t="shared" si="131"/>
        <v>0</v>
      </c>
      <c r="L2052" s="5">
        <v>0</v>
      </c>
      <c r="M2052" s="5">
        <v>0</v>
      </c>
      <c r="N2052" t="s">
        <v>9</v>
      </c>
      <c r="O2052" s="8">
        <v>23.61917808219178</v>
      </c>
      <c r="P2052" t="s">
        <v>33</v>
      </c>
      <c r="Q2052">
        <v>2</v>
      </c>
      <c r="R2052" s="2">
        <v>37357</v>
      </c>
    </row>
    <row r="2053" spans="1:18" x14ac:dyDescent="0.3">
      <c r="A2053" t="s">
        <v>7</v>
      </c>
      <c r="B2053">
        <v>18980492</v>
      </c>
      <c r="C2053" t="s">
        <v>10</v>
      </c>
      <c r="D2053" s="4">
        <v>45978</v>
      </c>
      <c r="E2053" s="11">
        <f t="shared" si="128"/>
        <v>2025</v>
      </c>
      <c r="F2053" s="11">
        <f t="shared" si="129"/>
        <v>11</v>
      </c>
      <c r="G2053" s="11" t="str">
        <f t="shared" si="130"/>
        <v>202511</v>
      </c>
      <c r="H2053" s="4">
        <v>46022</v>
      </c>
      <c r="I2053" s="5">
        <v>44</v>
      </c>
      <c r="J2053" s="5">
        <v>1.4666666666666666</v>
      </c>
      <c r="K2053" s="5">
        <f t="shared" si="131"/>
        <v>0</v>
      </c>
      <c r="L2053" s="5">
        <v>1</v>
      </c>
      <c r="M2053" s="5">
        <v>1</v>
      </c>
      <c r="N2053" t="s">
        <v>12</v>
      </c>
      <c r="O2053" s="8">
        <v>23.273972602739725</v>
      </c>
      <c r="P2053" t="s">
        <v>33</v>
      </c>
      <c r="Q2053">
        <v>2</v>
      </c>
      <c r="R2053" s="2">
        <v>37483</v>
      </c>
    </row>
    <row r="2054" spans="1:18" x14ac:dyDescent="0.3">
      <c r="A2054" t="s">
        <v>7</v>
      </c>
      <c r="B2054">
        <v>18980494</v>
      </c>
      <c r="C2054" t="s">
        <v>8</v>
      </c>
      <c r="D2054" s="4">
        <v>45978</v>
      </c>
      <c r="E2054" s="11">
        <f t="shared" si="128"/>
        <v>2025</v>
      </c>
      <c r="F2054" s="11">
        <f t="shared" si="129"/>
        <v>11</v>
      </c>
      <c r="G2054" s="11" t="str">
        <f t="shared" si="130"/>
        <v>202511</v>
      </c>
      <c r="H2054" s="4">
        <v>46022</v>
      </c>
      <c r="I2054" s="5">
        <v>44</v>
      </c>
      <c r="J2054" s="5">
        <v>1.4666666666666666</v>
      </c>
      <c r="K2054" s="5">
        <f t="shared" si="131"/>
        <v>0</v>
      </c>
      <c r="L2054" s="5">
        <v>1</v>
      </c>
      <c r="M2054" s="5">
        <v>1</v>
      </c>
      <c r="N2054" t="s">
        <v>12</v>
      </c>
      <c r="O2054" s="8">
        <v>21.654794520547945</v>
      </c>
      <c r="P2054" t="s">
        <v>33</v>
      </c>
      <c r="Q2054">
        <v>2</v>
      </c>
      <c r="R2054" s="2">
        <v>38074</v>
      </c>
    </row>
    <row r="2055" spans="1:18" x14ac:dyDescent="0.3">
      <c r="A2055" t="s">
        <v>7</v>
      </c>
      <c r="B2055">
        <v>18980495</v>
      </c>
      <c r="C2055" t="s">
        <v>10</v>
      </c>
      <c r="D2055" s="4">
        <v>45978</v>
      </c>
      <c r="E2055" s="11">
        <f t="shared" si="128"/>
        <v>2025</v>
      </c>
      <c r="F2055" s="11">
        <f t="shared" si="129"/>
        <v>11</v>
      </c>
      <c r="G2055" s="11" t="str">
        <f t="shared" si="130"/>
        <v>202511</v>
      </c>
      <c r="H2055" s="4">
        <v>46055</v>
      </c>
      <c r="I2055" s="5">
        <v>77</v>
      </c>
      <c r="J2055" s="5">
        <v>2.5666666666666669</v>
      </c>
      <c r="K2055" s="5">
        <f t="shared" si="131"/>
        <v>0</v>
      </c>
      <c r="L2055" s="5">
        <v>1</v>
      </c>
      <c r="M2055" s="5">
        <v>1</v>
      </c>
      <c r="N2055" t="s">
        <v>9</v>
      </c>
      <c r="O2055" s="8">
        <v>20.468493150684932</v>
      </c>
      <c r="P2055" t="s">
        <v>32</v>
      </c>
      <c r="Q2055">
        <v>1</v>
      </c>
      <c r="R2055" s="2">
        <v>38507</v>
      </c>
    </row>
    <row r="2056" spans="1:18" x14ac:dyDescent="0.3">
      <c r="A2056" t="s">
        <v>7</v>
      </c>
      <c r="B2056">
        <v>18980499</v>
      </c>
      <c r="C2056" t="s">
        <v>8</v>
      </c>
      <c r="D2056" s="4">
        <v>45978</v>
      </c>
      <c r="E2056" s="11">
        <f t="shared" si="128"/>
        <v>2025</v>
      </c>
      <c r="F2056" s="11">
        <f t="shared" si="129"/>
        <v>11</v>
      </c>
      <c r="G2056" s="11" t="str">
        <f t="shared" si="130"/>
        <v>202511</v>
      </c>
      <c r="H2056" s="4">
        <v>46022</v>
      </c>
      <c r="I2056" s="5">
        <v>44</v>
      </c>
      <c r="J2056" s="5">
        <v>1.4666666666666666</v>
      </c>
      <c r="K2056" s="5">
        <f t="shared" si="131"/>
        <v>0</v>
      </c>
      <c r="L2056" s="5">
        <v>1</v>
      </c>
      <c r="M2056" s="5">
        <v>1</v>
      </c>
      <c r="N2056" t="s">
        <v>12</v>
      </c>
      <c r="O2056" s="8">
        <v>21.969863013698632</v>
      </c>
      <c r="P2056" t="s">
        <v>33</v>
      </c>
      <c r="Q2056">
        <v>2</v>
      </c>
      <c r="R2056" s="2">
        <v>37959</v>
      </c>
    </row>
    <row r="2057" spans="1:18" x14ac:dyDescent="0.3">
      <c r="A2057" t="s">
        <v>7</v>
      </c>
      <c r="B2057">
        <v>18980500</v>
      </c>
      <c r="C2057" t="s">
        <v>10</v>
      </c>
      <c r="D2057" s="4">
        <v>45978</v>
      </c>
      <c r="E2057" s="11">
        <f t="shared" si="128"/>
        <v>2025</v>
      </c>
      <c r="F2057" s="11">
        <f t="shared" si="129"/>
        <v>11</v>
      </c>
      <c r="G2057" s="11" t="str">
        <f t="shared" si="130"/>
        <v>202511</v>
      </c>
      <c r="I2057" s="5">
        <v>9999</v>
      </c>
      <c r="J2057" s="5">
        <v>333.3</v>
      </c>
      <c r="K2057" s="5">
        <f t="shared" si="131"/>
        <v>0</v>
      </c>
      <c r="L2057" s="5">
        <v>0</v>
      </c>
      <c r="M2057" s="5">
        <v>0</v>
      </c>
      <c r="N2057" t="s">
        <v>9</v>
      </c>
      <c r="O2057" s="8">
        <v>27.087671232876712</v>
      </c>
      <c r="P2057" t="s">
        <v>34</v>
      </c>
      <c r="Q2057">
        <v>3</v>
      </c>
      <c r="R2057" s="2">
        <v>36091</v>
      </c>
    </row>
    <row r="2058" spans="1:18" x14ac:dyDescent="0.3">
      <c r="A2058" t="s">
        <v>7</v>
      </c>
      <c r="B2058">
        <v>18980501</v>
      </c>
      <c r="C2058" t="s">
        <v>8</v>
      </c>
      <c r="D2058" s="4">
        <v>45978</v>
      </c>
      <c r="E2058" s="11">
        <f t="shared" si="128"/>
        <v>2025</v>
      </c>
      <c r="F2058" s="11">
        <f t="shared" si="129"/>
        <v>11</v>
      </c>
      <c r="G2058" s="11" t="str">
        <f t="shared" si="130"/>
        <v>202511</v>
      </c>
      <c r="H2058" s="4">
        <v>46022</v>
      </c>
      <c r="I2058" s="5">
        <v>44</v>
      </c>
      <c r="J2058" s="5">
        <v>1.4666666666666666</v>
      </c>
      <c r="K2058" s="5">
        <f t="shared" si="131"/>
        <v>0</v>
      </c>
      <c r="L2058" s="5">
        <v>1</v>
      </c>
      <c r="M2058" s="5">
        <v>1</v>
      </c>
      <c r="N2058" t="s">
        <v>9</v>
      </c>
      <c r="O2058" s="8">
        <v>21.449315068493149</v>
      </c>
      <c r="P2058" t="s">
        <v>33</v>
      </c>
      <c r="Q2058">
        <v>2</v>
      </c>
      <c r="R2058" s="2">
        <v>38149</v>
      </c>
    </row>
    <row r="2059" spans="1:18" x14ac:dyDescent="0.3">
      <c r="A2059" t="s">
        <v>7</v>
      </c>
      <c r="B2059">
        <v>18980502</v>
      </c>
      <c r="C2059" t="s">
        <v>8</v>
      </c>
      <c r="D2059" s="4">
        <v>45978</v>
      </c>
      <c r="E2059" s="11">
        <f t="shared" si="128"/>
        <v>2025</v>
      </c>
      <c r="F2059" s="11">
        <f t="shared" si="129"/>
        <v>11</v>
      </c>
      <c r="G2059" s="11" t="str">
        <f t="shared" si="130"/>
        <v>202511</v>
      </c>
      <c r="H2059" s="4">
        <v>45992</v>
      </c>
      <c r="I2059" s="5">
        <v>14</v>
      </c>
      <c r="J2059" s="5">
        <v>0.46666666666666667</v>
      </c>
      <c r="K2059" s="5">
        <f t="shared" si="131"/>
        <v>1</v>
      </c>
      <c r="L2059" s="5">
        <v>1</v>
      </c>
      <c r="M2059" s="5">
        <v>1</v>
      </c>
      <c r="N2059" t="s">
        <v>9</v>
      </c>
      <c r="O2059" s="8">
        <v>18.167123287671235</v>
      </c>
      <c r="P2059" t="s">
        <v>32</v>
      </c>
      <c r="Q2059">
        <v>1</v>
      </c>
      <c r="R2059" s="2">
        <v>39347</v>
      </c>
    </row>
    <row r="2060" spans="1:18" x14ac:dyDescent="0.3">
      <c r="A2060" t="s">
        <v>7</v>
      </c>
      <c r="B2060">
        <v>18980505</v>
      </c>
      <c r="C2060" t="s">
        <v>8</v>
      </c>
      <c r="D2060" s="4">
        <v>45978</v>
      </c>
      <c r="E2060" s="11">
        <f t="shared" si="128"/>
        <v>2025</v>
      </c>
      <c r="F2060" s="11">
        <f t="shared" si="129"/>
        <v>11</v>
      </c>
      <c r="G2060" s="11" t="str">
        <f t="shared" si="130"/>
        <v>202511</v>
      </c>
      <c r="I2060" s="5">
        <v>9999</v>
      </c>
      <c r="J2060" s="5">
        <v>333.3</v>
      </c>
      <c r="K2060" s="5">
        <f t="shared" si="131"/>
        <v>0</v>
      </c>
      <c r="L2060" s="5">
        <v>0</v>
      </c>
      <c r="M2060" s="5">
        <v>0</v>
      </c>
      <c r="N2060" t="s">
        <v>9</v>
      </c>
      <c r="O2060" s="8">
        <v>19.049315068493151</v>
      </c>
      <c r="P2060" t="s">
        <v>32</v>
      </c>
      <c r="Q2060">
        <v>1</v>
      </c>
      <c r="R2060" s="2">
        <v>39025</v>
      </c>
    </row>
    <row r="2061" spans="1:18" x14ac:dyDescent="0.3">
      <c r="A2061" t="s">
        <v>7</v>
      </c>
      <c r="B2061">
        <v>18980508</v>
      </c>
      <c r="C2061" t="s">
        <v>10</v>
      </c>
      <c r="D2061" s="4">
        <v>45978</v>
      </c>
      <c r="E2061" s="11">
        <f t="shared" si="128"/>
        <v>2025</v>
      </c>
      <c r="F2061" s="11">
        <f t="shared" si="129"/>
        <v>11</v>
      </c>
      <c r="G2061" s="11" t="str">
        <f t="shared" si="130"/>
        <v>202511</v>
      </c>
      <c r="H2061" s="4">
        <v>46022</v>
      </c>
      <c r="I2061" s="5">
        <v>44</v>
      </c>
      <c r="J2061" s="5">
        <v>1.4666666666666666</v>
      </c>
      <c r="K2061" s="5">
        <f t="shared" si="131"/>
        <v>0</v>
      </c>
      <c r="L2061" s="5">
        <v>1</v>
      </c>
      <c r="M2061" s="5">
        <v>1</v>
      </c>
      <c r="N2061" t="s">
        <v>9</v>
      </c>
      <c r="O2061" s="8">
        <v>20.282191780821918</v>
      </c>
      <c r="P2061" t="s">
        <v>32</v>
      </c>
      <c r="Q2061">
        <v>1</v>
      </c>
      <c r="R2061" s="2">
        <v>38575</v>
      </c>
    </row>
    <row r="2062" spans="1:18" x14ac:dyDescent="0.3">
      <c r="A2062" t="s">
        <v>7</v>
      </c>
      <c r="B2062">
        <v>18980509</v>
      </c>
      <c r="C2062" t="s">
        <v>8</v>
      </c>
      <c r="D2062" s="4">
        <v>45978</v>
      </c>
      <c r="E2062" s="11">
        <f t="shared" si="128"/>
        <v>2025</v>
      </c>
      <c r="F2062" s="11">
        <f t="shared" si="129"/>
        <v>11</v>
      </c>
      <c r="G2062" s="11" t="str">
        <f t="shared" si="130"/>
        <v>202511</v>
      </c>
      <c r="I2062" s="5">
        <v>9999</v>
      </c>
      <c r="J2062" s="5">
        <v>333.3</v>
      </c>
      <c r="K2062" s="5">
        <f t="shared" si="131"/>
        <v>0</v>
      </c>
      <c r="L2062" s="5">
        <v>0</v>
      </c>
      <c r="M2062" s="5">
        <v>0</v>
      </c>
      <c r="N2062" t="s">
        <v>9</v>
      </c>
      <c r="O2062" s="8">
        <v>21.254794520547946</v>
      </c>
      <c r="P2062" t="s">
        <v>33</v>
      </c>
      <c r="Q2062">
        <v>2</v>
      </c>
      <c r="R2062" s="2">
        <v>38220</v>
      </c>
    </row>
    <row r="2063" spans="1:18" x14ac:dyDescent="0.3">
      <c r="A2063" t="s">
        <v>7</v>
      </c>
      <c r="B2063">
        <v>18980512</v>
      </c>
      <c r="C2063" t="s">
        <v>8</v>
      </c>
      <c r="D2063" s="4">
        <v>45978</v>
      </c>
      <c r="E2063" s="11">
        <f t="shared" si="128"/>
        <v>2025</v>
      </c>
      <c r="F2063" s="11">
        <f t="shared" si="129"/>
        <v>11</v>
      </c>
      <c r="G2063" s="11" t="str">
        <f t="shared" si="130"/>
        <v>202511</v>
      </c>
      <c r="H2063" s="4">
        <v>46022</v>
      </c>
      <c r="I2063" s="5">
        <v>44</v>
      </c>
      <c r="J2063" s="5">
        <v>1.4666666666666666</v>
      </c>
      <c r="K2063" s="5">
        <f t="shared" si="131"/>
        <v>0</v>
      </c>
      <c r="L2063" s="5">
        <v>1</v>
      </c>
      <c r="M2063" s="5">
        <v>1</v>
      </c>
      <c r="N2063" t="s">
        <v>9</v>
      </c>
      <c r="O2063" s="8">
        <v>21.197260273972603</v>
      </c>
      <c r="P2063" t="s">
        <v>33</v>
      </c>
      <c r="Q2063">
        <v>2</v>
      </c>
      <c r="R2063" s="2">
        <v>38241</v>
      </c>
    </row>
    <row r="2064" spans="1:18" x14ac:dyDescent="0.3">
      <c r="A2064" t="s">
        <v>7</v>
      </c>
      <c r="B2064">
        <v>18980514</v>
      </c>
      <c r="C2064" t="s">
        <v>8</v>
      </c>
      <c r="D2064" s="4">
        <v>45978</v>
      </c>
      <c r="E2064" s="11">
        <f t="shared" si="128"/>
        <v>2025</v>
      </c>
      <c r="F2064" s="11">
        <f t="shared" si="129"/>
        <v>11</v>
      </c>
      <c r="G2064" s="11" t="str">
        <f t="shared" si="130"/>
        <v>202511</v>
      </c>
      <c r="H2064" s="4">
        <v>45999</v>
      </c>
      <c r="I2064" s="5">
        <v>21</v>
      </c>
      <c r="J2064" s="5">
        <v>0.7</v>
      </c>
      <c r="K2064" s="5">
        <f t="shared" si="131"/>
        <v>1</v>
      </c>
      <c r="L2064" s="5">
        <v>1</v>
      </c>
      <c r="M2064" s="5">
        <v>1</v>
      </c>
      <c r="N2064" t="s">
        <v>9</v>
      </c>
      <c r="O2064" s="8">
        <v>19.550684931506851</v>
      </c>
      <c r="P2064" t="s">
        <v>32</v>
      </c>
      <c r="Q2064">
        <v>1</v>
      </c>
      <c r="R2064" s="2">
        <v>38842</v>
      </c>
    </row>
    <row r="2065" spans="1:18" x14ac:dyDescent="0.3">
      <c r="A2065" t="s">
        <v>7</v>
      </c>
      <c r="B2065">
        <v>18980516</v>
      </c>
      <c r="C2065" t="s">
        <v>10</v>
      </c>
      <c r="D2065" s="4">
        <v>45978</v>
      </c>
      <c r="E2065" s="11">
        <f t="shared" si="128"/>
        <v>2025</v>
      </c>
      <c r="F2065" s="11">
        <f t="shared" si="129"/>
        <v>11</v>
      </c>
      <c r="G2065" s="11" t="str">
        <f t="shared" si="130"/>
        <v>202511</v>
      </c>
      <c r="H2065" s="4">
        <v>46022</v>
      </c>
      <c r="I2065" s="5">
        <v>44</v>
      </c>
      <c r="J2065" s="5">
        <v>1.4666666666666666</v>
      </c>
      <c r="K2065" s="5">
        <f t="shared" si="131"/>
        <v>0</v>
      </c>
      <c r="L2065" s="5">
        <v>1</v>
      </c>
      <c r="M2065" s="5">
        <v>1</v>
      </c>
      <c r="N2065" t="s">
        <v>9</v>
      </c>
      <c r="O2065" s="8">
        <v>18.153424657534245</v>
      </c>
      <c r="P2065" t="s">
        <v>32</v>
      </c>
      <c r="Q2065">
        <v>1</v>
      </c>
      <c r="R2065" s="2">
        <v>39352</v>
      </c>
    </row>
    <row r="2066" spans="1:18" x14ac:dyDescent="0.3">
      <c r="A2066" t="s">
        <v>7</v>
      </c>
      <c r="B2066">
        <v>18980517</v>
      </c>
      <c r="C2066" t="s">
        <v>10</v>
      </c>
      <c r="D2066" s="4">
        <v>45978</v>
      </c>
      <c r="E2066" s="11">
        <f t="shared" si="128"/>
        <v>2025</v>
      </c>
      <c r="F2066" s="11">
        <f t="shared" si="129"/>
        <v>11</v>
      </c>
      <c r="G2066" s="11" t="str">
        <f t="shared" si="130"/>
        <v>202511</v>
      </c>
      <c r="H2066" s="4">
        <v>46022</v>
      </c>
      <c r="I2066" s="5">
        <v>44</v>
      </c>
      <c r="J2066" s="5">
        <v>1.4666666666666666</v>
      </c>
      <c r="K2066" s="5">
        <f t="shared" si="131"/>
        <v>0</v>
      </c>
      <c r="L2066" s="5">
        <v>1</v>
      </c>
      <c r="M2066" s="5">
        <v>1</v>
      </c>
      <c r="N2066" t="s">
        <v>9</v>
      </c>
      <c r="O2066" s="8">
        <v>23.432876712328767</v>
      </c>
      <c r="P2066" t="s">
        <v>33</v>
      </c>
      <c r="Q2066">
        <v>2</v>
      </c>
      <c r="R2066" s="2">
        <v>37425</v>
      </c>
    </row>
    <row r="2067" spans="1:18" x14ac:dyDescent="0.3">
      <c r="A2067" t="s">
        <v>7</v>
      </c>
      <c r="B2067">
        <v>18980532</v>
      </c>
      <c r="C2067" t="s">
        <v>10</v>
      </c>
      <c r="D2067" s="4">
        <v>45978</v>
      </c>
      <c r="E2067" s="11">
        <f t="shared" si="128"/>
        <v>2025</v>
      </c>
      <c r="F2067" s="11">
        <f t="shared" si="129"/>
        <v>11</v>
      </c>
      <c r="G2067" s="11" t="str">
        <f t="shared" si="130"/>
        <v>202511</v>
      </c>
      <c r="I2067" s="5">
        <v>9999</v>
      </c>
      <c r="J2067" s="5">
        <v>333.3</v>
      </c>
      <c r="K2067" s="5">
        <f t="shared" si="131"/>
        <v>0</v>
      </c>
      <c r="L2067" s="5">
        <v>0</v>
      </c>
      <c r="M2067" s="5">
        <v>0</v>
      </c>
      <c r="N2067" t="s">
        <v>9</v>
      </c>
      <c r="O2067" s="8">
        <v>19.336986301369862</v>
      </c>
      <c r="P2067" t="s">
        <v>32</v>
      </c>
      <c r="Q2067">
        <v>1</v>
      </c>
      <c r="R2067" s="2">
        <v>38920</v>
      </c>
    </row>
    <row r="2068" spans="1:18" x14ac:dyDescent="0.3">
      <c r="A2068" t="s">
        <v>7</v>
      </c>
      <c r="B2068">
        <v>18980534</v>
      </c>
      <c r="C2068" t="s">
        <v>10</v>
      </c>
      <c r="D2068" s="4">
        <v>45978</v>
      </c>
      <c r="E2068" s="11">
        <f t="shared" si="128"/>
        <v>2025</v>
      </c>
      <c r="F2068" s="11">
        <f t="shared" si="129"/>
        <v>11</v>
      </c>
      <c r="G2068" s="11" t="str">
        <f t="shared" si="130"/>
        <v>202511</v>
      </c>
      <c r="H2068" s="4">
        <v>46022</v>
      </c>
      <c r="I2068" s="5">
        <v>44</v>
      </c>
      <c r="J2068" s="5">
        <v>1.4666666666666666</v>
      </c>
      <c r="K2068" s="5">
        <f t="shared" si="131"/>
        <v>0</v>
      </c>
      <c r="L2068" s="5">
        <v>1</v>
      </c>
      <c r="M2068" s="5">
        <v>1</v>
      </c>
      <c r="N2068" t="s">
        <v>12</v>
      </c>
      <c r="O2068" s="8">
        <v>22.246575342465754</v>
      </c>
      <c r="P2068" t="s">
        <v>33</v>
      </c>
      <c r="Q2068">
        <v>2</v>
      </c>
      <c r="R2068" s="2">
        <v>37858</v>
      </c>
    </row>
    <row r="2069" spans="1:18" x14ac:dyDescent="0.3">
      <c r="A2069" t="s">
        <v>7</v>
      </c>
      <c r="B2069">
        <v>18980535</v>
      </c>
      <c r="C2069" t="s">
        <v>8</v>
      </c>
      <c r="D2069" s="4">
        <v>45978</v>
      </c>
      <c r="E2069" s="11">
        <f t="shared" si="128"/>
        <v>2025</v>
      </c>
      <c r="F2069" s="11">
        <f t="shared" si="129"/>
        <v>11</v>
      </c>
      <c r="G2069" s="11" t="str">
        <f t="shared" si="130"/>
        <v>202511</v>
      </c>
      <c r="H2069" s="4">
        <v>46053</v>
      </c>
      <c r="I2069" s="5">
        <v>75</v>
      </c>
      <c r="J2069" s="5">
        <v>2.5</v>
      </c>
      <c r="K2069" s="5">
        <f t="shared" si="131"/>
        <v>0</v>
      </c>
      <c r="L2069" s="5">
        <v>1</v>
      </c>
      <c r="M2069" s="5">
        <v>1</v>
      </c>
      <c r="N2069" t="s">
        <v>9</v>
      </c>
      <c r="O2069" s="8">
        <v>19.145205479452056</v>
      </c>
      <c r="P2069" t="s">
        <v>32</v>
      </c>
      <c r="Q2069">
        <v>1</v>
      </c>
      <c r="R2069" s="2">
        <v>38990</v>
      </c>
    </row>
    <row r="2070" spans="1:18" x14ac:dyDescent="0.3">
      <c r="A2070" t="s">
        <v>7</v>
      </c>
      <c r="B2070">
        <v>18980544</v>
      </c>
      <c r="C2070" t="s">
        <v>10</v>
      </c>
      <c r="D2070" s="4">
        <v>45978</v>
      </c>
      <c r="E2070" s="11">
        <f t="shared" si="128"/>
        <v>2025</v>
      </c>
      <c r="F2070" s="11">
        <f t="shared" si="129"/>
        <v>11</v>
      </c>
      <c r="G2070" s="11" t="str">
        <f t="shared" si="130"/>
        <v>202511</v>
      </c>
      <c r="H2070" s="4">
        <v>46084</v>
      </c>
      <c r="I2070" s="5">
        <v>106</v>
      </c>
      <c r="J2070" s="5">
        <v>3.5333333333333332</v>
      </c>
      <c r="K2070" s="5">
        <f t="shared" si="131"/>
        <v>0</v>
      </c>
      <c r="L2070" s="5">
        <v>0</v>
      </c>
      <c r="M2070" s="5">
        <v>1</v>
      </c>
      <c r="N2070" t="s">
        <v>9</v>
      </c>
      <c r="O2070" s="8">
        <v>20.435616438356163</v>
      </c>
      <c r="P2070" t="s">
        <v>32</v>
      </c>
      <c r="Q2070">
        <v>1</v>
      </c>
      <c r="R2070" s="2">
        <v>38519</v>
      </c>
    </row>
    <row r="2071" spans="1:18" x14ac:dyDescent="0.3">
      <c r="A2071" t="s">
        <v>7</v>
      </c>
      <c r="B2071">
        <v>18980549</v>
      </c>
      <c r="C2071" t="s">
        <v>8</v>
      </c>
      <c r="D2071" s="4">
        <v>45978</v>
      </c>
      <c r="E2071" s="11">
        <f t="shared" si="128"/>
        <v>2025</v>
      </c>
      <c r="F2071" s="11">
        <f t="shared" si="129"/>
        <v>11</v>
      </c>
      <c r="G2071" s="11" t="str">
        <f t="shared" si="130"/>
        <v>202511</v>
      </c>
      <c r="H2071" s="4">
        <v>46022</v>
      </c>
      <c r="I2071" s="5">
        <v>44</v>
      </c>
      <c r="J2071" s="5">
        <v>1.4666666666666666</v>
      </c>
      <c r="K2071" s="5">
        <f t="shared" si="131"/>
        <v>0</v>
      </c>
      <c r="L2071" s="5">
        <v>1</v>
      </c>
      <c r="M2071" s="5">
        <v>1</v>
      </c>
      <c r="N2071" t="s">
        <v>9</v>
      </c>
      <c r="O2071" s="8">
        <v>21.224657534246575</v>
      </c>
      <c r="P2071" t="s">
        <v>33</v>
      </c>
      <c r="Q2071">
        <v>2</v>
      </c>
      <c r="R2071" s="2">
        <v>38231</v>
      </c>
    </row>
    <row r="2072" spans="1:18" x14ac:dyDescent="0.3">
      <c r="A2072" t="s">
        <v>7</v>
      </c>
      <c r="B2072">
        <v>18980552</v>
      </c>
      <c r="C2072" t="s">
        <v>10</v>
      </c>
      <c r="D2072" s="4">
        <v>45978</v>
      </c>
      <c r="E2072" s="11">
        <f t="shared" si="128"/>
        <v>2025</v>
      </c>
      <c r="F2072" s="11">
        <f t="shared" si="129"/>
        <v>11</v>
      </c>
      <c r="G2072" s="11" t="str">
        <f t="shared" si="130"/>
        <v>202511</v>
      </c>
      <c r="H2072" s="4">
        <v>46022</v>
      </c>
      <c r="I2072" s="5">
        <v>44</v>
      </c>
      <c r="J2072" s="5">
        <v>1.4666666666666666</v>
      </c>
      <c r="K2072" s="5">
        <f t="shared" si="131"/>
        <v>0</v>
      </c>
      <c r="L2072" s="5">
        <v>1</v>
      </c>
      <c r="M2072" s="5">
        <v>1</v>
      </c>
      <c r="N2072" t="s">
        <v>9</v>
      </c>
      <c r="O2072" s="8">
        <v>22.56986301369863</v>
      </c>
      <c r="P2072" t="s">
        <v>33</v>
      </c>
      <c r="Q2072">
        <v>2</v>
      </c>
      <c r="R2072" s="2">
        <v>37740</v>
      </c>
    </row>
    <row r="2073" spans="1:18" x14ac:dyDescent="0.3">
      <c r="A2073" t="s">
        <v>7</v>
      </c>
      <c r="B2073">
        <v>18980553</v>
      </c>
      <c r="C2073" t="s">
        <v>8</v>
      </c>
      <c r="D2073" s="4">
        <v>45978</v>
      </c>
      <c r="E2073" s="11">
        <f t="shared" si="128"/>
        <v>2025</v>
      </c>
      <c r="F2073" s="11">
        <f t="shared" si="129"/>
        <v>11</v>
      </c>
      <c r="G2073" s="11" t="str">
        <f t="shared" si="130"/>
        <v>202511</v>
      </c>
      <c r="H2073" s="4">
        <v>45991</v>
      </c>
      <c r="I2073" s="5">
        <v>13</v>
      </c>
      <c r="J2073" s="5">
        <v>0.43333333333333335</v>
      </c>
      <c r="K2073" s="5">
        <f t="shared" si="131"/>
        <v>1</v>
      </c>
      <c r="L2073" s="5">
        <v>1</v>
      </c>
      <c r="M2073" s="5">
        <v>1</v>
      </c>
      <c r="N2073" t="s">
        <v>9</v>
      </c>
      <c r="O2073" s="8">
        <v>19.857534246575341</v>
      </c>
      <c r="P2073" t="s">
        <v>32</v>
      </c>
      <c r="Q2073">
        <v>1</v>
      </c>
      <c r="R2073" s="2">
        <v>38730</v>
      </c>
    </row>
    <row r="2074" spans="1:18" x14ac:dyDescent="0.3">
      <c r="A2074" t="s">
        <v>7</v>
      </c>
      <c r="B2074">
        <v>18980554</v>
      </c>
      <c r="C2074" t="s">
        <v>8</v>
      </c>
      <c r="D2074" s="4">
        <v>45978</v>
      </c>
      <c r="E2074" s="11">
        <f t="shared" si="128"/>
        <v>2025</v>
      </c>
      <c r="F2074" s="11">
        <f t="shared" si="129"/>
        <v>11</v>
      </c>
      <c r="G2074" s="11" t="str">
        <f t="shared" si="130"/>
        <v>202511</v>
      </c>
      <c r="H2074" s="4">
        <v>46022</v>
      </c>
      <c r="I2074" s="5">
        <v>44</v>
      </c>
      <c r="J2074" s="5">
        <v>1.4666666666666666</v>
      </c>
      <c r="K2074" s="5">
        <f t="shared" si="131"/>
        <v>0</v>
      </c>
      <c r="L2074" s="5">
        <v>1</v>
      </c>
      <c r="M2074" s="5">
        <v>1</v>
      </c>
      <c r="N2074" t="s">
        <v>9</v>
      </c>
      <c r="O2074" s="8">
        <v>18.282191780821918</v>
      </c>
      <c r="P2074" t="s">
        <v>32</v>
      </c>
      <c r="Q2074">
        <v>1</v>
      </c>
      <c r="R2074" s="2">
        <v>39305</v>
      </c>
    </row>
    <row r="2075" spans="1:18" x14ac:dyDescent="0.3">
      <c r="A2075" t="s">
        <v>7</v>
      </c>
      <c r="B2075">
        <v>18980555</v>
      </c>
      <c r="C2075" t="s">
        <v>8</v>
      </c>
      <c r="D2075" s="4">
        <v>45978</v>
      </c>
      <c r="E2075" s="11">
        <f t="shared" si="128"/>
        <v>2025</v>
      </c>
      <c r="F2075" s="11">
        <f t="shared" si="129"/>
        <v>11</v>
      </c>
      <c r="G2075" s="11" t="str">
        <f t="shared" si="130"/>
        <v>202511</v>
      </c>
      <c r="H2075" s="4">
        <v>46022</v>
      </c>
      <c r="I2075" s="5">
        <v>44</v>
      </c>
      <c r="J2075" s="5">
        <v>1.4666666666666666</v>
      </c>
      <c r="K2075" s="5">
        <f t="shared" si="131"/>
        <v>0</v>
      </c>
      <c r="L2075" s="5">
        <v>1</v>
      </c>
      <c r="M2075" s="5">
        <v>1</v>
      </c>
      <c r="N2075" t="s">
        <v>9</v>
      </c>
      <c r="O2075" s="8">
        <v>20.342465753424658</v>
      </c>
      <c r="P2075" t="s">
        <v>32</v>
      </c>
      <c r="Q2075">
        <v>1</v>
      </c>
      <c r="R2075" s="2">
        <v>38553</v>
      </c>
    </row>
    <row r="2076" spans="1:18" x14ac:dyDescent="0.3">
      <c r="A2076" t="s">
        <v>7</v>
      </c>
      <c r="B2076">
        <v>18980556</v>
      </c>
      <c r="C2076" t="s">
        <v>8</v>
      </c>
      <c r="D2076" s="4">
        <v>45978</v>
      </c>
      <c r="E2076" s="11">
        <f t="shared" si="128"/>
        <v>2025</v>
      </c>
      <c r="F2076" s="11">
        <f t="shared" si="129"/>
        <v>11</v>
      </c>
      <c r="G2076" s="11" t="str">
        <f t="shared" si="130"/>
        <v>202511</v>
      </c>
      <c r="H2076" s="4">
        <v>46022</v>
      </c>
      <c r="I2076" s="5">
        <v>44</v>
      </c>
      <c r="J2076" s="5">
        <v>1.4666666666666666</v>
      </c>
      <c r="K2076" s="5">
        <f t="shared" si="131"/>
        <v>0</v>
      </c>
      <c r="L2076" s="5">
        <v>1</v>
      </c>
      <c r="M2076" s="5">
        <v>1</v>
      </c>
      <c r="N2076" t="s">
        <v>9</v>
      </c>
      <c r="O2076" s="8">
        <v>19.13150684931507</v>
      </c>
      <c r="P2076" t="s">
        <v>32</v>
      </c>
      <c r="Q2076">
        <v>1</v>
      </c>
      <c r="R2076" s="2">
        <v>38995</v>
      </c>
    </row>
    <row r="2077" spans="1:18" x14ac:dyDescent="0.3">
      <c r="A2077" t="s">
        <v>7</v>
      </c>
      <c r="B2077">
        <v>18980559</v>
      </c>
      <c r="C2077" t="s">
        <v>8</v>
      </c>
      <c r="D2077" s="4">
        <v>45978</v>
      </c>
      <c r="E2077" s="11">
        <f t="shared" si="128"/>
        <v>2025</v>
      </c>
      <c r="F2077" s="11">
        <f t="shared" si="129"/>
        <v>11</v>
      </c>
      <c r="G2077" s="11" t="str">
        <f t="shared" si="130"/>
        <v>202511</v>
      </c>
      <c r="H2077" s="4">
        <v>46022</v>
      </c>
      <c r="I2077" s="5">
        <v>44</v>
      </c>
      <c r="J2077" s="5">
        <v>1.4666666666666666</v>
      </c>
      <c r="K2077" s="5">
        <f t="shared" si="131"/>
        <v>0</v>
      </c>
      <c r="L2077" s="5">
        <v>1</v>
      </c>
      <c r="M2077" s="5">
        <v>1</v>
      </c>
      <c r="N2077" t="s">
        <v>9</v>
      </c>
      <c r="O2077" s="8">
        <v>24.328767123287673</v>
      </c>
      <c r="P2077" t="s">
        <v>33</v>
      </c>
      <c r="Q2077">
        <v>2</v>
      </c>
      <c r="R2077" s="2">
        <v>37098</v>
      </c>
    </row>
    <row r="2078" spans="1:18" x14ac:dyDescent="0.3">
      <c r="A2078" t="s">
        <v>7</v>
      </c>
      <c r="B2078">
        <v>18980560</v>
      </c>
      <c r="C2078" t="s">
        <v>8</v>
      </c>
      <c r="D2078" s="4">
        <v>45978</v>
      </c>
      <c r="E2078" s="11">
        <f t="shared" si="128"/>
        <v>2025</v>
      </c>
      <c r="F2078" s="11">
        <f t="shared" si="129"/>
        <v>11</v>
      </c>
      <c r="G2078" s="11" t="str">
        <f t="shared" si="130"/>
        <v>202511</v>
      </c>
      <c r="H2078" s="4">
        <v>46022</v>
      </c>
      <c r="I2078" s="5">
        <v>44</v>
      </c>
      <c r="J2078" s="5">
        <v>1.4666666666666666</v>
      </c>
      <c r="K2078" s="5">
        <f t="shared" si="131"/>
        <v>0</v>
      </c>
      <c r="L2078" s="5">
        <v>1</v>
      </c>
      <c r="M2078" s="5">
        <v>1</v>
      </c>
      <c r="N2078" t="s">
        <v>9</v>
      </c>
      <c r="O2078" s="8">
        <v>19.372602739726027</v>
      </c>
      <c r="P2078" t="s">
        <v>32</v>
      </c>
      <c r="Q2078">
        <v>1</v>
      </c>
      <c r="R2078" s="2">
        <v>38907</v>
      </c>
    </row>
    <row r="2079" spans="1:18" x14ac:dyDescent="0.3">
      <c r="A2079" t="s">
        <v>7</v>
      </c>
      <c r="B2079">
        <v>18980561</v>
      </c>
      <c r="C2079" t="s">
        <v>8</v>
      </c>
      <c r="D2079" s="4">
        <v>45978</v>
      </c>
      <c r="E2079" s="11">
        <f t="shared" si="128"/>
        <v>2025</v>
      </c>
      <c r="F2079" s="11">
        <f t="shared" si="129"/>
        <v>11</v>
      </c>
      <c r="G2079" s="11" t="str">
        <f t="shared" si="130"/>
        <v>202511</v>
      </c>
      <c r="H2079" s="4">
        <v>46022</v>
      </c>
      <c r="I2079" s="5">
        <v>44</v>
      </c>
      <c r="J2079" s="5">
        <v>1.4666666666666666</v>
      </c>
      <c r="K2079" s="5">
        <f t="shared" si="131"/>
        <v>0</v>
      </c>
      <c r="L2079" s="5">
        <v>1</v>
      </c>
      <c r="M2079" s="5">
        <v>1</v>
      </c>
      <c r="N2079" t="s">
        <v>9</v>
      </c>
      <c r="O2079" s="8">
        <v>19.408219178082192</v>
      </c>
      <c r="P2079" t="s">
        <v>32</v>
      </c>
      <c r="Q2079">
        <v>1</v>
      </c>
      <c r="R2079" s="2">
        <v>38894</v>
      </c>
    </row>
    <row r="2080" spans="1:18" x14ac:dyDescent="0.3">
      <c r="A2080" t="s">
        <v>7</v>
      </c>
      <c r="B2080">
        <v>18980563</v>
      </c>
      <c r="C2080" t="s">
        <v>10</v>
      </c>
      <c r="D2080" s="4">
        <v>45978</v>
      </c>
      <c r="E2080" s="11">
        <f t="shared" si="128"/>
        <v>2025</v>
      </c>
      <c r="F2080" s="11">
        <f t="shared" si="129"/>
        <v>11</v>
      </c>
      <c r="G2080" s="11" t="str">
        <f t="shared" si="130"/>
        <v>202511</v>
      </c>
      <c r="H2080" s="4">
        <v>46022</v>
      </c>
      <c r="I2080" s="5">
        <v>44</v>
      </c>
      <c r="J2080" s="5">
        <v>1.4666666666666666</v>
      </c>
      <c r="K2080" s="5">
        <f t="shared" si="131"/>
        <v>0</v>
      </c>
      <c r="L2080" s="5">
        <v>1</v>
      </c>
      <c r="M2080" s="5">
        <v>1</v>
      </c>
      <c r="N2080" t="s">
        <v>9</v>
      </c>
      <c r="O2080" s="8">
        <v>26.216438356164385</v>
      </c>
      <c r="P2080" t="s">
        <v>34</v>
      </c>
      <c r="Q2080">
        <v>3</v>
      </c>
      <c r="R2080" s="2">
        <v>36409</v>
      </c>
    </row>
    <row r="2081" spans="1:18" x14ac:dyDescent="0.3">
      <c r="A2081" t="s">
        <v>7</v>
      </c>
      <c r="B2081">
        <v>18980694</v>
      </c>
      <c r="C2081" t="s">
        <v>8</v>
      </c>
      <c r="D2081" s="4">
        <v>45978</v>
      </c>
      <c r="E2081" s="11">
        <f t="shared" si="128"/>
        <v>2025</v>
      </c>
      <c r="F2081" s="11">
        <f t="shared" si="129"/>
        <v>11</v>
      </c>
      <c r="G2081" s="11" t="str">
        <f t="shared" si="130"/>
        <v>202511</v>
      </c>
      <c r="I2081" s="5">
        <v>9999</v>
      </c>
      <c r="J2081" s="5">
        <v>333.3</v>
      </c>
      <c r="K2081" s="5">
        <f t="shared" si="131"/>
        <v>0</v>
      </c>
      <c r="L2081" s="5">
        <v>0</v>
      </c>
      <c r="M2081" s="5">
        <v>0</v>
      </c>
      <c r="N2081" t="s">
        <v>9</v>
      </c>
      <c r="O2081" s="8">
        <v>29.358904109589041</v>
      </c>
      <c r="P2081" t="s">
        <v>34</v>
      </c>
      <c r="Q2081">
        <v>3</v>
      </c>
      <c r="R2081" s="2">
        <v>35262</v>
      </c>
    </row>
    <row r="2082" spans="1:18" x14ac:dyDescent="0.3">
      <c r="A2082" t="s">
        <v>7</v>
      </c>
      <c r="B2082">
        <v>18980695</v>
      </c>
      <c r="C2082" t="s">
        <v>8</v>
      </c>
      <c r="D2082" s="4">
        <v>45978</v>
      </c>
      <c r="E2082" s="11">
        <f t="shared" si="128"/>
        <v>2025</v>
      </c>
      <c r="F2082" s="11">
        <f t="shared" si="129"/>
        <v>11</v>
      </c>
      <c r="G2082" s="11" t="str">
        <f t="shared" si="130"/>
        <v>202511</v>
      </c>
      <c r="H2082" s="4">
        <v>46022</v>
      </c>
      <c r="I2082" s="5">
        <v>44</v>
      </c>
      <c r="J2082" s="5">
        <v>1.4666666666666666</v>
      </c>
      <c r="K2082" s="5">
        <f t="shared" si="131"/>
        <v>0</v>
      </c>
      <c r="L2082" s="5">
        <v>1</v>
      </c>
      <c r="M2082" s="5">
        <v>1</v>
      </c>
      <c r="N2082" t="s">
        <v>12</v>
      </c>
      <c r="O2082" s="8">
        <v>18.756164383561643</v>
      </c>
      <c r="P2082" t="s">
        <v>32</v>
      </c>
      <c r="Q2082">
        <v>1</v>
      </c>
      <c r="R2082" s="2">
        <v>39132</v>
      </c>
    </row>
    <row r="2083" spans="1:18" x14ac:dyDescent="0.3">
      <c r="A2083" t="s">
        <v>7</v>
      </c>
      <c r="B2083">
        <v>18980698</v>
      </c>
      <c r="C2083" t="s">
        <v>8</v>
      </c>
      <c r="D2083" s="4">
        <v>45978</v>
      </c>
      <c r="E2083" s="11">
        <f t="shared" si="128"/>
        <v>2025</v>
      </c>
      <c r="F2083" s="11">
        <f t="shared" si="129"/>
        <v>11</v>
      </c>
      <c r="G2083" s="11" t="str">
        <f t="shared" si="130"/>
        <v>202511</v>
      </c>
      <c r="H2083" s="4">
        <v>46022</v>
      </c>
      <c r="I2083" s="5">
        <v>44</v>
      </c>
      <c r="J2083" s="5">
        <v>1.4666666666666666</v>
      </c>
      <c r="K2083" s="5">
        <f t="shared" si="131"/>
        <v>0</v>
      </c>
      <c r="L2083" s="5">
        <v>1</v>
      </c>
      <c r="M2083" s="5">
        <v>1</v>
      </c>
      <c r="N2083" t="s">
        <v>9</v>
      </c>
      <c r="O2083" s="8">
        <v>26.334246575342465</v>
      </c>
      <c r="P2083" t="s">
        <v>34</v>
      </c>
      <c r="Q2083">
        <v>3</v>
      </c>
      <c r="R2083" s="2">
        <v>36366</v>
      </c>
    </row>
    <row r="2084" spans="1:18" x14ac:dyDescent="0.3">
      <c r="A2084" t="s">
        <v>7</v>
      </c>
      <c r="B2084">
        <v>18980708</v>
      </c>
      <c r="C2084" t="s">
        <v>8</v>
      </c>
      <c r="D2084" s="4">
        <v>45978</v>
      </c>
      <c r="E2084" s="11">
        <f t="shared" si="128"/>
        <v>2025</v>
      </c>
      <c r="F2084" s="11">
        <f t="shared" si="129"/>
        <v>11</v>
      </c>
      <c r="G2084" s="11" t="str">
        <f t="shared" si="130"/>
        <v>202511</v>
      </c>
      <c r="H2084" s="4">
        <v>46034</v>
      </c>
      <c r="I2084" s="5">
        <v>56</v>
      </c>
      <c r="J2084" s="5">
        <v>1.8666666666666667</v>
      </c>
      <c r="K2084" s="5">
        <f t="shared" si="131"/>
        <v>0</v>
      </c>
      <c r="L2084" s="5">
        <v>1</v>
      </c>
      <c r="M2084" s="5">
        <v>1</v>
      </c>
      <c r="N2084" t="s">
        <v>9</v>
      </c>
      <c r="O2084" s="8">
        <v>20.432876712328767</v>
      </c>
      <c r="P2084" t="s">
        <v>32</v>
      </c>
      <c r="Q2084">
        <v>1</v>
      </c>
      <c r="R2084" s="2">
        <v>38520</v>
      </c>
    </row>
    <row r="2085" spans="1:18" x14ac:dyDescent="0.3">
      <c r="A2085" t="s">
        <v>7</v>
      </c>
      <c r="B2085">
        <v>18980841</v>
      </c>
      <c r="C2085" t="s">
        <v>10</v>
      </c>
      <c r="D2085" s="4">
        <v>45979</v>
      </c>
      <c r="E2085" s="11">
        <f t="shared" si="128"/>
        <v>2025</v>
      </c>
      <c r="F2085" s="11">
        <f t="shared" si="129"/>
        <v>11</v>
      </c>
      <c r="G2085" s="11" t="str">
        <f t="shared" si="130"/>
        <v>202511</v>
      </c>
      <c r="I2085" s="5">
        <v>9999</v>
      </c>
      <c r="J2085" s="5">
        <v>333.3</v>
      </c>
      <c r="K2085" s="5">
        <f t="shared" si="131"/>
        <v>0</v>
      </c>
      <c r="L2085" s="5">
        <v>0</v>
      </c>
      <c r="M2085" s="5">
        <v>0</v>
      </c>
      <c r="N2085" t="s">
        <v>12</v>
      </c>
      <c r="O2085" s="8">
        <v>20.786301369863015</v>
      </c>
      <c r="P2085" t="s">
        <v>32</v>
      </c>
      <c r="Q2085">
        <v>1</v>
      </c>
      <c r="R2085" s="2">
        <v>38392</v>
      </c>
    </row>
    <row r="2086" spans="1:18" x14ac:dyDescent="0.3">
      <c r="A2086" t="s">
        <v>7</v>
      </c>
      <c r="B2086">
        <v>18980842</v>
      </c>
      <c r="C2086" t="s">
        <v>10</v>
      </c>
      <c r="D2086" s="4">
        <v>45979</v>
      </c>
      <c r="E2086" s="11">
        <f t="shared" si="128"/>
        <v>2025</v>
      </c>
      <c r="F2086" s="11">
        <f t="shared" si="129"/>
        <v>11</v>
      </c>
      <c r="G2086" s="11" t="str">
        <f t="shared" si="130"/>
        <v>202511</v>
      </c>
      <c r="H2086" s="4">
        <v>46023</v>
      </c>
      <c r="I2086" s="5">
        <v>44</v>
      </c>
      <c r="J2086" s="5">
        <v>1.4666666666666666</v>
      </c>
      <c r="K2086" s="5">
        <f t="shared" si="131"/>
        <v>0</v>
      </c>
      <c r="L2086" s="5">
        <v>1</v>
      </c>
      <c r="M2086" s="5">
        <v>1</v>
      </c>
      <c r="N2086" t="s">
        <v>9</v>
      </c>
      <c r="O2086" s="8">
        <v>18.572602739726026</v>
      </c>
      <c r="P2086" t="s">
        <v>32</v>
      </c>
      <c r="Q2086">
        <v>1</v>
      </c>
      <c r="R2086" s="2">
        <v>39200</v>
      </c>
    </row>
    <row r="2087" spans="1:18" x14ac:dyDescent="0.3">
      <c r="A2087" t="s">
        <v>7</v>
      </c>
      <c r="B2087">
        <v>18980846</v>
      </c>
      <c r="C2087" t="s">
        <v>8</v>
      </c>
      <c r="D2087" s="4">
        <v>45979</v>
      </c>
      <c r="E2087" s="11">
        <f t="shared" si="128"/>
        <v>2025</v>
      </c>
      <c r="F2087" s="11">
        <f t="shared" si="129"/>
        <v>11</v>
      </c>
      <c r="G2087" s="11" t="str">
        <f t="shared" si="130"/>
        <v>202511</v>
      </c>
      <c r="H2087" s="4">
        <v>46173</v>
      </c>
      <c r="I2087" s="5">
        <v>194</v>
      </c>
      <c r="J2087" s="5">
        <v>6.4666666666666668</v>
      </c>
      <c r="K2087" s="5">
        <f t="shared" si="131"/>
        <v>0</v>
      </c>
      <c r="L2087" s="5">
        <v>0</v>
      </c>
      <c r="M2087" s="5">
        <v>0</v>
      </c>
      <c r="N2087" t="s">
        <v>12</v>
      </c>
      <c r="O2087" s="8">
        <v>29.493150684931507</v>
      </c>
      <c r="P2087" t="s">
        <v>34</v>
      </c>
      <c r="Q2087">
        <v>3</v>
      </c>
      <c r="R2087" s="2">
        <v>35214</v>
      </c>
    </row>
    <row r="2088" spans="1:18" x14ac:dyDescent="0.3">
      <c r="A2088" t="s">
        <v>7</v>
      </c>
      <c r="B2088">
        <v>18980864</v>
      </c>
      <c r="C2088" t="s">
        <v>8</v>
      </c>
      <c r="D2088" s="4">
        <v>45979</v>
      </c>
      <c r="E2088" s="11">
        <f t="shared" si="128"/>
        <v>2025</v>
      </c>
      <c r="F2088" s="11">
        <f t="shared" si="129"/>
        <v>11</v>
      </c>
      <c r="G2088" s="11" t="str">
        <f t="shared" si="130"/>
        <v>202511</v>
      </c>
      <c r="I2088" s="5">
        <v>9999</v>
      </c>
      <c r="J2088" s="5">
        <v>333.3</v>
      </c>
      <c r="K2088" s="5">
        <f t="shared" si="131"/>
        <v>0</v>
      </c>
      <c r="L2088" s="5">
        <v>0</v>
      </c>
      <c r="M2088" s="5">
        <v>0</v>
      </c>
      <c r="N2088" t="s">
        <v>9</v>
      </c>
      <c r="O2088" s="8">
        <v>25.852054794520548</v>
      </c>
      <c r="P2088" t="s">
        <v>33</v>
      </c>
      <c r="Q2088">
        <v>2</v>
      </c>
      <c r="R2088" s="2">
        <v>36543</v>
      </c>
    </row>
    <row r="2089" spans="1:18" x14ac:dyDescent="0.3">
      <c r="A2089" t="s">
        <v>7</v>
      </c>
      <c r="B2089">
        <v>18980874</v>
      </c>
      <c r="C2089" t="s">
        <v>8</v>
      </c>
      <c r="D2089" s="4">
        <v>45979</v>
      </c>
      <c r="E2089" s="11">
        <f t="shared" si="128"/>
        <v>2025</v>
      </c>
      <c r="F2089" s="11">
        <f t="shared" si="129"/>
        <v>11</v>
      </c>
      <c r="G2089" s="11" t="str">
        <f t="shared" si="130"/>
        <v>202511</v>
      </c>
      <c r="I2089" s="5">
        <v>9999</v>
      </c>
      <c r="J2089" s="5">
        <v>333.3</v>
      </c>
      <c r="K2089" s="5">
        <f t="shared" si="131"/>
        <v>0</v>
      </c>
      <c r="L2089" s="5">
        <v>0</v>
      </c>
      <c r="M2089" s="5">
        <v>0</v>
      </c>
      <c r="N2089" t="s">
        <v>9</v>
      </c>
      <c r="O2089" s="8">
        <v>22.391780821917809</v>
      </c>
      <c r="P2089" t="s">
        <v>33</v>
      </c>
      <c r="Q2089">
        <v>2</v>
      </c>
      <c r="R2089" s="2">
        <v>37806</v>
      </c>
    </row>
    <row r="2090" spans="1:18" x14ac:dyDescent="0.3">
      <c r="A2090" t="s">
        <v>7</v>
      </c>
      <c r="B2090">
        <v>18980875</v>
      </c>
      <c r="C2090" t="s">
        <v>8</v>
      </c>
      <c r="D2090" s="4">
        <v>45979</v>
      </c>
      <c r="E2090" s="11">
        <f t="shared" si="128"/>
        <v>2025</v>
      </c>
      <c r="F2090" s="11">
        <f t="shared" si="129"/>
        <v>11</v>
      </c>
      <c r="G2090" s="11" t="str">
        <f t="shared" si="130"/>
        <v>202511</v>
      </c>
      <c r="H2090" s="4">
        <v>46096</v>
      </c>
      <c r="I2090" s="5">
        <v>117</v>
      </c>
      <c r="J2090" s="5">
        <v>3.9</v>
      </c>
      <c r="K2090" s="5">
        <f t="shared" si="131"/>
        <v>0</v>
      </c>
      <c r="L2090" s="5">
        <v>0</v>
      </c>
      <c r="M2090" s="5">
        <v>1</v>
      </c>
      <c r="N2090" t="s">
        <v>9</v>
      </c>
      <c r="O2090" s="8">
        <v>19.134246575342466</v>
      </c>
      <c r="P2090" t="s">
        <v>32</v>
      </c>
      <c r="Q2090">
        <v>1</v>
      </c>
      <c r="R2090" s="2">
        <v>38995</v>
      </c>
    </row>
    <row r="2091" spans="1:18" x14ac:dyDescent="0.3">
      <c r="A2091" t="s">
        <v>7</v>
      </c>
      <c r="B2091">
        <v>18980889</v>
      </c>
      <c r="C2091" t="s">
        <v>8</v>
      </c>
      <c r="D2091" s="4">
        <v>45979</v>
      </c>
      <c r="E2091" s="11">
        <f t="shared" si="128"/>
        <v>2025</v>
      </c>
      <c r="F2091" s="11">
        <f t="shared" si="129"/>
        <v>11</v>
      </c>
      <c r="G2091" s="11" t="str">
        <f t="shared" si="130"/>
        <v>202511</v>
      </c>
      <c r="H2091" s="4">
        <v>46037</v>
      </c>
      <c r="I2091" s="5">
        <v>58</v>
      </c>
      <c r="J2091" s="5">
        <v>1.9333333333333333</v>
      </c>
      <c r="K2091" s="5">
        <f t="shared" si="131"/>
        <v>0</v>
      </c>
      <c r="L2091" s="5">
        <v>1</v>
      </c>
      <c r="M2091" s="5">
        <v>1</v>
      </c>
      <c r="N2091" t="s">
        <v>9</v>
      </c>
      <c r="O2091" s="8">
        <v>19.12876712328767</v>
      </c>
      <c r="P2091" t="s">
        <v>32</v>
      </c>
      <c r="Q2091">
        <v>1</v>
      </c>
      <c r="R2091" s="2">
        <v>38997</v>
      </c>
    </row>
    <row r="2092" spans="1:18" x14ac:dyDescent="0.3">
      <c r="A2092" t="s">
        <v>7</v>
      </c>
      <c r="B2092">
        <v>18980890</v>
      </c>
      <c r="C2092" t="s">
        <v>8</v>
      </c>
      <c r="D2092" s="4">
        <v>45979</v>
      </c>
      <c r="E2092" s="11">
        <f t="shared" si="128"/>
        <v>2025</v>
      </c>
      <c r="F2092" s="11">
        <f t="shared" si="129"/>
        <v>11</v>
      </c>
      <c r="G2092" s="11" t="str">
        <f t="shared" si="130"/>
        <v>202511</v>
      </c>
      <c r="H2092" s="4">
        <v>45992</v>
      </c>
      <c r="I2092" s="5">
        <v>13</v>
      </c>
      <c r="J2092" s="5">
        <v>0.43333333333333335</v>
      </c>
      <c r="K2092" s="5">
        <f t="shared" si="131"/>
        <v>1</v>
      </c>
      <c r="L2092" s="5">
        <v>1</v>
      </c>
      <c r="M2092" s="5">
        <v>1</v>
      </c>
      <c r="N2092" t="s">
        <v>9</v>
      </c>
      <c r="O2092" s="8">
        <v>19.816438356164383</v>
      </c>
      <c r="P2092" t="s">
        <v>32</v>
      </c>
      <c r="Q2092">
        <v>1</v>
      </c>
      <c r="R2092" s="2">
        <v>38746</v>
      </c>
    </row>
    <row r="2093" spans="1:18" x14ac:dyDescent="0.3">
      <c r="A2093" t="s">
        <v>7</v>
      </c>
      <c r="B2093">
        <v>18980903</v>
      </c>
      <c r="C2093" t="s">
        <v>8</v>
      </c>
      <c r="D2093" s="4">
        <v>45979</v>
      </c>
      <c r="E2093" s="11">
        <f t="shared" si="128"/>
        <v>2025</v>
      </c>
      <c r="F2093" s="11">
        <f t="shared" si="129"/>
        <v>11</v>
      </c>
      <c r="G2093" s="11" t="str">
        <f t="shared" si="130"/>
        <v>202511</v>
      </c>
      <c r="H2093" s="4">
        <v>45992</v>
      </c>
      <c r="I2093" s="5">
        <v>13</v>
      </c>
      <c r="J2093" s="5">
        <v>0.43333333333333335</v>
      </c>
      <c r="K2093" s="5">
        <f t="shared" si="131"/>
        <v>1</v>
      </c>
      <c r="L2093" s="5">
        <v>1</v>
      </c>
      <c r="M2093" s="5">
        <v>1</v>
      </c>
      <c r="N2093" t="s">
        <v>9</v>
      </c>
      <c r="O2093" s="8">
        <v>30.523287671232875</v>
      </c>
      <c r="P2093" t="s">
        <v>34</v>
      </c>
      <c r="Q2093">
        <v>3</v>
      </c>
      <c r="R2093" s="2">
        <v>34838</v>
      </c>
    </row>
    <row r="2094" spans="1:18" x14ac:dyDescent="0.3">
      <c r="A2094" t="s">
        <v>7</v>
      </c>
      <c r="B2094">
        <v>18980916</v>
      </c>
      <c r="C2094" t="s">
        <v>8</v>
      </c>
      <c r="D2094" s="4">
        <v>45979</v>
      </c>
      <c r="E2094" s="11">
        <f t="shared" si="128"/>
        <v>2025</v>
      </c>
      <c r="F2094" s="11">
        <f t="shared" si="129"/>
        <v>11</v>
      </c>
      <c r="G2094" s="11" t="str">
        <f t="shared" si="130"/>
        <v>202511</v>
      </c>
      <c r="I2094" s="5">
        <v>9999</v>
      </c>
      <c r="J2094" s="5">
        <v>333.3</v>
      </c>
      <c r="K2094" s="5">
        <f t="shared" si="131"/>
        <v>0</v>
      </c>
      <c r="L2094" s="5">
        <v>0</v>
      </c>
      <c r="M2094" s="5">
        <v>0</v>
      </c>
      <c r="N2094" t="s">
        <v>9</v>
      </c>
      <c r="O2094" s="8">
        <v>25.564383561643837</v>
      </c>
      <c r="P2094" t="s">
        <v>33</v>
      </c>
      <c r="Q2094">
        <v>2</v>
      </c>
      <c r="R2094" s="2">
        <v>36648</v>
      </c>
    </row>
    <row r="2095" spans="1:18" x14ac:dyDescent="0.3">
      <c r="A2095" t="s">
        <v>7</v>
      </c>
      <c r="B2095">
        <v>18980924</v>
      </c>
      <c r="C2095" t="s">
        <v>10</v>
      </c>
      <c r="D2095" s="4">
        <v>45979</v>
      </c>
      <c r="E2095" s="11">
        <f t="shared" si="128"/>
        <v>2025</v>
      </c>
      <c r="F2095" s="11">
        <f t="shared" si="129"/>
        <v>11</v>
      </c>
      <c r="G2095" s="11" t="str">
        <f t="shared" si="130"/>
        <v>202511</v>
      </c>
      <c r="H2095" s="4">
        <v>46173</v>
      </c>
      <c r="I2095" s="5">
        <v>194</v>
      </c>
      <c r="J2095" s="5">
        <v>6.4666666666666668</v>
      </c>
      <c r="K2095" s="5">
        <f t="shared" si="131"/>
        <v>0</v>
      </c>
      <c r="L2095" s="5">
        <v>0</v>
      </c>
      <c r="M2095" s="5">
        <v>0</v>
      </c>
      <c r="N2095" t="s">
        <v>9</v>
      </c>
      <c r="O2095" s="8">
        <v>18.660273972602738</v>
      </c>
      <c r="P2095" t="s">
        <v>32</v>
      </c>
      <c r="Q2095">
        <v>1</v>
      </c>
      <c r="R2095" s="2">
        <v>39168</v>
      </c>
    </row>
    <row r="2096" spans="1:18" x14ac:dyDescent="0.3">
      <c r="A2096" t="s">
        <v>7</v>
      </c>
      <c r="B2096">
        <v>18980929</v>
      </c>
      <c r="C2096" t="s">
        <v>8</v>
      </c>
      <c r="D2096" s="4">
        <v>45979</v>
      </c>
      <c r="E2096" s="11">
        <f t="shared" si="128"/>
        <v>2025</v>
      </c>
      <c r="F2096" s="11">
        <f t="shared" si="129"/>
        <v>11</v>
      </c>
      <c r="G2096" s="11" t="str">
        <f t="shared" si="130"/>
        <v>202511</v>
      </c>
      <c r="I2096" s="5">
        <v>9999</v>
      </c>
      <c r="J2096" s="5">
        <v>333.3</v>
      </c>
      <c r="K2096" s="5">
        <f t="shared" si="131"/>
        <v>0</v>
      </c>
      <c r="L2096" s="5">
        <v>0</v>
      </c>
      <c r="M2096" s="5">
        <v>0</v>
      </c>
      <c r="N2096" t="s">
        <v>9</v>
      </c>
      <c r="O2096" s="8">
        <v>24.084931506849315</v>
      </c>
      <c r="P2096" t="s">
        <v>33</v>
      </c>
      <c r="Q2096">
        <v>2</v>
      </c>
      <c r="R2096" s="2">
        <v>37188</v>
      </c>
    </row>
    <row r="2097" spans="1:18" x14ac:dyDescent="0.3">
      <c r="A2097" t="s">
        <v>7</v>
      </c>
      <c r="B2097">
        <v>18980930</v>
      </c>
      <c r="C2097" t="s">
        <v>10</v>
      </c>
      <c r="D2097" s="4">
        <v>45979</v>
      </c>
      <c r="E2097" s="11">
        <f t="shared" si="128"/>
        <v>2025</v>
      </c>
      <c r="F2097" s="11">
        <f t="shared" si="129"/>
        <v>11</v>
      </c>
      <c r="G2097" s="11" t="str">
        <f t="shared" si="130"/>
        <v>202511</v>
      </c>
      <c r="H2097" s="4">
        <v>46086</v>
      </c>
      <c r="I2097" s="5">
        <v>107</v>
      </c>
      <c r="J2097" s="5">
        <v>3.5666666666666669</v>
      </c>
      <c r="K2097" s="5">
        <f t="shared" si="131"/>
        <v>0</v>
      </c>
      <c r="L2097" s="5">
        <v>0</v>
      </c>
      <c r="M2097" s="5">
        <v>1</v>
      </c>
      <c r="N2097" t="s">
        <v>9</v>
      </c>
      <c r="O2097" s="8">
        <v>19.298630136986301</v>
      </c>
      <c r="P2097" t="s">
        <v>32</v>
      </c>
      <c r="Q2097">
        <v>1</v>
      </c>
      <c r="R2097" s="2">
        <v>38935</v>
      </c>
    </row>
    <row r="2098" spans="1:18" x14ac:dyDescent="0.3">
      <c r="A2098" t="s">
        <v>7</v>
      </c>
      <c r="B2098">
        <v>18980947</v>
      </c>
      <c r="C2098" t="s">
        <v>10</v>
      </c>
      <c r="D2098" s="4">
        <v>45979</v>
      </c>
      <c r="E2098" s="11">
        <f t="shared" si="128"/>
        <v>2025</v>
      </c>
      <c r="F2098" s="11">
        <f t="shared" si="129"/>
        <v>11</v>
      </c>
      <c r="G2098" s="11" t="str">
        <f t="shared" si="130"/>
        <v>202511</v>
      </c>
      <c r="H2098" s="4">
        <v>46022</v>
      </c>
      <c r="I2098" s="5">
        <v>43</v>
      </c>
      <c r="J2098" s="5">
        <v>1.4333333333333333</v>
      </c>
      <c r="K2098" s="5">
        <f t="shared" si="131"/>
        <v>0</v>
      </c>
      <c r="L2098" s="5">
        <v>1</v>
      </c>
      <c r="M2098" s="5">
        <v>1</v>
      </c>
      <c r="N2098" t="s">
        <v>9</v>
      </c>
      <c r="O2098" s="8">
        <v>25.936986301369863</v>
      </c>
      <c r="P2098" t="s">
        <v>33</v>
      </c>
      <c r="Q2098">
        <v>2</v>
      </c>
      <c r="R2098" s="2">
        <v>36512</v>
      </c>
    </row>
    <row r="2099" spans="1:18" x14ac:dyDescent="0.3">
      <c r="A2099" t="s">
        <v>7</v>
      </c>
      <c r="B2099">
        <v>18980949</v>
      </c>
      <c r="C2099" t="s">
        <v>10</v>
      </c>
      <c r="D2099" s="4">
        <v>45979</v>
      </c>
      <c r="E2099" s="11">
        <f t="shared" si="128"/>
        <v>2025</v>
      </c>
      <c r="F2099" s="11">
        <f t="shared" si="129"/>
        <v>11</v>
      </c>
      <c r="G2099" s="11" t="str">
        <f t="shared" si="130"/>
        <v>202511</v>
      </c>
      <c r="H2099" s="4">
        <v>46112</v>
      </c>
      <c r="I2099" s="5">
        <v>133</v>
      </c>
      <c r="J2099" s="5">
        <v>4.4333333333333336</v>
      </c>
      <c r="K2099" s="5">
        <f t="shared" si="131"/>
        <v>0</v>
      </c>
      <c r="L2099" s="5">
        <v>0</v>
      </c>
      <c r="M2099" s="5">
        <v>1</v>
      </c>
      <c r="N2099" t="s">
        <v>12</v>
      </c>
      <c r="O2099" s="8">
        <v>21.791780821917808</v>
      </c>
      <c r="P2099" t="s">
        <v>33</v>
      </c>
      <c r="Q2099">
        <v>2</v>
      </c>
      <c r="R2099" s="2">
        <v>38025</v>
      </c>
    </row>
    <row r="2100" spans="1:18" x14ac:dyDescent="0.3">
      <c r="A2100" t="s">
        <v>7</v>
      </c>
      <c r="B2100">
        <v>18980950</v>
      </c>
      <c r="C2100" t="s">
        <v>10</v>
      </c>
      <c r="D2100" s="4">
        <v>45979</v>
      </c>
      <c r="E2100" s="11">
        <f t="shared" si="128"/>
        <v>2025</v>
      </c>
      <c r="F2100" s="11">
        <f t="shared" si="129"/>
        <v>11</v>
      </c>
      <c r="G2100" s="11" t="str">
        <f t="shared" si="130"/>
        <v>202511</v>
      </c>
      <c r="I2100" s="5">
        <v>9999</v>
      </c>
      <c r="J2100" s="5">
        <v>333.3</v>
      </c>
      <c r="K2100" s="5">
        <f t="shared" si="131"/>
        <v>0</v>
      </c>
      <c r="L2100" s="5">
        <v>0</v>
      </c>
      <c r="M2100" s="5">
        <v>0</v>
      </c>
      <c r="N2100" t="s">
        <v>12</v>
      </c>
      <c r="O2100" s="8">
        <v>18.849315068493151</v>
      </c>
      <c r="P2100" t="s">
        <v>32</v>
      </c>
      <c r="Q2100">
        <v>1</v>
      </c>
      <c r="R2100" s="2">
        <v>39099</v>
      </c>
    </row>
    <row r="2101" spans="1:18" x14ac:dyDescent="0.3">
      <c r="A2101" t="s">
        <v>7</v>
      </c>
      <c r="B2101">
        <v>18980972</v>
      </c>
      <c r="C2101" t="s">
        <v>8</v>
      </c>
      <c r="D2101" s="4">
        <v>45979</v>
      </c>
      <c r="E2101" s="11">
        <f t="shared" si="128"/>
        <v>2025</v>
      </c>
      <c r="F2101" s="11">
        <f t="shared" si="129"/>
        <v>11</v>
      </c>
      <c r="G2101" s="11" t="str">
        <f t="shared" si="130"/>
        <v>202511</v>
      </c>
      <c r="I2101" s="5">
        <v>9999</v>
      </c>
      <c r="J2101" s="5">
        <v>333.3</v>
      </c>
      <c r="K2101" s="5">
        <f t="shared" si="131"/>
        <v>0</v>
      </c>
      <c r="L2101" s="5">
        <v>0</v>
      </c>
      <c r="M2101" s="5">
        <v>0</v>
      </c>
      <c r="N2101" t="s">
        <v>12</v>
      </c>
      <c r="O2101" s="8">
        <v>22.873972602739727</v>
      </c>
      <c r="P2101" t="s">
        <v>33</v>
      </c>
      <c r="Q2101">
        <v>2</v>
      </c>
      <c r="R2101" s="2">
        <v>37630</v>
      </c>
    </row>
    <row r="2102" spans="1:18" x14ac:dyDescent="0.3">
      <c r="A2102" t="s">
        <v>7</v>
      </c>
      <c r="B2102">
        <v>18981062</v>
      </c>
      <c r="C2102" t="s">
        <v>10</v>
      </c>
      <c r="D2102" s="4">
        <v>45980</v>
      </c>
      <c r="E2102" s="11">
        <f t="shared" si="128"/>
        <v>2025</v>
      </c>
      <c r="F2102" s="11">
        <f t="shared" si="129"/>
        <v>11</v>
      </c>
      <c r="G2102" s="11" t="str">
        <f t="shared" si="130"/>
        <v>202511</v>
      </c>
      <c r="I2102" s="5">
        <v>9999</v>
      </c>
      <c r="J2102" s="5">
        <v>333.3</v>
      </c>
      <c r="K2102" s="5">
        <f t="shared" si="131"/>
        <v>0</v>
      </c>
      <c r="L2102" s="5">
        <v>0</v>
      </c>
      <c r="M2102" s="5">
        <v>0</v>
      </c>
      <c r="N2102" t="s">
        <v>9</v>
      </c>
      <c r="O2102" s="8">
        <v>18.43013698630137</v>
      </c>
      <c r="P2102" t="s">
        <v>32</v>
      </c>
      <c r="Q2102">
        <v>1</v>
      </c>
      <c r="R2102" s="2">
        <v>39253</v>
      </c>
    </row>
    <row r="2103" spans="1:18" x14ac:dyDescent="0.3">
      <c r="A2103" t="s">
        <v>7</v>
      </c>
      <c r="B2103">
        <v>18981064</v>
      </c>
      <c r="C2103" t="s">
        <v>8</v>
      </c>
      <c r="D2103" s="4">
        <v>45980</v>
      </c>
      <c r="E2103" s="11">
        <f t="shared" si="128"/>
        <v>2025</v>
      </c>
      <c r="F2103" s="11">
        <f t="shared" si="129"/>
        <v>11</v>
      </c>
      <c r="G2103" s="11" t="str">
        <f t="shared" si="130"/>
        <v>202511</v>
      </c>
      <c r="H2103" s="4">
        <v>46134</v>
      </c>
      <c r="I2103" s="5">
        <v>154</v>
      </c>
      <c r="J2103" s="5">
        <v>5.1333333333333337</v>
      </c>
      <c r="K2103" s="5">
        <f t="shared" si="131"/>
        <v>0</v>
      </c>
      <c r="L2103" s="5">
        <v>0</v>
      </c>
      <c r="M2103" s="5">
        <v>1</v>
      </c>
      <c r="N2103" t="s">
        <v>9</v>
      </c>
      <c r="O2103" s="8">
        <v>18.610958904109587</v>
      </c>
      <c r="P2103" t="s">
        <v>32</v>
      </c>
      <c r="Q2103">
        <v>1</v>
      </c>
      <c r="R2103" s="2">
        <v>39187</v>
      </c>
    </row>
    <row r="2104" spans="1:18" x14ac:dyDescent="0.3">
      <c r="A2104" t="s">
        <v>7</v>
      </c>
      <c r="B2104">
        <v>18981075</v>
      </c>
      <c r="C2104" t="s">
        <v>8</v>
      </c>
      <c r="D2104" s="4">
        <v>45980</v>
      </c>
      <c r="E2104" s="11">
        <f t="shared" si="128"/>
        <v>2025</v>
      </c>
      <c r="F2104" s="11">
        <f t="shared" si="129"/>
        <v>11</v>
      </c>
      <c r="G2104" s="11" t="str">
        <f t="shared" si="130"/>
        <v>202511</v>
      </c>
      <c r="H2104" s="4">
        <v>46027</v>
      </c>
      <c r="I2104" s="5">
        <v>47</v>
      </c>
      <c r="J2104" s="5">
        <v>1.5666666666666667</v>
      </c>
      <c r="K2104" s="5">
        <f t="shared" si="131"/>
        <v>0</v>
      </c>
      <c r="L2104" s="5">
        <v>1</v>
      </c>
      <c r="M2104" s="5">
        <v>1</v>
      </c>
      <c r="N2104" t="s">
        <v>12</v>
      </c>
      <c r="O2104" s="8">
        <v>27.038356164383561</v>
      </c>
      <c r="P2104" t="s">
        <v>34</v>
      </c>
      <c r="Q2104">
        <v>3</v>
      </c>
      <c r="R2104" s="2">
        <v>36111</v>
      </c>
    </row>
    <row r="2105" spans="1:18" x14ac:dyDescent="0.3">
      <c r="A2105" t="s">
        <v>7</v>
      </c>
      <c r="B2105">
        <v>18981076</v>
      </c>
      <c r="C2105" t="s">
        <v>10</v>
      </c>
      <c r="D2105" s="4">
        <v>45980</v>
      </c>
      <c r="E2105" s="11">
        <f t="shared" si="128"/>
        <v>2025</v>
      </c>
      <c r="F2105" s="11">
        <f t="shared" si="129"/>
        <v>11</v>
      </c>
      <c r="G2105" s="11" t="str">
        <f t="shared" si="130"/>
        <v>202511</v>
      </c>
      <c r="I2105" s="5">
        <v>9999</v>
      </c>
      <c r="J2105" s="5">
        <v>333.3</v>
      </c>
      <c r="K2105" s="5">
        <f t="shared" si="131"/>
        <v>0</v>
      </c>
      <c r="L2105" s="5">
        <v>0</v>
      </c>
      <c r="M2105" s="5">
        <v>0</v>
      </c>
      <c r="N2105" t="s">
        <v>9</v>
      </c>
      <c r="O2105" s="8">
        <v>20.284931506849315</v>
      </c>
      <c r="P2105" t="s">
        <v>32</v>
      </c>
      <c r="Q2105">
        <v>1</v>
      </c>
      <c r="R2105" s="2">
        <v>38576</v>
      </c>
    </row>
    <row r="2106" spans="1:18" x14ac:dyDescent="0.3">
      <c r="A2106" t="s">
        <v>7</v>
      </c>
      <c r="B2106">
        <v>18981086</v>
      </c>
      <c r="C2106" t="s">
        <v>10</v>
      </c>
      <c r="D2106" s="4">
        <v>45980</v>
      </c>
      <c r="E2106" s="11">
        <f t="shared" si="128"/>
        <v>2025</v>
      </c>
      <c r="F2106" s="11">
        <f t="shared" si="129"/>
        <v>11</v>
      </c>
      <c r="G2106" s="11" t="str">
        <f t="shared" si="130"/>
        <v>202511</v>
      </c>
      <c r="H2106" s="4">
        <v>46129</v>
      </c>
      <c r="I2106" s="5">
        <v>149</v>
      </c>
      <c r="J2106" s="5">
        <v>4.9666666666666668</v>
      </c>
      <c r="K2106" s="5">
        <f t="shared" si="131"/>
        <v>0</v>
      </c>
      <c r="L2106" s="5">
        <v>0</v>
      </c>
      <c r="M2106" s="5">
        <v>1</v>
      </c>
      <c r="N2106" t="s">
        <v>9</v>
      </c>
      <c r="O2106" s="8">
        <v>19.232876712328768</v>
      </c>
      <c r="P2106" t="s">
        <v>32</v>
      </c>
      <c r="Q2106">
        <v>1</v>
      </c>
      <c r="R2106" s="2">
        <v>38960</v>
      </c>
    </row>
    <row r="2107" spans="1:18" x14ac:dyDescent="0.3">
      <c r="A2107" t="s">
        <v>7</v>
      </c>
      <c r="B2107">
        <v>18981103</v>
      </c>
      <c r="C2107" t="s">
        <v>8</v>
      </c>
      <c r="D2107" s="4">
        <v>45980</v>
      </c>
      <c r="E2107" s="11">
        <f t="shared" si="128"/>
        <v>2025</v>
      </c>
      <c r="F2107" s="11">
        <f t="shared" si="129"/>
        <v>11</v>
      </c>
      <c r="G2107" s="11" t="str">
        <f t="shared" si="130"/>
        <v>202511</v>
      </c>
      <c r="H2107" s="4">
        <v>45992</v>
      </c>
      <c r="I2107" s="5">
        <v>12</v>
      </c>
      <c r="J2107" s="5">
        <v>0.4</v>
      </c>
      <c r="K2107" s="5">
        <f t="shared" si="131"/>
        <v>1</v>
      </c>
      <c r="L2107" s="5">
        <v>1</v>
      </c>
      <c r="M2107" s="5">
        <v>1</v>
      </c>
      <c r="N2107" t="s">
        <v>9</v>
      </c>
      <c r="O2107" s="8">
        <v>23.764383561643836</v>
      </c>
      <c r="P2107" t="s">
        <v>33</v>
      </c>
      <c r="Q2107">
        <v>2</v>
      </c>
      <c r="R2107" s="2">
        <v>37306</v>
      </c>
    </row>
    <row r="2108" spans="1:18" x14ac:dyDescent="0.3">
      <c r="A2108" t="s">
        <v>7</v>
      </c>
      <c r="B2108">
        <v>18981110</v>
      </c>
      <c r="C2108" t="s">
        <v>8</v>
      </c>
      <c r="D2108" s="4">
        <v>45980</v>
      </c>
      <c r="E2108" s="11">
        <f t="shared" si="128"/>
        <v>2025</v>
      </c>
      <c r="F2108" s="11">
        <f t="shared" si="129"/>
        <v>11</v>
      </c>
      <c r="G2108" s="11" t="str">
        <f t="shared" si="130"/>
        <v>202511</v>
      </c>
      <c r="I2108" s="5">
        <v>9999</v>
      </c>
      <c r="J2108" s="5">
        <v>333.3</v>
      </c>
      <c r="K2108" s="5">
        <f t="shared" si="131"/>
        <v>0</v>
      </c>
      <c r="L2108" s="5">
        <v>0</v>
      </c>
      <c r="M2108" s="5">
        <v>0</v>
      </c>
      <c r="N2108" t="s">
        <v>9</v>
      </c>
      <c r="O2108" s="8">
        <v>36.550684931506851</v>
      </c>
      <c r="P2108" t="s">
        <v>35</v>
      </c>
      <c r="Q2108">
        <v>4</v>
      </c>
      <c r="R2108" s="2">
        <v>32639</v>
      </c>
    </row>
    <row r="2109" spans="1:18" x14ac:dyDescent="0.3">
      <c r="A2109" t="s">
        <v>7</v>
      </c>
      <c r="B2109">
        <v>18981224</v>
      </c>
      <c r="C2109" t="s">
        <v>8</v>
      </c>
      <c r="D2109" s="4">
        <v>45980</v>
      </c>
      <c r="E2109" s="11">
        <f t="shared" si="128"/>
        <v>2025</v>
      </c>
      <c r="F2109" s="11">
        <f t="shared" si="129"/>
        <v>11</v>
      </c>
      <c r="G2109" s="11" t="str">
        <f t="shared" si="130"/>
        <v>202511</v>
      </c>
      <c r="H2109" s="4">
        <v>46028</v>
      </c>
      <c r="I2109" s="5">
        <v>48</v>
      </c>
      <c r="J2109" s="5">
        <v>1.6</v>
      </c>
      <c r="K2109" s="5">
        <f t="shared" si="131"/>
        <v>0</v>
      </c>
      <c r="L2109" s="5">
        <v>1</v>
      </c>
      <c r="M2109" s="5">
        <v>1</v>
      </c>
      <c r="N2109" t="s">
        <v>9</v>
      </c>
      <c r="O2109" s="8">
        <v>19.676712328767124</v>
      </c>
      <c r="P2109" t="s">
        <v>32</v>
      </c>
      <c r="Q2109">
        <v>1</v>
      </c>
      <c r="R2109" s="2">
        <v>38798</v>
      </c>
    </row>
    <row r="2110" spans="1:18" x14ac:dyDescent="0.3">
      <c r="A2110" t="s">
        <v>7</v>
      </c>
      <c r="B2110">
        <v>18981304</v>
      </c>
      <c r="C2110" t="s">
        <v>8</v>
      </c>
      <c r="D2110" s="4">
        <v>45981</v>
      </c>
      <c r="E2110" s="11">
        <f t="shared" si="128"/>
        <v>2025</v>
      </c>
      <c r="F2110" s="11">
        <f t="shared" si="129"/>
        <v>11</v>
      </c>
      <c r="G2110" s="11" t="str">
        <f t="shared" si="130"/>
        <v>202511</v>
      </c>
      <c r="H2110" s="4">
        <v>46089</v>
      </c>
      <c r="I2110" s="5">
        <v>108</v>
      </c>
      <c r="J2110" s="5">
        <v>3.6</v>
      </c>
      <c r="K2110" s="5">
        <f t="shared" si="131"/>
        <v>0</v>
      </c>
      <c r="L2110" s="5">
        <v>0</v>
      </c>
      <c r="M2110" s="5">
        <v>1</v>
      </c>
      <c r="N2110" t="s">
        <v>9</v>
      </c>
      <c r="O2110" s="8">
        <v>19.273972602739725</v>
      </c>
      <c r="P2110" t="s">
        <v>32</v>
      </c>
      <c r="Q2110">
        <v>1</v>
      </c>
      <c r="R2110" s="2">
        <v>38946</v>
      </c>
    </row>
    <row r="2111" spans="1:18" x14ac:dyDescent="0.3">
      <c r="A2111" t="s">
        <v>7</v>
      </c>
      <c r="B2111">
        <v>18981305</v>
      </c>
      <c r="C2111" t="s">
        <v>10</v>
      </c>
      <c r="D2111" s="4">
        <v>45981</v>
      </c>
      <c r="E2111" s="11">
        <f t="shared" si="128"/>
        <v>2025</v>
      </c>
      <c r="F2111" s="11">
        <f t="shared" si="129"/>
        <v>11</v>
      </c>
      <c r="G2111" s="11" t="str">
        <f t="shared" si="130"/>
        <v>202511</v>
      </c>
      <c r="I2111" s="5">
        <v>9999</v>
      </c>
      <c r="J2111" s="5">
        <v>333.3</v>
      </c>
      <c r="K2111" s="5">
        <f t="shared" si="131"/>
        <v>0</v>
      </c>
      <c r="L2111" s="5">
        <v>0</v>
      </c>
      <c r="M2111" s="5">
        <v>0</v>
      </c>
      <c r="N2111" t="s">
        <v>9</v>
      </c>
      <c r="O2111" s="8">
        <v>23.654794520547945</v>
      </c>
      <c r="P2111" t="s">
        <v>33</v>
      </c>
      <c r="Q2111">
        <v>2</v>
      </c>
      <c r="R2111" s="2">
        <v>37347</v>
      </c>
    </row>
    <row r="2112" spans="1:18" x14ac:dyDescent="0.3">
      <c r="A2112" t="s">
        <v>7</v>
      </c>
      <c r="B2112">
        <v>18981312</v>
      </c>
      <c r="C2112" t="s">
        <v>8</v>
      </c>
      <c r="D2112" s="4">
        <v>45981</v>
      </c>
      <c r="E2112" s="11">
        <f t="shared" si="128"/>
        <v>2025</v>
      </c>
      <c r="F2112" s="11">
        <f t="shared" si="129"/>
        <v>11</v>
      </c>
      <c r="G2112" s="11" t="str">
        <f t="shared" si="130"/>
        <v>202511</v>
      </c>
      <c r="I2112" s="5">
        <v>9999</v>
      </c>
      <c r="J2112" s="5">
        <v>333.3</v>
      </c>
      <c r="K2112" s="5">
        <f t="shared" si="131"/>
        <v>0</v>
      </c>
      <c r="L2112" s="5">
        <v>0</v>
      </c>
      <c r="M2112" s="5">
        <v>0</v>
      </c>
      <c r="N2112" t="s">
        <v>9</v>
      </c>
      <c r="O2112" s="8">
        <v>23</v>
      </c>
      <c r="P2112" t="s">
        <v>33</v>
      </c>
      <c r="Q2112">
        <v>2</v>
      </c>
      <c r="R2112" s="2">
        <v>37586</v>
      </c>
    </row>
    <row r="2113" spans="1:18" x14ac:dyDescent="0.3">
      <c r="A2113" t="s">
        <v>7</v>
      </c>
      <c r="B2113">
        <v>18981326</v>
      </c>
      <c r="C2113" t="s">
        <v>10</v>
      </c>
      <c r="D2113" s="4">
        <v>45981</v>
      </c>
      <c r="E2113" s="11">
        <f t="shared" si="128"/>
        <v>2025</v>
      </c>
      <c r="F2113" s="11">
        <f t="shared" si="129"/>
        <v>11</v>
      </c>
      <c r="G2113" s="11" t="str">
        <f t="shared" si="130"/>
        <v>202511</v>
      </c>
      <c r="I2113" s="5">
        <v>9999</v>
      </c>
      <c r="J2113" s="5">
        <v>333.3</v>
      </c>
      <c r="K2113" s="5">
        <f t="shared" si="131"/>
        <v>0</v>
      </c>
      <c r="L2113" s="5">
        <v>0</v>
      </c>
      <c r="M2113" s="5">
        <v>0</v>
      </c>
      <c r="N2113" t="s">
        <v>9</v>
      </c>
      <c r="O2113" s="8">
        <v>18.55890410958904</v>
      </c>
      <c r="P2113" t="s">
        <v>32</v>
      </c>
      <c r="Q2113">
        <v>1</v>
      </c>
      <c r="R2113" s="2">
        <v>39207</v>
      </c>
    </row>
    <row r="2114" spans="1:18" x14ac:dyDescent="0.3">
      <c r="A2114" t="s">
        <v>7</v>
      </c>
      <c r="B2114">
        <v>18981328</v>
      </c>
      <c r="C2114" t="s">
        <v>8</v>
      </c>
      <c r="D2114" s="4">
        <v>45981</v>
      </c>
      <c r="E2114" s="11">
        <f t="shared" si="128"/>
        <v>2025</v>
      </c>
      <c r="F2114" s="11">
        <f t="shared" si="129"/>
        <v>11</v>
      </c>
      <c r="G2114" s="11" t="str">
        <f t="shared" si="130"/>
        <v>202511</v>
      </c>
      <c r="H2114" s="4">
        <v>46089</v>
      </c>
      <c r="I2114" s="5">
        <v>108</v>
      </c>
      <c r="J2114" s="5">
        <v>3.6</v>
      </c>
      <c r="K2114" s="5">
        <f t="shared" si="131"/>
        <v>0</v>
      </c>
      <c r="L2114" s="5">
        <v>0</v>
      </c>
      <c r="M2114" s="5">
        <v>1</v>
      </c>
      <c r="N2114" t="s">
        <v>9</v>
      </c>
      <c r="O2114" s="8">
        <v>19.372602739726027</v>
      </c>
      <c r="P2114" t="s">
        <v>32</v>
      </c>
      <c r="Q2114">
        <v>1</v>
      </c>
      <c r="R2114" s="2">
        <v>38910</v>
      </c>
    </row>
    <row r="2115" spans="1:18" x14ac:dyDescent="0.3">
      <c r="A2115" t="s">
        <v>7</v>
      </c>
      <c r="B2115">
        <v>18981332</v>
      </c>
      <c r="C2115" t="s">
        <v>8</v>
      </c>
      <c r="D2115" s="4">
        <v>45981</v>
      </c>
      <c r="E2115" s="11">
        <f t="shared" ref="E2115:E2178" si="132">+YEAR(D2115)</f>
        <v>2025</v>
      </c>
      <c r="F2115" s="11">
        <f t="shared" ref="F2115:F2178" si="133">+MONTH(D2115)</f>
        <v>11</v>
      </c>
      <c r="G2115" s="11" t="str">
        <f t="shared" ref="G2115:G2178" si="134">+TEXT(D2115, "yyymm")</f>
        <v>202511</v>
      </c>
      <c r="H2115" s="4">
        <v>45992</v>
      </c>
      <c r="I2115" s="5">
        <v>11</v>
      </c>
      <c r="J2115" s="5">
        <v>0.36666666666666664</v>
      </c>
      <c r="K2115" s="5">
        <f t="shared" ref="K2115:K2178" si="135">IF(J2115&lt;=1,1,0)</f>
        <v>1</v>
      </c>
      <c r="L2115" s="5">
        <v>1</v>
      </c>
      <c r="M2115" s="5">
        <v>1</v>
      </c>
      <c r="N2115" t="s">
        <v>9</v>
      </c>
      <c r="O2115" s="8">
        <v>21.405479452054795</v>
      </c>
      <c r="P2115" t="s">
        <v>33</v>
      </c>
      <c r="Q2115">
        <v>2</v>
      </c>
      <c r="R2115" s="2">
        <v>38168</v>
      </c>
    </row>
    <row r="2116" spans="1:18" x14ac:dyDescent="0.3">
      <c r="A2116" t="s">
        <v>7</v>
      </c>
      <c r="B2116">
        <v>18981378</v>
      </c>
      <c r="C2116" t="s">
        <v>8</v>
      </c>
      <c r="D2116" s="4">
        <v>45981</v>
      </c>
      <c r="E2116" s="11">
        <f t="shared" si="132"/>
        <v>2025</v>
      </c>
      <c r="F2116" s="11">
        <f t="shared" si="133"/>
        <v>11</v>
      </c>
      <c r="G2116" s="11" t="str">
        <f t="shared" si="134"/>
        <v>202511</v>
      </c>
      <c r="H2116" s="4">
        <v>46128</v>
      </c>
      <c r="I2116" s="5">
        <v>147</v>
      </c>
      <c r="J2116" s="5">
        <v>4.9000000000000004</v>
      </c>
      <c r="K2116" s="5">
        <f t="shared" si="135"/>
        <v>0</v>
      </c>
      <c r="L2116" s="5">
        <v>0</v>
      </c>
      <c r="M2116" s="5">
        <v>1</v>
      </c>
      <c r="N2116" t="s">
        <v>12</v>
      </c>
      <c r="O2116" s="8">
        <v>45.013698630136986</v>
      </c>
      <c r="P2116" t="s">
        <v>35</v>
      </c>
      <c r="Q2116">
        <v>4</v>
      </c>
      <c r="R2116" s="2">
        <v>29551</v>
      </c>
    </row>
    <row r="2117" spans="1:18" x14ac:dyDescent="0.3">
      <c r="A2117" t="s">
        <v>7</v>
      </c>
      <c r="B2117">
        <v>18981468</v>
      </c>
      <c r="C2117" t="s">
        <v>10</v>
      </c>
      <c r="D2117" s="4">
        <v>45982</v>
      </c>
      <c r="E2117" s="11">
        <f t="shared" si="132"/>
        <v>2025</v>
      </c>
      <c r="F2117" s="11">
        <f t="shared" si="133"/>
        <v>11</v>
      </c>
      <c r="G2117" s="11" t="str">
        <f t="shared" si="134"/>
        <v>202511</v>
      </c>
      <c r="H2117" s="4">
        <v>46055</v>
      </c>
      <c r="I2117" s="5">
        <v>73</v>
      </c>
      <c r="J2117" s="5">
        <v>2.4333333333333331</v>
      </c>
      <c r="K2117" s="5">
        <f t="shared" si="135"/>
        <v>0</v>
      </c>
      <c r="L2117" s="5">
        <v>1</v>
      </c>
      <c r="M2117" s="5">
        <v>1</v>
      </c>
      <c r="N2117" t="s">
        <v>12</v>
      </c>
      <c r="O2117" s="8">
        <v>19.216438356164385</v>
      </c>
      <c r="P2117" t="s">
        <v>32</v>
      </c>
      <c r="Q2117">
        <v>1</v>
      </c>
      <c r="R2117" s="2">
        <v>38968</v>
      </c>
    </row>
    <row r="2118" spans="1:18" x14ac:dyDescent="0.3">
      <c r="A2118" t="s">
        <v>7</v>
      </c>
      <c r="B2118">
        <v>18981469</v>
      </c>
      <c r="C2118" t="s">
        <v>10</v>
      </c>
      <c r="D2118" s="4">
        <v>45982</v>
      </c>
      <c r="E2118" s="11">
        <f t="shared" si="132"/>
        <v>2025</v>
      </c>
      <c r="F2118" s="11">
        <f t="shared" si="133"/>
        <v>11</v>
      </c>
      <c r="G2118" s="11" t="str">
        <f t="shared" si="134"/>
        <v>202511</v>
      </c>
      <c r="I2118" s="5">
        <v>9999</v>
      </c>
      <c r="J2118" s="5">
        <v>333.3</v>
      </c>
      <c r="K2118" s="5">
        <f t="shared" si="135"/>
        <v>0</v>
      </c>
      <c r="L2118" s="5">
        <v>0</v>
      </c>
      <c r="M2118" s="5">
        <v>0</v>
      </c>
      <c r="N2118" t="s">
        <v>12</v>
      </c>
      <c r="O2118" s="8">
        <v>19.594520547945205</v>
      </c>
      <c r="P2118" t="s">
        <v>32</v>
      </c>
      <c r="Q2118">
        <v>1</v>
      </c>
      <c r="R2118" s="2">
        <v>38830</v>
      </c>
    </row>
    <row r="2119" spans="1:18" x14ac:dyDescent="0.3">
      <c r="A2119" t="s">
        <v>7</v>
      </c>
      <c r="B2119">
        <v>18981470</v>
      </c>
      <c r="C2119" t="s">
        <v>8</v>
      </c>
      <c r="D2119" s="4">
        <v>45982</v>
      </c>
      <c r="E2119" s="11">
        <f t="shared" si="132"/>
        <v>2025</v>
      </c>
      <c r="F2119" s="11">
        <f t="shared" si="133"/>
        <v>11</v>
      </c>
      <c r="G2119" s="11" t="str">
        <f t="shared" si="134"/>
        <v>202511</v>
      </c>
      <c r="H2119" s="4">
        <v>45992</v>
      </c>
      <c r="I2119" s="5">
        <v>10</v>
      </c>
      <c r="J2119" s="5">
        <v>0.33333333333333331</v>
      </c>
      <c r="K2119" s="5">
        <f t="shared" si="135"/>
        <v>1</v>
      </c>
      <c r="L2119" s="5">
        <v>1</v>
      </c>
      <c r="M2119" s="5">
        <v>1</v>
      </c>
      <c r="N2119" t="s">
        <v>9</v>
      </c>
      <c r="O2119" s="8">
        <v>19.767123287671232</v>
      </c>
      <c r="P2119" t="s">
        <v>32</v>
      </c>
      <c r="Q2119">
        <v>1</v>
      </c>
      <c r="R2119" s="2">
        <v>38767</v>
      </c>
    </row>
    <row r="2120" spans="1:18" x14ac:dyDescent="0.3">
      <c r="A2120" t="s">
        <v>7</v>
      </c>
      <c r="B2120">
        <v>18981478</v>
      </c>
      <c r="C2120" t="s">
        <v>10</v>
      </c>
      <c r="D2120" s="4">
        <v>45982</v>
      </c>
      <c r="E2120" s="11">
        <f t="shared" si="132"/>
        <v>2025</v>
      </c>
      <c r="F2120" s="11">
        <f t="shared" si="133"/>
        <v>11</v>
      </c>
      <c r="G2120" s="11" t="str">
        <f t="shared" si="134"/>
        <v>202511</v>
      </c>
      <c r="H2120" s="4">
        <v>46027</v>
      </c>
      <c r="I2120" s="5">
        <v>45</v>
      </c>
      <c r="J2120" s="5">
        <v>1.5</v>
      </c>
      <c r="K2120" s="5">
        <f t="shared" si="135"/>
        <v>0</v>
      </c>
      <c r="L2120" s="5">
        <v>1</v>
      </c>
      <c r="M2120" s="5">
        <v>1</v>
      </c>
      <c r="N2120" t="s">
        <v>12</v>
      </c>
      <c r="O2120" s="8">
        <v>26.087671232876712</v>
      </c>
      <c r="P2120" t="s">
        <v>34</v>
      </c>
      <c r="Q2120">
        <v>3</v>
      </c>
      <c r="R2120" s="2">
        <v>36460</v>
      </c>
    </row>
    <row r="2121" spans="1:18" x14ac:dyDescent="0.3">
      <c r="A2121" t="s">
        <v>7</v>
      </c>
      <c r="B2121">
        <v>18981493</v>
      </c>
      <c r="C2121" t="s">
        <v>10</v>
      </c>
      <c r="D2121" s="4">
        <v>45982</v>
      </c>
      <c r="E2121" s="11">
        <f t="shared" si="132"/>
        <v>2025</v>
      </c>
      <c r="F2121" s="11">
        <f t="shared" si="133"/>
        <v>11</v>
      </c>
      <c r="G2121" s="11" t="str">
        <f t="shared" si="134"/>
        <v>202511</v>
      </c>
      <c r="I2121" s="5">
        <v>9999</v>
      </c>
      <c r="J2121" s="5">
        <v>333.3</v>
      </c>
      <c r="K2121" s="5">
        <f t="shared" si="135"/>
        <v>0</v>
      </c>
      <c r="L2121" s="5">
        <v>0</v>
      </c>
      <c r="M2121" s="5">
        <v>0</v>
      </c>
      <c r="N2121" t="s">
        <v>12</v>
      </c>
      <c r="O2121" s="8">
        <v>20.44109589041096</v>
      </c>
      <c r="P2121" t="s">
        <v>32</v>
      </c>
      <c r="Q2121">
        <v>1</v>
      </c>
      <c r="R2121" s="2">
        <v>38521</v>
      </c>
    </row>
    <row r="2122" spans="1:18" x14ac:dyDescent="0.3">
      <c r="A2122" t="s">
        <v>7</v>
      </c>
      <c r="B2122">
        <v>18981543</v>
      </c>
      <c r="C2122" t="s">
        <v>8</v>
      </c>
      <c r="D2122" s="4">
        <v>45982</v>
      </c>
      <c r="E2122" s="11">
        <f t="shared" si="132"/>
        <v>2025</v>
      </c>
      <c r="F2122" s="11">
        <f t="shared" si="133"/>
        <v>11</v>
      </c>
      <c r="G2122" s="11" t="str">
        <f t="shared" si="134"/>
        <v>202511</v>
      </c>
      <c r="I2122" s="5">
        <v>9999</v>
      </c>
      <c r="J2122" s="5">
        <v>333.3</v>
      </c>
      <c r="K2122" s="5">
        <f t="shared" si="135"/>
        <v>0</v>
      </c>
      <c r="L2122" s="5">
        <v>0</v>
      </c>
      <c r="M2122" s="5">
        <v>0</v>
      </c>
      <c r="N2122" t="s">
        <v>9</v>
      </c>
      <c r="O2122" s="8">
        <v>18.769863013698629</v>
      </c>
      <c r="P2122" t="s">
        <v>32</v>
      </c>
      <c r="Q2122">
        <v>1</v>
      </c>
      <c r="R2122" s="2">
        <v>39131</v>
      </c>
    </row>
    <row r="2123" spans="1:18" x14ac:dyDescent="0.3">
      <c r="A2123" t="s">
        <v>7</v>
      </c>
      <c r="B2123">
        <v>18981544</v>
      </c>
      <c r="C2123" t="s">
        <v>8</v>
      </c>
      <c r="D2123" s="4">
        <v>45982</v>
      </c>
      <c r="E2123" s="11">
        <f t="shared" si="132"/>
        <v>2025</v>
      </c>
      <c r="F2123" s="11">
        <f t="shared" si="133"/>
        <v>11</v>
      </c>
      <c r="G2123" s="11" t="str">
        <f t="shared" si="134"/>
        <v>202511</v>
      </c>
      <c r="H2123" s="4">
        <v>46023</v>
      </c>
      <c r="I2123" s="5">
        <v>41</v>
      </c>
      <c r="J2123" s="5">
        <v>1.3666666666666667</v>
      </c>
      <c r="K2123" s="5">
        <f t="shared" si="135"/>
        <v>0</v>
      </c>
      <c r="L2123" s="5">
        <v>1</v>
      </c>
      <c r="M2123" s="5">
        <v>1</v>
      </c>
      <c r="N2123" t="s">
        <v>9</v>
      </c>
      <c r="O2123" s="8">
        <v>39.276712328767125</v>
      </c>
      <c r="P2123" t="s">
        <v>35</v>
      </c>
      <c r="Q2123">
        <v>4</v>
      </c>
      <c r="R2123" s="2">
        <v>31646</v>
      </c>
    </row>
    <row r="2124" spans="1:18" x14ac:dyDescent="0.3">
      <c r="A2124" t="s">
        <v>7</v>
      </c>
      <c r="B2124">
        <v>18981563</v>
      </c>
      <c r="C2124" t="s">
        <v>8</v>
      </c>
      <c r="D2124" s="4">
        <v>45982</v>
      </c>
      <c r="E2124" s="11">
        <f t="shared" si="132"/>
        <v>2025</v>
      </c>
      <c r="F2124" s="11">
        <f t="shared" si="133"/>
        <v>11</v>
      </c>
      <c r="G2124" s="11" t="str">
        <f t="shared" si="134"/>
        <v>202511</v>
      </c>
      <c r="H2124" s="4">
        <v>46143</v>
      </c>
      <c r="I2124" s="5">
        <v>161</v>
      </c>
      <c r="J2124" s="5">
        <v>5.3666666666666663</v>
      </c>
      <c r="K2124" s="5">
        <f t="shared" si="135"/>
        <v>0</v>
      </c>
      <c r="L2124" s="5">
        <v>0</v>
      </c>
      <c r="M2124" s="5">
        <v>1</v>
      </c>
      <c r="N2124" t="s">
        <v>9</v>
      </c>
      <c r="O2124" s="8">
        <v>18.69041095890411</v>
      </c>
      <c r="P2124" t="s">
        <v>32</v>
      </c>
      <c r="Q2124">
        <v>1</v>
      </c>
      <c r="R2124" s="2">
        <v>39160</v>
      </c>
    </row>
    <row r="2125" spans="1:18" x14ac:dyDescent="0.3">
      <c r="A2125" t="s">
        <v>7</v>
      </c>
      <c r="B2125">
        <v>18981691</v>
      </c>
      <c r="C2125" t="s">
        <v>8</v>
      </c>
      <c r="D2125" s="4">
        <v>45982</v>
      </c>
      <c r="E2125" s="11">
        <f t="shared" si="132"/>
        <v>2025</v>
      </c>
      <c r="F2125" s="11">
        <f t="shared" si="133"/>
        <v>11</v>
      </c>
      <c r="G2125" s="11" t="str">
        <f t="shared" si="134"/>
        <v>202511</v>
      </c>
      <c r="I2125" s="5">
        <v>9999</v>
      </c>
      <c r="J2125" s="5">
        <v>333.3</v>
      </c>
      <c r="K2125" s="5">
        <f t="shared" si="135"/>
        <v>0</v>
      </c>
      <c r="L2125" s="5">
        <v>0</v>
      </c>
      <c r="M2125" s="5">
        <v>0</v>
      </c>
      <c r="N2125" t="s">
        <v>9</v>
      </c>
      <c r="O2125" s="8">
        <v>23.019178082191782</v>
      </c>
      <c r="P2125" t="s">
        <v>33</v>
      </c>
      <c r="Q2125">
        <v>2</v>
      </c>
      <c r="R2125" s="2">
        <v>37580</v>
      </c>
    </row>
    <row r="2126" spans="1:18" x14ac:dyDescent="0.3">
      <c r="A2126" t="s">
        <v>7</v>
      </c>
      <c r="B2126">
        <v>18981708</v>
      </c>
      <c r="C2126" t="s">
        <v>8</v>
      </c>
      <c r="D2126" s="4">
        <v>45982</v>
      </c>
      <c r="E2126" s="11">
        <f t="shared" si="132"/>
        <v>2025</v>
      </c>
      <c r="F2126" s="11">
        <f t="shared" si="133"/>
        <v>11</v>
      </c>
      <c r="G2126" s="11" t="str">
        <f t="shared" si="134"/>
        <v>202511</v>
      </c>
      <c r="H2126" s="4">
        <v>46068</v>
      </c>
      <c r="I2126" s="5">
        <v>86</v>
      </c>
      <c r="J2126" s="5">
        <v>2.8666666666666667</v>
      </c>
      <c r="K2126" s="5">
        <f t="shared" si="135"/>
        <v>0</v>
      </c>
      <c r="L2126" s="5">
        <v>1</v>
      </c>
      <c r="M2126" s="5">
        <v>1</v>
      </c>
      <c r="N2126" t="s">
        <v>9</v>
      </c>
      <c r="O2126" s="8">
        <v>20.6</v>
      </c>
      <c r="P2126" t="s">
        <v>32</v>
      </c>
      <c r="Q2126">
        <v>1</v>
      </c>
      <c r="R2126" s="2">
        <v>38463</v>
      </c>
    </row>
    <row r="2127" spans="1:18" x14ac:dyDescent="0.3">
      <c r="A2127" t="s">
        <v>7</v>
      </c>
      <c r="B2127">
        <v>18981716</v>
      </c>
      <c r="C2127" t="s">
        <v>8</v>
      </c>
      <c r="D2127" s="4">
        <v>45982</v>
      </c>
      <c r="E2127" s="11">
        <f t="shared" si="132"/>
        <v>2025</v>
      </c>
      <c r="F2127" s="11">
        <f t="shared" si="133"/>
        <v>11</v>
      </c>
      <c r="G2127" s="11" t="str">
        <f t="shared" si="134"/>
        <v>202511</v>
      </c>
      <c r="H2127" s="4">
        <v>46009</v>
      </c>
      <c r="I2127" s="5">
        <v>27</v>
      </c>
      <c r="J2127" s="5">
        <v>0.9</v>
      </c>
      <c r="K2127" s="5">
        <f t="shared" si="135"/>
        <v>1</v>
      </c>
      <c r="L2127" s="5">
        <v>1</v>
      </c>
      <c r="M2127" s="5">
        <v>1</v>
      </c>
      <c r="N2127" t="s">
        <v>9</v>
      </c>
      <c r="O2127" s="8">
        <v>21.515068493150686</v>
      </c>
      <c r="P2127" t="s">
        <v>33</v>
      </c>
      <c r="Q2127">
        <v>2</v>
      </c>
      <c r="R2127" s="2">
        <v>38129</v>
      </c>
    </row>
    <row r="2128" spans="1:18" x14ac:dyDescent="0.3">
      <c r="A2128" t="s">
        <v>7</v>
      </c>
      <c r="B2128">
        <v>18981718</v>
      </c>
      <c r="C2128" t="s">
        <v>8</v>
      </c>
      <c r="D2128" s="4">
        <v>45982</v>
      </c>
      <c r="E2128" s="11">
        <f t="shared" si="132"/>
        <v>2025</v>
      </c>
      <c r="F2128" s="11">
        <f t="shared" si="133"/>
        <v>11</v>
      </c>
      <c r="G2128" s="11" t="str">
        <f t="shared" si="134"/>
        <v>202511</v>
      </c>
      <c r="H2128" s="4">
        <v>46110</v>
      </c>
      <c r="I2128" s="5">
        <v>128</v>
      </c>
      <c r="J2128" s="5">
        <v>4.2666666666666666</v>
      </c>
      <c r="K2128" s="5">
        <f t="shared" si="135"/>
        <v>0</v>
      </c>
      <c r="L2128" s="5">
        <v>0</v>
      </c>
      <c r="M2128" s="5">
        <v>1</v>
      </c>
      <c r="N2128" t="s">
        <v>9</v>
      </c>
      <c r="O2128" s="8">
        <v>19.246575342465754</v>
      </c>
      <c r="P2128" t="s">
        <v>32</v>
      </c>
      <c r="Q2128">
        <v>1</v>
      </c>
      <c r="R2128" s="2">
        <v>38957</v>
      </c>
    </row>
    <row r="2129" spans="1:18" x14ac:dyDescent="0.3">
      <c r="A2129" t="s">
        <v>7</v>
      </c>
      <c r="B2129">
        <v>18981732</v>
      </c>
      <c r="C2129" t="s">
        <v>8</v>
      </c>
      <c r="D2129" s="4">
        <v>45982</v>
      </c>
      <c r="E2129" s="11">
        <f t="shared" si="132"/>
        <v>2025</v>
      </c>
      <c r="F2129" s="11">
        <f t="shared" si="133"/>
        <v>11</v>
      </c>
      <c r="G2129" s="11" t="str">
        <f t="shared" si="134"/>
        <v>202511</v>
      </c>
      <c r="H2129" s="4">
        <v>45992</v>
      </c>
      <c r="I2129" s="5">
        <v>10</v>
      </c>
      <c r="J2129" s="5">
        <v>0.33333333333333331</v>
      </c>
      <c r="K2129" s="5">
        <f t="shared" si="135"/>
        <v>1</v>
      </c>
      <c r="L2129" s="5">
        <v>1</v>
      </c>
      <c r="M2129" s="5">
        <v>1</v>
      </c>
      <c r="N2129" t="s">
        <v>9</v>
      </c>
      <c r="O2129" s="8">
        <v>22.005479452054793</v>
      </c>
      <c r="P2129" t="s">
        <v>33</v>
      </c>
      <c r="Q2129">
        <v>2</v>
      </c>
      <c r="R2129" s="2">
        <v>37950</v>
      </c>
    </row>
    <row r="2130" spans="1:18" x14ac:dyDescent="0.3">
      <c r="A2130" t="s">
        <v>7</v>
      </c>
      <c r="B2130">
        <v>18981780</v>
      </c>
      <c r="C2130" t="s">
        <v>8</v>
      </c>
      <c r="D2130" s="4">
        <v>45985</v>
      </c>
      <c r="E2130" s="11">
        <f t="shared" si="132"/>
        <v>2025</v>
      </c>
      <c r="F2130" s="11">
        <f t="shared" si="133"/>
        <v>11</v>
      </c>
      <c r="G2130" s="11" t="str">
        <f t="shared" si="134"/>
        <v>202511</v>
      </c>
      <c r="I2130" s="5">
        <v>9999</v>
      </c>
      <c r="J2130" s="5">
        <v>333.3</v>
      </c>
      <c r="K2130" s="5">
        <f t="shared" si="135"/>
        <v>0</v>
      </c>
      <c r="L2130" s="5">
        <v>0</v>
      </c>
      <c r="M2130" s="5">
        <v>0</v>
      </c>
      <c r="N2130" t="s">
        <v>12</v>
      </c>
      <c r="O2130" s="8">
        <v>20.126027397260273</v>
      </c>
      <c r="P2130" t="s">
        <v>32</v>
      </c>
      <c r="Q2130">
        <v>1</v>
      </c>
      <c r="R2130" s="2">
        <v>38639</v>
      </c>
    </row>
    <row r="2131" spans="1:18" x14ac:dyDescent="0.3">
      <c r="A2131" t="s">
        <v>7</v>
      </c>
      <c r="B2131">
        <v>18981988</v>
      </c>
      <c r="C2131" t="s">
        <v>8</v>
      </c>
      <c r="D2131" s="4">
        <v>45986</v>
      </c>
      <c r="E2131" s="11">
        <f t="shared" si="132"/>
        <v>2025</v>
      </c>
      <c r="F2131" s="11">
        <f t="shared" si="133"/>
        <v>11</v>
      </c>
      <c r="G2131" s="11" t="str">
        <f t="shared" si="134"/>
        <v>202511</v>
      </c>
      <c r="H2131" s="4">
        <v>46024</v>
      </c>
      <c r="I2131" s="5">
        <v>38</v>
      </c>
      <c r="J2131" s="5">
        <v>1.2666666666666666</v>
      </c>
      <c r="K2131" s="5">
        <f t="shared" si="135"/>
        <v>0</v>
      </c>
      <c r="L2131" s="5">
        <v>1</v>
      </c>
      <c r="M2131" s="5">
        <v>1</v>
      </c>
      <c r="N2131" t="s">
        <v>12</v>
      </c>
      <c r="O2131" s="8">
        <v>27.410958904109588</v>
      </c>
      <c r="P2131" t="s">
        <v>34</v>
      </c>
      <c r="Q2131">
        <v>3</v>
      </c>
      <c r="R2131" s="2">
        <v>35981</v>
      </c>
    </row>
    <row r="2132" spans="1:18" x14ac:dyDescent="0.3">
      <c r="A2132" t="s">
        <v>7</v>
      </c>
      <c r="B2132">
        <v>18981989</v>
      </c>
      <c r="C2132" t="s">
        <v>8</v>
      </c>
      <c r="D2132" s="4">
        <v>45982</v>
      </c>
      <c r="E2132" s="11">
        <f t="shared" si="132"/>
        <v>2025</v>
      </c>
      <c r="F2132" s="11">
        <f t="shared" si="133"/>
        <v>11</v>
      </c>
      <c r="G2132" s="11" t="str">
        <f t="shared" si="134"/>
        <v>202511</v>
      </c>
      <c r="H2132" s="4">
        <v>46159</v>
      </c>
      <c r="I2132" s="5">
        <v>177</v>
      </c>
      <c r="J2132" s="5">
        <v>5.9</v>
      </c>
      <c r="K2132" s="5">
        <f t="shared" si="135"/>
        <v>0</v>
      </c>
      <c r="L2132" s="5">
        <v>0</v>
      </c>
      <c r="M2132" s="5">
        <v>1</v>
      </c>
      <c r="N2132" t="s">
        <v>9</v>
      </c>
      <c r="O2132" s="8">
        <v>18.224657534246575</v>
      </c>
      <c r="P2132" t="s">
        <v>32</v>
      </c>
      <c r="Q2132">
        <v>1</v>
      </c>
      <c r="R2132" s="2">
        <v>39330</v>
      </c>
    </row>
    <row r="2133" spans="1:18" x14ac:dyDescent="0.3">
      <c r="A2133" t="s">
        <v>7</v>
      </c>
      <c r="B2133">
        <v>18982018</v>
      </c>
      <c r="C2133" t="s">
        <v>10</v>
      </c>
      <c r="D2133" s="4">
        <v>45986</v>
      </c>
      <c r="E2133" s="11">
        <f t="shared" si="132"/>
        <v>2025</v>
      </c>
      <c r="F2133" s="11">
        <f t="shared" si="133"/>
        <v>11</v>
      </c>
      <c r="G2133" s="11" t="str">
        <f t="shared" si="134"/>
        <v>202511</v>
      </c>
      <c r="H2133" s="4">
        <v>46064</v>
      </c>
      <c r="I2133" s="5">
        <v>78</v>
      </c>
      <c r="J2133" s="5">
        <v>2.6</v>
      </c>
      <c r="K2133" s="5">
        <f t="shared" si="135"/>
        <v>0</v>
      </c>
      <c r="L2133" s="5">
        <v>1</v>
      </c>
      <c r="M2133" s="5">
        <v>1</v>
      </c>
      <c r="N2133" t="s">
        <v>9</v>
      </c>
      <c r="O2133" s="8">
        <v>19.112328767123287</v>
      </c>
      <c r="P2133" t="s">
        <v>32</v>
      </c>
      <c r="Q2133">
        <v>1</v>
      </c>
      <c r="R2133" s="2">
        <v>39010</v>
      </c>
    </row>
    <row r="2134" spans="1:18" x14ac:dyDescent="0.3">
      <c r="A2134" t="s">
        <v>7</v>
      </c>
      <c r="B2134">
        <v>18982040</v>
      </c>
      <c r="C2134" t="s">
        <v>8</v>
      </c>
      <c r="D2134" s="4">
        <v>45986</v>
      </c>
      <c r="E2134" s="11">
        <f t="shared" si="132"/>
        <v>2025</v>
      </c>
      <c r="F2134" s="11">
        <f t="shared" si="133"/>
        <v>11</v>
      </c>
      <c r="G2134" s="11" t="str">
        <f t="shared" si="134"/>
        <v>202511</v>
      </c>
      <c r="I2134" s="5">
        <v>9999</v>
      </c>
      <c r="J2134" s="5">
        <v>333.3</v>
      </c>
      <c r="K2134" s="5">
        <f t="shared" si="135"/>
        <v>0</v>
      </c>
      <c r="L2134" s="5">
        <v>0</v>
      </c>
      <c r="M2134" s="5">
        <v>0</v>
      </c>
      <c r="N2134" t="s">
        <v>9</v>
      </c>
      <c r="O2134" s="8">
        <v>51.704109589041096</v>
      </c>
      <c r="P2134" t="s">
        <v>35</v>
      </c>
      <c r="Q2134">
        <v>4</v>
      </c>
      <c r="R2134" s="2">
        <v>27114</v>
      </c>
    </row>
    <row r="2135" spans="1:18" x14ac:dyDescent="0.3">
      <c r="A2135" t="s">
        <v>7</v>
      </c>
      <c r="B2135">
        <v>18982043</v>
      </c>
      <c r="C2135" t="s">
        <v>8</v>
      </c>
      <c r="D2135" s="4">
        <v>45986</v>
      </c>
      <c r="E2135" s="11">
        <f t="shared" si="132"/>
        <v>2025</v>
      </c>
      <c r="F2135" s="11">
        <f t="shared" si="133"/>
        <v>11</v>
      </c>
      <c r="G2135" s="11" t="str">
        <f t="shared" si="134"/>
        <v>202511</v>
      </c>
      <c r="I2135" s="5">
        <v>9999</v>
      </c>
      <c r="J2135" s="5">
        <v>333.3</v>
      </c>
      <c r="K2135" s="5">
        <f t="shared" si="135"/>
        <v>0</v>
      </c>
      <c r="L2135" s="5">
        <v>0</v>
      </c>
      <c r="M2135" s="5">
        <v>0</v>
      </c>
      <c r="N2135" t="s">
        <v>12</v>
      </c>
      <c r="O2135" s="8">
        <v>29.038356164383561</v>
      </c>
      <c r="P2135" t="s">
        <v>34</v>
      </c>
      <c r="Q2135">
        <v>3</v>
      </c>
      <c r="R2135" s="2">
        <v>35387</v>
      </c>
    </row>
    <row r="2136" spans="1:18" x14ac:dyDescent="0.3">
      <c r="A2136" t="s">
        <v>7</v>
      </c>
      <c r="B2136">
        <v>18982044</v>
      </c>
      <c r="C2136" t="s">
        <v>10</v>
      </c>
      <c r="D2136" s="4">
        <v>45986</v>
      </c>
      <c r="E2136" s="11">
        <f t="shared" si="132"/>
        <v>2025</v>
      </c>
      <c r="F2136" s="11">
        <f t="shared" si="133"/>
        <v>11</v>
      </c>
      <c r="G2136" s="11" t="str">
        <f t="shared" si="134"/>
        <v>202511</v>
      </c>
      <c r="H2136" s="4">
        <v>46142</v>
      </c>
      <c r="I2136" s="5">
        <v>156</v>
      </c>
      <c r="J2136" s="5">
        <v>5.2</v>
      </c>
      <c r="K2136" s="5">
        <f t="shared" si="135"/>
        <v>0</v>
      </c>
      <c r="L2136" s="5">
        <v>0</v>
      </c>
      <c r="M2136" s="5">
        <v>1</v>
      </c>
      <c r="N2136" t="s">
        <v>12</v>
      </c>
      <c r="O2136" s="8">
        <v>23.336986301369862</v>
      </c>
      <c r="P2136" t="s">
        <v>33</v>
      </c>
      <c r="Q2136">
        <v>2</v>
      </c>
      <c r="R2136" s="2">
        <v>37468</v>
      </c>
    </row>
    <row r="2137" spans="1:18" x14ac:dyDescent="0.3">
      <c r="A2137" t="s">
        <v>7</v>
      </c>
      <c r="B2137">
        <v>18982197</v>
      </c>
      <c r="C2137" t="s">
        <v>8</v>
      </c>
      <c r="D2137" s="4">
        <v>45986</v>
      </c>
      <c r="E2137" s="11">
        <f t="shared" si="132"/>
        <v>2025</v>
      </c>
      <c r="F2137" s="11">
        <f t="shared" si="133"/>
        <v>11</v>
      </c>
      <c r="G2137" s="11" t="str">
        <f t="shared" si="134"/>
        <v>202511</v>
      </c>
      <c r="H2137" s="4">
        <v>46023</v>
      </c>
      <c r="I2137" s="5">
        <v>37</v>
      </c>
      <c r="J2137" s="5">
        <v>1.2333333333333334</v>
      </c>
      <c r="K2137" s="5">
        <f t="shared" si="135"/>
        <v>0</v>
      </c>
      <c r="L2137" s="5">
        <v>1</v>
      </c>
      <c r="M2137" s="5">
        <v>1</v>
      </c>
      <c r="N2137" t="s">
        <v>9</v>
      </c>
      <c r="O2137" s="8">
        <v>23.260273972602739</v>
      </c>
      <c r="P2137" t="s">
        <v>33</v>
      </c>
      <c r="Q2137">
        <v>2</v>
      </c>
      <c r="R2137" s="2">
        <v>37496</v>
      </c>
    </row>
    <row r="2138" spans="1:18" x14ac:dyDescent="0.3">
      <c r="A2138" t="s">
        <v>7</v>
      </c>
      <c r="B2138">
        <v>18982231</v>
      </c>
      <c r="C2138" t="s">
        <v>10</v>
      </c>
      <c r="D2138" s="4">
        <v>45986</v>
      </c>
      <c r="E2138" s="11">
        <f t="shared" si="132"/>
        <v>2025</v>
      </c>
      <c r="F2138" s="11">
        <f t="shared" si="133"/>
        <v>11</v>
      </c>
      <c r="G2138" s="11" t="str">
        <f t="shared" si="134"/>
        <v>202511</v>
      </c>
      <c r="I2138" s="5">
        <v>9999</v>
      </c>
      <c r="J2138" s="5">
        <v>333.3</v>
      </c>
      <c r="K2138" s="5">
        <f t="shared" si="135"/>
        <v>0</v>
      </c>
      <c r="L2138" s="5">
        <v>0</v>
      </c>
      <c r="M2138" s="5">
        <v>0</v>
      </c>
      <c r="N2138" t="s">
        <v>12</v>
      </c>
      <c r="O2138" s="8">
        <v>19.468493150684932</v>
      </c>
      <c r="P2138" t="s">
        <v>32</v>
      </c>
      <c r="Q2138">
        <v>1</v>
      </c>
      <c r="R2138" s="2">
        <v>38880</v>
      </c>
    </row>
    <row r="2139" spans="1:18" x14ac:dyDescent="0.3">
      <c r="A2139" t="s">
        <v>7</v>
      </c>
      <c r="B2139">
        <v>18982232</v>
      </c>
      <c r="C2139" t="s">
        <v>10</v>
      </c>
      <c r="D2139" s="4">
        <v>45986</v>
      </c>
      <c r="E2139" s="11">
        <f t="shared" si="132"/>
        <v>2025</v>
      </c>
      <c r="F2139" s="11">
        <f t="shared" si="133"/>
        <v>11</v>
      </c>
      <c r="G2139" s="11" t="str">
        <f t="shared" si="134"/>
        <v>202511</v>
      </c>
      <c r="I2139" s="5">
        <v>9999</v>
      </c>
      <c r="J2139" s="5">
        <v>333.3</v>
      </c>
      <c r="K2139" s="5">
        <f t="shared" si="135"/>
        <v>0</v>
      </c>
      <c r="L2139" s="5">
        <v>0</v>
      </c>
      <c r="M2139" s="5">
        <v>0</v>
      </c>
      <c r="N2139" t="s">
        <v>12</v>
      </c>
      <c r="O2139" s="8">
        <v>18.347945205479451</v>
      </c>
      <c r="P2139" t="s">
        <v>32</v>
      </c>
      <c r="Q2139">
        <v>1</v>
      </c>
      <c r="R2139" s="2">
        <v>39289</v>
      </c>
    </row>
    <row r="2140" spans="1:18" x14ac:dyDescent="0.3">
      <c r="A2140" t="s">
        <v>7</v>
      </c>
      <c r="B2140">
        <v>18982273</v>
      </c>
      <c r="C2140" t="s">
        <v>8</v>
      </c>
      <c r="D2140" s="4">
        <v>45986</v>
      </c>
      <c r="E2140" s="11">
        <f t="shared" si="132"/>
        <v>2025</v>
      </c>
      <c r="F2140" s="11">
        <f t="shared" si="133"/>
        <v>11</v>
      </c>
      <c r="G2140" s="11" t="str">
        <f t="shared" si="134"/>
        <v>202511</v>
      </c>
      <c r="H2140" s="4">
        <v>46081</v>
      </c>
      <c r="I2140" s="5">
        <v>95</v>
      </c>
      <c r="J2140" s="5">
        <v>3.1666666666666665</v>
      </c>
      <c r="K2140" s="5">
        <f t="shared" si="135"/>
        <v>0</v>
      </c>
      <c r="L2140" s="5">
        <v>0</v>
      </c>
      <c r="M2140" s="5">
        <v>1</v>
      </c>
      <c r="N2140" t="s">
        <v>12</v>
      </c>
      <c r="O2140" s="8">
        <v>20.739726027397261</v>
      </c>
      <c r="P2140" t="s">
        <v>32</v>
      </c>
      <c r="Q2140">
        <v>1</v>
      </c>
      <c r="R2140" s="2">
        <v>38416</v>
      </c>
    </row>
    <row r="2141" spans="1:18" x14ac:dyDescent="0.3">
      <c r="A2141" t="s">
        <v>7</v>
      </c>
      <c r="B2141">
        <v>18982289</v>
      </c>
      <c r="C2141" t="s">
        <v>8</v>
      </c>
      <c r="D2141" s="4">
        <v>45986</v>
      </c>
      <c r="E2141" s="11">
        <f t="shared" si="132"/>
        <v>2025</v>
      </c>
      <c r="F2141" s="11">
        <f t="shared" si="133"/>
        <v>11</v>
      </c>
      <c r="G2141" s="11" t="str">
        <f t="shared" si="134"/>
        <v>202511</v>
      </c>
      <c r="I2141" s="5">
        <v>9999</v>
      </c>
      <c r="J2141" s="5">
        <v>333.3</v>
      </c>
      <c r="K2141" s="5">
        <f t="shared" si="135"/>
        <v>0</v>
      </c>
      <c r="L2141" s="5">
        <v>0</v>
      </c>
      <c r="M2141" s="5">
        <v>0</v>
      </c>
      <c r="N2141" t="s">
        <v>12</v>
      </c>
      <c r="O2141" s="8">
        <v>19.553424657534247</v>
      </c>
      <c r="P2141" t="s">
        <v>32</v>
      </c>
      <c r="Q2141">
        <v>1</v>
      </c>
      <c r="R2141" s="2">
        <v>38849</v>
      </c>
    </row>
    <row r="2142" spans="1:18" x14ac:dyDescent="0.3">
      <c r="A2142" t="s">
        <v>7</v>
      </c>
      <c r="B2142">
        <v>18982290</v>
      </c>
      <c r="C2142" t="s">
        <v>8</v>
      </c>
      <c r="D2142" s="4">
        <v>45986</v>
      </c>
      <c r="E2142" s="11">
        <f t="shared" si="132"/>
        <v>2025</v>
      </c>
      <c r="F2142" s="11">
        <f t="shared" si="133"/>
        <v>11</v>
      </c>
      <c r="G2142" s="11" t="str">
        <f t="shared" si="134"/>
        <v>202511</v>
      </c>
      <c r="H2142" s="4">
        <v>46138</v>
      </c>
      <c r="I2142" s="5">
        <v>152</v>
      </c>
      <c r="J2142" s="5">
        <v>5.0666666666666664</v>
      </c>
      <c r="K2142" s="5">
        <f t="shared" si="135"/>
        <v>0</v>
      </c>
      <c r="L2142" s="5">
        <v>0</v>
      </c>
      <c r="M2142" s="5">
        <v>1</v>
      </c>
      <c r="N2142" t="s">
        <v>12</v>
      </c>
      <c r="O2142" s="8">
        <v>22.279452054794522</v>
      </c>
      <c r="P2142" t="s">
        <v>33</v>
      </c>
      <c r="Q2142">
        <v>2</v>
      </c>
      <c r="R2142" s="2">
        <v>37854</v>
      </c>
    </row>
    <row r="2143" spans="1:18" x14ac:dyDescent="0.3">
      <c r="A2143" t="s">
        <v>7</v>
      </c>
      <c r="B2143">
        <v>18982316</v>
      </c>
      <c r="C2143" t="s">
        <v>8</v>
      </c>
      <c r="D2143" s="4">
        <v>46013</v>
      </c>
      <c r="E2143" s="11">
        <f t="shared" si="132"/>
        <v>2025</v>
      </c>
      <c r="F2143" s="11">
        <f t="shared" si="133"/>
        <v>12</v>
      </c>
      <c r="G2143" s="11" t="str">
        <f t="shared" si="134"/>
        <v>202512</v>
      </c>
      <c r="H2143" s="4">
        <v>46023</v>
      </c>
      <c r="I2143" s="5">
        <v>10</v>
      </c>
      <c r="J2143" s="5">
        <v>0.33333333333333331</v>
      </c>
      <c r="K2143" s="5">
        <f t="shared" si="135"/>
        <v>1</v>
      </c>
      <c r="L2143" s="5">
        <v>1</v>
      </c>
      <c r="M2143" s="5">
        <v>1</v>
      </c>
      <c r="N2143" t="s">
        <v>12</v>
      </c>
      <c r="O2143" s="8">
        <v>21.260273972602739</v>
      </c>
      <c r="P2143" t="s">
        <v>33</v>
      </c>
      <c r="Q2143">
        <v>2</v>
      </c>
      <c r="R2143" s="2">
        <v>38253</v>
      </c>
    </row>
    <row r="2144" spans="1:18" x14ac:dyDescent="0.3">
      <c r="A2144" t="s">
        <v>7</v>
      </c>
      <c r="B2144">
        <v>18982318</v>
      </c>
      <c r="C2144" t="s">
        <v>8</v>
      </c>
      <c r="D2144" s="4">
        <v>45985</v>
      </c>
      <c r="E2144" s="11">
        <f t="shared" si="132"/>
        <v>2025</v>
      </c>
      <c r="F2144" s="11">
        <f t="shared" si="133"/>
        <v>11</v>
      </c>
      <c r="G2144" s="11" t="str">
        <f t="shared" si="134"/>
        <v>202511</v>
      </c>
      <c r="H2144" s="4">
        <v>46124</v>
      </c>
      <c r="I2144" s="5">
        <v>139</v>
      </c>
      <c r="J2144" s="5">
        <v>4.6333333333333337</v>
      </c>
      <c r="K2144" s="5">
        <f t="shared" si="135"/>
        <v>0</v>
      </c>
      <c r="L2144" s="5">
        <v>0</v>
      </c>
      <c r="M2144" s="5">
        <v>1</v>
      </c>
      <c r="N2144" t="s">
        <v>9</v>
      </c>
      <c r="O2144" s="8">
        <v>18.276712328767122</v>
      </c>
      <c r="P2144" t="s">
        <v>32</v>
      </c>
      <c r="Q2144">
        <v>1</v>
      </c>
      <c r="R2144" s="2">
        <v>39314</v>
      </c>
    </row>
    <row r="2145" spans="1:18" x14ac:dyDescent="0.3">
      <c r="A2145" t="s">
        <v>7</v>
      </c>
      <c r="B2145">
        <v>18982336</v>
      </c>
      <c r="C2145" t="s">
        <v>8</v>
      </c>
      <c r="D2145" s="4">
        <v>45985</v>
      </c>
      <c r="E2145" s="11">
        <f t="shared" si="132"/>
        <v>2025</v>
      </c>
      <c r="F2145" s="11">
        <f t="shared" si="133"/>
        <v>11</v>
      </c>
      <c r="G2145" s="11" t="str">
        <f t="shared" si="134"/>
        <v>202511</v>
      </c>
      <c r="I2145" s="5">
        <v>9999</v>
      </c>
      <c r="J2145" s="5">
        <v>333.3</v>
      </c>
      <c r="K2145" s="5">
        <f t="shared" si="135"/>
        <v>0</v>
      </c>
      <c r="L2145" s="5">
        <v>0</v>
      </c>
      <c r="M2145" s="5">
        <v>0</v>
      </c>
      <c r="N2145" t="s">
        <v>9</v>
      </c>
      <c r="O2145" s="8">
        <v>18.117808219178084</v>
      </c>
      <c r="P2145" t="s">
        <v>32</v>
      </c>
      <c r="Q2145">
        <v>1</v>
      </c>
      <c r="R2145" s="2">
        <v>39372</v>
      </c>
    </row>
    <row r="2146" spans="1:18" x14ac:dyDescent="0.3">
      <c r="A2146" t="s">
        <v>7</v>
      </c>
      <c r="B2146">
        <v>18982342</v>
      </c>
      <c r="C2146" t="s">
        <v>8</v>
      </c>
      <c r="D2146" s="4">
        <v>45985</v>
      </c>
      <c r="E2146" s="11">
        <f t="shared" si="132"/>
        <v>2025</v>
      </c>
      <c r="F2146" s="11">
        <f t="shared" si="133"/>
        <v>11</v>
      </c>
      <c r="G2146" s="11" t="str">
        <f t="shared" si="134"/>
        <v>202511</v>
      </c>
      <c r="H2146" s="4">
        <v>46112</v>
      </c>
      <c r="I2146" s="5">
        <v>127</v>
      </c>
      <c r="J2146" s="5">
        <v>4.2333333333333334</v>
      </c>
      <c r="K2146" s="5">
        <f t="shared" si="135"/>
        <v>0</v>
      </c>
      <c r="L2146" s="5">
        <v>0</v>
      </c>
      <c r="M2146" s="5">
        <v>1</v>
      </c>
      <c r="N2146" t="s">
        <v>12</v>
      </c>
      <c r="O2146" s="8">
        <v>32.515068493150686</v>
      </c>
      <c r="P2146" t="s">
        <v>35</v>
      </c>
      <c r="Q2146">
        <v>4</v>
      </c>
      <c r="R2146" s="2">
        <v>34117</v>
      </c>
    </row>
    <row r="2147" spans="1:18" x14ac:dyDescent="0.3">
      <c r="A2147" t="s">
        <v>7</v>
      </c>
      <c r="B2147">
        <v>18982374</v>
      </c>
      <c r="C2147" t="s">
        <v>8</v>
      </c>
      <c r="D2147" s="4">
        <v>45982</v>
      </c>
      <c r="E2147" s="11">
        <f t="shared" si="132"/>
        <v>2025</v>
      </c>
      <c r="F2147" s="11">
        <f t="shared" si="133"/>
        <v>11</v>
      </c>
      <c r="G2147" s="11" t="str">
        <f t="shared" si="134"/>
        <v>202511</v>
      </c>
      <c r="I2147" s="5">
        <v>9999</v>
      </c>
      <c r="J2147" s="5">
        <v>333.3</v>
      </c>
      <c r="K2147" s="5">
        <f t="shared" si="135"/>
        <v>0</v>
      </c>
      <c r="L2147" s="5">
        <v>0</v>
      </c>
      <c r="M2147" s="5">
        <v>0</v>
      </c>
      <c r="N2147" t="s">
        <v>9</v>
      </c>
      <c r="O2147" s="8">
        <v>20.865753424657534</v>
      </c>
      <c r="P2147" t="s">
        <v>32</v>
      </c>
      <c r="Q2147">
        <v>1</v>
      </c>
      <c r="R2147" s="2">
        <v>38366</v>
      </c>
    </row>
    <row r="2148" spans="1:18" x14ac:dyDescent="0.3">
      <c r="A2148" t="s">
        <v>7</v>
      </c>
      <c r="B2148">
        <v>18982377</v>
      </c>
      <c r="C2148" t="s">
        <v>10</v>
      </c>
      <c r="D2148" s="4">
        <v>45985</v>
      </c>
      <c r="E2148" s="11">
        <f t="shared" si="132"/>
        <v>2025</v>
      </c>
      <c r="F2148" s="11">
        <f t="shared" si="133"/>
        <v>11</v>
      </c>
      <c r="G2148" s="11" t="str">
        <f t="shared" si="134"/>
        <v>202511</v>
      </c>
      <c r="I2148" s="5">
        <v>9999</v>
      </c>
      <c r="J2148" s="5">
        <v>333.3</v>
      </c>
      <c r="K2148" s="5">
        <f t="shared" si="135"/>
        <v>0</v>
      </c>
      <c r="L2148" s="5">
        <v>0</v>
      </c>
      <c r="M2148" s="5">
        <v>0</v>
      </c>
      <c r="N2148" t="s">
        <v>9</v>
      </c>
      <c r="O2148" s="8">
        <v>21.873972602739727</v>
      </c>
      <c r="P2148" t="s">
        <v>33</v>
      </c>
      <c r="Q2148">
        <v>2</v>
      </c>
      <c r="R2148" s="2">
        <v>38001</v>
      </c>
    </row>
    <row r="2149" spans="1:18" x14ac:dyDescent="0.3">
      <c r="A2149" t="s">
        <v>7</v>
      </c>
      <c r="B2149">
        <v>18982379</v>
      </c>
      <c r="C2149" t="s">
        <v>8</v>
      </c>
      <c r="D2149" s="4">
        <v>45985</v>
      </c>
      <c r="E2149" s="11">
        <f t="shared" si="132"/>
        <v>2025</v>
      </c>
      <c r="F2149" s="11">
        <f t="shared" si="133"/>
        <v>11</v>
      </c>
      <c r="G2149" s="11" t="str">
        <f t="shared" si="134"/>
        <v>202511</v>
      </c>
      <c r="I2149" s="5">
        <v>9999</v>
      </c>
      <c r="J2149" s="5">
        <v>333.3</v>
      </c>
      <c r="K2149" s="5">
        <f t="shared" si="135"/>
        <v>0</v>
      </c>
      <c r="L2149" s="5">
        <v>0</v>
      </c>
      <c r="M2149" s="5">
        <v>0</v>
      </c>
      <c r="N2149" t="s">
        <v>12</v>
      </c>
      <c r="O2149" s="8">
        <v>22.589041095890412</v>
      </c>
      <c r="P2149" t="s">
        <v>33</v>
      </c>
      <c r="Q2149">
        <v>2</v>
      </c>
      <c r="R2149" s="2">
        <v>37740</v>
      </c>
    </row>
    <row r="2150" spans="1:18" x14ac:dyDescent="0.3">
      <c r="A2150" t="s">
        <v>7</v>
      </c>
      <c r="B2150">
        <v>18982409</v>
      </c>
      <c r="C2150" t="s">
        <v>8</v>
      </c>
      <c r="D2150" s="4">
        <v>45982</v>
      </c>
      <c r="E2150" s="11">
        <f t="shared" si="132"/>
        <v>2025</v>
      </c>
      <c r="F2150" s="11">
        <f t="shared" si="133"/>
        <v>11</v>
      </c>
      <c r="G2150" s="11" t="str">
        <f t="shared" si="134"/>
        <v>202511</v>
      </c>
      <c r="I2150" s="5">
        <v>9999</v>
      </c>
      <c r="J2150" s="5">
        <v>333.3</v>
      </c>
      <c r="K2150" s="5">
        <f t="shared" si="135"/>
        <v>0</v>
      </c>
      <c r="L2150" s="5">
        <v>0</v>
      </c>
      <c r="M2150" s="5">
        <v>0</v>
      </c>
      <c r="N2150" t="s">
        <v>12</v>
      </c>
      <c r="O2150" s="8">
        <v>20.465753424657535</v>
      </c>
      <c r="P2150" t="s">
        <v>32</v>
      </c>
      <c r="Q2150">
        <v>1</v>
      </c>
      <c r="R2150" s="2">
        <v>38512</v>
      </c>
    </row>
    <row r="2151" spans="1:18" x14ac:dyDescent="0.3">
      <c r="A2151" t="s">
        <v>7</v>
      </c>
      <c r="B2151">
        <v>18982423</v>
      </c>
      <c r="C2151" t="s">
        <v>8</v>
      </c>
      <c r="D2151" s="4">
        <v>45985</v>
      </c>
      <c r="E2151" s="11">
        <f t="shared" si="132"/>
        <v>2025</v>
      </c>
      <c r="F2151" s="11">
        <f t="shared" si="133"/>
        <v>11</v>
      </c>
      <c r="G2151" s="11" t="str">
        <f t="shared" si="134"/>
        <v>202511</v>
      </c>
      <c r="H2151" s="4">
        <v>46022</v>
      </c>
      <c r="I2151" s="5">
        <v>37</v>
      </c>
      <c r="J2151" s="5">
        <v>1.2333333333333334</v>
      </c>
      <c r="K2151" s="5">
        <f t="shared" si="135"/>
        <v>0</v>
      </c>
      <c r="L2151" s="5">
        <v>1</v>
      </c>
      <c r="M2151" s="5">
        <v>1</v>
      </c>
      <c r="N2151" t="s">
        <v>9</v>
      </c>
      <c r="O2151" s="8">
        <v>18.715068493150685</v>
      </c>
      <c r="P2151" t="s">
        <v>32</v>
      </c>
      <c r="Q2151">
        <v>1</v>
      </c>
      <c r="R2151" s="2">
        <v>39154</v>
      </c>
    </row>
    <row r="2152" spans="1:18" x14ac:dyDescent="0.3">
      <c r="A2152" t="s">
        <v>7</v>
      </c>
      <c r="B2152">
        <v>18982530</v>
      </c>
      <c r="C2152" t="s">
        <v>8</v>
      </c>
      <c r="D2152" s="4">
        <v>45987</v>
      </c>
      <c r="E2152" s="11">
        <f t="shared" si="132"/>
        <v>2025</v>
      </c>
      <c r="F2152" s="11">
        <f t="shared" si="133"/>
        <v>11</v>
      </c>
      <c r="G2152" s="11" t="str">
        <f t="shared" si="134"/>
        <v>202511</v>
      </c>
      <c r="I2152" s="5">
        <v>9999</v>
      </c>
      <c r="J2152" s="5">
        <v>333.3</v>
      </c>
      <c r="K2152" s="5">
        <f t="shared" si="135"/>
        <v>0</v>
      </c>
      <c r="L2152" s="5">
        <v>0</v>
      </c>
      <c r="M2152" s="5">
        <v>0</v>
      </c>
      <c r="N2152" t="s">
        <v>9</v>
      </c>
      <c r="O2152" s="8">
        <v>57.597260273972601</v>
      </c>
      <c r="P2152" t="s">
        <v>35</v>
      </c>
      <c r="Q2152">
        <v>4</v>
      </c>
      <c r="R2152" s="2">
        <v>24964</v>
      </c>
    </row>
    <row r="2153" spans="1:18" x14ac:dyDescent="0.3">
      <c r="A2153" t="s">
        <v>7</v>
      </c>
      <c r="B2153">
        <v>18982532</v>
      </c>
      <c r="C2153" t="s">
        <v>10</v>
      </c>
      <c r="D2153" s="4">
        <v>45987</v>
      </c>
      <c r="E2153" s="11">
        <f t="shared" si="132"/>
        <v>2025</v>
      </c>
      <c r="F2153" s="11">
        <f t="shared" si="133"/>
        <v>11</v>
      </c>
      <c r="G2153" s="11" t="str">
        <f t="shared" si="134"/>
        <v>202511</v>
      </c>
      <c r="H2153" s="4">
        <v>46023</v>
      </c>
      <c r="I2153" s="5">
        <v>36</v>
      </c>
      <c r="J2153" s="5">
        <v>1.2</v>
      </c>
      <c r="K2153" s="5">
        <f t="shared" si="135"/>
        <v>0</v>
      </c>
      <c r="L2153" s="5">
        <v>1</v>
      </c>
      <c r="M2153" s="5">
        <v>1</v>
      </c>
      <c r="N2153" t="s">
        <v>9</v>
      </c>
      <c r="O2153" s="8">
        <v>22.391780821917809</v>
      </c>
      <c r="P2153" t="s">
        <v>33</v>
      </c>
      <c r="Q2153">
        <v>2</v>
      </c>
      <c r="R2153" s="2">
        <v>37814</v>
      </c>
    </row>
    <row r="2154" spans="1:18" x14ac:dyDescent="0.3">
      <c r="A2154" t="s">
        <v>7</v>
      </c>
      <c r="B2154">
        <v>18982535</v>
      </c>
      <c r="C2154" t="s">
        <v>10</v>
      </c>
      <c r="D2154" s="4">
        <v>45987</v>
      </c>
      <c r="E2154" s="11">
        <f t="shared" si="132"/>
        <v>2025</v>
      </c>
      <c r="F2154" s="11">
        <f t="shared" si="133"/>
        <v>11</v>
      </c>
      <c r="G2154" s="11" t="str">
        <f t="shared" si="134"/>
        <v>202511</v>
      </c>
      <c r="I2154" s="5">
        <v>9999</v>
      </c>
      <c r="J2154" s="5">
        <v>333.3</v>
      </c>
      <c r="K2154" s="5">
        <f t="shared" si="135"/>
        <v>0</v>
      </c>
      <c r="L2154" s="5">
        <v>0</v>
      </c>
      <c r="M2154" s="5">
        <v>0</v>
      </c>
      <c r="N2154" t="s">
        <v>12</v>
      </c>
      <c r="O2154" s="8">
        <v>19.728767123287671</v>
      </c>
      <c r="P2154" t="s">
        <v>32</v>
      </c>
      <c r="Q2154">
        <v>1</v>
      </c>
      <c r="R2154" s="2">
        <v>38786</v>
      </c>
    </row>
    <row r="2155" spans="1:18" x14ac:dyDescent="0.3">
      <c r="A2155" t="s">
        <v>7</v>
      </c>
      <c r="B2155">
        <v>18982536</v>
      </c>
      <c r="C2155" t="s">
        <v>8</v>
      </c>
      <c r="D2155" s="4">
        <v>45987</v>
      </c>
      <c r="E2155" s="11">
        <f t="shared" si="132"/>
        <v>2025</v>
      </c>
      <c r="F2155" s="11">
        <f t="shared" si="133"/>
        <v>11</v>
      </c>
      <c r="G2155" s="11" t="str">
        <f t="shared" si="134"/>
        <v>202511</v>
      </c>
      <c r="I2155" s="5">
        <v>9999</v>
      </c>
      <c r="J2155" s="5">
        <v>333.3</v>
      </c>
      <c r="K2155" s="5">
        <f t="shared" si="135"/>
        <v>0</v>
      </c>
      <c r="L2155" s="5">
        <v>0</v>
      </c>
      <c r="M2155" s="5">
        <v>0</v>
      </c>
      <c r="N2155" t="s">
        <v>9</v>
      </c>
      <c r="O2155" s="8">
        <v>20.336986301369862</v>
      </c>
      <c r="P2155" t="s">
        <v>32</v>
      </c>
      <c r="Q2155">
        <v>1</v>
      </c>
      <c r="R2155" s="2">
        <v>38564</v>
      </c>
    </row>
    <row r="2156" spans="1:18" x14ac:dyDescent="0.3">
      <c r="A2156" t="s">
        <v>7</v>
      </c>
      <c r="B2156">
        <v>18982537</v>
      </c>
      <c r="C2156" t="s">
        <v>10</v>
      </c>
      <c r="D2156" s="4">
        <v>45987</v>
      </c>
      <c r="E2156" s="11">
        <f t="shared" si="132"/>
        <v>2025</v>
      </c>
      <c r="F2156" s="11">
        <f t="shared" si="133"/>
        <v>11</v>
      </c>
      <c r="G2156" s="11" t="str">
        <f t="shared" si="134"/>
        <v>202511</v>
      </c>
      <c r="I2156" s="5">
        <v>9999</v>
      </c>
      <c r="J2156" s="5">
        <v>333.3</v>
      </c>
      <c r="K2156" s="5">
        <f t="shared" si="135"/>
        <v>0</v>
      </c>
      <c r="L2156" s="5">
        <v>0</v>
      </c>
      <c r="M2156" s="5">
        <v>0</v>
      </c>
      <c r="N2156" t="s">
        <v>9</v>
      </c>
      <c r="O2156" s="8">
        <v>20.715068493150685</v>
      </c>
      <c r="P2156" t="s">
        <v>32</v>
      </c>
      <c r="Q2156">
        <v>1</v>
      </c>
      <c r="R2156" s="2">
        <v>38426</v>
      </c>
    </row>
    <row r="2157" spans="1:18" x14ac:dyDescent="0.3">
      <c r="A2157" t="s">
        <v>7</v>
      </c>
      <c r="B2157">
        <v>18982538</v>
      </c>
      <c r="C2157" t="s">
        <v>10</v>
      </c>
      <c r="D2157" s="4">
        <v>45987</v>
      </c>
      <c r="E2157" s="11">
        <f t="shared" si="132"/>
        <v>2025</v>
      </c>
      <c r="F2157" s="11">
        <f t="shared" si="133"/>
        <v>11</v>
      </c>
      <c r="G2157" s="11" t="str">
        <f t="shared" si="134"/>
        <v>202511</v>
      </c>
      <c r="I2157" s="5">
        <v>9999</v>
      </c>
      <c r="J2157" s="5">
        <v>333.3</v>
      </c>
      <c r="K2157" s="5">
        <f t="shared" si="135"/>
        <v>0</v>
      </c>
      <c r="L2157" s="5">
        <v>0</v>
      </c>
      <c r="M2157" s="5">
        <v>0</v>
      </c>
      <c r="N2157" t="s">
        <v>9</v>
      </c>
      <c r="O2157" s="8">
        <v>20.052054794520547</v>
      </c>
      <c r="P2157" t="s">
        <v>32</v>
      </c>
      <c r="Q2157">
        <v>1</v>
      </c>
      <c r="R2157" s="2">
        <v>38668</v>
      </c>
    </row>
    <row r="2158" spans="1:18" x14ac:dyDescent="0.3">
      <c r="A2158" t="s">
        <v>7</v>
      </c>
      <c r="B2158">
        <v>18982539</v>
      </c>
      <c r="C2158" t="s">
        <v>8</v>
      </c>
      <c r="D2158" s="4">
        <v>45987</v>
      </c>
      <c r="E2158" s="11">
        <f t="shared" si="132"/>
        <v>2025</v>
      </c>
      <c r="F2158" s="11">
        <f t="shared" si="133"/>
        <v>11</v>
      </c>
      <c r="G2158" s="11" t="str">
        <f t="shared" si="134"/>
        <v>202511</v>
      </c>
      <c r="H2158" s="4">
        <v>46081</v>
      </c>
      <c r="I2158" s="5">
        <v>94</v>
      </c>
      <c r="J2158" s="5">
        <v>3.1333333333333333</v>
      </c>
      <c r="K2158" s="5">
        <f t="shared" si="135"/>
        <v>0</v>
      </c>
      <c r="L2158" s="5">
        <v>0</v>
      </c>
      <c r="M2158" s="5">
        <v>1</v>
      </c>
      <c r="N2158" t="s">
        <v>9</v>
      </c>
      <c r="O2158" s="8">
        <v>19.852054794520548</v>
      </c>
      <c r="P2158" t="s">
        <v>32</v>
      </c>
      <c r="Q2158">
        <v>1</v>
      </c>
      <c r="R2158" s="2">
        <v>38741</v>
      </c>
    </row>
    <row r="2159" spans="1:18" x14ac:dyDescent="0.3">
      <c r="A2159" t="s">
        <v>7</v>
      </c>
      <c r="B2159">
        <v>18982540</v>
      </c>
      <c r="C2159" t="s">
        <v>8</v>
      </c>
      <c r="D2159" s="4">
        <v>45987</v>
      </c>
      <c r="E2159" s="11">
        <f t="shared" si="132"/>
        <v>2025</v>
      </c>
      <c r="F2159" s="11">
        <f t="shared" si="133"/>
        <v>11</v>
      </c>
      <c r="G2159" s="11" t="str">
        <f t="shared" si="134"/>
        <v>202511</v>
      </c>
      <c r="H2159" s="4">
        <v>46023</v>
      </c>
      <c r="I2159" s="5">
        <v>36</v>
      </c>
      <c r="J2159" s="5">
        <v>1.2</v>
      </c>
      <c r="K2159" s="5">
        <f t="shared" si="135"/>
        <v>0</v>
      </c>
      <c r="L2159" s="5">
        <v>1</v>
      </c>
      <c r="M2159" s="5">
        <v>1</v>
      </c>
      <c r="N2159" t="s">
        <v>9</v>
      </c>
      <c r="O2159" s="8">
        <v>27.772602739726029</v>
      </c>
      <c r="P2159" t="s">
        <v>34</v>
      </c>
      <c r="Q2159">
        <v>3</v>
      </c>
      <c r="R2159" s="2">
        <v>35850</v>
      </c>
    </row>
    <row r="2160" spans="1:18" x14ac:dyDescent="0.3">
      <c r="A2160" t="s">
        <v>7</v>
      </c>
      <c r="B2160">
        <v>18982541</v>
      </c>
      <c r="C2160" t="s">
        <v>8</v>
      </c>
      <c r="D2160" s="4">
        <v>45987</v>
      </c>
      <c r="E2160" s="11">
        <f t="shared" si="132"/>
        <v>2025</v>
      </c>
      <c r="F2160" s="11">
        <f t="shared" si="133"/>
        <v>11</v>
      </c>
      <c r="G2160" s="11" t="str">
        <f t="shared" si="134"/>
        <v>202511</v>
      </c>
      <c r="I2160" s="5">
        <v>9999</v>
      </c>
      <c r="J2160" s="5">
        <v>333.3</v>
      </c>
      <c r="K2160" s="5">
        <f t="shared" si="135"/>
        <v>0</v>
      </c>
      <c r="L2160" s="5">
        <v>0</v>
      </c>
      <c r="M2160" s="5">
        <v>0</v>
      </c>
      <c r="N2160" t="s">
        <v>9</v>
      </c>
      <c r="O2160" s="8">
        <v>19.605479452054794</v>
      </c>
      <c r="P2160" t="s">
        <v>32</v>
      </c>
      <c r="Q2160">
        <v>1</v>
      </c>
      <c r="R2160" s="2">
        <v>38831</v>
      </c>
    </row>
    <row r="2161" spans="1:18" x14ac:dyDescent="0.3">
      <c r="A2161" t="s">
        <v>7</v>
      </c>
      <c r="B2161">
        <v>18982542</v>
      </c>
      <c r="C2161" t="s">
        <v>8</v>
      </c>
      <c r="D2161" s="4">
        <v>45987</v>
      </c>
      <c r="E2161" s="11">
        <f t="shared" si="132"/>
        <v>2025</v>
      </c>
      <c r="F2161" s="11">
        <f t="shared" si="133"/>
        <v>11</v>
      </c>
      <c r="G2161" s="11" t="str">
        <f t="shared" si="134"/>
        <v>202511</v>
      </c>
      <c r="H2161" s="4">
        <v>46153</v>
      </c>
      <c r="I2161" s="5">
        <v>166</v>
      </c>
      <c r="J2161" s="5">
        <v>5.5333333333333332</v>
      </c>
      <c r="K2161" s="5">
        <f t="shared" si="135"/>
        <v>0</v>
      </c>
      <c r="L2161" s="5">
        <v>0</v>
      </c>
      <c r="M2161" s="5">
        <v>1</v>
      </c>
      <c r="N2161" t="s">
        <v>9</v>
      </c>
      <c r="O2161" s="8">
        <v>24.572602739726026</v>
      </c>
      <c r="P2161" t="s">
        <v>33</v>
      </c>
      <c r="Q2161">
        <v>2</v>
      </c>
      <c r="R2161" s="2">
        <v>37018</v>
      </c>
    </row>
    <row r="2162" spans="1:18" x14ac:dyDescent="0.3">
      <c r="A2162" t="s">
        <v>7</v>
      </c>
      <c r="B2162">
        <v>18982555</v>
      </c>
      <c r="C2162" t="s">
        <v>8</v>
      </c>
      <c r="D2162" s="4">
        <v>45987</v>
      </c>
      <c r="E2162" s="11">
        <f t="shared" si="132"/>
        <v>2025</v>
      </c>
      <c r="F2162" s="11">
        <f t="shared" si="133"/>
        <v>11</v>
      </c>
      <c r="G2162" s="11" t="str">
        <f t="shared" si="134"/>
        <v>202511</v>
      </c>
      <c r="I2162" s="5">
        <v>9999</v>
      </c>
      <c r="J2162" s="5">
        <v>333.3</v>
      </c>
      <c r="K2162" s="5">
        <f t="shared" si="135"/>
        <v>0</v>
      </c>
      <c r="L2162" s="5">
        <v>0</v>
      </c>
      <c r="M2162" s="5">
        <v>0</v>
      </c>
      <c r="N2162" t="s">
        <v>9</v>
      </c>
      <c r="O2162" s="8">
        <v>22.769863013698629</v>
      </c>
      <c r="P2162" t="s">
        <v>33</v>
      </c>
      <c r="Q2162">
        <v>2</v>
      </c>
      <c r="R2162" s="2">
        <v>37676</v>
      </c>
    </row>
    <row r="2163" spans="1:18" x14ac:dyDescent="0.3">
      <c r="A2163" t="s">
        <v>7</v>
      </c>
      <c r="B2163">
        <v>18982556</v>
      </c>
      <c r="C2163" t="s">
        <v>8</v>
      </c>
      <c r="D2163" s="4">
        <v>45987</v>
      </c>
      <c r="E2163" s="11">
        <f t="shared" si="132"/>
        <v>2025</v>
      </c>
      <c r="F2163" s="11">
        <f t="shared" si="133"/>
        <v>11</v>
      </c>
      <c r="G2163" s="11" t="str">
        <f t="shared" si="134"/>
        <v>202511</v>
      </c>
      <c r="H2163" s="4">
        <v>46083</v>
      </c>
      <c r="I2163" s="5">
        <v>96</v>
      </c>
      <c r="J2163" s="5">
        <v>3.2</v>
      </c>
      <c r="K2163" s="5">
        <f t="shared" si="135"/>
        <v>0</v>
      </c>
      <c r="L2163" s="5">
        <v>0</v>
      </c>
      <c r="M2163" s="5">
        <v>1</v>
      </c>
      <c r="N2163" t="s">
        <v>9</v>
      </c>
      <c r="O2163" s="8">
        <v>18.545205479452054</v>
      </c>
      <c r="P2163" t="s">
        <v>32</v>
      </c>
      <c r="Q2163">
        <v>1</v>
      </c>
      <c r="R2163" s="2">
        <v>39218</v>
      </c>
    </row>
    <row r="2164" spans="1:18" x14ac:dyDescent="0.3">
      <c r="A2164" t="s">
        <v>7</v>
      </c>
      <c r="B2164">
        <v>18982558</v>
      </c>
      <c r="C2164" t="s">
        <v>8</v>
      </c>
      <c r="D2164" s="4">
        <v>45987</v>
      </c>
      <c r="E2164" s="11">
        <f t="shared" si="132"/>
        <v>2025</v>
      </c>
      <c r="F2164" s="11">
        <f t="shared" si="133"/>
        <v>11</v>
      </c>
      <c r="G2164" s="11" t="str">
        <f t="shared" si="134"/>
        <v>202511</v>
      </c>
      <c r="H2164" s="4">
        <v>46142</v>
      </c>
      <c r="I2164" s="5">
        <v>155</v>
      </c>
      <c r="J2164" s="5">
        <v>5.166666666666667</v>
      </c>
      <c r="K2164" s="5">
        <f t="shared" si="135"/>
        <v>0</v>
      </c>
      <c r="L2164" s="5">
        <v>0</v>
      </c>
      <c r="M2164" s="5">
        <v>1</v>
      </c>
      <c r="N2164" t="s">
        <v>9</v>
      </c>
      <c r="O2164" s="8">
        <v>30.542465753424658</v>
      </c>
      <c r="P2164" t="s">
        <v>34</v>
      </c>
      <c r="Q2164">
        <v>3</v>
      </c>
      <c r="R2164" s="2">
        <v>34839</v>
      </c>
    </row>
    <row r="2165" spans="1:18" x14ac:dyDescent="0.3">
      <c r="A2165" t="s">
        <v>7</v>
      </c>
      <c r="B2165">
        <v>18982559</v>
      </c>
      <c r="C2165" t="s">
        <v>8</v>
      </c>
      <c r="D2165" s="4">
        <v>45987</v>
      </c>
      <c r="E2165" s="11">
        <f t="shared" si="132"/>
        <v>2025</v>
      </c>
      <c r="F2165" s="11">
        <f t="shared" si="133"/>
        <v>11</v>
      </c>
      <c r="G2165" s="11" t="str">
        <f t="shared" si="134"/>
        <v>202511</v>
      </c>
      <c r="H2165" s="4">
        <v>46056</v>
      </c>
      <c r="I2165" s="5">
        <v>69</v>
      </c>
      <c r="J2165" s="5">
        <v>2.2999999999999998</v>
      </c>
      <c r="K2165" s="5">
        <f t="shared" si="135"/>
        <v>0</v>
      </c>
      <c r="L2165" s="5">
        <v>1</v>
      </c>
      <c r="M2165" s="5">
        <v>1</v>
      </c>
      <c r="N2165" t="s">
        <v>9</v>
      </c>
      <c r="O2165" s="8">
        <v>20.230136986301371</v>
      </c>
      <c r="P2165" t="s">
        <v>32</v>
      </c>
      <c r="Q2165">
        <v>1</v>
      </c>
      <c r="R2165" s="2">
        <v>38603</v>
      </c>
    </row>
    <row r="2166" spans="1:18" x14ac:dyDescent="0.3">
      <c r="A2166" t="s">
        <v>7</v>
      </c>
      <c r="B2166">
        <v>18982565</v>
      </c>
      <c r="C2166" t="s">
        <v>10</v>
      </c>
      <c r="D2166" s="4">
        <v>45987</v>
      </c>
      <c r="E2166" s="11">
        <f t="shared" si="132"/>
        <v>2025</v>
      </c>
      <c r="F2166" s="11">
        <f t="shared" si="133"/>
        <v>11</v>
      </c>
      <c r="G2166" s="11" t="str">
        <f t="shared" si="134"/>
        <v>202511</v>
      </c>
      <c r="I2166" s="5">
        <v>9999</v>
      </c>
      <c r="J2166" s="5">
        <v>333.3</v>
      </c>
      <c r="K2166" s="5">
        <f t="shared" si="135"/>
        <v>0</v>
      </c>
      <c r="L2166" s="5">
        <v>0</v>
      </c>
      <c r="M2166" s="5">
        <v>0</v>
      </c>
      <c r="N2166" t="s">
        <v>9</v>
      </c>
      <c r="O2166" s="8">
        <v>18.890410958904109</v>
      </c>
      <c r="P2166" t="s">
        <v>32</v>
      </c>
      <c r="Q2166">
        <v>1</v>
      </c>
      <c r="R2166" s="2">
        <v>39092</v>
      </c>
    </row>
    <row r="2167" spans="1:18" x14ac:dyDescent="0.3">
      <c r="A2167" t="s">
        <v>7</v>
      </c>
      <c r="B2167">
        <v>18982568</v>
      </c>
      <c r="C2167" t="s">
        <v>8</v>
      </c>
      <c r="D2167" s="4">
        <v>45987</v>
      </c>
      <c r="E2167" s="11">
        <f t="shared" si="132"/>
        <v>2025</v>
      </c>
      <c r="F2167" s="11">
        <f t="shared" si="133"/>
        <v>11</v>
      </c>
      <c r="G2167" s="11" t="str">
        <f t="shared" si="134"/>
        <v>202511</v>
      </c>
      <c r="I2167" s="5">
        <v>9999</v>
      </c>
      <c r="J2167" s="5">
        <v>333.3</v>
      </c>
      <c r="K2167" s="5">
        <f t="shared" si="135"/>
        <v>0</v>
      </c>
      <c r="L2167" s="5">
        <v>0</v>
      </c>
      <c r="M2167" s="5">
        <v>0</v>
      </c>
      <c r="N2167" t="s">
        <v>9</v>
      </c>
      <c r="O2167" s="8">
        <v>18.038356164383561</v>
      </c>
      <c r="P2167" t="s">
        <v>32</v>
      </c>
      <c r="Q2167">
        <v>1</v>
      </c>
      <c r="R2167" s="2">
        <v>39403</v>
      </c>
    </row>
    <row r="2168" spans="1:18" x14ac:dyDescent="0.3">
      <c r="A2168" t="s">
        <v>7</v>
      </c>
      <c r="B2168">
        <v>18982570</v>
      </c>
      <c r="C2168" t="s">
        <v>8</v>
      </c>
      <c r="D2168" s="4">
        <v>45987</v>
      </c>
      <c r="E2168" s="11">
        <f t="shared" si="132"/>
        <v>2025</v>
      </c>
      <c r="F2168" s="11">
        <f t="shared" si="133"/>
        <v>11</v>
      </c>
      <c r="G2168" s="11" t="str">
        <f t="shared" si="134"/>
        <v>202511</v>
      </c>
      <c r="H2168" s="4">
        <v>46130</v>
      </c>
      <c r="I2168" s="5">
        <v>143</v>
      </c>
      <c r="J2168" s="5">
        <v>4.7666666666666666</v>
      </c>
      <c r="K2168" s="5">
        <f t="shared" si="135"/>
        <v>0</v>
      </c>
      <c r="L2168" s="5">
        <v>0</v>
      </c>
      <c r="M2168" s="5">
        <v>1</v>
      </c>
      <c r="N2168" t="s">
        <v>12</v>
      </c>
      <c r="O2168" s="8">
        <v>25.863013698630137</v>
      </c>
      <c r="P2168" t="s">
        <v>33</v>
      </c>
      <c r="Q2168">
        <v>2</v>
      </c>
      <c r="R2168" s="2">
        <v>36547</v>
      </c>
    </row>
    <row r="2169" spans="1:18" x14ac:dyDescent="0.3">
      <c r="A2169" t="s">
        <v>11</v>
      </c>
      <c r="B2169">
        <v>18982593</v>
      </c>
      <c r="C2169" t="s">
        <v>8</v>
      </c>
      <c r="D2169" s="4">
        <v>45987</v>
      </c>
      <c r="E2169" s="11">
        <f t="shared" si="132"/>
        <v>2025</v>
      </c>
      <c r="F2169" s="11">
        <f t="shared" si="133"/>
        <v>11</v>
      </c>
      <c r="G2169" s="11" t="str">
        <f t="shared" si="134"/>
        <v>202511</v>
      </c>
      <c r="H2169" s="4">
        <v>46069</v>
      </c>
      <c r="I2169" s="5">
        <v>82</v>
      </c>
      <c r="J2169" s="5">
        <v>2.7333333333333334</v>
      </c>
      <c r="K2169" s="5">
        <f t="shared" si="135"/>
        <v>0</v>
      </c>
      <c r="L2169" s="5">
        <v>1</v>
      </c>
      <c r="M2169" s="5">
        <v>1</v>
      </c>
      <c r="N2169" t="s">
        <v>12</v>
      </c>
      <c r="O2169" s="8">
        <v>35.509589041095893</v>
      </c>
      <c r="P2169" t="s">
        <v>35</v>
      </c>
      <c r="Q2169">
        <v>4</v>
      </c>
      <c r="R2169" s="2">
        <v>33026</v>
      </c>
    </row>
    <row r="2170" spans="1:18" x14ac:dyDescent="0.3">
      <c r="A2170" t="s">
        <v>7</v>
      </c>
      <c r="B2170">
        <v>18982686</v>
      </c>
      <c r="C2170" t="s">
        <v>10</v>
      </c>
      <c r="D2170" s="4">
        <v>45987</v>
      </c>
      <c r="E2170" s="11">
        <f t="shared" si="132"/>
        <v>2025</v>
      </c>
      <c r="F2170" s="11">
        <f t="shared" si="133"/>
        <v>11</v>
      </c>
      <c r="G2170" s="11" t="str">
        <f t="shared" si="134"/>
        <v>202511</v>
      </c>
      <c r="H2170" s="4">
        <v>46089</v>
      </c>
      <c r="I2170" s="5">
        <v>102</v>
      </c>
      <c r="J2170" s="5">
        <v>3.4</v>
      </c>
      <c r="K2170" s="5">
        <f t="shared" si="135"/>
        <v>0</v>
      </c>
      <c r="L2170" s="5">
        <v>0</v>
      </c>
      <c r="M2170" s="5">
        <v>1</v>
      </c>
      <c r="N2170" t="s">
        <v>9</v>
      </c>
      <c r="O2170" s="8">
        <v>19.246575342465754</v>
      </c>
      <c r="P2170" t="s">
        <v>32</v>
      </c>
      <c r="Q2170">
        <v>1</v>
      </c>
      <c r="R2170" s="2">
        <v>38962</v>
      </c>
    </row>
    <row r="2171" spans="1:18" x14ac:dyDescent="0.3">
      <c r="A2171" t="s">
        <v>7</v>
      </c>
      <c r="B2171">
        <v>18982704</v>
      </c>
      <c r="C2171" t="s">
        <v>8</v>
      </c>
      <c r="D2171" s="4">
        <v>45987</v>
      </c>
      <c r="E2171" s="11">
        <f t="shared" si="132"/>
        <v>2025</v>
      </c>
      <c r="F2171" s="11">
        <f t="shared" si="133"/>
        <v>11</v>
      </c>
      <c r="G2171" s="11" t="str">
        <f t="shared" si="134"/>
        <v>202511</v>
      </c>
      <c r="I2171" s="5">
        <v>9999</v>
      </c>
      <c r="J2171" s="5">
        <v>333.3</v>
      </c>
      <c r="K2171" s="5">
        <f t="shared" si="135"/>
        <v>0</v>
      </c>
      <c r="L2171" s="5">
        <v>0</v>
      </c>
      <c r="M2171" s="5">
        <v>0</v>
      </c>
      <c r="N2171" t="s">
        <v>12</v>
      </c>
      <c r="O2171" s="8">
        <v>24.271232876712329</v>
      </c>
      <c r="P2171" t="s">
        <v>33</v>
      </c>
      <c r="Q2171">
        <v>2</v>
      </c>
      <c r="R2171" s="2">
        <v>37128</v>
      </c>
    </row>
    <row r="2172" spans="1:18" x14ac:dyDescent="0.3">
      <c r="A2172" t="s">
        <v>7</v>
      </c>
      <c r="B2172">
        <v>18982809</v>
      </c>
      <c r="C2172" t="s">
        <v>8</v>
      </c>
      <c r="D2172" s="4">
        <v>45988</v>
      </c>
      <c r="E2172" s="11">
        <f t="shared" si="132"/>
        <v>2025</v>
      </c>
      <c r="F2172" s="11">
        <f t="shared" si="133"/>
        <v>11</v>
      </c>
      <c r="G2172" s="11" t="str">
        <f t="shared" si="134"/>
        <v>202511</v>
      </c>
      <c r="H2172" s="4">
        <v>46082</v>
      </c>
      <c r="I2172" s="5">
        <v>94</v>
      </c>
      <c r="J2172" s="5">
        <v>3.1333333333333333</v>
      </c>
      <c r="K2172" s="5">
        <f t="shared" si="135"/>
        <v>0</v>
      </c>
      <c r="L2172" s="5">
        <v>0</v>
      </c>
      <c r="M2172" s="5">
        <v>1</v>
      </c>
      <c r="N2172" t="s">
        <v>9</v>
      </c>
      <c r="O2172" s="8">
        <v>20.55890410958904</v>
      </c>
      <c r="P2172" t="s">
        <v>32</v>
      </c>
      <c r="Q2172">
        <v>1</v>
      </c>
      <c r="R2172" s="2">
        <v>38484</v>
      </c>
    </row>
    <row r="2173" spans="1:18" x14ac:dyDescent="0.3">
      <c r="A2173" t="s">
        <v>7</v>
      </c>
      <c r="B2173">
        <v>18982821</v>
      </c>
      <c r="C2173" t="s">
        <v>10</v>
      </c>
      <c r="D2173" s="4">
        <v>45988</v>
      </c>
      <c r="E2173" s="11">
        <f t="shared" si="132"/>
        <v>2025</v>
      </c>
      <c r="F2173" s="11">
        <f t="shared" si="133"/>
        <v>11</v>
      </c>
      <c r="G2173" s="11" t="str">
        <f t="shared" si="134"/>
        <v>202511</v>
      </c>
      <c r="H2173" s="4">
        <v>46157</v>
      </c>
      <c r="I2173" s="5">
        <v>169</v>
      </c>
      <c r="J2173" s="5">
        <v>5.6333333333333337</v>
      </c>
      <c r="K2173" s="5">
        <f t="shared" si="135"/>
        <v>0</v>
      </c>
      <c r="L2173" s="5">
        <v>0</v>
      </c>
      <c r="M2173" s="5">
        <v>1</v>
      </c>
      <c r="N2173" t="s">
        <v>12</v>
      </c>
      <c r="O2173" s="8">
        <v>21.838356164383562</v>
      </c>
      <c r="P2173" t="s">
        <v>33</v>
      </c>
      <c r="Q2173">
        <v>2</v>
      </c>
      <c r="R2173" s="2">
        <v>38017</v>
      </c>
    </row>
    <row r="2174" spans="1:18" x14ac:dyDescent="0.3">
      <c r="A2174" t="s">
        <v>7</v>
      </c>
      <c r="B2174">
        <v>18982822</v>
      </c>
      <c r="C2174" t="s">
        <v>10</v>
      </c>
      <c r="D2174" s="4">
        <v>45988</v>
      </c>
      <c r="E2174" s="11">
        <f t="shared" si="132"/>
        <v>2025</v>
      </c>
      <c r="F2174" s="11">
        <f t="shared" si="133"/>
        <v>11</v>
      </c>
      <c r="G2174" s="11" t="str">
        <f t="shared" si="134"/>
        <v>202511</v>
      </c>
      <c r="I2174" s="5">
        <v>9999</v>
      </c>
      <c r="J2174" s="5">
        <v>333.3</v>
      </c>
      <c r="K2174" s="5">
        <f t="shared" si="135"/>
        <v>0</v>
      </c>
      <c r="L2174" s="5">
        <v>0</v>
      </c>
      <c r="M2174" s="5">
        <v>0</v>
      </c>
      <c r="N2174" t="s">
        <v>12</v>
      </c>
      <c r="O2174" s="8">
        <v>20.169863013698631</v>
      </c>
      <c r="P2174" t="s">
        <v>32</v>
      </c>
      <c r="Q2174">
        <v>1</v>
      </c>
      <c r="R2174" s="2">
        <v>38626</v>
      </c>
    </row>
    <row r="2175" spans="1:18" x14ac:dyDescent="0.3">
      <c r="A2175" t="s">
        <v>7</v>
      </c>
      <c r="B2175">
        <v>18982825</v>
      </c>
      <c r="C2175" t="s">
        <v>10</v>
      </c>
      <c r="D2175" s="4">
        <v>45988</v>
      </c>
      <c r="E2175" s="11">
        <f t="shared" si="132"/>
        <v>2025</v>
      </c>
      <c r="F2175" s="11">
        <f t="shared" si="133"/>
        <v>11</v>
      </c>
      <c r="G2175" s="11" t="str">
        <f t="shared" si="134"/>
        <v>202511</v>
      </c>
      <c r="H2175" s="4">
        <v>46173</v>
      </c>
      <c r="I2175" s="5">
        <v>185</v>
      </c>
      <c r="J2175" s="5">
        <v>6.166666666666667</v>
      </c>
      <c r="K2175" s="5">
        <f t="shared" si="135"/>
        <v>0</v>
      </c>
      <c r="L2175" s="5">
        <v>0</v>
      </c>
      <c r="M2175" s="5">
        <v>0</v>
      </c>
      <c r="N2175" t="s">
        <v>9</v>
      </c>
      <c r="O2175" s="8">
        <v>21.802739726027397</v>
      </c>
      <c r="P2175" t="s">
        <v>33</v>
      </c>
      <c r="Q2175">
        <v>2</v>
      </c>
      <c r="R2175" s="2">
        <v>38030</v>
      </c>
    </row>
    <row r="2176" spans="1:18" x14ac:dyDescent="0.3">
      <c r="A2176" t="s">
        <v>7</v>
      </c>
      <c r="B2176">
        <v>18982839</v>
      </c>
      <c r="C2176" t="s">
        <v>8</v>
      </c>
      <c r="D2176" s="4">
        <v>45988</v>
      </c>
      <c r="E2176" s="11">
        <f t="shared" si="132"/>
        <v>2025</v>
      </c>
      <c r="F2176" s="11">
        <f t="shared" si="133"/>
        <v>11</v>
      </c>
      <c r="G2176" s="11" t="str">
        <f t="shared" si="134"/>
        <v>202511</v>
      </c>
      <c r="H2176" s="4">
        <v>46142</v>
      </c>
      <c r="I2176" s="5">
        <v>154</v>
      </c>
      <c r="J2176" s="5">
        <v>5.1333333333333337</v>
      </c>
      <c r="K2176" s="5">
        <f t="shared" si="135"/>
        <v>0</v>
      </c>
      <c r="L2176" s="5">
        <v>0</v>
      </c>
      <c r="M2176" s="5">
        <v>1</v>
      </c>
      <c r="N2176" t="s">
        <v>9</v>
      </c>
      <c r="O2176" s="8">
        <v>18.682191780821917</v>
      </c>
      <c r="P2176" t="s">
        <v>32</v>
      </c>
      <c r="Q2176">
        <v>1</v>
      </c>
      <c r="R2176" s="2">
        <v>39169</v>
      </c>
    </row>
    <row r="2177" spans="1:18" x14ac:dyDescent="0.3">
      <c r="A2177" t="s">
        <v>7</v>
      </c>
      <c r="B2177">
        <v>18982842</v>
      </c>
      <c r="C2177" t="s">
        <v>8</v>
      </c>
      <c r="D2177" s="4">
        <v>45988</v>
      </c>
      <c r="E2177" s="11">
        <f t="shared" si="132"/>
        <v>2025</v>
      </c>
      <c r="F2177" s="11">
        <f t="shared" si="133"/>
        <v>11</v>
      </c>
      <c r="G2177" s="11" t="str">
        <f t="shared" si="134"/>
        <v>202511</v>
      </c>
      <c r="I2177" s="5">
        <v>9999</v>
      </c>
      <c r="J2177" s="5">
        <v>333.3</v>
      </c>
      <c r="K2177" s="5">
        <f t="shared" si="135"/>
        <v>0</v>
      </c>
      <c r="L2177" s="5">
        <v>0</v>
      </c>
      <c r="M2177" s="5">
        <v>0</v>
      </c>
      <c r="N2177" t="s">
        <v>9</v>
      </c>
      <c r="O2177" s="8">
        <v>27.306849315068494</v>
      </c>
      <c r="P2177" t="s">
        <v>34</v>
      </c>
      <c r="Q2177">
        <v>3</v>
      </c>
      <c r="R2177" s="2">
        <v>36021</v>
      </c>
    </row>
    <row r="2178" spans="1:18" x14ac:dyDescent="0.3">
      <c r="A2178" t="s">
        <v>7</v>
      </c>
      <c r="B2178">
        <v>18982892</v>
      </c>
      <c r="C2178" t="s">
        <v>10</v>
      </c>
      <c r="D2178" s="4">
        <v>45988</v>
      </c>
      <c r="E2178" s="11">
        <f t="shared" si="132"/>
        <v>2025</v>
      </c>
      <c r="F2178" s="11">
        <f t="shared" si="133"/>
        <v>11</v>
      </c>
      <c r="G2178" s="11" t="str">
        <f t="shared" si="134"/>
        <v>202511</v>
      </c>
      <c r="I2178" s="5">
        <v>9999</v>
      </c>
      <c r="J2178" s="5">
        <v>333.3</v>
      </c>
      <c r="K2178" s="5">
        <f t="shared" si="135"/>
        <v>0</v>
      </c>
      <c r="L2178" s="5">
        <v>0</v>
      </c>
      <c r="M2178" s="5">
        <v>0</v>
      </c>
      <c r="N2178" t="s">
        <v>9</v>
      </c>
      <c r="O2178" s="8">
        <v>19.043835616438358</v>
      </c>
      <c r="P2178" t="s">
        <v>32</v>
      </c>
      <c r="Q2178">
        <v>1</v>
      </c>
      <c r="R2178" s="2">
        <v>39037</v>
      </c>
    </row>
    <row r="2179" spans="1:18" x14ac:dyDescent="0.3">
      <c r="A2179" t="s">
        <v>7</v>
      </c>
      <c r="B2179">
        <v>18982918</v>
      </c>
      <c r="C2179" t="s">
        <v>10</v>
      </c>
      <c r="D2179" s="4">
        <v>45988</v>
      </c>
      <c r="E2179" s="11">
        <f t="shared" ref="E2179:E2242" si="136">+YEAR(D2179)</f>
        <v>2025</v>
      </c>
      <c r="F2179" s="11">
        <f t="shared" ref="F2179:F2242" si="137">+MONTH(D2179)</f>
        <v>11</v>
      </c>
      <c r="G2179" s="11" t="str">
        <f t="shared" ref="G2179:G2242" si="138">+TEXT(D2179, "yyymm")</f>
        <v>202511</v>
      </c>
      <c r="H2179" s="4">
        <v>46086</v>
      </c>
      <c r="I2179" s="5">
        <v>98</v>
      </c>
      <c r="J2179" s="5">
        <v>3.2666666666666666</v>
      </c>
      <c r="K2179" s="5">
        <f t="shared" ref="K2179:K2242" si="139">IF(J2179&lt;=1,1,0)</f>
        <v>0</v>
      </c>
      <c r="L2179" s="5">
        <v>0</v>
      </c>
      <c r="M2179" s="5">
        <v>1</v>
      </c>
      <c r="N2179" t="s">
        <v>12</v>
      </c>
      <c r="O2179" s="8">
        <v>23.594520547945205</v>
      </c>
      <c r="P2179" t="s">
        <v>33</v>
      </c>
      <c r="Q2179">
        <v>2</v>
      </c>
      <c r="R2179" s="2">
        <v>37376</v>
      </c>
    </row>
    <row r="2180" spans="1:18" x14ac:dyDescent="0.3">
      <c r="A2180" t="s">
        <v>7</v>
      </c>
      <c r="B2180">
        <v>18982962</v>
      </c>
      <c r="C2180" t="s">
        <v>10</v>
      </c>
      <c r="D2180" s="4">
        <v>45989</v>
      </c>
      <c r="E2180" s="11">
        <f t="shared" si="136"/>
        <v>2025</v>
      </c>
      <c r="F2180" s="11">
        <f t="shared" si="137"/>
        <v>11</v>
      </c>
      <c r="G2180" s="11" t="str">
        <f t="shared" si="138"/>
        <v>202511</v>
      </c>
      <c r="H2180" s="4">
        <v>46129</v>
      </c>
      <c r="I2180" s="5">
        <v>140</v>
      </c>
      <c r="J2180" s="5">
        <v>4.666666666666667</v>
      </c>
      <c r="K2180" s="5">
        <f t="shared" si="139"/>
        <v>0</v>
      </c>
      <c r="L2180" s="5">
        <v>0</v>
      </c>
      <c r="M2180" s="5">
        <v>1</v>
      </c>
      <c r="N2180" t="s">
        <v>12</v>
      </c>
      <c r="O2180" s="8">
        <v>23.975342465753425</v>
      </c>
      <c r="P2180" t="s">
        <v>33</v>
      </c>
      <c r="Q2180">
        <v>2</v>
      </c>
      <c r="R2180" s="2">
        <v>37238</v>
      </c>
    </row>
    <row r="2181" spans="1:18" x14ac:dyDescent="0.3">
      <c r="A2181" t="s">
        <v>7</v>
      </c>
      <c r="B2181">
        <v>18982984</v>
      </c>
      <c r="C2181" t="s">
        <v>8</v>
      </c>
      <c r="D2181" s="4">
        <v>45989</v>
      </c>
      <c r="E2181" s="11">
        <f t="shared" si="136"/>
        <v>2025</v>
      </c>
      <c r="F2181" s="11">
        <f t="shared" si="137"/>
        <v>11</v>
      </c>
      <c r="G2181" s="11" t="str">
        <f t="shared" si="138"/>
        <v>202511</v>
      </c>
      <c r="I2181" s="5">
        <v>9999</v>
      </c>
      <c r="J2181" s="5">
        <v>333.3</v>
      </c>
      <c r="K2181" s="5">
        <f t="shared" si="139"/>
        <v>0</v>
      </c>
      <c r="L2181" s="5">
        <v>0</v>
      </c>
      <c r="M2181" s="5">
        <v>0</v>
      </c>
      <c r="N2181" t="s">
        <v>12</v>
      </c>
      <c r="O2181" s="8">
        <v>28.578082191780823</v>
      </c>
      <c r="P2181" t="s">
        <v>34</v>
      </c>
      <c r="Q2181">
        <v>3</v>
      </c>
      <c r="R2181" s="2">
        <v>35558</v>
      </c>
    </row>
    <row r="2182" spans="1:18" x14ac:dyDescent="0.3">
      <c r="A2182" t="s">
        <v>7</v>
      </c>
      <c r="B2182">
        <v>18982985</v>
      </c>
      <c r="C2182" t="s">
        <v>8</v>
      </c>
      <c r="D2182" s="4">
        <v>45989</v>
      </c>
      <c r="E2182" s="11">
        <f t="shared" si="136"/>
        <v>2025</v>
      </c>
      <c r="F2182" s="11">
        <f t="shared" si="137"/>
        <v>11</v>
      </c>
      <c r="G2182" s="11" t="str">
        <f t="shared" si="138"/>
        <v>202511</v>
      </c>
      <c r="H2182" s="4">
        <v>46147</v>
      </c>
      <c r="I2182" s="5">
        <v>158</v>
      </c>
      <c r="J2182" s="5">
        <v>5.2666666666666666</v>
      </c>
      <c r="K2182" s="5">
        <f t="shared" si="139"/>
        <v>0</v>
      </c>
      <c r="L2182" s="5">
        <v>0</v>
      </c>
      <c r="M2182" s="5">
        <v>1</v>
      </c>
      <c r="N2182" t="s">
        <v>9</v>
      </c>
      <c r="O2182" s="8">
        <v>23.457534246575342</v>
      </c>
      <c r="P2182" t="s">
        <v>33</v>
      </c>
      <c r="Q2182">
        <v>2</v>
      </c>
      <c r="R2182" s="2">
        <v>37427</v>
      </c>
    </row>
    <row r="2183" spans="1:18" x14ac:dyDescent="0.3">
      <c r="A2183" t="s">
        <v>7</v>
      </c>
      <c r="B2183">
        <v>18982986</v>
      </c>
      <c r="C2183" t="s">
        <v>8</v>
      </c>
      <c r="D2183" s="4">
        <v>45989</v>
      </c>
      <c r="E2183" s="11">
        <f t="shared" si="136"/>
        <v>2025</v>
      </c>
      <c r="F2183" s="11">
        <f t="shared" si="137"/>
        <v>11</v>
      </c>
      <c r="G2183" s="11" t="str">
        <f t="shared" si="138"/>
        <v>202511</v>
      </c>
      <c r="I2183" s="5">
        <v>9999</v>
      </c>
      <c r="J2183" s="5">
        <v>333.3</v>
      </c>
      <c r="K2183" s="5">
        <f t="shared" si="139"/>
        <v>0</v>
      </c>
      <c r="L2183" s="5">
        <v>0</v>
      </c>
      <c r="M2183" s="5">
        <v>0</v>
      </c>
      <c r="N2183" t="s">
        <v>9</v>
      </c>
      <c r="O2183" s="8">
        <v>20.035616438356165</v>
      </c>
      <c r="P2183" t="s">
        <v>32</v>
      </c>
      <c r="Q2183">
        <v>1</v>
      </c>
      <c r="R2183" s="2">
        <v>38676</v>
      </c>
    </row>
    <row r="2184" spans="1:18" x14ac:dyDescent="0.3">
      <c r="A2184" t="s">
        <v>7</v>
      </c>
      <c r="B2184">
        <v>18982987</v>
      </c>
      <c r="C2184" t="s">
        <v>8</v>
      </c>
      <c r="D2184" s="4">
        <v>45989</v>
      </c>
      <c r="E2184" s="11">
        <f t="shared" si="136"/>
        <v>2025</v>
      </c>
      <c r="F2184" s="11">
        <f t="shared" si="137"/>
        <v>11</v>
      </c>
      <c r="G2184" s="11" t="str">
        <f t="shared" si="138"/>
        <v>202511</v>
      </c>
      <c r="I2184" s="5">
        <v>9999</v>
      </c>
      <c r="J2184" s="5">
        <v>333.3</v>
      </c>
      <c r="K2184" s="5">
        <f t="shared" si="139"/>
        <v>0</v>
      </c>
      <c r="L2184" s="5">
        <v>0</v>
      </c>
      <c r="M2184" s="5">
        <v>0</v>
      </c>
      <c r="N2184" t="s">
        <v>9</v>
      </c>
      <c r="O2184" s="8">
        <v>33.980821917808221</v>
      </c>
      <c r="P2184" t="s">
        <v>35</v>
      </c>
      <c r="Q2184">
        <v>4</v>
      </c>
      <c r="R2184" s="2">
        <v>33586</v>
      </c>
    </row>
    <row r="2185" spans="1:18" x14ac:dyDescent="0.3">
      <c r="A2185" t="s">
        <v>7</v>
      </c>
      <c r="B2185">
        <v>18983008</v>
      </c>
      <c r="C2185" t="s">
        <v>8</v>
      </c>
      <c r="D2185" s="4">
        <v>45989</v>
      </c>
      <c r="E2185" s="11">
        <f t="shared" si="136"/>
        <v>2025</v>
      </c>
      <c r="F2185" s="11">
        <f t="shared" si="137"/>
        <v>11</v>
      </c>
      <c r="G2185" s="11" t="str">
        <f t="shared" si="138"/>
        <v>202511</v>
      </c>
      <c r="H2185" s="4">
        <v>46082</v>
      </c>
      <c r="I2185" s="5">
        <v>93</v>
      </c>
      <c r="J2185" s="5">
        <v>3.1</v>
      </c>
      <c r="K2185" s="5">
        <f t="shared" si="139"/>
        <v>0</v>
      </c>
      <c r="L2185" s="5">
        <v>0</v>
      </c>
      <c r="M2185" s="5">
        <v>1</v>
      </c>
      <c r="N2185" t="s">
        <v>9</v>
      </c>
      <c r="O2185" s="8">
        <v>19.153424657534245</v>
      </c>
      <c r="P2185" t="s">
        <v>32</v>
      </c>
      <c r="Q2185">
        <v>1</v>
      </c>
      <c r="R2185" s="2">
        <v>38998</v>
      </c>
    </row>
    <row r="2186" spans="1:18" x14ac:dyDescent="0.3">
      <c r="A2186" t="s">
        <v>7</v>
      </c>
      <c r="B2186">
        <v>18983009</v>
      </c>
      <c r="C2186" t="s">
        <v>8</v>
      </c>
      <c r="D2186" s="4">
        <v>45989</v>
      </c>
      <c r="E2186" s="11">
        <f t="shared" si="136"/>
        <v>2025</v>
      </c>
      <c r="F2186" s="11">
        <f t="shared" si="137"/>
        <v>11</v>
      </c>
      <c r="G2186" s="11" t="str">
        <f t="shared" si="138"/>
        <v>202511</v>
      </c>
      <c r="I2186" s="5">
        <v>9999</v>
      </c>
      <c r="J2186" s="5">
        <v>333.3</v>
      </c>
      <c r="K2186" s="5">
        <f t="shared" si="139"/>
        <v>0</v>
      </c>
      <c r="L2186" s="5">
        <v>0</v>
      </c>
      <c r="M2186" s="5">
        <v>0</v>
      </c>
      <c r="N2186" t="s">
        <v>9</v>
      </c>
      <c r="O2186" s="8">
        <v>25.323287671232876</v>
      </c>
      <c r="P2186" t="s">
        <v>33</v>
      </c>
      <c r="Q2186">
        <v>2</v>
      </c>
      <c r="R2186" s="2">
        <v>36746</v>
      </c>
    </row>
    <row r="2187" spans="1:18" x14ac:dyDescent="0.3">
      <c r="A2187" t="s">
        <v>7</v>
      </c>
      <c r="B2187">
        <v>18983011</v>
      </c>
      <c r="C2187" t="s">
        <v>8</v>
      </c>
      <c r="D2187" s="4">
        <v>45989</v>
      </c>
      <c r="E2187" s="11">
        <f t="shared" si="136"/>
        <v>2025</v>
      </c>
      <c r="F2187" s="11">
        <f t="shared" si="137"/>
        <v>11</v>
      </c>
      <c r="G2187" s="11" t="str">
        <f t="shared" si="138"/>
        <v>202511</v>
      </c>
      <c r="H2187" s="4">
        <v>46112</v>
      </c>
      <c r="I2187" s="5">
        <v>123</v>
      </c>
      <c r="J2187" s="5">
        <v>4.0999999999999996</v>
      </c>
      <c r="K2187" s="5">
        <f t="shared" si="139"/>
        <v>0</v>
      </c>
      <c r="L2187" s="5">
        <v>0</v>
      </c>
      <c r="M2187" s="5">
        <v>1</v>
      </c>
      <c r="N2187" t="s">
        <v>9</v>
      </c>
      <c r="O2187" s="8">
        <v>18.076712328767123</v>
      </c>
      <c r="P2187" t="s">
        <v>32</v>
      </c>
      <c r="Q2187">
        <v>1</v>
      </c>
      <c r="R2187" s="2">
        <v>39391</v>
      </c>
    </row>
    <row r="2188" spans="1:18" x14ac:dyDescent="0.3">
      <c r="A2188" t="s">
        <v>7</v>
      </c>
      <c r="B2188">
        <v>18983012</v>
      </c>
      <c r="C2188" t="s">
        <v>8</v>
      </c>
      <c r="D2188" s="4">
        <v>45989</v>
      </c>
      <c r="E2188" s="11">
        <f t="shared" si="136"/>
        <v>2025</v>
      </c>
      <c r="F2188" s="11">
        <f t="shared" si="137"/>
        <v>11</v>
      </c>
      <c r="G2188" s="11" t="str">
        <f t="shared" si="138"/>
        <v>202511</v>
      </c>
      <c r="I2188" s="5">
        <v>9999</v>
      </c>
      <c r="J2188" s="5">
        <v>333.3</v>
      </c>
      <c r="K2188" s="5">
        <f t="shared" si="139"/>
        <v>0</v>
      </c>
      <c r="L2188" s="5">
        <v>0</v>
      </c>
      <c r="M2188" s="5">
        <v>0</v>
      </c>
      <c r="N2188" t="s">
        <v>9</v>
      </c>
      <c r="O2188" s="8">
        <v>18.624657534246577</v>
      </c>
      <c r="P2188" t="s">
        <v>32</v>
      </c>
      <c r="Q2188">
        <v>1</v>
      </c>
      <c r="R2188" s="2">
        <v>39191</v>
      </c>
    </row>
    <row r="2189" spans="1:18" x14ac:dyDescent="0.3">
      <c r="A2189" t="s">
        <v>7</v>
      </c>
      <c r="B2189">
        <v>18983013</v>
      </c>
      <c r="C2189" t="s">
        <v>10</v>
      </c>
      <c r="D2189" s="4">
        <v>45989</v>
      </c>
      <c r="E2189" s="11">
        <f t="shared" si="136"/>
        <v>2025</v>
      </c>
      <c r="F2189" s="11">
        <f t="shared" si="137"/>
        <v>11</v>
      </c>
      <c r="G2189" s="11" t="str">
        <f t="shared" si="138"/>
        <v>202511</v>
      </c>
      <c r="I2189" s="5">
        <v>9999</v>
      </c>
      <c r="J2189" s="5">
        <v>333.3</v>
      </c>
      <c r="K2189" s="5">
        <f t="shared" si="139"/>
        <v>0</v>
      </c>
      <c r="L2189" s="5">
        <v>0</v>
      </c>
      <c r="M2189" s="5">
        <v>0</v>
      </c>
      <c r="N2189" t="s">
        <v>9</v>
      </c>
      <c r="O2189" s="8">
        <v>32.331506849315069</v>
      </c>
      <c r="P2189" t="s">
        <v>35</v>
      </c>
      <c r="Q2189">
        <v>4</v>
      </c>
      <c r="R2189" s="2">
        <v>34188</v>
      </c>
    </row>
    <row r="2190" spans="1:18" x14ac:dyDescent="0.3">
      <c r="A2190" t="s">
        <v>7</v>
      </c>
      <c r="B2190">
        <v>18983016</v>
      </c>
      <c r="C2190" t="s">
        <v>8</v>
      </c>
      <c r="D2190" s="4">
        <v>45989</v>
      </c>
      <c r="E2190" s="11">
        <f t="shared" si="136"/>
        <v>2025</v>
      </c>
      <c r="F2190" s="11">
        <f t="shared" si="137"/>
        <v>11</v>
      </c>
      <c r="G2190" s="11" t="str">
        <f t="shared" si="138"/>
        <v>202511</v>
      </c>
      <c r="H2190" s="4">
        <v>46068</v>
      </c>
      <c r="I2190" s="5">
        <v>79</v>
      </c>
      <c r="J2190" s="5">
        <v>2.6333333333333333</v>
      </c>
      <c r="K2190" s="5">
        <f t="shared" si="139"/>
        <v>0</v>
      </c>
      <c r="L2190" s="5">
        <v>1</v>
      </c>
      <c r="M2190" s="5">
        <v>1</v>
      </c>
      <c r="N2190" t="s">
        <v>9</v>
      </c>
      <c r="O2190" s="8">
        <v>24.43013698630137</v>
      </c>
      <c r="P2190" t="s">
        <v>33</v>
      </c>
      <c r="Q2190">
        <v>2</v>
      </c>
      <c r="R2190" s="2">
        <v>37072</v>
      </c>
    </row>
    <row r="2191" spans="1:18" x14ac:dyDescent="0.3">
      <c r="A2191" t="s">
        <v>7</v>
      </c>
      <c r="B2191">
        <v>18983017</v>
      </c>
      <c r="C2191" t="s">
        <v>8</v>
      </c>
      <c r="D2191" s="4">
        <v>45989</v>
      </c>
      <c r="E2191" s="11">
        <f t="shared" si="136"/>
        <v>2025</v>
      </c>
      <c r="F2191" s="11">
        <f t="shared" si="137"/>
        <v>11</v>
      </c>
      <c r="G2191" s="11" t="str">
        <f t="shared" si="138"/>
        <v>202511</v>
      </c>
      <c r="H2191" s="4">
        <v>46054</v>
      </c>
      <c r="I2191" s="5">
        <v>65</v>
      </c>
      <c r="J2191" s="5">
        <v>2.1666666666666665</v>
      </c>
      <c r="K2191" s="5">
        <f t="shared" si="139"/>
        <v>0</v>
      </c>
      <c r="L2191" s="5">
        <v>1</v>
      </c>
      <c r="M2191" s="5">
        <v>1</v>
      </c>
      <c r="N2191" t="s">
        <v>9</v>
      </c>
      <c r="O2191" s="8">
        <v>27.465753424657535</v>
      </c>
      <c r="P2191" t="s">
        <v>34</v>
      </c>
      <c r="Q2191">
        <v>3</v>
      </c>
      <c r="R2191" s="2">
        <v>35964</v>
      </c>
    </row>
    <row r="2192" spans="1:18" x14ac:dyDescent="0.3">
      <c r="A2192" t="s">
        <v>7</v>
      </c>
      <c r="B2192">
        <v>18983020</v>
      </c>
      <c r="C2192" t="s">
        <v>8</v>
      </c>
      <c r="D2192" s="4">
        <v>45989</v>
      </c>
      <c r="E2192" s="11">
        <f t="shared" si="136"/>
        <v>2025</v>
      </c>
      <c r="F2192" s="11">
        <f t="shared" si="137"/>
        <v>11</v>
      </c>
      <c r="G2192" s="11" t="str">
        <f t="shared" si="138"/>
        <v>202511</v>
      </c>
      <c r="I2192" s="5">
        <v>9999</v>
      </c>
      <c r="J2192" s="5">
        <v>333.3</v>
      </c>
      <c r="K2192" s="5">
        <f t="shared" si="139"/>
        <v>0</v>
      </c>
      <c r="L2192" s="5">
        <v>0</v>
      </c>
      <c r="M2192" s="5">
        <v>0</v>
      </c>
      <c r="N2192" t="s">
        <v>9</v>
      </c>
      <c r="O2192" s="8">
        <v>18.983561643835618</v>
      </c>
      <c r="P2192" t="s">
        <v>32</v>
      </c>
      <c r="Q2192">
        <v>1</v>
      </c>
      <c r="R2192" s="2">
        <v>39060</v>
      </c>
    </row>
    <row r="2193" spans="1:18" x14ac:dyDescent="0.3">
      <c r="A2193" t="s">
        <v>7</v>
      </c>
      <c r="B2193">
        <v>18983042</v>
      </c>
      <c r="C2193" t="s">
        <v>10</v>
      </c>
      <c r="D2193" s="4">
        <v>45989</v>
      </c>
      <c r="E2193" s="11">
        <f t="shared" si="136"/>
        <v>2025</v>
      </c>
      <c r="F2193" s="11">
        <f t="shared" si="137"/>
        <v>11</v>
      </c>
      <c r="G2193" s="11" t="str">
        <f t="shared" si="138"/>
        <v>202511</v>
      </c>
      <c r="I2193" s="5">
        <v>9999</v>
      </c>
      <c r="J2193" s="5">
        <v>333.3</v>
      </c>
      <c r="K2193" s="5">
        <f t="shared" si="139"/>
        <v>0</v>
      </c>
      <c r="L2193" s="5">
        <v>0</v>
      </c>
      <c r="M2193" s="5">
        <v>0</v>
      </c>
      <c r="N2193" t="s">
        <v>9</v>
      </c>
      <c r="O2193" s="8">
        <v>22.854794520547944</v>
      </c>
      <c r="P2193" t="s">
        <v>33</v>
      </c>
      <c r="Q2193">
        <v>2</v>
      </c>
      <c r="R2193" s="2">
        <v>37647</v>
      </c>
    </row>
    <row r="2194" spans="1:18" x14ac:dyDescent="0.3">
      <c r="A2194" t="s">
        <v>7</v>
      </c>
      <c r="B2194">
        <v>18983043</v>
      </c>
      <c r="C2194" t="s">
        <v>8</v>
      </c>
      <c r="D2194" s="4">
        <v>45989</v>
      </c>
      <c r="E2194" s="11">
        <f t="shared" si="136"/>
        <v>2025</v>
      </c>
      <c r="F2194" s="11">
        <f t="shared" si="137"/>
        <v>11</v>
      </c>
      <c r="G2194" s="11" t="str">
        <f t="shared" si="138"/>
        <v>202511</v>
      </c>
      <c r="I2194" s="5">
        <v>9999</v>
      </c>
      <c r="J2194" s="5">
        <v>333.3</v>
      </c>
      <c r="K2194" s="5">
        <f t="shared" si="139"/>
        <v>0</v>
      </c>
      <c r="L2194" s="5">
        <v>0</v>
      </c>
      <c r="M2194" s="5">
        <v>0</v>
      </c>
      <c r="N2194" t="s">
        <v>9</v>
      </c>
      <c r="O2194" s="8">
        <v>19.75068493150685</v>
      </c>
      <c r="P2194" t="s">
        <v>32</v>
      </c>
      <c r="Q2194">
        <v>1</v>
      </c>
      <c r="R2194" s="2">
        <v>38780</v>
      </c>
    </row>
    <row r="2195" spans="1:18" x14ac:dyDescent="0.3">
      <c r="A2195" t="s">
        <v>7</v>
      </c>
      <c r="B2195">
        <v>18983056</v>
      </c>
      <c r="C2195" t="s">
        <v>8</v>
      </c>
      <c r="D2195" s="4">
        <v>45989</v>
      </c>
      <c r="E2195" s="11">
        <f t="shared" si="136"/>
        <v>2025</v>
      </c>
      <c r="F2195" s="11">
        <f t="shared" si="137"/>
        <v>11</v>
      </c>
      <c r="G2195" s="11" t="str">
        <f t="shared" si="138"/>
        <v>202511</v>
      </c>
      <c r="H2195" s="4">
        <v>45993</v>
      </c>
      <c r="I2195" s="5">
        <v>4</v>
      </c>
      <c r="J2195" s="5">
        <v>0.13333333333333333</v>
      </c>
      <c r="K2195" s="5">
        <f t="shared" si="139"/>
        <v>1</v>
      </c>
      <c r="L2195" s="5">
        <v>1</v>
      </c>
      <c r="M2195" s="5">
        <v>1</v>
      </c>
      <c r="N2195" t="s">
        <v>9</v>
      </c>
      <c r="O2195" s="8">
        <v>27.6</v>
      </c>
      <c r="P2195" t="s">
        <v>34</v>
      </c>
      <c r="Q2195">
        <v>3</v>
      </c>
      <c r="R2195" s="2">
        <v>35915</v>
      </c>
    </row>
    <row r="2196" spans="1:18" x14ac:dyDescent="0.3">
      <c r="A2196" t="s">
        <v>7</v>
      </c>
      <c r="B2196">
        <v>18983057</v>
      </c>
      <c r="C2196" t="s">
        <v>8</v>
      </c>
      <c r="D2196" s="4">
        <v>45989</v>
      </c>
      <c r="E2196" s="11">
        <f t="shared" si="136"/>
        <v>2025</v>
      </c>
      <c r="F2196" s="11">
        <f t="shared" si="137"/>
        <v>11</v>
      </c>
      <c r="G2196" s="11" t="str">
        <f t="shared" si="138"/>
        <v>202511</v>
      </c>
      <c r="H2196" s="4">
        <v>46112</v>
      </c>
      <c r="I2196" s="5">
        <v>123</v>
      </c>
      <c r="J2196" s="5">
        <v>4.0999999999999996</v>
      </c>
      <c r="K2196" s="5">
        <f t="shared" si="139"/>
        <v>0</v>
      </c>
      <c r="L2196" s="5">
        <v>0</v>
      </c>
      <c r="M2196" s="5">
        <v>1</v>
      </c>
      <c r="N2196" t="s">
        <v>9</v>
      </c>
      <c r="O2196" s="8">
        <v>19.104109589041094</v>
      </c>
      <c r="P2196" t="s">
        <v>32</v>
      </c>
      <c r="Q2196">
        <v>1</v>
      </c>
      <c r="R2196" s="2">
        <v>39016</v>
      </c>
    </row>
    <row r="2197" spans="1:18" x14ac:dyDescent="0.3">
      <c r="A2197" t="s">
        <v>7</v>
      </c>
      <c r="B2197">
        <v>18983063</v>
      </c>
      <c r="C2197" t="s">
        <v>8</v>
      </c>
      <c r="D2197" s="4">
        <v>45989</v>
      </c>
      <c r="E2197" s="11">
        <f t="shared" si="136"/>
        <v>2025</v>
      </c>
      <c r="F2197" s="11">
        <f t="shared" si="137"/>
        <v>11</v>
      </c>
      <c r="G2197" s="11" t="str">
        <f t="shared" si="138"/>
        <v>202511</v>
      </c>
      <c r="I2197" s="5">
        <v>9999</v>
      </c>
      <c r="J2197" s="5">
        <v>333.3</v>
      </c>
      <c r="K2197" s="5">
        <f t="shared" si="139"/>
        <v>0</v>
      </c>
      <c r="L2197" s="5">
        <v>0</v>
      </c>
      <c r="M2197" s="5">
        <v>0</v>
      </c>
      <c r="N2197" t="s">
        <v>9</v>
      </c>
      <c r="O2197" s="8">
        <v>24.67945205479452</v>
      </c>
      <c r="P2197" t="s">
        <v>33</v>
      </c>
      <c r="Q2197">
        <v>2</v>
      </c>
      <c r="R2197" s="2">
        <v>36981</v>
      </c>
    </row>
    <row r="2198" spans="1:18" x14ac:dyDescent="0.3">
      <c r="A2198" t="s">
        <v>7</v>
      </c>
      <c r="B2198">
        <v>18983067</v>
      </c>
      <c r="C2198" t="s">
        <v>8</v>
      </c>
      <c r="D2198" s="4">
        <v>45989</v>
      </c>
      <c r="E2198" s="11">
        <f t="shared" si="136"/>
        <v>2025</v>
      </c>
      <c r="F2198" s="11">
        <f t="shared" si="137"/>
        <v>11</v>
      </c>
      <c r="G2198" s="11" t="str">
        <f t="shared" si="138"/>
        <v>202511</v>
      </c>
      <c r="I2198" s="5">
        <v>9999</v>
      </c>
      <c r="J2198" s="5">
        <v>333.3</v>
      </c>
      <c r="K2198" s="5">
        <f t="shared" si="139"/>
        <v>0</v>
      </c>
      <c r="L2198" s="5">
        <v>0</v>
      </c>
      <c r="M2198" s="5">
        <v>0</v>
      </c>
      <c r="N2198" t="s">
        <v>9</v>
      </c>
      <c r="O2198" s="8">
        <v>19.720547945205478</v>
      </c>
      <c r="P2198" t="s">
        <v>32</v>
      </c>
      <c r="Q2198">
        <v>1</v>
      </c>
      <c r="R2198" s="2">
        <v>38791</v>
      </c>
    </row>
    <row r="2199" spans="1:18" x14ac:dyDescent="0.3">
      <c r="A2199" t="s">
        <v>7</v>
      </c>
      <c r="B2199">
        <v>18983097</v>
      </c>
      <c r="C2199" t="s">
        <v>8</v>
      </c>
      <c r="D2199" s="4">
        <v>45989</v>
      </c>
      <c r="E2199" s="11">
        <f t="shared" si="136"/>
        <v>2025</v>
      </c>
      <c r="F2199" s="11">
        <f t="shared" si="137"/>
        <v>11</v>
      </c>
      <c r="G2199" s="11" t="str">
        <f t="shared" si="138"/>
        <v>202511</v>
      </c>
      <c r="H2199" s="4">
        <v>46113</v>
      </c>
      <c r="I2199" s="5">
        <v>124</v>
      </c>
      <c r="J2199" s="5">
        <v>4.1333333333333337</v>
      </c>
      <c r="K2199" s="5">
        <f t="shared" si="139"/>
        <v>0</v>
      </c>
      <c r="L2199" s="5">
        <v>0</v>
      </c>
      <c r="M2199" s="5">
        <v>1</v>
      </c>
      <c r="N2199" t="s">
        <v>9</v>
      </c>
      <c r="O2199" s="8">
        <v>18.136986301369863</v>
      </c>
      <c r="P2199" t="s">
        <v>32</v>
      </c>
      <c r="Q2199">
        <v>1</v>
      </c>
      <c r="R2199" s="2">
        <v>39369</v>
      </c>
    </row>
    <row r="2200" spans="1:18" x14ac:dyDescent="0.3">
      <c r="A2200" t="s">
        <v>7</v>
      </c>
      <c r="B2200">
        <v>18983158</v>
      </c>
      <c r="C2200" t="s">
        <v>10</v>
      </c>
      <c r="D2200" s="4">
        <v>45989</v>
      </c>
      <c r="E2200" s="11">
        <f t="shared" si="136"/>
        <v>2025</v>
      </c>
      <c r="F2200" s="11">
        <f t="shared" si="137"/>
        <v>11</v>
      </c>
      <c r="G2200" s="11" t="str">
        <f t="shared" si="138"/>
        <v>202511</v>
      </c>
      <c r="H2200" s="4">
        <v>46113</v>
      </c>
      <c r="I2200" s="5">
        <v>124</v>
      </c>
      <c r="J2200" s="5">
        <v>4.1333333333333337</v>
      </c>
      <c r="K2200" s="5">
        <f t="shared" si="139"/>
        <v>0</v>
      </c>
      <c r="L2200" s="5">
        <v>0</v>
      </c>
      <c r="M2200" s="5">
        <v>1</v>
      </c>
      <c r="N2200" t="s">
        <v>9</v>
      </c>
      <c r="O2200" s="8">
        <v>19.632876712328766</v>
      </c>
      <c r="P2200" t="s">
        <v>32</v>
      </c>
      <c r="Q2200">
        <v>1</v>
      </c>
      <c r="R2200" s="2">
        <v>38823</v>
      </c>
    </row>
    <row r="2201" spans="1:18" x14ac:dyDescent="0.3">
      <c r="A2201" t="s">
        <v>7</v>
      </c>
      <c r="B2201">
        <v>18983242</v>
      </c>
      <c r="C2201" t="s">
        <v>10</v>
      </c>
      <c r="D2201" s="4">
        <v>45992</v>
      </c>
      <c r="E2201" s="11">
        <f t="shared" si="136"/>
        <v>2025</v>
      </c>
      <c r="F2201" s="11">
        <f t="shared" si="137"/>
        <v>12</v>
      </c>
      <c r="G2201" s="11" t="str">
        <f t="shared" si="138"/>
        <v>202512</v>
      </c>
      <c r="I2201" s="5">
        <v>9999</v>
      </c>
      <c r="J2201" s="5">
        <v>333.3</v>
      </c>
      <c r="K2201" s="5">
        <f t="shared" si="139"/>
        <v>0</v>
      </c>
      <c r="L2201" s="5">
        <v>0</v>
      </c>
      <c r="M2201" s="5">
        <v>0</v>
      </c>
      <c r="N2201" t="s">
        <v>12</v>
      </c>
      <c r="O2201" s="8">
        <v>18.24931506849315</v>
      </c>
      <c r="P2201" t="s">
        <v>32</v>
      </c>
      <c r="Q2201">
        <v>1</v>
      </c>
      <c r="R2201" s="2">
        <v>39331</v>
      </c>
    </row>
    <row r="2202" spans="1:18" x14ac:dyDescent="0.3">
      <c r="A2202" t="s">
        <v>7</v>
      </c>
      <c r="B2202">
        <v>18983284</v>
      </c>
      <c r="C2202" t="s">
        <v>8</v>
      </c>
      <c r="D2202" s="4">
        <v>45992</v>
      </c>
      <c r="E2202" s="11">
        <f t="shared" si="136"/>
        <v>2025</v>
      </c>
      <c r="F2202" s="11">
        <f t="shared" si="137"/>
        <v>12</v>
      </c>
      <c r="G2202" s="11" t="str">
        <f t="shared" si="138"/>
        <v>202512</v>
      </c>
      <c r="I2202" s="5">
        <v>9999</v>
      </c>
      <c r="J2202" s="5">
        <v>333.3</v>
      </c>
      <c r="K2202" s="5">
        <f t="shared" si="139"/>
        <v>0</v>
      </c>
      <c r="L2202" s="5">
        <v>0</v>
      </c>
      <c r="M2202" s="5">
        <v>0</v>
      </c>
      <c r="N2202" t="s">
        <v>12</v>
      </c>
      <c r="O2202" s="8">
        <v>25.583561643835615</v>
      </c>
      <c r="P2202" t="s">
        <v>33</v>
      </c>
      <c r="Q2202">
        <v>2</v>
      </c>
      <c r="R2202" s="2">
        <v>36654</v>
      </c>
    </row>
    <row r="2203" spans="1:18" x14ac:dyDescent="0.3">
      <c r="A2203" t="s">
        <v>7</v>
      </c>
      <c r="B2203">
        <v>18983285</v>
      </c>
      <c r="C2203" t="s">
        <v>8</v>
      </c>
      <c r="D2203" s="4">
        <v>45992</v>
      </c>
      <c r="E2203" s="11">
        <f t="shared" si="136"/>
        <v>2025</v>
      </c>
      <c r="F2203" s="11">
        <f t="shared" si="137"/>
        <v>12</v>
      </c>
      <c r="G2203" s="11" t="str">
        <f t="shared" si="138"/>
        <v>202512</v>
      </c>
      <c r="I2203" s="5">
        <v>9999</v>
      </c>
      <c r="J2203" s="5">
        <v>333.3</v>
      </c>
      <c r="K2203" s="5">
        <f t="shared" si="139"/>
        <v>0</v>
      </c>
      <c r="L2203" s="5">
        <v>0</v>
      </c>
      <c r="M2203" s="5">
        <v>0</v>
      </c>
      <c r="N2203" t="s">
        <v>12</v>
      </c>
      <c r="O2203" s="8">
        <v>18.386301369863013</v>
      </c>
      <c r="P2203" t="s">
        <v>32</v>
      </c>
      <c r="Q2203">
        <v>1</v>
      </c>
      <c r="R2203" s="2">
        <v>39281</v>
      </c>
    </row>
    <row r="2204" spans="1:18" x14ac:dyDescent="0.3">
      <c r="A2204" t="s">
        <v>7</v>
      </c>
      <c r="B2204">
        <v>18983295</v>
      </c>
      <c r="C2204" t="s">
        <v>8</v>
      </c>
      <c r="D2204" s="4">
        <v>45992</v>
      </c>
      <c r="E2204" s="11">
        <f t="shared" si="136"/>
        <v>2025</v>
      </c>
      <c r="F2204" s="11">
        <f t="shared" si="137"/>
        <v>12</v>
      </c>
      <c r="G2204" s="11" t="str">
        <f t="shared" si="138"/>
        <v>202512</v>
      </c>
      <c r="H2204" s="4">
        <v>46068</v>
      </c>
      <c r="I2204" s="5">
        <v>76</v>
      </c>
      <c r="J2204" s="5">
        <v>2.5333333333333332</v>
      </c>
      <c r="K2204" s="5">
        <f t="shared" si="139"/>
        <v>0</v>
      </c>
      <c r="L2204" s="5">
        <v>1</v>
      </c>
      <c r="M2204" s="5">
        <v>1</v>
      </c>
      <c r="N2204" t="s">
        <v>12</v>
      </c>
      <c r="O2204" s="8">
        <v>20.213698630136985</v>
      </c>
      <c r="P2204" t="s">
        <v>32</v>
      </c>
      <c r="Q2204">
        <v>1</v>
      </c>
      <c r="R2204" s="2">
        <v>38614</v>
      </c>
    </row>
    <row r="2205" spans="1:18" x14ac:dyDescent="0.3">
      <c r="A2205" t="s">
        <v>7</v>
      </c>
      <c r="B2205">
        <v>18983304</v>
      </c>
      <c r="C2205" t="s">
        <v>8</v>
      </c>
      <c r="D2205" s="4">
        <v>45992</v>
      </c>
      <c r="E2205" s="11">
        <f t="shared" si="136"/>
        <v>2025</v>
      </c>
      <c r="F2205" s="11">
        <f t="shared" si="137"/>
        <v>12</v>
      </c>
      <c r="G2205" s="11" t="str">
        <f t="shared" si="138"/>
        <v>202512</v>
      </c>
      <c r="I2205" s="5">
        <v>9999</v>
      </c>
      <c r="J2205" s="5">
        <v>333.3</v>
      </c>
      <c r="K2205" s="5">
        <f t="shared" si="139"/>
        <v>0</v>
      </c>
      <c r="L2205" s="5">
        <v>0</v>
      </c>
      <c r="M2205" s="5">
        <v>0</v>
      </c>
      <c r="N2205" t="s">
        <v>12</v>
      </c>
      <c r="O2205" s="8">
        <v>28.978082191780821</v>
      </c>
      <c r="P2205" t="s">
        <v>34</v>
      </c>
      <c r="Q2205">
        <v>3</v>
      </c>
      <c r="R2205" s="2">
        <v>35415</v>
      </c>
    </row>
    <row r="2206" spans="1:18" x14ac:dyDescent="0.3">
      <c r="A2206" t="s">
        <v>7</v>
      </c>
      <c r="B2206">
        <v>18983314</v>
      </c>
      <c r="C2206" t="s">
        <v>8</v>
      </c>
      <c r="D2206" s="4">
        <v>45992</v>
      </c>
      <c r="E2206" s="11">
        <f t="shared" si="136"/>
        <v>2025</v>
      </c>
      <c r="F2206" s="11">
        <f t="shared" si="137"/>
        <v>12</v>
      </c>
      <c r="G2206" s="11" t="str">
        <f t="shared" si="138"/>
        <v>202512</v>
      </c>
      <c r="I2206" s="5">
        <v>9999</v>
      </c>
      <c r="J2206" s="5">
        <v>333.3</v>
      </c>
      <c r="K2206" s="5">
        <f t="shared" si="139"/>
        <v>0</v>
      </c>
      <c r="L2206" s="5">
        <v>0</v>
      </c>
      <c r="M2206" s="5">
        <v>0</v>
      </c>
      <c r="N2206" t="s">
        <v>12</v>
      </c>
      <c r="O2206" s="8">
        <v>29.210958904109589</v>
      </c>
      <c r="P2206" t="s">
        <v>34</v>
      </c>
      <c r="Q2206">
        <v>3</v>
      </c>
      <c r="R2206" s="2">
        <v>35330</v>
      </c>
    </row>
    <row r="2207" spans="1:18" x14ac:dyDescent="0.3">
      <c r="A2207" t="s">
        <v>7</v>
      </c>
      <c r="B2207">
        <v>18983428</v>
      </c>
      <c r="C2207" t="s">
        <v>8</v>
      </c>
      <c r="D2207" s="4">
        <v>46111</v>
      </c>
      <c r="E2207" s="11">
        <f t="shared" si="136"/>
        <v>2026</v>
      </c>
      <c r="F2207" s="11">
        <f t="shared" si="137"/>
        <v>3</v>
      </c>
      <c r="G2207" s="11" t="str">
        <f t="shared" si="138"/>
        <v>202603</v>
      </c>
      <c r="I2207" s="5">
        <v>9999</v>
      </c>
      <c r="J2207" s="5">
        <v>333.3</v>
      </c>
      <c r="K2207" s="5">
        <f t="shared" si="139"/>
        <v>0</v>
      </c>
      <c r="L2207" s="5">
        <v>0</v>
      </c>
      <c r="M2207" s="5">
        <v>0</v>
      </c>
      <c r="N2207" t="s">
        <v>9</v>
      </c>
      <c r="O2207" s="8">
        <v>23.687671232876713</v>
      </c>
      <c r="P2207" t="s">
        <v>33</v>
      </c>
      <c r="Q2207">
        <v>2</v>
      </c>
      <c r="R2207" s="2">
        <v>37465</v>
      </c>
    </row>
    <row r="2208" spans="1:18" x14ac:dyDescent="0.3">
      <c r="A2208" t="s">
        <v>7</v>
      </c>
      <c r="B2208">
        <v>18983567</v>
      </c>
      <c r="C2208" t="s">
        <v>10</v>
      </c>
      <c r="D2208" s="4">
        <v>45992</v>
      </c>
      <c r="E2208" s="11">
        <f t="shared" si="136"/>
        <v>2025</v>
      </c>
      <c r="F2208" s="11">
        <f t="shared" si="137"/>
        <v>12</v>
      </c>
      <c r="G2208" s="11" t="str">
        <f t="shared" si="138"/>
        <v>202512</v>
      </c>
      <c r="I2208" s="5">
        <v>9999</v>
      </c>
      <c r="J2208" s="5">
        <v>333.3</v>
      </c>
      <c r="K2208" s="5">
        <f t="shared" si="139"/>
        <v>0</v>
      </c>
      <c r="L2208" s="5">
        <v>0</v>
      </c>
      <c r="M2208" s="5">
        <v>0</v>
      </c>
      <c r="N2208" t="s">
        <v>9</v>
      </c>
      <c r="O2208" s="8">
        <v>18.915068493150685</v>
      </c>
      <c r="P2208" t="s">
        <v>32</v>
      </c>
      <c r="Q2208">
        <v>1</v>
      </c>
      <c r="R2208" s="2">
        <v>39088</v>
      </c>
    </row>
    <row r="2209" spans="1:18" x14ac:dyDescent="0.3">
      <c r="A2209" t="s">
        <v>7</v>
      </c>
      <c r="B2209">
        <v>18983619</v>
      </c>
      <c r="C2209" t="s">
        <v>10</v>
      </c>
      <c r="D2209" s="4">
        <v>45992</v>
      </c>
      <c r="E2209" s="11">
        <f t="shared" si="136"/>
        <v>2025</v>
      </c>
      <c r="F2209" s="11">
        <f t="shared" si="137"/>
        <v>12</v>
      </c>
      <c r="G2209" s="11" t="str">
        <f t="shared" si="138"/>
        <v>202512</v>
      </c>
      <c r="I2209" s="5">
        <v>9999</v>
      </c>
      <c r="J2209" s="5">
        <v>333.3</v>
      </c>
      <c r="K2209" s="5">
        <f t="shared" si="139"/>
        <v>0</v>
      </c>
      <c r="L2209" s="5">
        <v>0</v>
      </c>
      <c r="M2209" s="5">
        <v>0</v>
      </c>
      <c r="N2209" t="s">
        <v>12</v>
      </c>
      <c r="O2209" s="8">
        <v>20.684931506849313</v>
      </c>
      <c r="P2209" t="s">
        <v>32</v>
      </c>
      <c r="Q2209">
        <v>1</v>
      </c>
      <c r="R2209" s="2">
        <v>38442</v>
      </c>
    </row>
    <row r="2210" spans="1:18" x14ac:dyDescent="0.3">
      <c r="A2210" t="s">
        <v>7</v>
      </c>
      <c r="B2210">
        <v>18983658</v>
      </c>
      <c r="C2210" t="s">
        <v>10</v>
      </c>
      <c r="D2210" s="4">
        <v>45992</v>
      </c>
      <c r="E2210" s="11">
        <f t="shared" si="136"/>
        <v>2025</v>
      </c>
      <c r="F2210" s="11">
        <f t="shared" si="137"/>
        <v>12</v>
      </c>
      <c r="G2210" s="11" t="str">
        <f t="shared" si="138"/>
        <v>202512</v>
      </c>
      <c r="I2210" s="5">
        <v>9999</v>
      </c>
      <c r="J2210" s="5">
        <v>333.3</v>
      </c>
      <c r="K2210" s="5">
        <f t="shared" si="139"/>
        <v>0</v>
      </c>
      <c r="L2210" s="5">
        <v>0</v>
      </c>
      <c r="M2210" s="5">
        <v>0</v>
      </c>
      <c r="N2210" t="s">
        <v>9</v>
      </c>
      <c r="O2210" s="8">
        <v>19.813698630136987</v>
      </c>
      <c r="P2210" t="s">
        <v>32</v>
      </c>
      <c r="Q2210">
        <v>1</v>
      </c>
      <c r="R2210" s="2">
        <v>38760</v>
      </c>
    </row>
    <row r="2211" spans="1:18" x14ac:dyDescent="0.3">
      <c r="A2211" t="s">
        <v>11</v>
      </c>
      <c r="B2211">
        <v>18983660</v>
      </c>
      <c r="C2211" t="s">
        <v>8</v>
      </c>
      <c r="D2211" s="4">
        <v>46161</v>
      </c>
      <c r="E2211" s="11">
        <f t="shared" si="136"/>
        <v>2026</v>
      </c>
      <c r="F2211" s="11">
        <f t="shared" si="137"/>
        <v>5</v>
      </c>
      <c r="G2211" s="11" t="str">
        <f t="shared" si="138"/>
        <v>202605</v>
      </c>
      <c r="I2211" s="5">
        <v>9999</v>
      </c>
      <c r="J2211" s="5">
        <v>333.3</v>
      </c>
      <c r="K2211" s="5">
        <f t="shared" si="139"/>
        <v>0</v>
      </c>
      <c r="L2211" s="5">
        <v>0</v>
      </c>
      <c r="M2211" s="5">
        <v>0</v>
      </c>
      <c r="N2211" t="s">
        <v>12</v>
      </c>
      <c r="O2211" s="8">
        <v>46.142465753424659</v>
      </c>
      <c r="P2211" t="s">
        <v>35</v>
      </c>
      <c r="Q2211">
        <v>4</v>
      </c>
      <c r="R2211" s="2">
        <v>29319</v>
      </c>
    </row>
    <row r="2212" spans="1:18" x14ac:dyDescent="0.3">
      <c r="A2212" t="s">
        <v>7</v>
      </c>
      <c r="B2212">
        <v>18983730</v>
      </c>
      <c r="C2212" t="s">
        <v>10</v>
      </c>
      <c r="D2212" s="4">
        <v>45993</v>
      </c>
      <c r="E2212" s="11">
        <f t="shared" si="136"/>
        <v>2025</v>
      </c>
      <c r="F2212" s="11">
        <f t="shared" si="137"/>
        <v>12</v>
      </c>
      <c r="G2212" s="11" t="str">
        <f t="shared" si="138"/>
        <v>202512</v>
      </c>
      <c r="I2212" s="5">
        <v>9999</v>
      </c>
      <c r="J2212" s="5">
        <v>333.3</v>
      </c>
      <c r="K2212" s="5">
        <f t="shared" si="139"/>
        <v>0</v>
      </c>
      <c r="L2212" s="5">
        <v>0</v>
      </c>
      <c r="M2212" s="5">
        <v>0</v>
      </c>
      <c r="N2212" t="s">
        <v>12</v>
      </c>
      <c r="O2212" s="8">
        <v>20.175342465753424</v>
      </c>
      <c r="P2212" t="s">
        <v>32</v>
      </c>
      <c r="Q2212">
        <v>1</v>
      </c>
      <c r="R2212" s="2">
        <v>38629</v>
      </c>
    </row>
    <row r="2213" spans="1:18" x14ac:dyDescent="0.3">
      <c r="A2213" t="s">
        <v>7</v>
      </c>
      <c r="B2213">
        <v>18983733</v>
      </c>
      <c r="C2213" t="s">
        <v>10</v>
      </c>
      <c r="D2213" s="4">
        <v>45993</v>
      </c>
      <c r="E2213" s="11">
        <f t="shared" si="136"/>
        <v>2025</v>
      </c>
      <c r="F2213" s="11">
        <f t="shared" si="137"/>
        <v>12</v>
      </c>
      <c r="G2213" s="11" t="str">
        <f t="shared" si="138"/>
        <v>202512</v>
      </c>
      <c r="I2213" s="5">
        <v>9999</v>
      </c>
      <c r="J2213" s="5">
        <v>333.3</v>
      </c>
      <c r="K2213" s="5">
        <f t="shared" si="139"/>
        <v>0</v>
      </c>
      <c r="L2213" s="5">
        <v>0</v>
      </c>
      <c r="M2213" s="5">
        <v>0</v>
      </c>
      <c r="N2213" t="s">
        <v>9</v>
      </c>
      <c r="O2213" s="8">
        <v>27.641095890410959</v>
      </c>
      <c r="P2213" t="s">
        <v>34</v>
      </c>
      <c r="Q2213">
        <v>3</v>
      </c>
      <c r="R2213" s="2">
        <v>35904</v>
      </c>
    </row>
    <row r="2214" spans="1:18" x14ac:dyDescent="0.3">
      <c r="A2214" t="s">
        <v>7</v>
      </c>
      <c r="B2214">
        <v>18983742</v>
      </c>
      <c r="C2214" t="s">
        <v>8</v>
      </c>
      <c r="D2214" s="4">
        <v>45993</v>
      </c>
      <c r="E2214" s="11">
        <f t="shared" si="136"/>
        <v>2025</v>
      </c>
      <c r="F2214" s="11">
        <f t="shared" si="137"/>
        <v>12</v>
      </c>
      <c r="G2214" s="11" t="str">
        <f t="shared" si="138"/>
        <v>202512</v>
      </c>
      <c r="H2214" s="4">
        <v>46173</v>
      </c>
      <c r="I2214" s="5">
        <v>180</v>
      </c>
      <c r="J2214" s="5">
        <v>6</v>
      </c>
      <c r="K2214" s="5">
        <f t="shared" si="139"/>
        <v>0</v>
      </c>
      <c r="L2214" s="5">
        <v>0</v>
      </c>
      <c r="M2214" s="5">
        <v>1</v>
      </c>
      <c r="N2214" t="s">
        <v>9</v>
      </c>
      <c r="O2214" s="8">
        <v>20.56986301369863</v>
      </c>
      <c r="P2214" t="s">
        <v>32</v>
      </c>
      <c r="Q2214">
        <v>1</v>
      </c>
      <c r="R2214" s="2">
        <v>38485</v>
      </c>
    </row>
    <row r="2215" spans="1:18" x14ac:dyDescent="0.3">
      <c r="A2215" t="s">
        <v>7</v>
      </c>
      <c r="B2215">
        <v>18983769</v>
      </c>
      <c r="C2215" t="s">
        <v>8</v>
      </c>
      <c r="D2215" s="4">
        <v>45993</v>
      </c>
      <c r="E2215" s="11">
        <f t="shared" si="136"/>
        <v>2025</v>
      </c>
      <c r="F2215" s="11">
        <f t="shared" si="137"/>
        <v>12</v>
      </c>
      <c r="G2215" s="11" t="str">
        <f t="shared" si="138"/>
        <v>202512</v>
      </c>
      <c r="H2215" s="4">
        <v>46064</v>
      </c>
      <c r="I2215" s="5">
        <v>71</v>
      </c>
      <c r="J2215" s="5">
        <v>2.3666666666666667</v>
      </c>
      <c r="K2215" s="5">
        <f t="shared" si="139"/>
        <v>0</v>
      </c>
      <c r="L2215" s="5">
        <v>1</v>
      </c>
      <c r="M2215" s="5">
        <v>1</v>
      </c>
      <c r="N2215" t="s">
        <v>9</v>
      </c>
      <c r="O2215" s="8">
        <v>47.991780821917807</v>
      </c>
      <c r="P2215" t="s">
        <v>35</v>
      </c>
      <c r="Q2215">
        <v>4</v>
      </c>
      <c r="R2215" s="2">
        <v>28476</v>
      </c>
    </row>
    <row r="2216" spans="1:18" x14ac:dyDescent="0.3">
      <c r="A2216" t="s">
        <v>7</v>
      </c>
      <c r="B2216">
        <v>18983790</v>
      </c>
      <c r="C2216" t="s">
        <v>10</v>
      </c>
      <c r="D2216" s="4">
        <v>45993</v>
      </c>
      <c r="E2216" s="11">
        <f t="shared" si="136"/>
        <v>2025</v>
      </c>
      <c r="F2216" s="11">
        <f t="shared" si="137"/>
        <v>12</v>
      </c>
      <c r="G2216" s="11" t="str">
        <f t="shared" si="138"/>
        <v>202512</v>
      </c>
      <c r="I2216" s="5">
        <v>9999</v>
      </c>
      <c r="J2216" s="5">
        <v>333.3</v>
      </c>
      <c r="K2216" s="5">
        <f t="shared" si="139"/>
        <v>0</v>
      </c>
      <c r="L2216" s="5">
        <v>0</v>
      </c>
      <c r="M2216" s="5">
        <v>0</v>
      </c>
      <c r="N2216" t="s">
        <v>12</v>
      </c>
      <c r="O2216" s="8">
        <v>21.397260273972602</v>
      </c>
      <c r="P2216" t="s">
        <v>33</v>
      </c>
      <c r="Q2216">
        <v>2</v>
      </c>
      <c r="R2216" s="2">
        <v>38183</v>
      </c>
    </row>
    <row r="2217" spans="1:18" x14ac:dyDescent="0.3">
      <c r="A2217" t="s">
        <v>7</v>
      </c>
      <c r="B2217">
        <v>18983791</v>
      </c>
      <c r="C2217" t="s">
        <v>8</v>
      </c>
      <c r="D2217" s="4">
        <v>45993</v>
      </c>
      <c r="E2217" s="11">
        <f t="shared" si="136"/>
        <v>2025</v>
      </c>
      <c r="F2217" s="11">
        <f t="shared" si="137"/>
        <v>12</v>
      </c>
      <c r="G2217" s="11" t="str">
        <f t="shared" si="138"/>
        <v>202512</v>
      </c>
      <c r="H2217" s="4">
        <v>46112</v>
      </c>
      <c r="I2217" s="5">
        <v>119</v>
      </c>
      <c r="J2217" s="5">
        <v>3.9666666666666668</v>
      </c>
      <c r="K2217" s="5">
        <f t="shared" si="139"/>
        <v>0</v>
      </c>
      <c r="L2217" s="5">
        <v>0</v>
      </c>
      <c r="M2217" s="5">
        <v>1</v>
      </c>
      <c r="N2217" t="s">
        <v>12</v>
      </c>
      <c r="O2217" s="8">
        <v>22.528767123287672</v>
      </c>
      <c r="P2217" t="s">
        <v>33</v>
      </c>
      <c r="Q2217">
        <v>2</v>
      </c>
      <c r="R2217" s="2">
        <v>37770</v>
      </c>
    </row>
    <row r="2218" spans="1:18" x14ac:dyDescent="0.3">
      <c r="A2218" t="s">
        <v>7</v>
      </c>
      <c r="B2218">
        <v>18983794</v>
      </c>
      <c r="C2218" t="s">
        <v>8</v>
      </c>
      <c r="D2218" s="4">
        <v>45992</v>
      </c>
      <c r="E2218" s="11">
        <f t="shared" si="136"/>
        <v>2025</v>
      </c>
      <c r="F2218" s="11">
        <f t="shared" si="137"/>
        <v>12</v>
      </c>
      <c r="G2218" s="11" t="str">
        <f t="shared" si="138"/>
        <v>202512</v>
      </c>
      <c r="I2218" s="5">
        <v>9999</v>
      </c>
      <c r="J2218" s="5">
        <v>333.3</v>
      </c>
      <c r="K2218" s="5">
        <f t="shared" si="139"/>
        <v>0</v>
      </c>
      <c r="L2218" s="5">
        <v>0</v>
      </c>
      <c r="M2218" s="5">
        <v>0</v>
      </c>
      <c r="N2218" t="s">
        <v>9</v>
      </c>
      <c r="O2218" s="8">
        <v>18.328767123287673</v>
      </c>
      <c r="P2218" t="s">
        <v>32</v>
      </c>
      <c r="Q2218">
        <v>1</v>
      </c>
      <c r="R2218" s="2">
        <v>39302</v>
      </c>
    </row>
    <row r="2219" spans="1:18" x14ac:dyDescent="0.3">
      <c r="A2219" t="s">
        <v>7</v>
      </c>
      <c r="B2219">
        <v>18983795</v>
      </c>
      <c r="C2219" t="s">
        <v>8</v>
      </c>
      <c r="D2219" s="4">
        <v>45992</v>
      </c>
      <c r="E2219" s="11">
        <f t="shared" si="136"/>
        <v>2025</v>
      </c>
      <c r="F2219" s="11">
        <f t="shared" si="137"/>
        <v>12</v>
      </c>
      <c r="G2219" s="11" t="str">
        <f t="shared" si="138"/>
        <v>202512</v>
      </c>
      <c r="I2219" s="5">
        <v>9999</v>
      </c>
      <c r="J2219" s="5">
        <v>333.3</v>
      </c>
      <c r="K2219" s="5">
        <f t="shared" si="139"/>
        <v>0</v>
      </c>
      <c r="L2219" s="5">
        <v>0</v>
      </c>
      <c r="M2219" s="5">
        <v>0</v>
      </c>
      <c r="N2219" t="s">
        <v>12</v>
      </c>
      <c r="O2219" s="8">
        <v>26.624657534246577</v>
      </c>
      <c r="P2219" t="s">
        <v>34</v>
      </c>
      <c r="Q2219">
        <v>3</v>
      </c>
      <c r="R2219" s="2">
        <v>36274</v>
      </c>
    </row>
    <row r="2220" spans="1:18" x14ac:dyDescent="0.3">
      <c r="A2220" t="s">
        <v>7</v>
      </c>
      <c r="B2220">
        <v>18983799</v>
      </c>
      <c r="C2220" t="s">
        <v>8</v>
      </c>
      <c r="D2220" s="4">
        <v>45992</v>
      </c>
      <c r="E2220" s="11">
        <f t="shared" si="136"/>
        <v>2025</v>
      </c>
      <c r="F2220" s="11">
        <f t="shared" si="137"/>
        <v>12</v>
      </c>
      <c r="G2220" s="11" t="str">
        <f t="shared" si="138"/>
        <v>202512</v>
      </c>
      <c r="H2220" s="4">
        <v>46054</v>
      </c>
      <c r="I2220" s="5">
        <v>62</v>
      </c>
      <c r="J2220" s="5">
        <v>2.0666666666666669</v>
      </c>
      <c r="K2220" s="5">
        <f t="shared" si="139"/>
        <v>0</v>
      </c>
      <c r="L2220" s="5">
        <v>1</v>
      </c>
      <c r="M2220" s="5">
        <v>1</v>
      </c>
      <c r="N2220" t="s">
        <v>9</v>
      </c>
      <c r="O2220" s="8">
        <v>19.098630136986301</v>
      </c>
      <c r="P2220" t="s">
        <v>32</v>
      </c>
      <c r="Q2220">
        <v>1</v>
      </c>
      <c r="R2220" s="2">
        <v>39021</v>
      </c>
    </row>
    <row r="2221" spans="1:18" x14ac:dyDescent="0.3">
      <c r="A2221" t="s">
        <v>7</v>
      </c>
      <c r="B2221">
        <v>18983805</v>
      </c>
      <c r="C2221" t="s">
        <v>8</v>
      </c>
      <c r="D2221" s="4">
        <v>45992</v>
      </c>
      <c r="E2221" s="11">
        <f t="shared" si="136"/>
        <v>2025</v>
      </c>
      <c r="F2221" s="11">
        <f t="shared" si="137"/>
        <v>12</v>
      </c>
      <c r="G2221" s="11" t="str">
        <f t="shared" si="138"/>
        <v>202512</v>
      </c>
      <c r="I2221" s="5">
        <v>9999</v>
      </c>
      <c r="J2221" s="5">
        <v>333.3</v>
      </c>
      <c r="K2221" s="5">
        <f t="shared" si="139"/>
        <v>0</v>
      </c>
      <c r="L2221" s="5">
        <v>0</v>
      </c>
      <c r="M2221" s="5">
        <v>0</v>
      </c>
      <c r="N2221" t="s">
        <v>12</v>
      </c>
      <c r="O2221" s="8">
        <v>20.219178082191782</v>
      </c>
      <c r="P2221" t="s">
        <v>32</v>
      </c>
      <c r="Q2221">
        <v>1</v>
      </c>
      <c r="R2221" s="2">
        <v>38612</v>
      </c>
    </row>
    <row r="2222" spans="1:18" x14ac:dyDescent="0.3">
      <c r="A2222" t="s">
        <v>7</v>
      </c>
      <c r="B2222">
        <v>18983808</v>
      </c>
      <c r="C2222" t="s">
        <v>8</v>
      </c>
      <c r="D2222" s="4">
        <v>45992</v>
      </c>
      <c r="E2222" s="11">
        <f t="shared" si="136"/>
        <v>2025</v>
      </c>
      <c r="F2222" s="11">
        <f t="shared" si="137"/>
        <v>12</v>
      </c>
      <c r="G2222" s="11" t="str">
        <f t="shared" si="138"/>
        <v>202512</v>
      </c>
      <c r="I2222" s="5">
        <v>9999</v>
      </c>
      <c r="J2222" s="5">
        <v>333.3</v>
      </c>
      <c r="K2222" s="5">
        <f t="shared" si="139"/>
        <v>0</v>
      </c>
      <c r="L2222" s="5">
        <v>0</v>
      </c>
      <c r="M2222" s="5">
        <v>0</v>
      </c>
      <c r="N2222" t="s">
        <v>12</v>
      </c>
      <c r="O2222" s="8">
        <v>20.12054794520548</v>
      </c>
      <c r="P2222" t="s">
        <v>32</v>
      </c>
      <c r="Q2222">
        <v>1</v>
      </c>
      <c r="R2222" s="2">
        <v>38648</v>
      </c>
    </row>
    <row r="2223" spans="1:18" x14ac:dyDescent="0.3">
      <c r="A2223" t="s">
        <v>7</v>
      </c>
      <c r="B2223">
        <v>18983810</v>
      </c>
      <c r="C2223" t="s">
        <v>10</v>
      </c>
      <c r="D2223" s="4">
        <v>45992</v>
      </c>
      <c r="E2223" s="11">
        <f t="shared" si="136"/>
        <v>2025</v>
      </c>
      <c r="F2223" s="11">
        <f t="shared" si="137"/>
        <v>12</v>
      </c>
      <c r="G2223" s="11" t="str">
        <f t="shared" si="138"/>
        <v>202512</v>
      </c>
      <c r="H2223" s="4">
        <v>46146</v>
      </c>
      <c r="I2223" s="5">
        <v>154</v>
      </c>
      <c r="J2223" s="5">
        <v>5.1333333333333337</v>
      </c>
      <c r="K2223" s="5">
        <f t="shared" si="139"/>
        <v>0</v>
      </c>
      <c r="L2223" s="5">
        <v>0</v>
      </c>
      <c r="M2223" s="5">
        <v>1</v>
      </c>
      <c r="N2223" t="s">
        <v>12</v>
      </c>
      <c r="O2223" s="8">
        <v>21.041095890410958</v>
      </c>
      <c r="P2223" t="s">
        <v>33</v>
      </c>
      <c r="Q2223">
        <v>2</v>
      </c>
      <c r="R2223" s="2">
        <v>38312</v>
      </c>
    </row>
    <row r="2224" spans="1:18" x14ac:dyDescent="0.3">
      <c r="A2224" t="s">
        <v>7</v>
      </c>
      <c r="B2224">
        <v>18983811</v>
      </c>
      <c r="C2224" t="s">
        <v>8</v>
      </c>
      <c r="D2224" s="4">
        <v>45992</v>
      </c>
      <c r="E2224" s="11">
        <f t="shared" si="136"/>
        <v>2025</v>
      </c>
      <c r="F2224" s="11">
        <f t="shared" si="137"/>
        <v>12</v>
      </c>
      <c r="G2224" s="11" t="str">
        <f t="shared" si="138"/>
        <v>202512</v>
      </c>
      <c r="H2224" s="4">
        <v>46054</v>
      </c>
      <c r="I2224" s="5">
        <v>62</v>
      </c>
      <c r="J2224" s="5">
        <v>2.0666666666666669</v>
      </c>
      <c r="K2224" s="5">
        <f t="shared" si="139"/>
        <v>0</v>
      </c>
      <c r="L2224" s="5">
        <v>1</v>
      </c>
      <c r="M2224" s="5">
        <v>1</v>
      </c>
      <c r="N2224" t="s">
        <v>9</v>
      </c>
      <c r="O2224" s="8">
        <v>19.465753424657535</v>
      </c>
      <c r="P2224" t="s">
        <v>32</v>
      </c>
      <c r="Q2224">
        <v>1</v>
      </c>
      <c r="R2224" s="2">
        <v>38887</v>
      </c>
    </row>
    <row r="2225" spans="1:18" x14ac:dyDescent="0.3">
      <c r="A2225" t="s">
        <v>7</v>
      </c>
      <c r="B2225">
        <v>18983813</v>
      </c>
      <c r="C2225" t="s">
        <v>10</v>
      </c>
      <c r="D2225" s="4">
        <v>46087</v>
      </c>
      <c r="E2225" s="11">
        <f t="shared" si="136"/>
        <v>2026</v>
      </c>
      <c r="F2225" s="11">
        <f t="shared" si="137"/>
        <v>3</v>
      </c>
      <c r="G2225" s="11" t="str">
        <f t="shared" si="138"/>
        <v>202603</v>
      </c>
      <c r="I2225" s="5">
        <v>9999</v>
      </c>
      <c r="J2225" s="5">
        <v>333.3</v>
      </c>
      <c r="K2225" s="5">
        <f t="shared" si="139"/>
        <v>0</v>
      </c>
      <c r="L2225" s="5">
        <v>0</v>
      </c>
      <c r="M2225" s="5">
        <v>0</v>
      </c>
      <c r="N2225" t="s">
        <v>9</v>
      </c>
      <c r="O2225" s="8">
        <v>19.578082191780823</v>
      </c>
      <c r="P2225" t="s">
        <v>32</v>
      </c>
      <c r="Q2225">
        <v>1</v>
      </c>
      <c r="R2225" s="2">
        <v>38941</v>
      </c>
    </row>
    <row r="2226" spans="1:18" x14ac:dyDescent="0.3">
      <c r="A2226" t="s">
        <v>7</v>
      </c>
      <c r="B2226">
        <v>18983815</v>
      </c>
      <c r="C2226" t="s">
        <v>10</v>
      </c>
      <c r="D2226" s="4">
        <v>45992</v>
      </c>
      <c r="E2226" s="11">
        <f t="shared" si="136"/>
        <v>2025</v>
      </c>
      <c r="F2226" s="11">
        <f t="shared" si="137"/>
        <v>12</v>
      </c>
      <c r="G2226" s="11" t="str">
        <f t="shared" si="138"/>
        <v>202512</v>
      </c>
      <c r="H2226" s="4">
        <v>46081</v>
      </c>
      <c r="I2226" s="5">
        <v>89</v>
      </c>
      <c r="J2226" s="5">
        <v>2.9666666666666668</v>
      </c>
      <c r="K2226" s="5">
        <f t="shared" si="139"/>
        <v>0</v>
      </c>
      <c r="L2226" s="5">
        <v>1</v>
      </c>
      <c r="M2226" s="5">
        <v>1</v>
      </c>
      <c r="N2226" t="s">
        <v>12</v>
      </c>
      <c r="O2226" s="8">
        <v>37.80821917808219</v>
      </c>
      <c r="P2226" t="s">
        <v>35</v>
      </c>
      <c r="Q2226">
        <v>4</v>
      </c>
      <c r="R2226" s="2">
        <v>32192</v>
      </c>
    </row>
    <row r="2227" spans="1:18" x14ac:dyDescent="0.3">
      <c r="A2227" t="s">
        <v>7</v>
      </c>
      <c r="B2227">
        <v>18983819</v>
      </c>
      <c r="C2227" t="s">
        <v>10</v>
      </c>
      <c r="D2227" s="4">
        <v>45992</v>
      </c>
      <c r="E2227" s="11">
        <f t="shared" si="136"/>
        <v>2025</v>
      </c>
      <c r="F2227" s="11">
        <f t="shared" si="137"/>
        <v>12</v>
      </c>
      <c r="G2227" s="11" t="str">
        <f t="shared" si="138"/>
        <v>202512</v>
      </c>
      <c r="H2227" s="4">
        <v>46082</v>
      </c>
      <c r="I2227" s="5">
        <v>90</v>
      </c>
      <c r="J2227" s="5">
        <v>3</v>
      </c>
      <c r="K2227" s="5">
        <f t="shared" si="139"/>
        <v>0</v>
      </c>
      <c r="L2227" s="5">
        <v>1</v>
      </c>
      <c r="M2227" s="5">
        <v>1</v>
      </c>
      <c r="N2227" t="s">
        <v>12</v>
      </c>
      <c r="O2227" s="8">
        <v>18.235616438356164</v>
      </c>
      <c r="P2227" t="s">
        <v>32</v>
      </c>
      <c r="Q2227">
        <v>1</v>
      </c>
      <c r="R2227" s="2">
        <v>39336</v>
      </c>
    </row>
    <row r="2228" spans="1:18" x14ac:dyDescent="0.3">
      <c r="A2228" t="s">
        <v>7</v>
      </c>
      <c r="B2228">
        <v>18983820</v>
      </c>
      <c r="C2228" t="s">
        <v>10</v>
      </c>
      <c r="D2228" s="4">
        <v>45992</v>
      </c>
      <c r="E2228" s="11">
        <f t="shared" si="136"/>
        <v>2025</v>
      </c>
      <c r="F2228" s="11">
        <f t="shared" si="137"/>
        <v>12</v>
      </c>
      <c r="G2228" s="11" t="str">
        <f t="shared" si="138"/>
        <v>202512</v>
      </c>
      <c r="I2228" s="5">
        <v>9999</v>
      </c>
      <c r="J2228" s="5">
        <v>333.3</v>
      </c>
      <c r="K2228" s="5">
        <f t="shared" si="139"/>
        <v>0</v>
      </c>
      <c r="L2228" s="5">
        <v>0</v>
      </c>
      <c r="M2228" s="5">
        <v>0</v>
      </c>
      <c r="N2228" t="s">
        <v>9</v>
      </c>
      <c r="O2228" s="8">
        <v>18.24931506849315</v>
      </c>
      <c r="P2228" t="s">
        <v>32</v>
      </c>
      <c r="Q2228">
        <v>1</v>
      </c>
      <c r="R2228" s="2">
        <v>39331</v>
      </c>
    </row>
    <row r="2229" spans="1:18" x14ac:dyDescent="0.3">
      <c r="A2229" t="s">
        <v>7</v>
      </c>
      <c r="B2229">
        <v>18983821</v>
      </c>
      <c r="C2229" t="s">
        <v>8</v>
      </c>
      <c r="D2229" s="4">
        <v>45992</v>
      </c>
      <c r="E2229" s="11">
        <f t="shared" si="136"/>
        <v>2025</v>
      </c>
      <c r="F2229" s="11">
        <f t="shared" si="137"/>
        <v>12</v>
      </c>
      <c r="G2229" s="11" t="str">
        <f t="shared" si="138"/>
        <v>202512</v>
      </c>
      <c r="H2229" s="4">
        <v>46112</v>
      </c>
      <c r="I2229" s="5">
        <v>120</v>
      </c>
      <c r="J2229" s="5">
        <v>4</v>
      </c>
      <c r="K2229" s="5">
        <f t="shared" si="139"/>
        <v>0</v>
      </c>
      <c r="L2229" s="5">
        <v>0</v>
      </c>
      <c r="M2229" s="5">
        <v>1</v>
      </c>
      <c r="N2229" t="s">
        <v>9</v>
      </c>
      <c r="O2229" s="8">
        <v>21.098630136986301</v>
      </c>
      <c r="P2229" t="s">
        <v>33</v>
      </c>
      <c r="Q2229">
        <v>2</v>
      </c>
      <c r="R2229" s="2">
        <v>38291</v>
      </c>
    </row>
    <row r="2230" spans="1:18" x14ac:dyDescent="0.3">
      <c r="A2230" t="s">
        <v>7</v>
      </c>
      <c r="B2230">
        <v>18983824</v>
      </c>
      <c r="C2230" t="s">
        <v>10</v>
      </c>
      <c r="D2230" s="4">
        <v>45992</v>
      </c>
      <c r="E2230" s="11">
        <f t="shared" si="136"/>
        <v>2025</v>
      </c>
      <c r="F2230" s="11">
        <f t="shared" si="137"/>
        <v>12</v>
      </c>
      <c r="G2230" s="11" t="str">
        <f t="shared" si="138"/>
        <v>202512</v>
      </c>
      <c r="H2230" s="4">
        <v>46055</v>
      </c>
      <c r="I2230" s="5">
        <v>63</v>
      </c>
      <c r="J2230" s="5">
        <v>2.1</v>
      </c>
      <c r="K2230" s="5">
        <f t="shared" si="139"/>
        <v>0</v>
      </c>
      <c r="L2230" s="5">
        <v>1</v>
      </c>
      <c r="M2230" s="5">
        <v>1</v>
      </c>
      <c r="N2230" t="s">
        <v>12</v>
      </c>
      <c r="O2230" s="8">
        <v>19.586301369863012</v>
      </c>
      <c r="P2230" t="s">
        <v>32</v>
      </c>
      <c r="Q2230">
        <v>1</v>
      </c>
      <c r="R2230" s="2">
        <v>38843</v>
      </c>
    </row>
    <row r="2231" spans="1:18" x14ac:dyDescent="0.3">
      <c r="A2231" t="s">
        <v>7</v>
      </c>
      <c r="B2231">
        <v>18983825</v>
      </c>
      <c r="C2231" t="s">
        <v>8</v>
      </c>
      <c r="D2231" s="4">
        <v>46141</v>
      </c>
      <c r="E2231" s="11">
        <f t="shared" si="136"/>
        <v>2026</v>
      </c>
      <c r="F2231" s="11">
        <f t="shared" si="137"/>
        <v>4</v>
      </c>
      <c r="G2231" s="11" t="str">
        <f t="shared" si="138"/>
        <v>202604</v>
      </c>
      <c r="I2231" s="5">
        <v>9999</v>
      </c>
      <c r="J2231" s="5">
        <v>333.3</v>
      </c>
      <c r="K2231" s="5">
        <f t="shared" si="139"/>
        <v>0</v>
      </c>
      <c r="L2231" s="5">
        <v>0</v>
      </c>
      <c r="M2231" s="5">
        <v>0</v>
      </c>
      <c r="N2231" t="s">
        <v>12</v>
      </c>
      <c r="O2231" s="8">
        <v>20.046575342465754</v>
      </c>
      <c r="P2231" t="s">
        <v>32</v>
      </c>
      <c r="Q2231">
        <v>1</v>
      </c>
      <c r="R2231" s="2">
        <v>38824</v>
      </c>
    </row>
    <row r="2232" spans="1:18" x14ac:dyDescent="0.3">
      <c r="A2232" t="s">
        <v>7</v>
      </c>
      <c r="B2232">
        <v>18983829</v>
      </c>
      <c r="C2232" t="s">
        <v>10</v>
      </c>
      <c r="D2232" s="4">
        <v>45992</v>
      </c>
      <c r="E2232" s="11">
        <f t="shared" si="136"/>
        <v>2025</v>
      </c>
      <c r="F2232" s="11">
        <f t="shared" si="137"/>
        <v>12</v>
      </c>
      <c r="G2232" s="11" t="str">
        <f t="shared" si="138"/>
        <v>202512</v>
      </c>
      <c r="I2232" s="5">
        <v>9999</v>
      </c>
      <c r="J2232" s="5">
        <v>333.3</v>
      </c>
      <c r="K2232" s="5">
        <f t="shared" si="139"/>
        <v>0</v>
      </c>
      <c r="L2232" s="5">
        <v>0</v>
      </c>
      <c r="M2232" s="5">
        <v>0</v>
      </c>
      <c r="N2232" t="s">
        <v>9</v>
      </c>
      <c r="O2232" s="8">
        <v>20.232876712328768</v>
      </c>
      <c r="P2232" t="s">
        <v>32</v>
      </c>
      <c r="Q2232">
        <v>1</v>
      </c>
      <c r="R2232" s="2">
        <v>38607</v>
      </c>
    </row>
    <row r="2233" spans="1:18" x14ac:dyDescent="0.3">
      <c r="A2233" t="s">
        <v>7</v>
      </c>
      <c r="B2233">
        <v>18983832</v>
      </c>
      <c r="C2233" t="s">
        <v>8</v>
      </c>
      <c r="D2233" s="4">
        <v>45992</v>
      </c>
      <c r="E2233" s="11">
        <f t="shared" si="136"/>
        <v>2025</v>
      </c>
      <c r="F2233" s="11">
        <f t="shared" si="137"/>
        <v>12</v>
      </c>
      <c r="G2233" s="11" t="str">
        <f t="shared" si="138"/>
        <v>202512</v>
      </c>
      <c r="I2233" s="5">
        <v>9999</v>
      </c>
      <c r="J2233" s="5">
        <v>333.3</v>
      </c>
      <c r="K2233" s="5">
        <f t="shared" si="139"/>
        <v>0</v>
      </c>
      <c r="L2233" s="5">
        <v>0</v>
      </c>
      <c r="M2233" s="5">
        <v>0</v>
      </c>
      <c r="N2233" t="s">
        <v>9</v>
      </c>
      <c r="O2233" s="8">
        <v>18.772602739726029</v>
      </c>
      <c r="P2233" t="s">
        <v>32</v>
      </c>
      <c r="Q2233">
        <v>1</v>
      </c>
      <c r="R2233" s="2">
        <v>39140</v>
      </c>
    </row>
    <row r="2234" spans="1:18" x14ac:dyDescent="0.3">
      <c r="A2234" t="s">
        <v>7</v>
      </c>
      <c r="B2234">
        <v>18983839</v>
      </c>
      <c r="C2234" t="s">
        <v>8</v>
      </c>
      <c r="D2234" s="4">
        <v>46059</v>
      </c>
      <c r="E2234" s="11">
        <f t="shared" si="136"/>
        <v>2026</v>
      </c>
      <c r="F2234" s="11">
        <f t="shared" si="137"/>
        <v>2</v>
      </c>
      <c r="G2234" s="11" t="str">
        <f t="shared" si="138"/>
        <v>202602</v>
      </c>
      <c r="I2234" s="5">
        <v>9999</v>
      </c>
      <c r="J2234" s="5">
        <v>333.3</v>
      </c>
      <c r="K2234" s="5">
        <f t="shared" si="139"/>
        <v>0</v>
      </c>
      <c r="L2234" s="5">
        <v>0</v>
      </c>
      <c r="M2234" s="5">
        <v>0</v>
      </c>
      <c r="N2234" t="s">
        <v>12</v>
      </c>
      <c r="O2234" s="8">
        <v>23.791780821917808</v>
      </c>
      <c r="P2234" t="s">
        <v>33</v>
      </c>
      <c r="Q2234">
        <v>2</v>
      </c>
      <c r="R2234" s="2">
        <v>37375</v>
      </c>
    </row>
    <row r="2235" spans="1:18" x14ac:dyDescent="0.3">
      <c r="A2235" t="s">
        <v>7</v>
      </c>
      <c r="B2235">
        <v>18983841</v>
      </c>
      <c r="C2235" t="s">
        <v>10</v>
      </c>
      <c r="D2235" s="4">
        <v>45992</v>
      </c>
      <c r="E2235" s="11">
        <f t="shared" si="136"/>
        <v>2025</v>
      </c>
      <c r="F2235" s="11">
        <f t="shared" si="137"/>
        <v>12</v>
      </c>
      <c r="G2235" s="11" t="str">
        <f t="shared" si="138"/>
        <v>202512</v>
      </c>
      <c r="I2235" s="5">
        <v>9999</v>
      </c>
      <c r="J2235" s="5">
        <v>333.3</v>
      </c>
      <c r="K2235" s="5">
        <f t="shared" si="139"/>
        <v>0</v>
      </c>
      <c r="L2235" s="5">
        <v>0</v>
      </c>
      <c r="M2235" s="5">
        <v>0</v>
      </c>
      <c r="N2235" t="s">
        <v>9</v>
      </c>
      <c r="O2235" s="8">
        <v>19.75068493150685</v>
      </c>
      <c r="P2235" t="s">
        <v>32</v>
      </c>
      <c r="Q2235">
        <v>1</v>
      </c>
      <c r="R2235" s="2">
        <v>38783</v>
      </c>
    </row>
    <row r="2236" spans="1:18" x14ac:dyDescent="0.3">
      <c r="A2236" t="s">
        <v>7</v>
      </c>
      <c r="B2236">
        <v>18983842</v>
      </c>
      <c r="C2236" t="s">
        <v>10</v>
      </c>
      <c r="D2236" s="4">
        <v>45992</v>
      </c>
      <c r="E2236" s="11">
        <f t="shared" si="136"/>
        <v>2025</v>
      </c>
      <c r="F2236" s="11">
        <f t="shared" si="137"/>
        <v>12</v>
      </c>
      <c r="G2236" s="11" t="str">
        <f t="shared" si="138"/>
        <v>202512</v>
      </c>
      <c r="I2236" s="5">
        <v>9999</v>
      </c>
      <c r="J2236" s="5">
        <v>333.3</v>
      </c>
      <c r="K2236" s="5">
        <f t="shared" si="139"/>
        <v>0</v>
      </c>
      <c r="L2236" s="5">
        <v>0</v>
      </c>
      <c r="M2236" s="5">
        <v>0</v>
      </c>
      <c r="N2236" t="s">
        <v>9</v>
      </c>
      <c r="O2236" s="8">
        <v>23.408219178082192</v>
      </c>
      <c r="P2236" t="s">
        <v>33</v>
      </c>
      <c r="Q2236">
        <v>2</v>
      </c>
      <c r="R2236" s="2">
        <v>37448</v>
      </c>
    </row>
    <row r="2237" spans="1:18" x14ac:dyDescent="0.3">
      <c r="A2237" t="s">
        <v>7</v>
      </c>
      <c r="B2237">
        <v>18983845</v>
      </c>
      <c r="C2237" t="s">
        <v>8</v>
      </c>
      <c r="D2237" s="4">
        <v>45992</v>
      </c>
      <c r="E2237" s="11">
        <f t="shared" si="136"/>
        <v>2025</v>
      </c>
      <c r="F2237" s="11">
        <f t="shared" si="137"/>
        <v>12</v>
      </c>
      <c r="G2237" s="11" t="str">
        <f t="shared" si="138"/>
        <v>202512</v>
      </c>
      <c r="H2237" s="4">
        <v>46054</v>
      </c>
      <c r="I2237" s="5">
        <v>62</v>
      </c>
      <c r="J2237" s="5">
        <v>2.0666666666666669</v>
      </c>
      <c r="K2237" s="5">
        <f t="shared" si="139"/>
        <v>0</v>
      </c>
      <c r="L2237" s="5">
        <v>1</v>
      </c>
      <c r="M2237" s="5">
        <v>1</v>
      </c>
      <c r="N2237" t="s">
        <v>12</v>
      </c>
      <c r="O2237" s="8">
        <v>21.202739726027396</v>
      </c>
      <c r="P2237" t="s">
        <v>33</v>
      </c>
      <c r="Q2237">
        <v>2</v>
      </c>
      <c r="R2237" s="2">
        <v>38253</v>
      </c>
    </row>
    <row r="2238" spans="1:18" x14ac:dyDescent="0.3">
      <c r="A2238" t="s">
        <v>7</v>
      </c>
      <c r="B2238">
        <v>18983847</v>
      </c>
      <c r="C2238" t="s">
        <v>8</v>
      </c>
      <c r="D2238" s="4">
        <v>45992</v>
      </c>
      <c r="E2238" s="11">
        <f t="shared" si="136"/>
        <v>2025</v>
      </c>
      <c r="F2238" s="11">
        <f t="shared" si="137"/>
        <v>12</v>
      </c>
      <c r="G2238" s="11" t="str">
        <f t="shared" si="138"/>
        <v>202512</v>
      </c>
      <c r="I2238" s="5">
        <v>9999</v>
      </c>
      <c r="J2238" s="5">
        <v>333.3</v>
      </c>
      <c r="K2238" s="5">
        <f t="shared" si="139"/>
        <v>0</v>
      </c>
      <c r="L2238" s="5">
        <v>0</v>
      </c>
      <c r="M2238" s="5">
        <v>0</v>
      </c>
      <c r="N2238" t="s">
        <v>12</v>
      </c>
      <c r="O2238" s="8">
        <v>24.989041095890411</v>
      </c>
      <c r="P2238" t="s">
        <v>33</v>
      </c>
      <c r="Q2238">
        <v>2</v>
      </c>
      <c r="R2238" s="2">
        <v>36871</v>
      </c>
    </row>
    <row r="2239" spans="1:18" x14ac:dyDescent="0.3">
      <c r="A2239" t="s">
        <v>7</v>
      </c>
      <c r="B2239">
        <v>18983849</v>
      </c>
      <c r="C2239" t="s">
        <v>10</v>
      </c>
      <c r="D2239" s="4">
        <v>45992</v>
      </c>
      <c r="E2239" s="11">
        <f t="shared" si="136"/>
        <v>2025</v>
      </c>
      <c r="F2239" s="11">
        <f t="shared" si="137"/>
        <v>12</v>
      </c>
      <c r="G2239" s="11" t="str">
        <f t="shared" si="138"/>
        <v>202512</v>
      </c>
      <c r="I2239" s="5">
        <v>9999</v>
      </c>
      <c r="J2239" s="5">
        <v>333.3</v>
      </c>
      <c r="K2239" s="5">
        <f t="shared" si="139"/>
        <v>0</v>
      </c>
      <c r="L2239" s="5">
        <v>0</v>
      </c>
      <c r="M2239" s="5">
        <v>0</v>
      </c>
      <c r="N2239" t="s">
        <v>12</v>
      </c>
      <c r="O2239" s="8">
        <v>24.389041095890413</v>
      </c>
      <c r="P2239" t="s">
        <v>33</v>
      </c>
      <c r="Q2239">
        <v>2</v>
      </c>
      <c r="R2239" s="2">
        <v>37090</v>
      </c>
    </row>
    <row r="2240" spans="1:18" x14ac:dyDescent="0.3">
      <c r="A2240" t="s">
        <v>7</v>
      </c>
      <c r="B2240">
        <v>18983851</v>
      </c>
      <c r="C2240" t="s">
        <v>8</v>
      </c>
      <c r="D2240" s="4">
        <v>45992</v>
      </c>
      <c r="E2240" s="11">
        <f t="shared" si="136"/>
        <v>2025</v>
      </c>
      <c r="F2240" s="11">
        <f t="shared" si="137"/>
        <v>12</v>
      </c>
      <c r="G2240" s="11" t="str">
        <f t="shared" si="138"/>
        <v>202512</v>
      </c>
      <c r="I2240" s="5">
        <v>9999</v>
      </c>
      <c r="J2240" s="5">
        <v>333.3</v>
      </c>
      <c r="K2240" s="5">
        <f t="shared" si="139"/>
        <v>0</v>
      </c>
      <c r="L2240" s="5">
        <v>0</v>
      </c>
      <c r="M2240" s="5">
        <v>0</v>
      </c>
      <c r="N2240" t="s">
        <v>12</v>
      </c>
      <c r="O2240" s="8">
        <v>53.471232876712328</v>
      </c>
      <c r="P2240" t="s">
        <v>35</v>
      </c>
      <c r="Q2240">
        <v>4</v>
      </c>
      <c r="R2240" s="2">
        <v>26475</v>
      </c>
    </row>
    <row r="2241" spans="1:18" x14ac:dyDescent="0.3">
      <c r="A2241" t="s">
        <v>7</v>
      </c>
      <c r="B2241">
        <v>18983865</v>
      </c>
      <c r="C2241" t="s">
        <v>8</v>
      </c>
      <c r="D2241" s="4">
        <v>45992</v>
      </c>
      <c r="E2241" s="11">
        <f t="shared" si="136"/>
        <v>2025</v>
      </c>
      <c r="F2241" s="11">
        <f t="shared" si="137"/>
        <v>12</v>
      </c>
      <c r="G2241" s="11" t="str">
        <f t="shared" si="138"/>
        <v>202512</v>
      </c>
      <c r="I2241" s="5">
        <v>9999</v>
      </c>
      <c r="J2241" s="5">
        <v>333.3</v>
      </c>
      <c r="K2241" s="5">
        <f t="shared" si="139"/>
        <v>0</v>
      </c>
      <c r="L2241" s="5">
        <v>0</v>
      </c>
      <c r="M2241" s="5">
        <v>0</v>
      </c>
      <c r="N2241" t="s">
        <v>12</v>
      </c>
      <c r="O2241" s="8">
        <v>20.041095890410958</v>
      </c>
      <c r="P2241" t="s">
        <v>32</v>
      </c>
      <c r="Q2241">
        <v>1</v>
      </c>
      <c r="R2241" s="2">
        <v>38677</v>
      </c>
    </row>
    <row r="2242" spans="1:18" x14ac:dyDescent="0.3">
      <c r="A2242" t="s">
        <v>7</v>
      </c>
      <c r="B2242">
        <v>18983867</v>
      </c>
      <c r="C2242" t="s">
        <v>10</v>
      </c>
      <c r="D2242" s="4">
        <v>45992</v>
      </c>
      <c r="E2242" s="11">
        <f t="shared" si="136"/>
        <v>2025</v>
      </c>
      <c r="F2242" s="11">
        <f t="shared" si="137"/>
        <v>12</v>
      </c>
      <c r="G2242" s="11" t="str">
        <f t="shared" si="138"/>
        <v>202512</v>
      </c>
      <c r="I2242" s="5">
        <v>9999</v>
      </c>
      <c r="J2242" s="5">
        <v>333.3</v>
      </c>
      <c r="K2242" s="5">
        <f t="shared" si="139"/>
        <v>0</v>
      </c>
      <c r="L2242" s="5">
        <v>0</v>
      </c>
      <c r="M2242" s="5">
        <v>0</v>
      </c>
      <c r="N2242" t="s">
        <v>9</v>
      </c>
      <c r="O2242" s="8">
        <v>19.553424657534247</v>
      </c>
      <c r="P2242" t="s">
        <v>32</v>
      </c>
      <c r="Q2242">
        <v>1</v>
      </c>
      <c r="R2242" s="2">
        <v>38855</v>
      </c>
    </row>
    <row r="2243" spans="1:18" x14ac:dyDescent="0.3">
      <c r="A2243" t="s">
        <v>7</v>
      </c>
      <c r="B2243">
        <v>18983868</v>
      </c>
      <c r="C2243" t="s">
        <v>8</v>
      </c>
      <c r="D2243" s="4">
        <v>46059</v>
      </c>
      <c r="E2243" s="11">
        <f t="shared" ref="E2243:E2306" si="140">+YEAR(D2243)</f>
        <v>2026</v>
      </c>
      <c r="F2243" s="11">
        <f t="shared" ref="F2243:F2306" si="141">+MONTH(D2243)</f>
        <v>2</v>
      </c>
      <c r="G2243" s="11" t="str">
        <f t="shared" ref="G2243:G2306" si="142">+TEXT(D2243, "yyymm")</f>
        <v>202602</v>
      </c>
      <c r="I2243" s="5">
        <v>9999</v>
      </c>
      <c r="J2243" s="5">
        <v>333.3</v>
      </c>
      <c r="K2243" s="5">
        <f t="shared" ref="K2243:K2306" si="143">IF(J2243&lt;=1,1,0)</f>
        <v>0</v>
      </c>
      <c r="L2243" s="5">
        <v>0</v>
      </c>
      <c r="M2243" s="5">
        <v>0</v>
      </c>
      <c r="N2243" t="s">
        <v>9</v>
      </c>
      <c r="O2243" s="8">
        <v>18.279452054794522</v>
      </c>
      <c r="P2243" t="s">
        <v>32</v>
      </c>
      <c r="Q2243">
        <v>1</v>
      </c>
      <c r="R2243" s="2">
        <v>39387</v>
      </c>
    </row>
    <row r="2244" spans="1:18" x14ac:dyDescent="0.3">
      <c r="A2244" t="s">
        <v>7</v>
      </c>
      <c r="B2244">
        <v>18983869</v>
      </c>
      <c r="C2244" t="s">
        <v>8</v>
      </c>
      <c r="D2244" s="4">
        <v>45992</v>
      </c>
      <c r="E2244" s="11">
        <f t="shared" si="140"/>
        <v>2025</v>
      </c>
      <c r="F2244" s="11">
        <f t="shared" si="141"/>
        <v>12</v>
      </c>
      <c r="G2244" s="11" t="str">
        <f t="shared" si="142"/>
        <v>202512</v>
      </c>
      <c r="I2244" s="5">
        <v>9999</v>
      </c>
      <c r="J2244" s="5">
        <v>333.3</v>
      </c>
      <c r="K2244" s="5">
        <f t="shared" si="143"/>
        <v>0</v>
      </c>
      <c r="L2244" s="5">
        <v>0</v>
      </c>
      <c r="M2244" s="5">
        <v>0</v>
      </c>
      <c r="N2244" t="s">
        <v>9</v>
      </c>
      <c r="O2244" s="8">
        <v>22.517808219178082</v>
      </c>
      <c r="P2244" t="s">
        <v>33</v>
      </c>
      <c r="Q2244">
        <v>2</v>
      </c>
      <c r="R2244" s="2">
        <v>37773</v>
      </c>
    </row>
    <row r="2245" spans="1:18" x14ac:dyDescent="0.3">
      <c r="A2245" t="s">
        <v>7</v>
      </c>
      <c r="B2245">
        <v>18983870</v>
      </c>
      <c r="C2245" t="s">
        <v>10</v>
      </c>
      <c r="D2245" s="4">
        <v>45992</v>
      </c>
      <c r="E2245" s="11">
        <f t="shared" si="140"/>
        <v>2025</v>
      </c>
      <c r="F2245" s="11">
        <f t="shared" si="141"/>
        <v>12</v>
      </c>
      <c r="G2245" s="11" t="str">
        <f t="shared" si="142"/>
        <v>202512</v>
      </c>
      <c r="I2245" s="5">
        <v>9999</v>
      </c>
      <c r="J2245" s="5">
        <v>333.3</v>
      </c>
      <c r="K2245" s="5">
        <f t="shared" si="143"/>
        <v>0</v>
      </c>
      <c r="L2245" s="5">
        <v>0</v>
      </c>
      <c r="M2245" s="5">
        <v>0</v>
      </c>
      <c r="N2245" t="s">
        <v>9</v>
      </c>
      <c r="O2245" s="8">
        <v>21.608219178082191</v>
      </c>
      <c r="P2245" t="s">
        <v>33</v>
      </c>
      <c r="Q2245">
        <v>2</v>
      </c>
      <c r="R2245" s="2">
        <v>38105</v>
      </c>
    </row>
    <row r="2246" spans="1:18" x14ac:dyDescent="0.3">
      <c r="A2246" t="s">
        <v>7</v>
      </c>
      <c r="B2246">
        <v>18983871</v>
      </c>
      <c r="C2246" t="s">
        <v>10</v>
      </c>
      <c r="D2246" s="4">
        <v>45992</v>
      </c>
      <c r="E2246" s="11">
        <f t="shared" si="140"/>
        <v>2025</v>
      </c>
      <c r="F2246" s="11">
        <f t="shared" si="141"/>
        <v>12</v>
      </c>
      <c r="G2246" s="11" t="str">
        <f t="shared" si="142"/>
        <v>202512</v>
      </c>
      <c r="H2246" s="4">
        <v>46007</v>
      </c>
      <c r="I2246" s="5">
        <v>15</v>
      </c>
      <c r="J2246" s="5">
        <v>0.5</v>
      </c>
      <c r="K2246" s="5">
        <f t="shared" si="143"/>
        <v>1</v>
      </c>
      <c r="L2246" s="5">
        <v>1</v>
      </c>
      <c r="M2246" s="5">
        <v>1</v>
      </c>
      <c r="N2246" t="s">
        <v>9</v>
      </c>
      <c r="O2246" s="8">
        <v>19.446575342465753</v>
      </c>
      <c r="P2246" t="s">
        <v>32</v>
      </c>
      <c r="Q2246">
        <v>1</v>
      </c>
      <c r="R2246" s="2">
        <v>38894</v>
      </c>
    </row>
    <row r="2247" spans="1:18" x14ac:dyDescent="0.3">
      <c r="A2247" t="s">
        <v>7</v>
      </c>
      <c r="B2247">
        <v>18983875</v>
      </c>
      <c r="C2247" t="s">
        <v>10</v>
      </c>
      <c r="D2247" s="4">
        <v>45992</v>
      </c>
      <c r="E2247" s="11">
        <f t="shared" si="140"/>
        <v>2025</v>
      </c>
      <c r="F2247" s="11">
        <f t="shared" si="141"/>
        <v>12</v>
      </c>
      <c r="G2247" s="11" t="str">
        <f t="shared" si="142"/>
        <v>202512</v>
      </c>
      <c r="H2247" s="4">
        <v>46117</v>
      </c>
      <c r="I2247" s="5">
        <v>125</v>
      </c>
      <c r="J2247" s="5">
        <v>4.166666666666667</v>
      </c>
      <c r="K2247" s="5">
        <f t="shared" si="143"/>
        <v>0</v>
      </c>
      <c r="L2247" s="5">
        <v>0</v>
      </c>
      <c r="M2247" s="5">
        <v>1</v>
      </c>
      <c r="N2247" t="s">
        <v>9</v>
      </c>
      <c r="O2247" s="8">
        <v>18.698630136986303</v>
      </c>
      <c r="P2247" t="s">
        <v>32</v>
      </c>
      <c r="Q2247">
        <v>1</v>
      </c>
      <c r="R2247" s="2">
        <v>39167</v>
      </c>
    </row>
    <row r="2248" spans="1:18" x14ac:dyDescent="0.3">
      <c r="A2248" t="s">
        <v>7</v>
      </c>
      <c r="B2248">
        <v>18983877</v>
      </c>
      <c r="C2248" t="s">
        <v>8</v>
      </c>
      <c r="D2248" s="4">
        <v>45992</v>
      </c>
      <c r="E2248" s="11">
        <f t="shared" si="140"/>
        <v>2025</v>
      </c>
      <c r="F2248" s="11">
        <f t="shared" si="141"/>
        <v>12</v>
      </c>
      <c r="G2248" s="11" t="str">
        <f t="shared" si="142"/>
        <v>202512</v>
      </c>
      <c r="I2248" s="5">
        <v>9999</v>
      </c>
      <c r="J2248" s="5">
        <v>333.3</v>
      </c>
      <c r="K2248" s="5">
        <f t="shared" si="143"/>
        <v>0</v>
      </c>
      <c r="L2248" s="5">
        <v>0</v>
      </c>
      <c r="M2248" s="5">
        <v>0</v>
      </c>
      <c r="N2248" t="s">
        <v>9</v>
      </c>
      <c r="O2248" s="8">
        <v>20.356164383561644</v>
      </c>
      <c r="P2248" t="s">
        <v>32</v>
      </c>
      <c r="Q2248">
        <v>1</v>
      </c>
      <c r="R2248" s="2">
        <v>38562</v>
      </c>
    </row>
    <row r="2249" spans="1:18" x14ac:dyDescent="0.3">
      <c r="A2249" t="s">
        <v>7</v>
      </c>
      <c r="B2249">
        <v>18983884</v>
      </c>
      <c r="C2249" t="s">
        <v>8</v>
      </c>
      <c r="D2249" s="4">
        <v>45992</v>
      </c>
      <c r="E2249" s="11">
        <f t="shared" si="140"/>
        <v>2025</v>
      </c>
      <c r="F2249" s="11">
        <f t="shared" si="141"/>
        <v>12</v>
      </c>
      <c r="G2249" s="11" t="str">
        <f t="shared" si="142"/>
        <v>202512</v>
      </c>
      <c r="H2249" s="4">
        <v>46113</v>
      </c>
      <c r="I2249" s="5">
        <v>121</v>
      </c>
      <c r="J2249" s="5">
        <v>4.0333333333333332</v>
      </c>
      <c r="K2249" s="5">
        <f t="shared" si="143"/>
        <v>0</v>
      </c>
      <c r="L2249" s="5">
        <v>0</v>
      </c>
      <c r="M2249" s="5">
        <v>1</v>
      </c>
      <c r="N2249" t="s">
        <v>9</v>
      </c>
      <c r="O2249" s="8">
        <v>27.260273972602739</v>
      </c>
      <c r="P2249" t="s">
        <v>34</v>
      </c>
      <c r="Q2249">
        <v>3</v>
      </c>
      <c r="R2249" s="2">
        <v>36042</v>
      </c>
    </row>
    <row r="2250" spans="1:18" x14ac:dyDescent="0.3">
      <c r="A2250" t="s">
        <v>7</v>
      </c>
      <c r="B2250">
        <v>18983886</v>
      </c>
      <c r="C2250" t="s">
        <v>8</v>
      </c>
      <c r="D2250" s="4">
        <v>45992</v>
      </c>
      <c r="E2250" s="11">
        <f t="shared" si="140"/>
        <v>2025</v>
      </c>
      <c r="F2250" s="11">
        <f t="shared" si="141"/>
        <v>12</v>
      </c>
      <c r="G2250" s="11" t="str">
        <f t="shared" si="142"/>
        <v>202512</v>
      </c>
      <c r="I2250" s="5">
        <v>9999</v>
      </c>
      <c r="J2250" s="5">
        <v>333.3</v>
      </c>
      <c r="K2250" s="5">
        <f t="shared" si="143"/>
        <v>0</v>
      </c>
      <c r="L2250" s="5">
        <v>0</v>
      </c>
      <c r="M2250" s="5">
        <v>0</v>
      </c>
      <c r="N2250" t="s">
        <v>12</v>
      </c>
      <c r="O2250" s="8">
        <v>19.832876712328765</v>
      </c>
      <c r="P2250" t="s">
        <v>32</v>
      </c>
      <c r="Q2250">
        <v>1</v>
      </c>
      <c r="R2250" s="2">
        <v>38753</v>
      </c>
    </row>
    <row r="2251" spans="1:18" x14ac:dyDescent="0.3">
      <c r="A2251" t="s">
        <v>7</v>
      </c>
      <c r="B2251">
        <v>18983895</v>
      </c>
      <c r="C2251" t="s">
        <v>10</v>
      </c>
      <c r="D2251" s="4">
        <v>45992</v>
      </c>
      <c r="E2251" s="11">
        <f t="shared" si="140"/>
        <v>2025</v>
      </c>
      <c r="F2251" s="11">
        <f t="shared" si="141"/>
        <v>12</v>
      </c>
      <c r="G2251" s="11" t="str">
        <f t="shared" si="142"/>
        <v>202512</v>
      </c>
      <c r="I2251" s="5">
        <v>9999</v>
      </c>
      <c r="J2251" s="5">
        <v>333.3</v>
      </c>
      <c r="K2251" s="5">
        <f t="shared" si="143"/>
        <v>0</v>
      </c>
      <c r="L2251" s="5">
        <v>0</v>
      </c>
      <c r="M2251" s="5">
        <v>0</v>
      </c>
      <c r="N2251" t="s">
        <v>9</v>
      </c>
      <c r="O2251" s="8">
        <v>20.123287671232877</v>
      </c>
      <c r="P2251" t="s">
        <v>32</v>
      </c>
      <c r="Q2251">
        <v>1</v>
      </c>
      <c r="R2251" s="2">
        <v>38647</v>
      </c>
    </row>
    <row r="2252" spans="1:18" x14ac:dyDescent="0.3">
      <c r="A2252" t="s">
        <v>7</v>
      </c>
      <c r="B2252">
        <v>18983896</v>
      </c>
      <c r="C2252" t="s">
        <v>10</v>
      </c>
      <c r="D2252" s="4">
        <v>45992</v>
      </c>
      <c r="E2252" s="11">
        <f t="shared" si="140"/>
        <v>2025</v>
      </c>
      <c r="F2252" s="11">
        <f t="shared" si="141"/>
        <v>12</v>
      </c>
      <c r="G2252" s="11" t="str">
        <f t="shared" si="142"/>
        <v>202512</v>
      </c>
      <c r="H2252" s="4">
        <v>46089</v>
      </c>
      <c r="I2252" s="5">
        <v>97</v>
      </c>
      <c r="J2252" s="5">
        <v>3.2333333333333334</v>
      </c>
      <c r="K2252" s="5">
        <f t="shared" si="143"/>
        <v>0</v>
      </c>
      <c r="L2252" s="5">
        <v>0</v>
      </c>
      <c r="M2252" s="5">
        <v>1</v>
      </c>
      <c r="N2252" t="s">
        <v>9</v>
      </c>
      <c r="O2252" s="8">
        <v>20.19178082191781</v>
      </c>
      <c r="P2252" t="s">
        <v>32</v>
      </c>
      <c r="Q2252">
        <v>1</v>
      </c>
      <c r="R2252" s="2">
        <v>38622</v>
      </c>
    </row>
    <row r="2253" spans="1:18" x14ac:dyDescent="0.3">
      <c r="A2253" t="s">
        <v>7</v>
      </c>
      <c r="B2253">
        <v>18983899</v>
      </c>
      <c r="C2253" t="s">
        <v>10</v>
      </c>
      <c r="D2253" s="4">
        <v>45992</v>
      </c>
      <c r="E2253" s="11">
        <f t="shared" si="140"/>
        <v>2025</v>
      </c>
      <c r="F2253" s="11">
        <f t="shared" si="141"/>
        <v>12</v>
      </c>
      <c r="G2253" s="11" t="str">
        <f t="shared" si="142"/>
        <v>202512</v>
      </c>
      <c r="I2253" s="5">
        <v>9999</v>
      </c>
      <c r="J2253" s="5">
        <v>333.3</v>
      </c>
      <c r="K2253" s="5">
        <f t="shared" si="143"/>
        <v>0</v>
      </c>
      <c r="L2253" s="5">
        <v>0</v>
      </c>
      <c r="M2253" s="5">
        <v>0</v>
      </c>
      <c r="N2253" t="s">
        <v>12</v>
      </c>
      <c r="O2253" s="8">
        <v>20.591780821917808</v>
      </c>
      <c r="P2253" t="s">
        <v>32</v>
      </c>
      <c r="Q2253">
        <v>1</v>
      </c>
      <c r="R2253" s="2">
        <v>38476</v>
      </c>
    </row>
    <row r="2254" spans="1:18" x14ac:dyDescent="0.3">
      <c r="A2254" t="s">
        <v>7</v>
      </c>
      <c r="B2254">
        <v>18983906</v>
      </c>
      <c r="C2254" t="s">
        <v>10</v>
      </c>
      <c r="D2254" s="4">
        <v>45992</v>
      </c>
      <c r="E2254" s="11">
        <f t="shared" si="140"/>
        <v>2025</v>
      </c>
      <c r="F2254" s="11">
        <f t="shared" si="141"/>
        <v>12</v>
      </c>
      <c r="G2254" s="11" t="str">
        <f t="shared" si="142"/>
        <v>202512</v>
      </c>
      <c r="H2254" s="4">
        <v>46096</v>
      </c>
      <c r="I2254" s="5">
        <v>104</v>
      </c>
      <c r="J2254" s="5">
        <v>3.4666666666666668</v>
      </c>
      <c r="K2254" s="5">
        <f t="shared" si="143"/>
        <v>0</v>
      </c>
      <c r="L2254" s="5">
        <v>0</v>
      </c>
      <c r="M2254" s="5">
        <v>1</v>
      </c>
      <c r="N2254" t="s">
        <v>9</v>
      </c>
      <c r="O2254" s="8">
        <v>19.887671232876713</v>
      </c>
      <c r="P2254" t="s">
        <v>32</v>
      </c>
      <c r="Q2254">
        <v>1</v>
      </c>
      <c r="R2254" s="2">
        <v>38733</v>
      </c>
    </row>
    <row r="2255" spans="1:18" x14ac:dyDescent="0.3">
      <c r="A2255" t="s">
        <v>7</v>
      </c>
      <c r="B2255">
        <v>18983907</v>
      </c>
      <c r="C2255" t="s">
        <v>8</v>
      </c>
      <c r="D2255" s="4">
        <v>45992</v>
      </c>
      <c r="E2255" s="11">
        <f t="shared" si="140"/>
        <v>2025</v>
      </c>
      <c r="F2255" s="11">
        <f t="shared" si="141"/>
        <v>12</v>
      </c>
      <c r="G2255" s="11" t="str">
        <f t="shared" si="142"/>
        <v>202512</v>
      </c>
      <c r="I2255" s="5">
        <v>9999</v>
      </c>
      <c r="J2255" s="5">
        <v>333.3</v>
      </c>
      <c r="K2255" s="5">
        <f t="shared" si="143"/>
        <v>0</v>
      </c>
      <c r="L2255" s="5">
        <v>0</v>
      </c>
      <c r="M2255" s="5">
        <v>0</v>
      </c>
      <c r="N2255" t="s">
        <v>9</v>
      </c>
      <c r="O2255" s="8">
        <v>20.416438356164385</v>
      </c>
      <c r="P2255" t="s">
        <v>32</v>
      </c>
      <c r="Q2255">
        <v>1</v>
      </c>
      <c r="R2255" s="2">
        <v>38540</v>
      </c>
    </row>
    <row r="2256" spans="1:18" x14ac:dyDescent="0.3">
      <c r="A2256" t="s">
        <v>7</v>
      </c>
      <c r="B2256">
        <v>18983913</v>
      </c>
      <c r="C2256" t="s">
        <v>8</v>
      </c>
      <c r="D2256" s="4">
        <v>45992</v>
      </c>
      <c r="E2256" s="11">
        <f t="shared" si="140"/>
        <v>2025</v>
      </c>
      <c r="F2256" s="11">
        <f t="shared" si="141"/>
        <v>12</v>
      </c>
      <c r="G2256" s="11" t="str">
        <f t="shared" si="142"/>
        <v>202512</v>
      </c>
      <c r="I2256" s="5">
        <v>9999</v>
      </c>
      <c r="J2256" s="5">
        <v>333.3</v>
      </c>
      <c r="K2256" s="5">
        <f t="shared" si="143"/>
        <v>0</v>
      </c>
      <c r="L2256" s="5">
        <v>0</v>
      </c>
      <c r="M2256" s="5">
        <v>0</v>
      </c>
      <c r="N2256" t="s">
        <v>12</v>
      </c>
      <c r="O2256" s="8">
        <v>19.021917808219179</v>
      </c>
      <c r="P2256" t="s">
        <v>32</v>
      </c>
      <c r="Q2256">
        <v>1</v>
      </c>
      <c r="R2256" s="2">
        <v>39049</v>
      </c>
    </row>
    <row r="2257" spans="1:18" x14ac:dyDescent="0.3">
      <c r="A2257" t="s">
        <v>7</v>
      </c>
      <c r="B2257">
        <v>18983914</v>
      </c>
      <c r="C2257" t="s">
        <v>8</v>
      </c>
      <c r="D2257" s="4">
        <v>45992</v>
      </c>
      <c r="E2257" s="11">
        <f t="shared" si="140"/>
        <v>2025</v>
      </c>
      <c r="F2257" s="11">
        <f t="shared" si="141"/>
        <v>12</v>
      </c>
      <c r="G2257" s="11" t="str">
        <f t="shared" si="142"/>
        <v>202512</v>
      </c>
      <c r="H2257" s="4">
        <v>46113</v>
      </c>
      <c r="I2257" s="5">
        <v>121</v>
      </c>
      <c r="J2257" s="5">
        <v>4.0333333333333332</v>
      </c>
      <c r="K2257" s="5">
        <f t="shared" si="143"/>
        <v>0</v>
      </c>
      <c r="L2257" s="5">
        <v>0</v>
      </c>
      <c r="M2257" s="5">
        <v>1</v>
      </c>
      <c r="N2257" t="s">
        <v>9</v>
      </c>
      <c r="O2257" s="8">
        <v>18.753424657534246</v>
      </c>
      <c r="P2257" t="s">
        <v>32</v>
      </c>
      <c r="Q2257">
        <v>1</v>
      </c>
      <c r="R2257" s="2">
        <v>39147</v>
      </c>
    </row>
    <row r="2258" spans="1:18" x14ac:dyDescent="0.3">
      <c r="A2258" t="s">
        <v>7</v>
      </c>
      <c r="B2258">
        <v>18983918</v>
      </c>
      <c r="C2258" t="s">
        <v>8</v>
      </c>
      <c r="D2258" s="4">
        <v>45992</v>
      </c>
      <c r="E2258" s="11">
        <f t="shared" si="140"/>
        <v>2025</v>
      </c>
      <c r="F2258" s="11">
        <f t="shared" si="141"/>
        <v>12</v>
      </c>
      <c r="G2258" s="11" t="str">
        <f t="shared" si="142"/>
        <v>202512</v>
      </c>
      <c r="I2258" s="5">
        <v>9999</v>
      </c>
      <c r="J2258" s="5">
        <v>333.3</v>
      </c>
      <c r="K2258" s="5">
        <f t="shared" si="143"/>
        <v>0</v>
      </c>
      <c r="L2258" s="5">
        <v>0</v>
      </c>
      <c r="M2258" s="5">
        <v>0</v>
      </c>
      <c r="N2258" t="s">
        <v>12</v>
      </c>
      <c r="O2258" s="8">
        <v>23.797260273972604</v>
      </c>
      <c r="P2258" t="s">
        <v>33</v>
      </c>
      <c r="Q2258">
        <v>2</v>
      </c>
      <c r="R2258" s="2">
        <v>37306</v>
      </c>
    </row>
    <row r="2259" spans="1:18" x14ac:dyDescent="0.3">
      <c r="A2259" t="s">
        <v>7</v>
      </c>
      <c r="B2259">
        <v>18983922</v>
      </c>
      <c r="C2259" t="s">
        <v>10</v>
      </c>
      <c r="D2259" s="4">
        <v>45992</v>
      </c>
      <c r="E2259" s="11">
        <f t="shared" si="140"/>
        <v>2025</v>
      </c>
      <c r="F2259" s="11">
        <f t="shared" si="141"/>
        <v>12</v>
      </c>
      <c r="G2259" s="11" t="str">
        <f t="shared" si="142"/>
        <v>202512</v>
      </c>
      <c r="I2259" s="5">
        <v>9999</v>
      </c>
      <c r="J2259" s="5">
        <v>333.3</v>
      </c>
      <c r="K2259" s="5">
        <f t="shared" si="143"/>
        <v>0</v>
      </c>
      <c r="L2259" s="5">
        <v>0</v>
      </c>
      <c r="M2259" s="5">
        <v>0</v>
      </c>
      <c r="N2259" t="s">
        <v>9</v>
      </c>
      <c r="O2259" s="8">
        <v>20.186301369863013</v>
      </c>
      <c r="P2259" t="s">
        <v>32</v>
      </c>
      <c r="Q2259">
        <v>1</v>
      </c>
      <c r="R2259" s="2">
        <v>38624</v>
      </c>
    </row>
    <row r="2260" spans="1:18" x14ac:dyDescent="0.3">
      <c r="A2260" t="s">
        <v>7</v>
      </c>
      <c r="B2260">
        <v>18983926</v>
      </c>
      <c r="C2260" t="s">
        <v>8</v>
      </c>
      <c r="D2260" s="4">
        <v>45992</v>
      </c>
      <c r="E2260" s="11">
        <f t="shared" si="140"/>
        <v>2025</v>
      </c>
      <c r="F2260" s="11">
        <f t="shared" si="141"/>
        <v>12</v>
      </c>
      <c r="G2260" s="11" t="str">
        <f t="shared" si="142"/>
        <v>202512</v>
      </c>
      <c r="I2260" s="5">
        <v>9999</v>
      </c>
      <c r="J2260" s="5">
        <v>333.3</v>
      </c>
      <c r="K2260" s="5">
        <f t="shared" si="143"/>
        <v>0</v>
      </c>
      <c r="L2260" s="5">
        <v>0</v>
      </c>
      <c r="M2260" s="5">
        <v>0</v>
      </c>
      <c r="N2260" t="s">
        <v>12</v>
      </c>
      <c r="O2260" s="8">
        <v>18.449315068493149</v>
      </c>
      <c r="P2260" t="s">
        <v>32</v>
      </c>
      <c r="Q2260">
        <v>1</v>
      </c>
      <c r="R2260" s="2">
        <v>39258</v>
      </c>
    </row>
    <row r="2261" spans="1:18" x14ac:dyDescent="0.3">
      <c r="A2261" t="s">
        <v>7</v>
      </c>
      <c r="B2261">
        <v>18983933</v>
      </c>
      <c r="C2261" t="s">
        <v>10</v>
      </c>
      <c r="D2261" s="4">
        <v>45992</v>
      </c>
      <c r="E2261" s="11">
        <f t="shared" si="140"/>
        <v>2025</v>
      </c>
      <c r="F2261" s="11">
        <f t="shared" si="141"/>
        <v>12</v>
      </c>
      <c r="G2261" s="11" t="str">
        <f t="shared" si="142"/>
        <v>202512</v>
      </c>
      <c r="H2261" s="4">
        <v>46061</v>
      </c>
      <c r="I2261" s="5">
        <v>69</v>
      </c>
      <c r="J2261" s="5">
        <v>2.2999999999999998</v>
      </c>
      <c r="K2261" s="5">
        <f t="shared" si="143"/>
        <v>0</v>
      </c>
      <c r="L2261" s="5">
        <v>1</v>
      </c>
      <c r="M2261" s="5">
        <v>1</v>
      </c>
      <c r="N2261" t="s">
        <v>9</v>
      </c>
      <c r="O2261" s="8">
        <v>21.079452054794519</v>
      </c>
      <c r="P2261" t="s">
        <v>33</v>
      </c>
      <c r="Q2261">
        <v>2</v>
      </c>
      <c r="R2261" s="2">
        <v>38298</v>
      </c>
    </row>
    <row r="2262" spans="1:18" x14ac:dyDescent="0.3">
      <c r="A2262" t="s">
        <v>7</v>
      </c>
      <c r="B2262">
        <v>18983940</v>
      </c>
      <c r="C2262" t="s">
        <v>8</v>
      </c>
      <c r="D2262" s="4">
        <v>45992</v>
      </c>
      <c r="E2262" s="11">
        <f t="shared" si="140"/>
        <v>2025</v>
      </c>
      <c r="F2262" s="11">
        <f t="shared" si="141"/>
        <v>12</v>
      </c>
      <c r="G2262" s="11" t="str">
        <f t="shared" si="142"/>
        <v>202512</v>
      </c>
      <c r="I2262" s="5">
        <v>9999</v>
      </c>
      <c r="J2262" s="5">
        <v>333.3</v>
      </c>
      <c r="K2262" s="5">
        <f t="shared" si="143"/>
        <v>0</v>
      </c>
      <c r="L2262" s="5">
        <v>0</v>
      </c>
      <c r="M2262" s="5">
        <v>0</v>
      </c>
      <c r="N2262" t="s">
        <v>12</v>
      </c>
      <c r="O2262" s="8">
        <v>19.86849315068493</v>
      </c>
      <c r="P2262" t="s">
        <v>32</v>
      </c>
      <c r="Q2262">
        <v>1</v>
      </c>
      <c r="R2262" s="2">
        <v>38740</v>
      </c>
    </row>
    <row r="2263" spans="1:18" x14ac:dyDescent="0.3">
      <c r="A2263" t="s">
        <v>7</v>
      </c>
      <c r="B2263">
        <v>18983942</v>
      </c>
      <c r="C2263" t="s">
        <v>10</v>
      </c>
      <c r="D2263" s="4">
        <v>45992</v>
      </c>
      <c r="E2263" s="11">
        <f t="shared" si="140"/>
        <v>2025</v>
      </c>
      <c r="F2263" s="11">
        <f t="shared" si="141"/>
        <v>12</v>
      </c>
      <c r="G2263" s="11" t="str">
        <f t="shared" si="142"/>
        <v>202512</v>
      </c>
      <c r="H2263" s="4">
        <v>46082</v>
      </c>
      <c r="I2263" s="5">
        <v>90</v>
      </c>
      <c r="J2263" s="5">
        <v>3</v>
      </c>
      <c r="K2263" s="5">
        <f t="shared" si="143"/>
        <v>0</v>
      </c>
      <c r="L2263" s="5">
        <v>1</v>
      </c>
      <c r="M2263" s="5">
        <v>1</v>
      </c>
      <c r="N2263" t="s">
        <v>9</v>
      </c>
      <c r="O2263" s="8">
        <v>19.397260273972602</v>
      </c>
      <c r="P2263" t="s">
        <v>32</v>
      </c>
      <c r="Q2263">
        <v>1</v>
      </c>
      <c r="R2263" s="2">
        <v>38912</v>
      </c>
    </row>
    <row r="2264" spans="1:18" x14ac:dyDescent="0.3">
      <c r="A2264" t="s">
        <v>7</v>
      </c>
      <c r="B2264">
        <v>18983955</v>
      </c>
      <c r="C2264" t="s">
        <v>8</v>
      </c>
      <c r="D2264" s="4">
        <v>46055</v>
      </c>
      <c r="E2264" s="11">
        <f t="shared" si="140"/>
        <v>2026</v>
      </c>
      <c r="F2264" s="11">
        <f t="shared" si="141"/>
        <v>2</v>
      </c>
      <c r="G2264" s="11" t="str">
        <f t="shared" si="142"/>
        <v>202602</v>
      </c>
      <c r="H2264" s="4">
        <v>46142</v>
      </c>
      <c r="I2264" s="5">
        <v>87</v>
      </c>
      <c r="J2264" s="5">
        <v>2.9</v>
      </c>
      <c r="K2264" s="5">
        <f t="shared" si="143"/>
        <v>0</v>
      </c>
      <c r="L2264" s="5">
        <v>1</v>
      </c>
      <c r="M2264" s="5">
        <v>1</v>
      </c>
      <c r="N2264" t="s">
        <v>12</v>
      </c>
      <c r="O2264" s="8">
        <v>21.052054794520547</v>
      </c>
      <c r="P2264" t="s">
        <v>33</v>
      </c>
      <c r="Q2264">
        <v>2</v>
      </c>
      <c r="R2264" s="2">
        <v>38371</v>
      </c>
    </row>
    <row r="2265" spans="1:18" x14ac:dyDescent="0.3">
      <c r="A2265" t="s">
        <v>7</v>
      </c>
      <c r="B2265">
        <v>18983956</v>
      </c>
      <c r="C2265" t="s">
        <v>10</v>
      </c>
      <c r="D2265" s="4">
        <v>45992</v>
      </c>
      <c r="E2265" s="11">
        <f t="shared" si="140"/>
        <v>2025</v>
      </c>
      <c r="F2265" s="11">
        <f t="shared" si="141"/>
        <v>12</v>
      </c>
      <c r="G2265" s="11" t="str">
        <f t="shared" si="142"/>
        <v>202512</v>
      </c>
      <c r="I2265" s="5">
        <v>9999</v>
      </c>
      <c r="J2265" s="5">
        <v>333.3</v>
      </c>
      <c r="K2265" s="5">
        <f t="shared" si="143"/>
        <v>0</v>
      </c>
      <c r="L2265" s="5">
        <v>0</v>
      </c>
      <c r="M2265" s="5">
        <v>0</v>
      </c>
      <c r="N2265" t="s">
        <v>9</v>
      </c>
      <c r="O2265" s="8">
        <v>19</v>
      </c>
      <c r="P2265" t="s">
        <v>32</v>
      </c>
      <c r="Q2265">
        <v>1</v>
      </c>
      <c r="R2265" s="2">
        <v>39057</v>
      </c>
    </row>
    <row r="2266" spans="1:18" x14ac:dyDescent="0.3">
      <c r="A2266" t="s">
        <v>7</v>
      </c>
      <c r="B2266">
        <v>18983968</v>
      </c>
      <c r="C2266" t="s">
        <v>10</v>
      </c>
      <c r="D2266" s="4">
        <v>45992</v>
      </c>
      <c r="E2266" s="11">
        <f t="shared" si="140"/>
        <v>2025</v>
      </c>
      <c r="F2266" s="11">
        <f t="shared" si="141"/>
        <v>12</v>
      </c>
      <c r="G2266" s="11" t="str">
        <f t="shared" si="142"/>
        <v>202512</v>
      </c>
      <c r="I2266" s="5">
        <v>9999</v>
      </c>
      <c r="J2266" s="5">
        <v>333.3</v>
      </c>
      <c r="K2266" s="5">
        <f t="shared" si="143"/>
        <v>0</v>
      </c>
      <c r="L2266" s="5">
        <v>0</v>
      </c>
      <c r="M2266" s="5">
        <v>0</v>
      </c>
      <c r="N2266" t="s">
        <v>9</v>
      </c>
      <c r="O2266" s="8">
        <v>18.734246575342464</v>
      </c>
      <c r="P2266" t="s">
        <v>32</v>
      </c>
      <c r="Q2266">
        <v>1</v>
      </c>
      <c r="R2266" s="2">
        <v>39154</v>
      </c>
    </row>
    <row r="2267" spans="1:18" x14ac:dyDescent="0.3">
      <c r="A2267" t="s">
        <v>7</v>
      </c>
      <c r="B2267">
        <v>18983975</v>
      </c>
      <c r="C2267" t="s">
        <v>8</v>
      </c>
      <c r="D2267" s="4">
        <v>45992</v>
      </c>
      <c r="E2267" s="11">
        <f t="shared" si="140"/>
        <v>2025</v>
      </c>
      <c r="F2267" s="11">
        <f t="shared" si="141"/>
        <v>12</v>
      </c>
      <c r="G2267" s="11" t="str">
        <f t="shared" si="142"/>
        <v>202512</v>
      </c>
      <c r="I2267" s="5">
        <v>9999</v>
      </c>
      <c r="J2267" s="5">
        <v>333.3</v>
      </c>
      <c r="K2267" s="5">
        <f t="shared" si="143"/>
        <v>0</v>
      </c>
      <c r="L2267" s="5">
        <v>0</v>
      </c>
      <c r="M2267" s="5">
        <v>0</v>
      </c>
      <c r="N2267" t="s">
        <v>12</v>
      </c>
      <c r="O2267" s="8">
        <v>26.336986301369862</v>
      </c>
      <c r="P2267" t="s">
        <v>34</v>
      </c>
      <c r="Q2267">
        <v>3</v>
      </c>
      <c r="R2267" s="2">
        <v>36379</v>
      </c>
    </row>
    <row r="2268" spans="1:18" x14ac:dyDescent="0.3">
      <c r="A2268" t="s">
        <v>7</v>
      </c>
      <c r="B2268">
        <v>18983976</v>
      </c>
      <c r="C2268" t="s">
        <v>8</v>
      </c>
      <c r="D2268" s="4">
        <v>45992</v>
      </c>
      <c r="E2268" s="11">
        <f t="shared" si="140"/>
        <v>2025</v>
      </c>
      <c r="F2268" s="11">
        <f t="shared" si="141"/>
        <v>12</v>
      </c>
      <c r="G2268" s="11" t="str">
        <f t="shared" si="142"/>
        <v>202512</v>
      </c>
      <c r="H2268" s="4">
        <v>46173</v>
      </c>
      <c r="I2268" s="5">
        <v>181</v>
      </c>
      <c r="J2268" s="5">
        <v>6.0333333333333332</v>
      </c>
      <c r="K2268" s="5">
        <f t="shared" si="143"/>
        <v>0</v>
      </c>
      <c r="L2268" s="5">
        <v>0</v>
      </c>
      <c r="M2268" s="5">
        <v>0</v>
      </c>
      <c r="N2268" t="s">
        <v>9</v>
      </c>
      <c r="O2268" s="8">
        <v>40.147945205479452</v>
      </c>
      <c r="P2268" t="s">
        <v>35</v>
      </c>
      <c r="Q2268">
        <v>4</v>
      </c>
      <c r="R2268" s="2">
        <v>31338</v>
      </c>
    </row>
    <row r="2269" spans="1:18" x14ac:dyDescent="0.3">
      <c r="A2269" t="s">
        <v>7</v>
      </c>
      <c r="B2269">
        <v>18983977</v>
      </c>
      <c r="C2269" t="s">
        <v>10</v>
      </c>
      <c r="D2269" s="4">
        <v>45992</v>
      </c>
      <c r="E2269" s="11">
        <f t="shared" si="140"/>
        <v>2025</v>
      </c>
      <c r="F2269" s="11">
        <f t="shared" si="141"/>
        <v>12</v>
      </c>
      <c r="G2269" s="11" t="str">
        <f t="shared" si="142"/>
        <v>202512</v>
      </c>
      <c r="I2269" s="5">
        <v>9999</v>
      </c>
      <c r="J2269" s="5">
        <v>333.3</v>
      </c>
      <c r="K2269" s="5">
        <f t="shared" si="143"/>
        <v>0</v>
      </c>
      <c r="L2269" s="5">
        <v>0</v>
      </c>
      <c r="M2269" s="5">
        <v>0</v>
      </c>
      <c r="N2269" t="s">
        <v>12</v>
      </c>
      <c r="O2269" s="8">
        <v>19.8</v>
      </c>
      <c r="P2269" t="s">
        <v>32</v>
      </c>
      <c r="Q2269">
        <v>1</v>
      </c>
      <c r="R2269" s="2">
        <v>38765</v>
      </c>
    </row>
    <row r="2270" spans="1:18" x14ac:dyDescent="0.3">
      <c r="A2270" t="s">
        <v>7</v>
      </c>
      <c r="B2270">
        <v>18983979</v>
      </c>
      <c r="C2270" t="s">
        <v>8</v>
      </c>
      <c r="D2270" s="4">
        <v>45992</v>
      </c>
      <c r="E2270" s="11">
        <f t="shared" si="140"/>
        <v>2025</v>
      </c>
      <c r="F2270" s="11">
        <f t="shared" si="141"/>
        <v>12</v>
      </c>
      <c r="G2270" s="11" t="str">
        <f t="shared" si="142"/>
        <v>202512</v>
      </c>
      <c r="H2270" s="4">
        <v>46069</v>
      </c>
      <c r="I2270" s="5">
        <v>77</v>
      </c>
      <c r="J2270" s="5">
        <v>2.5666666666666669</v>
      </c>
      <c r="K2270" s="5">
        <f t="shared" si="143"/>
        <v>0</v>
      </c>
      <c r="L2270" s="5">
        <v>1</v>
      </c>
      <c r="M2270" s="5">
        <v>1</v>
      </c>
      <c r="N2270" t="s">
        <v>12</v>
      </c>
      <c r="O2270" s="8">
        <v>29.126027397260273</v>
      </c>
      <c r="P2270" t="s">
        <v>34</v>
      </c>
      <c r="Q2270">
        <v>3</v>
      </c>
      <c r="R2270" s="2">
        <v>35361</v>
      </c>
    </row>
    <row r="2271" spans="1:18" x14ac:dyDescent="0.3">
      <c r="A2271" t="s">
        <v>7</v>
      </c>
      <c r="B2271">
        <v>18983981</v>
      </c>
      <c r="C2271" t="s">
        <v>8</v>
      </c>
      <c r="D2271" s="4">
        <v>45992</v>
      </c>
      <c r="E2271" s="11">
        <f t="shared" si="140"/>
        <v>2025</v>
      </c>
      <c r="F2271" s="11">
        <f t="shared" si="141"/>
        <v>12</v>
      </c>
      <c r="G2271" s="11" t="str">
        <f t="shared" si="142"/>
        <v>202512</v>
      </c>
      <c r="I2271" s="5">
        <v>9999</v>
      </c>
      <c r="J2271" s="5">
        <v>333.3</v>
      </c>
      <c r="K2271" s="5">
        <f t="shared" si="143"/>
        <v>0</v>
      </c>
      <c r="L2271" s="5">
        <v>0</v>
      </c>
      <c r="M2271" s="5">
        <v>0</v>
      </c>
      <c r="N2271" t="s">
        <v>9</v>
      </c>
      <c r="O2271" s="8">
        <v>19.764383561643836</v>
      </c>
      <c r="P2271" t="s">
        <v>32</v>
      </c>
      <c r="Q2271">
        <v>1</v>
      </c>
      <c r="R2271" s="2">
        <v>38778</v>
      </c>
    </row>
    <row r="2272" spans="1:18" x14ac:dyDescent="0.3">
      <c r="A2272" t="s">
        <v>7</v>
      </c>
      <c r="B2272">
        <v>18983988</v>
      </c>
      <c r="C2272" t="s">
        <v>10</v>
      </c>
      <c r="D2272" s="4">
        <v>45992</v>
      </c>
      <c r="E2272" s="11">
        <f t="shared" si="140"/>
        <v>2025</v>
      </c>
      <c r="F2272" s="11">
        <f t="shared" si="141"/>
        <v>12</v>
      </c>
      <c r="G2272" s="11" t="str">
        <f t="shared" si="142"/>
        <v>202512</v>
      </c>
      <c r="I2272" s="5">
        <v>9999</v>
      </c>
      <c r="J2272" s="5">
        <v>333.3</v>
      </c>
      <c r="K2272" s="5">
        <f t="shared" si="143"/>
        <v>0</v>
      </c>
      <c r="L2272" s="5">
        <v>0</v>
      </c>
      <c r="M2272" s="5">
        <v>0</v>
      </c>
      <c r="N2272" t="s">
        <v>9</v>
      </c>
      <c r="O2272" s="8">
        <v>19.252054794520546</v>
      </c>
      <c r="P2272" t="s">
        <v>32</v>
      </c>
      <c r="Q2272">
        <v>1</v>
      </c>
      <c r="R2272" s="2">
        <v>38965</v>
      </c>
    </row>
    <row r="2273" spans="1:18" x14ac:dyDescent="0.3">
      <c r="A2273" t="s">
        <v>7</v>
      </c>
      <c r="B2273">
        <v>18983993</v>
      </c>
      <c r="C2273" t="s">
        <v>10</v>
      </c>
      <c r="D2273" s="4">
        <v>45992</v>
      </c>
      <c r="E2273" s="11">
        <f t="shared" si="140"/>
        <v>2025</v>
      </c>
      <c r="F2273" s="11">
        <f t="shared" si="141"/>
        <v>12</v>
      </c>
      <c r="G2273" s="11" t="str">
        <f t="shared" si="142"/>
        <v>202512</v>
      </c>
      <c r="I2273" s="5">
        <v>9999</v>
      </c>
      <c r="J2273" s="5">
        <v>333.3</v>
      </c>
      <c r="K2273" s="5">
        <f t="shared" si="143"/>
        <v>0</v>
      </c>
      <c r="L2273" s="5">
        <v>0</v>
      </c>
      <c r="M2273" s="5">
        <v>0</v>
      </c>
      <c r="N2273" t="s">
        <v>9</v>
      </c>
      <c r="O2273" s="8">
        <v>19.263013698630136</v>
      </c>
      <c r="P2273" t="s">
        <v>32</v>
      </c>
      <c r="Q2273">
        <v>1</v>
      </c>
      <c r="R2273" s="2">
        <v>38961</v>
      </c>
    </row>
    <row r="2274" spans="1:18" x14ac:dyDescent="0.3">
      <c r="A2274" t="s">
        <v>7</v>
      </c>
      <c r="B2274">
        <v>18984001</v>
      </c>
      <c r="C2274" t="s">
        <v>8</v>
      </c>
      <c r="D2274" s="4">
        <v>45992</v>
      </c>
      <c r="E2274" s="11">
        <f t="shared" si="140"/>
        <v>2025</v>
      </c>
      <c r="F2274" s="11">
        <f t="shared" si="141"/>
        <v>12</v>
      </c>
      <c r="G2274" s="11" t="str">
        <f t="shared" si="142"/>
        <v>202512</v>
      </c>
      <c r="I2274" s="5">
        <v>9999</v>
      </c>
      <c r="J2274" s="5">
        <v>333.3</v>
      </c>
      <c r="K2274" s="5">
        <f t="shared" si="143"/>
        <v>0</v>
      </c>
      <c r="L2274" s="5">
        <v>0</v>
      </c>
      <c r="M2274" s="5">
        <v>0</v>
      </c>
      <c r="N2274" t="s">
        <v>12</v>
      </c>
      <c r="O2274" s="8">
        <v>18.983561643835618</v>
      </c>
      <c r="P2274" t="s">
        <v>32</v>
      </c>
      <c r="Q2274">
        <v>1</v>
      </c>
      <c r="R2274" s="2">
        <v>39063</v>
      </c>
    </row>
    <row r="2275" spans="1:18" x14ac:dyDescent="0.3">
      <c r="A2275" t="s">
        <v>7</v>
      </c>
      <c r="B2275">
        <v>18984002</v>
      </c>
      <c r="C2275" t="s">
        <v>8</v>
      </c>
      <c r="D2275" s="4">
        <v>45992</v>
      </c>
      <c r="E2275" s="11">
        <f t="shared" si="140"/>
        <v>2025</v>
      </c>
      <c r="F2275" s="11">
        <f t="shared" si="141"/>
        <v>12</v>
      </c>
      <c r="G2275" s="11" t="str">
        <f t="shared" si="142"/>
        <v>202512</v>
      </c>
      <c r="I2275" s="5">
        <v>9999</v>
      </c>
      <c r="J2275" s="5">
        <v>333.3</v>
      </c>
      <c r="K2275" s="5">
        <f t="shared" si="143"/>
        <v>0</v>
      </c>
      <c r="L2275" s="5">
        <v>0</v>
      </c>
      <c r="M2275" s="5">
        <v>0</v>
      </c>
      <c r="N2275" t="s">
        <v>9</v>
      </c>
      <c r="O2275" s="8">
        <v>19.145205479452056</v>
      </c>
      <c r="P2275" t="s">
        <v>32</v>
      </c>
      <c r="Q2275">
        <v>1</v>
      </c>
      <c r="R2275" s="2">
        <v>39004</v>
      </c>
    </row>
    <row r="2276" spans="1:18" x14ac:dyDescent="0.3">
      <c r="A2276" t="s">
        <v>7</v>
      </c>
      <c r="B2276">
        <v>18984003</v>
      </c>
      <c r="C2276" t="s">
        <v>8</v>
      </c>
      <c r="D2276" s="4">
        <v>45992</v>
      </c>
      <c r="E2276" s="11">
        <f t="shared" si="140"/>
        <v>2025</v>
      </c>
      <c r="F2276" s="11">
        <f t="shared" si="141"/>
        <v>12</v>
      </c>
      <c r="G2276" s="11" t="str">
        <f t="shared" si="142"/>
        <v>202512</v>
      </c>
      <c r="I2276" s="5">
        <v>9999</v>
      </c>
      <c r="J2276" s="5">
        <v>333.3</v>
      </c>
      <c r="K2276" s="5">
        <f t="shared" si="143"/>
        <v>0</v>
      </c>
      <c r="L2276" s="5">
        <v>0</v>
      </c>
      <c r="M2276" s="5">
        <v>0</v>
      </c>
      <c r="N2276" t="s">
        <v>12</v>
      </c>
      <c r="O2276" s="8">
        <v>19.487671232876714</v>
      </c>
      <c r="P2276" t="s">
        <v>32</v>
      </c>
      <c r="Q2276">
        <v>1</v>
      </c>
      <c r="R2276" s="2">
        <v>38879</v>
      </c>
    </row>
    <row r="2277" spans="1:18" x14ac:dyDescent="0.3">
      <c r="A2277" t="s">
        <v>7</v>
      </c>
      <c r="B2277">
        <v>18984005</v>
      </c>
      <c r="C2277" t="s">
        <v>8</v>
      </c>
      <c r="D2277" s="4">
        <v>45992</v>
      </c>
      <c r="E2277" s="11">
        <f t="shared" si="140"/>
        <v>2025</v>
      </c>
      <c r="F2277" s="11">
        <f t="shared" si="141"/>
        <v>12</v>
      </c>
      <c r="G2277" s="11" t="str">
        <f t="shared" si="142"/>
        <v>202512</v>
      </c>
      <c r="H2277" s="4">
        <v>46112</v>
      </c>
      <c r="I2277" s="5">
        <v>120</v>
      </c>
      <c r="J2277" s="5">
        <v>4</v>
      </c>
      <c r="K2277" s="5">
        <f t="shared" si="143"/>
        <v>0</v>
      </c>
      <c r="L2277" s="5">
        <v>0</v>
      </c>
      <c r="M2277" s="5">
        <v>1</v>
      </c>
      <c r="N2277" t="s">
        <v>12</v>
      </c>
      <c r="O2277" s="8">
        <v>18.704109589041096</v>
      </c>
      <c r="P2277" t="s">
        <v>32</v>
      </c>
      <c r="Q2277">
        <v>1</v>
      </c>
      <c r="R2277" s="2">
        <v>39165</v>
      </c>
    </row>
    <row r="2278" spans="1:18" x14ac:dyDescent="0.3">
      <c r="A2278" t="s">
        <v>7</v>
      </c>
      <c r="B2278">
        <v>18984006</v>
      </c>
      <c r="C2278" t="s">
        <v>8</v>
      </c>
      <c r="D2278" s="4">
        <v>45992</v>
      </c>
      <c r="E2278" s="11">
        <f t="shared" si="140"/>
        <v>2025</v>
      </c>
      <c r="F2278" s="11">
        <f t="shared" si="141"/>
        <v>12</v>
      </c>
      <c r="G2278" s="11" t="str">
        <f t="shared" si="142"/>
        <v>202512</v>
      </c>
      <c r="I2278" s="5">
        <v>9999</v>
      </c>
      <c r="J2278" s="5">
        <v>333.3</v>
      </c>
      <c r="K2278" s="5">
        <f t="shared" si="143"/>
        <v>0</v>
      </c>
      <c r="L2278" s="5">
        <v>0</v>
      </c>
      <c r="M2278" s="5">
        <v>0</v>
      </c>
      <c r="N2278" t="s">
        <v>9</v>
      </c>
      <c r="O2278" s="8">
        <v>20.695890410958903</v>
      </c>
      <c r="P2278" t="s">
        <v>32</v>
      </c>
      <c r="Q2278">
        <v>1</v>
      </c>
      <c r="R2278" s="2">
        <v>38438</v>
      </c>
    </row>
    <row r="2279" spans="1:18" x14ac:dyDescent="0.3">
      <c r="A2279" t="s">
        <v>7</v>
      </c>
      <c r="B2279">
        <v>18984009</v>
      </c>
      <c r="C2279" t="s">
        <v>8</v>
      </c>
      <c r="D2279" s="4">
        <v>45992</v>
      </c>
      <c r="E2279" s="11">
        <f t="shared" si="140"/>
        <v>2025</v>
      </c>
      <c r="F2279" s="11">
        <f t="shared" si="141"/>
        <v>12</v>
      </c>
      <c r="G2279" s="11" t="str">
        <f t="shared" si="142"/>
        <v>202512</v>
      </c>
      <c r="I2279" s="5">
        <v>9999</v>
      </c>
      <c r="J2279" s="5">
        <v>333.3</v>
      </c>
      <c r="K2279" s="5">
        <f t="shared" si="143"/>
        <v>0</v>
      </c>
      <c r="L2279" s="5">
        <v>0</v>
      </c>
      <c r="M2279" s="5">
        <v>0</v>
      </c>
      <c r="N2279" t="s">
        <v>9</v>
      </c>
      <c r="O2279" s="8">
        <v>20.479452054794521</v>
      </c>
      <c r="P2279" t="s">
        <v>32</v>
      </c>
      <c r="Q2279">
        <v>1</v>
      </c>
      <c r="R2279" s="2">
        <v>38517</v>
      </c>
    </row>
    <row r="2280" spans="1:18" x14ac:dyDescent="0.3">
      <c r="A2280" t="s">
        <v>7</v>
      </c>
      <c r="B2280">
        <v>18984012</v>
      </c>
      <c r="C2280" t="s">
        <v>8</v>
      </c>
      <c r="D2280" s="4">
        <v>46147</v>
      </c>
      <c r="E2280" s="11">
        <f t="shared" si="140"/>
        <v>2026</v>
      </c>
      <c r="F2280" s="11">
        <f t="shared" si="141"/>
        <v>5</v>
      </c>
      <c r="G2280" s="11" t="str">
        <f t="shared" si="142"/>
        <v>202605</v>
      </c>
      <c r="I2280" s="5">
        <v>9999</v>
      </c>
      <c r="J2280" s="5">
        <v>333.3</v>
      </c>
      <c r="K2280" s="5">
        <f t="shared" si="143"/>
        <v>0</v>
      </c>
      <c r="L2280" s="5">
        <v>0</v>
      </c>
      <c r="M2280" s="5">
        <v>0</v>
      </c>
      <c r="N2280" t="s">
        <v>12</v>
      </c>
      <c r="O2280" s="8">
        <v>20.13150684931507</v>
      </c>
      <c r="P2280" t="s">
        <v>32</v>
      </c>
      <c r="Q2280">
        <v>1</v>
      </c>
      <c r="R2280" s="2">
        <v>38799</v>
      </c>
    </row>
    <row r="2281" spans="1:18" x14ac:dyDescent="0.3">
      <c r="A2281" t="s">
        <v>7</v>
      </c>
      <c r="B2281">
        <v>18984017</v>
      </c>
      <c r="C2281" t="s">
        <v>8</v>
      </c>
      <c r="D2281" s="4">
        <v>46066</v>
      </c>
      <c r="E2281" s="11">
        <f t="shared" si="140"/>
        <v>2026</v>
      </c>
      <c r="F2281" s="11">
        <f t="shared" si="141"/>
        <v>2</v>
      </c>
      <c r="G2281" s="11" t="str">
        <f t="shared" si="142"/>
        <v>202602</v>
      </c>
      <c r="I2281" s="5">
        <v>9999</v>
      </c>
      <c r="J2281" s="5">
        <v>333.3</v>
      </c>
      <c r="K2281" s="5">
        <f t="shared" si="143"/>
        <v>0</v>
      </c>
      <c r="L2281" s="5">
        <v>0</v>
      </c>
      <c r="M2281" s="5">
        <v>0</v>
      </c>
      <c r="N2281" t="s">
        <v>12</v>
      </c>
      <c r="O2281" s="8">
        <v>19.197260273972603</v>
      </c>
      <c r="P2281" t="s">
        <v>32</v>
      </c>
      <c r="Q2281">
        <v>1</v>
      </c>
      <c r="R2281" s="2">
        <v>39059</v>
      </c>
    </row>
    <row r="2282" spans="1:18" x14ac:dyDescent="0.3">
      <c r="A2282" t="s">
        <v>7</v>
      </c>
      <c r="B2282">
        <v>18984018</v>
      </c>
      <c r="C2282" t="s">
        <v>8</v>
      </c>
      <c r="D2282" s="4">
        <v>46113</v>
      </c>
      <c r="E2282" s="11">
        <f t="shared" si="140"/>
        <v>2026</v>
      </c>
      <c r="F2282" s="11">
        <f t="shared" si="141"/>
        <v>4</v>
      </c>
      <c r="G2282" s="11" t="str">
        <f t="shared" si="142"/>
        <v>202604</v>
      </c>
      <c r="H2282" s="4">
        <v>46119</v>
      </c>
      <c r="I2282" s="5">
        <v>6</v>
      </c>
      <c r="J2282" s="5">
        <v>0.2</v>
      </c>
      <c r="K2282" s="5">
        <f t="shared" si="143"/>
        <v>1</v>
      </c>
      <c r="L2282" s="5">
        <v>1</v>
      </c>
      <c r="M2282" s="5">
        <v>1</v>
      </c>
      <c r="N2282" t="s">
        <v>9</v>
      </c>
      <c r="O2282" s="8">
        <v>23.331506849315069</v>
      </c>
      <c r="P2282" t="s">
        <v>33</v>
      </c>
      <c r="Q2282">
        <v>2</v>
      </c>
      <c r="R2282" s="2">
        <v>37597</v>
      </c>
    </row>
    <row r="2283" spans="1:18" x14ac:dyDescent="0.3">
      <c r="A2283" t="s">
        <v>7</v>
      </c>
      <c r="B2283">
        <v>18984019</v>
      </c>
      <c r="C2283" t="s">
        <v>10</v>
      </c>
      <c r="D2283" s="4">
        <v>45992</v>
      </c>
      <c r="E2283" s="11">
        <f t="shared" si="140"/>
        <v>2025</v>
      </c>
      <c r="F2283" s="11">
        <f t="shared" si="141"/>
        <v>12</v>
      </c>
      <c r="G2283" s="11" t="str">
        <f t="shared" si="142"/>
        <v>202512</v>
      </c>
      <c r="I2283" s="5">
        <v>9999</v>
      </c>
      <c r="J2283" s="5">
        <v>333.3</v>
      </c>
      <c r="K2283" s="5">
        <f t="shared" si="143"/>
        <v>0</v>
      </c>
      <c r="L2283" s="5">
        <v>0</v>
      </c>
      <c r="M2283" s="5">
        <v>0</v>
      </c>
      <c r="N2283" t="s">
        <v>9</v>
      </c>
      <c r="O2283" s="8">
        <v>18.657534246575342</v>
      </c>
      <c r="P2283" t="s">
        <v>32</v>
      </c>
      <c r="Q2283">
        <v>1</v>
      </c>
      <c r="R2283" s="2">
        <v>39182</v>
      </c>
    </row>
    <row r="2284" spans="1:18" x14ac:dyDescent="0.3">
      <c r="A2284" t="s">
        <v>7</v>
      </c>
      <c r="B2284">
        <v>18984020</v>
      </c>
      <c r="C2284" t="s">
        <v>8</v>
      </c>
      <c r="D2284" s="4">
        <v>45992</v>
      </c>
      <c r="E2284" s="11">
        <f t="shared" si="140"/>
        <v>2025</v>
      </c>
      <c r="F2284" s="11">
        <f t="shared" si="141"/>
        <v>12</v>
      </c>
      <c r="G2284" s="11" t="str">
        <f t="shared" si="142"/>
        <v>202512</v>
      </c>
      <c r="H2284" s="4">
        <v>46112</v>
      </c>
      <c r="I2284" s="5">
        <v>120</v>
      </c>
      <c r="J2284" s="5">
        <v>4</v>
      </c>
      <c r="K2284" s="5">
        <f t="shared" si="143"/>
        <v>0</v>
      </c>
      <c r="L2284" s="5">
        <v>0</v>
      </c>
      <c r="M2284" s="5">
        <v>1</v>
      </c>
      <c r="N2284" t="s">
        <v>9</v>
      </c>
      <c r="O2284" s="8">
        <v>41.087671232876716</v>
      </c>
      <c r="P2284" t="s">
        <v>35</v>
      </c>
      <c r="Q2284">
        <v>4</v>
      </c>
      <c r="R2284" s="2">
        <v>30995</v>
      </c>
    </row>
    <row r="2285" spans="1:18" x14ac:dyDescent="0.3">
      <c r="A2285" t="s">
        <v>7</v>
      </c>
      <c r="B2285">
        <v>18984033</v>
      </c>
      <c r="C2285" t="s">
        <v>10</v>
      </c>
      <c r="D2285" s="4">
        <v>45992</v>
      </c>
      <c r="E2285" s="11">
        <f t="shared" si="140"/>
        <v>2025</v>
      </c>
      <c r="F2285" s="11">
        <f t="shared" si="141"/>
        <v>12</v>
      </c>
      <c r="G2285" s="11" t="str">
        <f t="shared" si="142"/>
        <v>202512</v>
      </c>
      <c r="H2285" s="4">
        <v>46081</v>
      </c>
      <c r="I2285" s="5">
        <v>89</v>
      </c>
      <c r="J2285" s="5">
        <v>2.9666666666666668</v>
      </c>
      <c r="K2285" s="5">
        <f t="shared" si="143"/>
        <v>0</v>
      </c>
      <c r="L2285" s="5">
        <v>1</v>
      </c>
      <c r="M2285" s="5">
        <v>1</v>
      </c>
      <c r="N2285" t="s">
        <v>9</v>
      </c>
      <c r="O2285" s="8">
        <v>19.67945205479452</v>
      </c>
      <c r="P2285" t="s">
        <v>32</v>
      </c>
      <c r="Q2285">
        <v>1</v>
      </c>
      <c r="R2285" s="2">
        <v>38809</v>
      </c>
    </row>
    <row r="2286" spans="1:18" x14ac:dyDescent="0.3">
      <c r="A2286" t="s">
        <v>7</v>
      </c>
      <c r="B2286">
        <v>18984034</v>
      </c>
      <c r="C2286" t="s">
        <v>8</v>
      </c>
      <c r="D2286" s="4">
        <v>45992</v>
      </c>
      <c r="E2286" s="11">
        <f t="shared" si="140"/>
        <v>2025</v>
      </c>
      <c r="F2286" s="11">
        <f t="shared" si="141"/>
        <v>12</v>
      </c>
      <c r="G2286" s="11" t="str">
        <f t="shared" si="142"/>
        <v>202512</v>
      </c>
      <c r="H2286" s="4">
        <v>46112</v>
      </c>
      <c r="I2286" s="5">
        <v>120</v>
      </c>
      <c r="J2286" s="5">
        <v>4</v>
      </c>
      <c r="K2286" s="5">
        <f t="shared" si="143"/>
        <v>0</v>
      </c>
      <c r="L2286" s="5">
        <v>0</v>
      </c>
      <c r="M2286" s="5">
        <v>1</v>
      </c>
      <c r="N2286" t="s">
        <v>9</v>
      </c>
      <c r="O2286" s="8">
        <v>20.589041095890412</v>
      </c>
      <c r="P2286" t="s">
        <v>32</v>
      </c>
      <c r="Q2286">
        <v>1</v>
      </c>
      <c r="R2286" s="2">
        <v>38477</v>
      </c>
    </row>
    <row r="2287" spans="1:18" x14ac:dyDescent="0.3">
      <c r="A2287" t="s">
        <v>7</v>
      </c>
      <c r="B2287">
        <v>18984035</v>
      </c>
      <c r="C2287" t="s">
        <v>8</v>
      </c>
      <c r="D2287" s="4">
        <v>45992</v>
      </c>
      <c r="E2287" s="11">
        <f t="shared" si="140"/>
        <v>2025</v>
      </c>
      <c r="F2287" s="11">
        <f t="shared" si="141"/>
        <v>12</v>
      </c>
      <c r="G2287" s="11" t="str">
        <f t="shared" si="142"/>
        <v>202512</v>
      </c>
      <c r="I2287" s="5">
        <v>9999</v>
      </c>
      <c r="J2287" s="5">
        <v>333.3</v>
      </c>
      <c r="K2287" s="5">
        <f t="shared" si="143"/>
        <v>0</v>
      </c>
      <c r="L2287" s="5">
        <v>0</v>
      </c>
      <c r="M2287" s="5">
        <v>0</v>
      </c>
      <c r="N2287" t="s">
        <v>9</v>
      </c>
      <c r="O2287" s="8">
        <v>18.041095890410958</v>
      </c>
      <c r="P2287" t="s">
        <v>32</v>
      </c>
      <c r="Q2287">
        <v>1</v>
      </c>
      <c r="R2287" s="2">
        <v>39407</v>
      </c>
    </row>
    <row r="2288" spans="1:18" x14ac:dyDescent="0.3">
      <c r="A2288" t="s">
        <v>7</v>
      </c>
      <c r="B2288">
        <v>18984043</v>
      </c>
      <c r="C2288" t="s">
        <v>10</v>
      </c>
      <c r="D2288" s="4">
        <v>45992</v>
      </c>
      <c r="E2288" s="11">
        <f t="shared" si="140"/>
        <v>2025</v>
      </c>
      <c r="F2288" s="11">
        <f t="shared" si="141"/>
        <v>12</v>
      </c>
      <c r="G2288" s="11" t="str">
        <f t="shared" si="142"/>
        <v>202512</v>
      </c>
      <c r="H2288" s="4">
        <v>46112</v>
      </c>
      <c r="I2288" s="5">
        <v>120</v>
      </c>
      <c r="J2288" s="5">
        <v>4</v>
      </c>
      <c r="K2288" s="5">
        <f t="shared" si="143"/>
        <v>0</v>
      </c>
      <c r="L2288" s="5">
        <v>0</v>
      </c>
      <c r="M2288" s="5">
        <v>1</v>
      </c>
      <c r="N2288" t="s">
        <v>9</v>
      </c>
      <c r="O2288" s="8">
        <v>20.153424657534245</v>
      </c>
      <c r="P2288" t="s">
        <v>32</v>
      </c>
      <c r="Q2288">
        <v>1</v>
      </c>
      <c r="R2288" s="2">
        <v>38636</v>
      </c>
    </row>
    <row r="2289" spans="1:18" x14ac:dyDescent="0.3">
      <c r="A2289" t="s">
        <v>7</v>
      </c>
      <c r="B2289">
        <v>18984044</v>
      </c>
      <c r="C2289" t="s">
        <v>10</v>
      </c>
      <c r="D2289" s="4">
        <v>45992</v>
      </c>
      <c r="E2289" s="11">
        <f t="shared" si="140"/>
        <v>2025</v>
      </c>
      <c r="F2289" s="11">
        <f t="shared" si="141"/>
        <v>12</v>
      </c>
      <c r="G2289" s="11" t="str">
        <f t="shared" si="142"/>
        <v>202512</v>
      </c>
      <c r="H2289" s="4">
        <v>46131</v>
      </c>
      <c r="I2289" s="5">
        <v>139</v>
      </c>
      <c r="J2289" s="5">
        <v>4.6333333333333337</v>
      </c>
      <c r="K2289" s="5">
        <f t="shared" si="143"/>
        <v>0</v>
      </c>
      <c r="L2289" s="5">
        <v>0</v>
      </c>
      <c r="M2289" s="5">
        <v>1</v>
      </c>
      <c r="N2289" t="s">
        <v>12</v>
      </c>
      <c r="O2289" s="8">
        <v>21.69041095890411</v>
      </c>
      <c r="P2289" t="s">
        <v>33</v>
      </c>
      <c r="Q2289">
        <v>2</v>
      </c>
      <c r="R2289" s="2">
        <v>38075</v>
      </c>
    </row>
    <row r="2290" spans="1:18" x14ac:dyDescent="0.3">
      <c r="A2290" t="s">
        <v>7</v>
      </c>
      <c r="B2290">
        <v>18984045</v>
      </c>
      <c r="C2290" t="s">
        <v>10</v>
      </c>
      <c r="D2290" s="4">
        <v>45992</v>
      </c>
      <c r="E2290" s="11">
        <f t="shared" si="140"/>
        <v>2025</v>
      </c>
      <c r="F2290" s="11">
        <f t="shared" si="141"/>
        <v>12</v>
      </c>
      <c r="G2290" s="11" t="str">
        <f t="shared" si="142"/>
        <v>202512</v>
      </c>
      <c r="H2290" s="4">
        <v>46084</v>
      </c>
      <c r="I2290" s="5">
        <v>92</v>
      </c>
      <c r="J2290" s="5">
        <v>3.0666666666666669</v>
      </c>
      <c r="K2290" s="5">
        <f t="shared" si="143"/>
        <v>0</v>
      </c>
      <c r="L2290" s="5">
        <v>0</v>
      </c>
      <c r="M2290" s="5">
        <v>1</v>
      </c>
      <c r="N2290" t="s">
        <v>9</v>
      </c>
      <c r="O2290" s="8">
        <v>20.147945205479452</v>
      </c>
      <c r="P2290" t="s">
        <v>32</v>
      </c>
      <c r="Q2290">
        <v>1</v>
      </c>
      <c r="R2290" s="2">
        <v>38638</v>
      </c>
    </row>
    <row r="2291" spans="1:18" x14ac:dyDescent="0.3">
      <c r="A2291" t="s">
        <v>7</v>
      </c>
      <c r="B2291">
        <v>18984046</v>
      </c>
      <c r="C2291" t="s">
        <v>8</v>
      </c>
      <c r="D2291" s="4">
        <v>45992</v>
      </c>
      <c r="E2291" s="11">
        <f t="shared" si="140"/>
        <v>2025</v>
      </c>
      <c r="F2291" s="11">
        <f t="shared" si="141"/>
        <v>12</v>
      </c>
      <c r="G2291" s="11" t="str">
        <f t="shared" si="142"/>
        <v>202512</v>
      </c>
      <c r="I2291" s="5">
        <v>9999</v>
      </c>
      <c r="J2291" s="5">
        <v>333.3</v>
      </c>
      <c r="K2291" s="5">
        <f t="shared" si="143"/>
        <v>0</v>
      </c>
      <c r="L2291" s="5">
        <v>0</v>
      </c>
      <c r="M2291" s="5">
        <v>0</v>
      </c>
      <c r="N2291" t="s">
        <v>9</v>
      </c>
      <c r="O2291" s="8">
        <v>35.06849315068493</v>
      </c>
      <c r="P2291" t="s">
        <v>35</v>
      </c>
      <c r="Q2291">
        <v>4</v>
      </c>
      <c r="R2291" s="2">
        <v>33192</v>
      </c>
    </row>
    <row r="2292" spans="1:18" x14ac:dyDescent="0.3">
      <c r="A2292" t="s">
        <v>7</v>
      </c>
      <c r="B2292">
        <v>18984048</v>
      </c>
      <c r="C2292" t="s">
        <v>8</v>
      </c>
      <c r="D2292" s="4">
        <v>45992</v>
      </c>
      <c r="E2292" s="11">
        <f t="shared" si="140"/>
        <v>2025</v>
      </c>
      <c r="F2292" s="11">
        <f t="shared" si="141"/>
        <v>12</v>
      </c>
      <c r="G2292" s="11" t="str">
        <f t="shared" si="142"/>
        <v>202512</v>
      </c>
      <c r="H2292" s="4">
        <v>46147</v>
      </c>
      <c r="I2292" s="5">
        <v>155</v>
      </c>
      <c r="J2292" s="5">
        <v>5.166666666666667</v>
      </c>
      <c r="K2292" s="5">
        <f t="shared" si="143"/>
        <v>0</v>
      </c>
      <c r="L2292" s="5">
        <v>0</v>
      </c>
      <c r="M2292" s="5">
        <v>1</v>
      </c>
      <c r="N2292" t="s">
        <v>12</v>
      </c>
      <c r="O2292" s="8">
        <v>20.564383561643837</v>
      </c>
      <c r="P2292" t="s">
        <v>32</v>
      </c>
      <c r="Q2292">
        <v>1</v>
      </c>
      <c r="R2292" s="2">
        <v>38486</v>
      </c>
    </row>
    <row r="2293" spans="1:18" x14ac:dyDescent="0.3">
      <c r="A2293" t="s">
        <v>7</v>
      </c>
      <c r="B2293">
        <v>18984050</v>
      </c>
      <c r="C2293" t="s">
        <v>8</v>
      </c>
      <c r="D2293" s="4">
        <v>45992</v>
      </c>
      <c r="E2293" s="11">
        <f t="shared" si="140"/>
        <v>2025</v>
      </c>
      <c r="F2293" s="11">
        <f t="shared" si="141"/>
        <v>12</v>
      </c>
      <c r="G2293" s="11" t="str">
        <f t="shared" si="142"/>
        <v>202512</v>
      </c>
      <c r="I2293" s="5">
        <v>9999</v>
      </c>
      <c r="J2293" s="5">
        <v>333.3</v>
      </c>
      <c r="K2293" s="5">
        <f t="shared" si="143"/>
        <v>0</v>
      </c>
      <c r="L2293" s="5">
        <v>0</v>
      </c>
      <c r="M2293" s="5">
        <v>0</v>
      </c>
      <c r="N2293" t="s">
        <v>9</v>
      </c>
      <c r="O2293" s="8">
        <v>20.095890410958905</v>
      </c>
      <c r="P2293" t="s">
        <v>32</v>
      </c>
      <c r="Q2293">
        <v>1</v>
      </c>
      <c r="R2293" s="2">
        <v>38657</v>
      </c>
    </row>
    <row r="2294" spans="1:18" x14ac:dyDescent="0.3">
      <c r="A2294" t="s">
        <v>7</v>
      </c>
      <c r="B2294">
        <v>18984051</v>
      </c>
      <c r="C2294" t="s">
        <v>10</v>
      </c>
      <c r="D2294" s="4">
        <v>45992</v>
      </c>
      <c r="E2294" s="11">
        <f t="shared" si="140"/>
        <v>2025</v>
      </c>
      <c r="F2294" s="11">
        <f t="shared" si="141"/>
        <v>12</v>
      </c>
      <c r="G2294" s="11" t="str">
        <f t="shared" si="142"/>
        <v>202512</v>
      </c>
      <c r="I2294" s="5">
        <v>9999</v>
      </c>
      <c r="J2294" s="5">
        <v>333.3</v>
      </c>
      <c r="K2294" s="5">
        <f t="shared" si="143"/>
        <v>0</v>
      </c>
      <c r="L2294" s="5">
        <v>0</v>
      </c>
      <c r="M2294" s="5">
        <v>0</v>
      </c>
      <c r="N2294" t="s">
        <v>9</v>
      </c>
      <c r="O2294" s="8">
        <v>18.547945205479451</v>
      </c>
      <c r="P2294" t="s">
        <v>32</v>
      </c>
      <c r="Q2294">
        <v>1</v>
      </c>
      <c r="R2294" s="2">
        <v>39222</v>
      </c>
    </row>
    <row r="2295" spans="1:18" x14ac:dyDescent="0.3">
      <c r="A2295" t="s">
        <v>7</v>
      </c>
      <c r="B2295">
        <v>18984055</v>
      </c>
      <c r="C2295" t="s">
        <v>8</v>
      </c>
      <c r="D2295" s="4">
        <v>45992</v>
      </c>
      <c r="E2295" s="11">
        <f t="shared" si="140"/>
        <v>2025</v>
      </c>
      <c r="F2295" s="11">
        <f t="shared" si="141"/>
        <v>12</v>
      </c>
      <c r="G2295" s="11" t="str">
        <f t="shared" si="142"/>
        <v>202512</v>
      </c>
      <c r="I2295" s="5">
        <v>9999</v>
      </c>
      <c r="J2295" s="5">
        <v>333.3</v>
      </c>
      <c r="K2295" s="5">
        <f t="shared" si="143"/>
        <v>0</v>
      </c>
      <c r="L2295" s="5">
        <v>0</v>
      </c>
      <c r="M2295" s="5">
        <v>0</v>
      </c>
      <c r="N2295" t="s">
        <v>9</v>
      </c>
      <c r="O2295" s="8">
        <v>22.589041095890412</v>
      </c>
      <c r="P2295" t="s">
        <v>33</v>
      </c>
      <c r="Q2295">
        <v>2</v>
      </c>
      <c r="R2295" s="2">
        <v>37747</v>
      </c>
    </row>
    <row r="2296" spans="1:18" x14ac:dyDescent="0.3">
      <c r="A2296" t="s">
        <v>7</v>
      </c>
      <c r="B2296">
        <v>18984056</v>
      </c>
      <c r="C2296" t="s">
        <v>8</v>
      </c>
      <c r="D2296" s="4">
        <v>46055</v>
      </c>
      <c r="E2296" s="11">
        <f t="shared" si="140"/>
        <v>2026</v>
      </c>
      <c r="F2296" s="11">
        <f t="shared" si="141"/>
        <v>2</v>
      </c>
      <c r="G2296" s="11" t="str">
        <f t="shared" si="142"/>
        <v>202602</v>
      </c>
      <c r="I2296" s="5">
        <v>9999</v>
      </c>
      <c r="J2296" s="5">
        <v>333.3</v>
      </c>
      <c r="K2296" s="5">
        <f t="shared" si="143"/>
        <v>0</v>
      </c>
      <c r="L2296" s="5">
        <v>0</v>
      </c>
      <c r="M2296" s="5">
        <v>0</v>
      </c>
      <c r="N2296" t="s">
        <v>9</v>
      </c>
      <c r="O2296" s="8">
        <v>18.435616438356163</v>
      </c>
      <c r="P2296" t="s">
        <v>32</v>
      </c>
      <c r="Q2296">
        <v>1</v>
      </c>
      <c r="R2296" s="2">
        <v>39326</v>
      </c>
    </row>
    <row r="2297" spans="1:18" x14ac:dyDescent="0.3">
      <c r="A2297" t="s">
        <v>7</v>
      </c>
      <c r="B2297">
        <v>18984058</v>
      </c>
      <c r="C2297" t="s">
        <v>8</v>
      </c>
      <c r="D2297" s="4">
        <v>45992</v>
      </c>
      <c r="E2297" s="11">
        <f t="shared" si="140"/>
        <v>2025</v>
      </c>
      <c r="F2297" s="11">
        <f t="shared" si="141"/>
        <v>12</v>
      </c>
      <c r="G2297" s="11" t="str">
        <f t="shared" si="142"/>
        <v>202512</v>
      </c>
      <c r="I2297" s="5">
        <v>9999</v>
      </c>
      <c r="J2297" s="5">
        <v>333.3</v>
      </c>
      <c r="K2297" s="5">
        <f t="shared" si="143"/>
        <v>0</v>
      </c>
      <c r="L2297" s="5">
        <v>0</v>
      </c>
      <c r="M2297" s="5">
        <v>0</v>
      </c>
      <c r="N2297" t="s">
        <v>9</v>
      </c>
      <c r="O2297" s="8">
        <v>26.876712328767123</v>
      </c>
      <c r="P2297" t="s">
        <v>34</v>
      </c>
      <c r="Q2297">
        <v>3</v>
      </c>
      <c r="R2297" s="2">
        <v>36182</v>
      </c>
    </row>
    <row r="2298" spans="1:18" x14ac:dyDescent="0.3">
      <c r="A2298" t="s">
        <v>7</v>
      </c>
      <c r="B2298">
        <v>18984061</v>
      </c>
      <c r="C2298" t="s">
        <v>8</v>
      </c>
      <c r="D2298" s="4">
        <v>45992</v>
      </c>
      <c r="E2298" s="11">
        <f t="shared" si="140"/>
        <v>2025</v>
      </c>
      <c r="F2298" s="11">
        <f t="shared" si="141"/>
        <v>12</v>
      </c>
      <c r="G2298" s="11" t="str">
        <f t="shared" si="142"/>
        <v>202512</v>
      </c>
      <c r="I2298" s="5">
        <v>9999</v>
      </c>
      <c r="J2298" s="5">
        <v>333.3</v>
      </c>
      <c r="K2298" s="5">
        <f t="shared" si="143"/>
        <v>0</v>
      </c>
      <c r="L2298" s="5">
        <v>0</v>
      </c>
      <c r="M2298" s="5">
        <v>0</v>
      </c>
      <c r="N2298" t="s">
        <v>9</v>
      </c>
      <c r="O2298" s="8">
        <v>19.956164383561642</v>
      </c>
      <c r="P2298" t="s">
        <v>32</v>
      </c>
      <c r="Q2298">
        <v>1</v>
      </c>
      <c r="R2298" s="2">
        <v>38708</v>
      </c>
    </row>
    <row r="2299" spans="1:18" x14ac:dyDescent="0.3">
      <c r="A2299" t="s">
        <v>7</v>
      </c>
      <c r="B2299">
        <v>18984067</v>
      </c>
      <c r="C2299" t="s">
        <v>8</v>
      </c>
      <c r="D2299" s="4">
        <v>45992</v>
      </c>
      <c r="E2299" s="11">
        <f t="shared" si="140"/>
        <v>2025</v>
      </c>
      <c r="F2299" s="11">
        <f t="shared" si="141"/>
        <v>12</v>
      </c>
      <c r="G2299" s="11" t="str">
        <f t="shared" si="142"/>
        <v>202512</v>
      </c>
      <c r="I2299" s="5">
        <v>9999</v>
      </c>
      <c r="J2299" s="5">
        <v>333.3</v>
      </c>
      <c r="K2299" s="5">
        <f t="shared" si="143"/>
        <v>0</v>
      </c>
      <c r="L2299" s="5">
        <v>0</v>
      </c>
      <c r="M2299" s="5">
        <v>0</v>
      </c>
      <c r="N2299" t="s">
        <v>12</v>
      </c>
      <c r="O2299" s="8">
        <v>30.813698630136987</v>
      </c>
      <c r="P2299" t="s">
        <v>34</v>
      </c>
      <c r="Q2299">
        <v>3</v>
      </c>
      <c r="R2299" s="2">
        <v>34745</v>
      </c>
    </row>
    <row r="2300" spans="1:18" x14ac:dyDescent="0.3">
      <c r="A2300" t="s">
        <v>7</v>
      </c>
      <c r="B2300">
        <v>18984071</v>
      </c>
      <c r="C2300" t="s">
        <v>10</v>
      </c>
      <c r="D2300" s="4">
        <v>46066</v>
      </c>
      <c r="E2300" s="11">
        <f t="shared" si="140"/>
        <v>2026</v>
      </c>
      <c r="F2300" s="11">
        <f t="shared" si="141"/>
        <v>2</v>
      </c>
      <c r="G2300" s="11" t="str">
        <f t="shared" si="142"/>
        <v>202602</v>
      </c>
      <c r="H2300" s="4">
        <v>46125</v>
      </c>
      <c r="I2300" s="5">
        <v>59</v>
      </c>
      <c r="J2300" s="5">
        <v>1.9666666666666666</v>
      </c>
      <c r="K2300" s="5">
        <f t="shared" si="143"/>
        <v>0</v>
      </c>
      <c r="L2300" s="5">
        <v>1</v>
      </c>
      <c r="M2300" s="5">
        <v>1</v>
      </c>
      <c r="N2300" t="s">
        <v>9</v>
      </c>
      <c r="O2300" s="8">
        <v>20.701369863013699</v>
      </c>
      <c r="P2300" t="s">
        <v>32</v>
      </c>
      <c r="Q2300">
        <v>1</v>
      </c>
      <c r="R2300" s="2">
        <v>38510</v>
      </c>
    </row>
    <row r="2301" spans="1:18" x14ac:dyDescent="0.3">
      <c r="A2301" t="s">
        <v>7</v>
      </c>
      <c r="B2301">
        <v>18984073</v>
      </c>
      <c r="C2301" t="s">
        <v>10</v>
      </c>
      <c r="D2301" s="4">
        <v>45992</v>
      </c>
      <c r="E2301" s="11">
        <f t="shared" si="140"/>
        <v>2025</v>
      </c>
      <c r="F2301" s="11">
        <f t="shared" si="141"/>
        <v>12</v>
      </c>
      <c r="G2301" s="11" t="str">
        <f t="shared" si="142"/>
        <v>202512</v>
      </c>
      <c r="I2301" s="5">
        <v>9999</v>
      </c>
      <c r="J2301" s="5">
        <v>333.3</v>
      </c>
      <c r="K2301" s="5">
        <f t="shared" si="143"/>
        <v>0</v>
      </c>
      <c r="L2301" s="5">
        <v>0</v>
      </c>
      <c r="M2301" s="5">
        <v>0</v>
      </c>
      <c r="N2301" t="s">
        <v>9</v>
      </c>
      <c r="O2301" s="8">
        <v>19.991780821917807</v>
      </c>
      <c r="P2301" t="s">
        <v>32</v>
      </c>
      <c r="Q2301">
        <v>1</v>
      </c>
      <c r="R2301" s="2">
        <v>38695</v>
      </c>
    </row>
    <row r="2302" spans="1:18" x14ac:dyDescent="0.3">
      <c r="A2302" t="s">
        <v>7</v>
      </c>
      <c r="B2302">
        <v>18984074</v>
      </c>
      <c r="C2302" t="s">
        <v>8</v>
      </c>
      <c r="D2302" s="4">
        <v>45992</v>
      </c>
      <c r="E2302" s="11">
        <f t="shared" si="140"/>
        <v>2025</v>
      </c>
      <c r="F2302" s="11">
        <f t="shared" si="141"/>
        <v>12</v>
      </c>
      <c r="G2302" s="11" t="str">
        <f t="shared" si="142"/>
        <v>202512</v>
      </c>
      <c r="H2302" s="4">
        <v>46053</v>
      </c>
      <c r="I2302" s="5">
        <v>61</v>
      </c>
      <c r="J2302" s="5">
        <v>2.0333333333333332</v>
      </c>
      <c r="K2302" s="5">
        <f t="shared" si="143"/>
        <v>0</v>
      </c>
      <c r="L2302" s="5">
        <v>1</v>
      </c>
      <c r="M2302" s="5">
        <v>1</v>
      </c>
      <c r="N2302" t="s">
        <v>9</v>
      </c>
      <c r="O2302" s="8">
        <v>20.726027397260275</v>
      </c>
      <c r="P2302" t="s">
        <v>32</v>
      </c>
      <c r="Q2302">
        <v>1</v>
      </c>
      <c r="R2302" s="2">
        <v>38427</v>
      </c>
    </row>
    <row r="2303" spans="1:18" x14ac:dyDescent="0.3">
      <c r="A2303" t="s">
        <v>7</v>
      </c>
      <c r="B2303">
        <v>18984076</v>
      </c>
      <c r="C2303" t="s">
        <v>8</v>
      </c>
      <c r="D2303" s="4">
        <v>45992</v>
      </c>
      <c r="E2303" s="11">
        <f t="shared" si="140"/>
        <v>2025</v>
      </c>
      <c r="F2303" s="11">
        <f t="shared" si="141"/>
        <v>12</v>
      </c>
      <c r="G2303" s="11" t="str">
        <f t="shared" si="142"/>
        <v>202512</v>
      </c>
      <c r="I2303" s="5">
        <v>9999</v>
      </c>
      <c r="J2303" s="5">
        <v>333.3</v>
      </c>
      <c r="K2303" s="5">
        <f t="shared" si="143"/>
        <v>0</v>
      </c>
      <c r="L2303" s="5">
        <v>0</v>
      </c>
      <c r="M2303" s="5">
        <v>0</v>
      </c>
      <c r="N2303" t="s">
        <v>9</v>
      </c>
      <c r="O2303" s="8">
        <v>25.668493150684931</v>
      </c>
      <c r="P2303" t="s">
        <v>33</v>
      </c>
      <c r="Q2303">
        <v>2</v>
      </c>
      <c r="R2303" s="2">
        <v>36623</v>
      </c>
    </row>
    <row r="2304" spans="1:18" x14ac:dyDescent="0.3">
      <c r="A2304" t="s">
        <v>7</v>
      </c>
      <c r="B2304">
        <v>18984079</v>
      </c>
      <c r="C2304" t="s">
        <v>8</v>
      </c>
      <c r="D2304" s="4">
        <v>45992</v>
      </c>
      <c r="E2304" s="11">
        <f t="shared" si="140"/>
        <v>2025</v>
      </c>
      <c r="F2304" s="11">
        <f t="shared" si="141"/>
        <v>12</v>
      </c>
      <c r="G2304" s="11" t="str">
        <f t="shared" si="142"/>
        <v>202512</v>
      </c>
      <c r="I2304" s="5">
        <v>9999</v>
      </c>
      <c r="J2304" s="5">
        <v>333.3</v>
      </c>
      <c r="K2304" s="5">
        <f t="shared" si="143"/>
        <v>0</v>
      </c>
      <c r="L2304" s="5">
        <v>0</v>
      </c>
      <c r="M2304" s="5">
        <v>0</v>
      </c>
      <c r="N2304" t="s">
        <v>9</v>
      </c>
      <c r="O2304" s="8">
        <v>21.065753424657533</v>
      </c>
      <c r="P2304" t="s">
        <v>33</v>
      </c>
      <c r="Q2304">
        <v>2</v>
      </c>
      <c r="R2304" s="2">
        <v>38303</v>
      </c>
    </row>
    <row r="2305" spans="1:18" x14ac:dyDescent="0.3">
      <c r="A2305" t="s">
        <v>7</v>
      </c>
      <c r="B2305">
        <v>18984080</v>
      </c>
      <c r="C2305" t="s">
        <v>8</v>
      </c>
      <c r="D2305" s="4">
        <v>45992</v>
      </c>
      <c r="E2305" s="11">
        <f t="shared" si="140"/>
        <v>2025</v>
      </c>
      <c r="F2305" s="11">
        <f t="shared" si="141"/>
        <v>12</v>
      </c>
      <c r="G2305" s="11" t="str">
        <f t="shared" si="142"/>
        <v>202512</v>
      </c>
      <c r="I2305" s="5">
        <v>9999</v>
      </c>
      <c r="J2305" s="5">
        <v>333.3</v>
      </c>
      <c r="K2305" s="5">
        <f t="shared" si="143"/>
        <v>0</v>
      </c>
      <c r="L2305" s="5">
        <v>0</v>
      </c>
      <c r="M2305" s="5">
        <v>0</v>
      </c>
      <c r="N2305" t="s">
        <v>12</v>
      </c>
      <c r="O2305" s="8">
        <v>34.279452054794518</v>
      </c>
      <c r="P2305" t="s">
        <v>35</v>
      </c>
      <c r="Q2305">
        <v>4</v>
      </c>
      <c r="R2305" s="2">
        <v>33480</v>
      </c>
    </row>
    <row r="2306" spans="1:18" x14ac:dyDescent="0.3">
      <c r="A2306" t="s">
        <v>7</v>
      </c>
      <c r="B2306">
        <v>18984082</v>
      </c>
      <c r="C2306" t="s">
        <v>10</v>
      </c>
      <c r="D2306" s="4">
        <v>45992</v>
      </c>
      <c r="E2306" s="11">
        <f t="shared" si="140"/>
        <v>2025</v>
      </c>
      <c r="F2306" s="11">
        <f t="shared" si="141"/>
        <v>12</v>
      </c>
      <c r="G2306" s="11" t="str">
        <f t="shared" si="142"/>
        <v>202512</v>
      </c>
      <c r="H2306" s="4">
        <v>46055</v>
      </c>
      <c r="I2306" s="5">
        <v>63</v>
      </c>
      <c r="J2306" s="5">
        <v>2.1</v>
      </c>
      <c r="K2306" s="5">
        <f t="shared" si="143"/>
        <v>0</v>
      </c>
      <c r="L2306" s="5">
        <v>1</v>
      </c>
      <c r="M2306" s="5">
        <v>1</v>
      </c>
      <c r="N2306" t="s">
        <v>12</v>
      </c>
      <c r="O2306" s="8">
        <v>22.482191780821918</v>
      </c>
      <c r="P2306" t="s">
        <v>33</v>
      </c>
      <c r="Q2306">
        <v>2</v>
      </c>
      <c r="R2306" s="2">
        <v>37786</v>
      </c>
    </row>
    <row r="2307" spans="1:18" x14ac:dyDescent="0.3">
      <c r="A2307" t="s">
        <v>7</v>
      </c>
      <c r="B2307">
        <v>18984083</v>
      </c>
      <c r="C2307" t="s">
        <v>8</v>
      </c>
      <c r="D2307" s="4">
        <v>45992</v>
      </c>
      <c r="E2307" s="11">
        <f t="shared" ref="E2307:E2370" si="144">+YEAR(D2307)</f>
        <v>2025</v>
      </c>
      <c r="F2307" s="11">
        <f t="shared" ref="F2307:F2370" si="145">+MONTH(D2307)</f>
        <v>12</v>
      </c>
      <c r="G2307" s="11" t="str">
        <f t="shared" ref="G2307:G2370" si="146">+TEXT(D2307, "yyymm")</f>
        <v>202512</v>
      </c>
      <c r="I2307" s="5">
        <v>9999</v>
      </c>
      <c r="J2307" s="5">
        <v>333.3</v>
      </c>
      <c r="K2307" s="5">
        <f t="shared" ref="K2307:K2370" si="147">IF(J2307&lt;=1,1,0)</f>
        <v>0</v>
      </c>
      <c r="L2307" s="5">
        <v>0</v>
      </c>
      <c r="M2307" s="5">
        <v>0</v>
      </c>
      <c r="N2307" t="s">
        <v>9</v>
      </c>
      <c r="O2307" s="8">
        <v>19.92876712328767</v>
      </c>
      <c r="P2307" t="s">
        <v>32</v>
      </c>
      <c r="Q2307">
        <v>1</v>
      </c>
      <c r="R2307" s="2">
        <v>38718</v>
      </c>
    </row>
    <row r="2308" spans="1:18" x14ac:dyDescent="0.3">
      <c r="A2308" t="s">
        <v>7</v>
      </c>
      <c r="B2308">
        <v>18984093</v>
      </c>
      <c r="C2308" t="s">
        <v>10</v>
      </c>
      <c r="D2308" s="4">
        <v>46076</v>
      </c>
      <c r="E2308" s="11">
        <f t="shared" si="144"/>
        <v>2026</v>
      </c>
      <c r="F2308" s="11">
        <f t="shared" si="145"/>
        <v>2</v>
      </c>
      <c r="G2308" s="11" t="str">
        <f t="shared" si="146"/>
        <v>202602</v>
      </c>
      <c r="I2308" s="5">
        <v>9999</v>
      </c>
      <c r="J2308" s="5">
        <v>333.3</v>
      </c>
      <c r="K2308" s="5">
        <f t="shared" si="147"/>
        <v>0</v>
      </c>
      <c r="L2308" s="5">
        <v>0</v>
      </c>
      <c r="M2308" s="5">
        <v>0</v>
      </c>
      <c r="N2308" t="s">
        <v>9</v>
      </c>
      <c r="O2308" s="8">
        <v>18.378082191780823</v>
      </c>
      <c r="P2308" t="s">
        <v>32</v>
      </c>
      <c r="Q2308">
        <v>1</v>
      </c>
      <c r="R2308" s="2">
        <v>39368</v>
      </c>
    </row>
    <row r="2309" spans="1:18" x14ac:dyDescent="0.3">
      <c r="A2309" t="s">
        <v>7</v>
      </c>
      <c r="B2309">
        <v>18984101</v>
      </c>
      <c r="C2309" t="s">
        <v>8</v>
      </c>
      <c r="D2309" s="4">
        <v>45992</v>
      </c>
      <c r="E2309" s="11">
        <f t="shared" si="144"/>
        <v>2025</v>
      </c>
      <c r="F2309" s="11">
        <f t="shared" si="145"/>
        <v>12</v>
      </c>
      <c r="G2309" s="11" t="str">
        <f t="shared" si="146"/>
        <v>202512</v>
      </c>
      <c r="H2309" s="4">
        <v>46117</v>
      </c>
      <c r="I2309" s="5">
        <v>125</v>
      </c>
      <c r="J2309" s="5">
        <v>4.166666666666667</v>
      </c>
      <c r="K2309" s="5">
        <f t="shared" si="147"/>
        <v>0</v>
      </c>
      <c r="L2309" s="5">
        <v>0</v>
      </c>
      <c r="M2309" s="5">
        <v>1</v>
      </c>
      <c r="N2309" t="s">
        <v>9</v>
      </c>
      <c r="O2309" s="8">
        <v>19.61917808219178</v>
      </c>
      <c r="P2309" t="s">
        <v>32</v>
      </c>
      <c r="Q2309">
        <v>1</v>
      </c>
      <c r="R2309" s="2">
        <v>38831</v>
      </c>
    </row>
    <row r="2310" spans="1:18" x14ac:dyDescent="0.3">
      <c r="A2310" t="s">
        <v>7</v>
      </c>
      <c r="B2310">
        <v>18984102</v>
      </c>
      <c r="C2310" t="s">
        <v>8</v>
      </c>
      <c r="D2310" s="4">
        <v>45992</v>
      </c>
      <c r="E2310" s="11">
        <f t="shared" si="144"/>
        <v>2025</v>
      </c>
      <c r="F2310" s="11">
        <f t="shared" si="145"/>
        <v>12</v>
      </c>
      <c r="G2310" s="11" t="str">
        <f t="shared" si="146"/>
        <v>202512</v>
      </c>
      <c r="H2310" s="4">
        <v>46068</v>
      </c>
      <c r="I2310" s="5">
        <v>76</v>
      </c>
      <c r="J2310" s="5">
        <v>2.5333333333333332</v>
      </c>
      <c r="K2310" s="5">
        <f t="shared" si="147"/>
        <v>0</v>
      </c>
      <c r="L2310" s="5">
        <v>1</v>
      </c>
      <c r="M2310" s="5">
        <v>1</v>
      </c>
      <c r="N2310" t="s">
        <v>9</v>
      </c>
      <c r="O2310" s="8">
        <v>19.257534246575343</v>
      </c>
      <c r="P2310" t="s">
        <v>32</v>
      </c>
      <c r="Q2310">
        <v>1</v>
      </c>
      <c r="R2310" s="2">
        <v>38963</v>
      </c>
    </row>
    <row r="2311" spans="1:18" x14ac:dyDescent="0.3">
      <c r="A2311" t="s">
        <v>7</v>
      </c>
      <c r="B2311">
        <v>18984104</v>
      </c>
      <c r="C2311" t="s">
        <v>10</v>
      </c>
      <c r="D2311" s="4">
        <v>45992</v>
      </c>
      <c r="E2311" s="11">
        <f t="shared" si="144"/>
        <v>2025</v>
      </c>
      <c r="F2311" s="11">
        <f t="shared" si="145"/>
        <v>12</v>
      </c>
      <c r="G2311" s="11" t="str">
        <f t="shared" si="146"/>
        <v>202512</v>
      </c>
      <c r="H2311" s="4">
        <v>46096</v>
      </c>
      <c r="I2311" s="5">
        <v>104</v>
      </c>
      <c r="J2311" s="5">
        <v>3.4666666666666668</v>
      </c>
      <c r="K2311" s="5">
        <f t="shared" si="147"/>
        <v>0</v>
      </c>
      <c r="L2311" s="5">
        <v>0</v>
      </c>
      <c r="M2311" s="5">
        <v>1</v>
      </c>
      <c r="N2311" t="s">
        <v>12</v>
      </c>
      <c r="O2311" s="8">
        <v>20.07123287671233</v>
      </c>
      <c r="P2311" t="s">
        <v>32</v>
      </c>
      <c r="Q2311">
        <v>1</v>
      </c>
      <c r="R2311" s="2">
        <v>38666</v>
      </c>
    </row>
    <row r="2312" spans="1:18" x14ac:dyDescent="0.3">
      <c r="A2312" t="s">
        <v>7</v>
      </c>
      <c r="B2312">
        <v>18984105</v>
      </c>
      <c r="C2312" t="s">
        <v>8</v>
      </c>
      <c r="D2312" s="4">
        <v>46133</v>
      </c>
      <c r="E2312" s="11">
        <f t="shared" si="144"/>
        <v>2026</v>
      </c>
      <c r="F2312" s="11">
        <f t="shared" si="145"/>
        <v>4</v>
      </c>
      <c r="G2312" s="11" t="str">
        <f t="shared" si="146"/>
        <v>202604</v>
      </c>
      <c r="I2312" s="5">
        <v>9999</v>
      </c>
      <c r="J2312" s="5">
        <v>333.3</v>
      </c>
      <c r="K2312" s="5">
        <f t="shared" si="147"/>
        <v>0</v>
      </c>
      <c r="L2312" s="5">
        <v>0</v>
      </c>
      <c r="M2312" s="5">
        <v>0</v>
      </c>
      <c r="N2312" t="s">
        <v>12</v>
      </c>
      <c r="O2312" s="8">
        <v>23.158904109589042</v>
      </c>
      <c r="P2312" t="s">
        <v>33</v>
      </c>
      <c r="Q2312">
        <v>2</v>
      </c>
      <c r="R2312" s="2">
        <v>37680</v>
      </c>
    </row>
    <row r="2313" spans="1:18" x14ac:dyDescent="0.3">
      <c r="A2313" t="s">
        <v>7</v>
      </c>
      <c r="B2313">
        <v>18984106</v>
      </c>
      <c r="C2313" t="s">
        <v>8</v>
      </c>
      <c r="D2313" s="4">
        <v>46066</v>
      </c>
      <c r="E2313" s="11">
        <f t="shared" si="144"/>
        <v>2026</v>
      </c>
      <c r="F2313" s="11">
        <f t="shared" si="145"/>
        <v>2</v>
      </c>
      <c r="G2313" s="11" t="str">
        <f t="shared" si="146"/>
        <v>202602</v>
      </c>
      <c r="I2313" s="5">
        <v>9999</v>
      </c>
      <c r="J2313" s="5">
        <v>333.3</v>
      </c>
      <c r="K2313" s="5">
        <f t="shared" si="147"/>
        <v>0</v>
      </c>
      <c r="L2313" s="5">
        <v>0</v>
      </c>
      <c r="M2313" s="5">
        <v>0</v>
      </c>
      <c r="N2313" t="s">
        <v>12</v>
      </c>
      <c r="O2313" s="8">
        <v>27.865753424657534</v>
      </c>
      <c r="P2313" t="s">
        <v>34</v>
      </c>
      <c r="Q2313">
        <v>3</v>
      </c>
      <c r="R2313" s="2">
        <v>35895</v>
      </c>
    </row>
    <row r="2314" spans="1:18" x14ac:dyDescent="0.3">
      <c r="A2314" t="s">
        <v>7</v>
      </c>
      <c r="B2314">
        <v>18984108</v>
      </c>
      <c r="C2314" t="s">
        <v>8</v>
      </c>
      <c r="D2314" s="4">
        <v>45992</v>
      </c>
      <c r="E2314" s="11">
        <f t="shared" si="144"/>
        <v>2025</v>
      </c>
      <c r="F2314" s="11">
        <f t="shared" si="145"/>
        <v>12</v>
      </c>
      <c r="G2314" s="11" t="str">
        <f t="shared" si="146"/>
        <v>202512</v>
      </c>
      <c r="I2314" s="5">
        <v>9999</v>
      </c>
      <c r="J2314" s="5">
        <v>333.3</v>
      </c>
      <c r="K2314" s="5">
        <f t="shared" si="147"/>
        <v>0</v>
      </c>
      <c r="L2314" s="5">
        <v>0</v>
      </c>
      <c r="M2314" s="5">
        <v>0</v>
      </c>
      <c r="N2314" t="s">
        <v>9</v>
      </c>
      <c r="O2314" s="8">
        <v>21.463013698630139</v>
      </c>
      <c r="P2314" t="s">
        <v>33</v>
      </c>
      <c r="Q2314">
        <v>2</v>
      </c>
      <c r="R2314" s="2">
        <v>38158</v>
      </c>
    </row>
    <row r="2315" spans="1:18" x14ac:dyDescent="0.3">
      <c r="A2315" t="s">
        <v>7</v>
      </c>
      <c r="B2315">
        <v>18984111</v>
      </c>
      <c r="C2315" t="s">
        <v>8</v>
      </c>
      <c r="D2315" s="4">
        <v>45992</v>
      </c>
      <c r="E2315" s="11">
        <f t="shared" si="144"/>
        <v>2025</v>
      </c>
      <c r="F2315" s="11">
        <f t="shared" si="145"/>
        <v>12</v>
      </c>
      <c r="G2315" s="11" t="str">
        <f t="shared" si="146"/>
        <v>202512</v>
      </c>
      <c r="I2315" s="5">
        <v>9999</v>
      </c>
      <c r="J2315" s="5">
        <v>333.3</v>
      </c>
      <c r="K2315" s="5">
        <f t="shared" si="147"/>
        <v>0</v>
      </c>
      <c r="L2315" s="5">
        <v>0</v>
      </c>
      <c r="M2315" s="5">
        <v>0</v>
      </c>
      <c r="N2315" t="s">
        <v>9</v>
      </c>
      <c r="O2315" s="8">
        <v>18.4986301369863</v>
      </c>
      <c r="P2315" t="s">
        <v>32</v>
      </c>
      <c r="Q2315">
        <v>1</v>
      </c>
      <c r="R2315" s="2">
        <v>39240</v>
      </c>
    </row>
    <row r="2316" spans="1:18" x14ac:dyDescent="0.3">
      <c r="A2316" t="s">
        <v>7</v>
      </c>
      <c r="B2316">
        <v>18984115</v>
      </c>
      <c r="C2316" t="s">
        <v>10</v>
      </c>
      <c r="D2316" s="4">
        <v>45992</v>
      </c>
      <c r="E2316" s="11">
        <f t="shared" si="144"/>
        <v>2025</v>
      </c>
      <c r="F2316" s="11">
        <f t="shared" si="145"/>
        <v>12</v>
      </c>
      <c r="G2316" s="11" t="str">
        <f t="shared" si="146"/>
        <v>202512</v>
      </c>
      <c r="H2316" s="4">
        <v>46113</v>
      </c>
      <c r="I2316" s="5">
        <v>121</v>
      </c>
      <c r="J2316" s="5">
        <v>4.0333333333333332</v>
      </c>
      <c r="K2316" s="5">
        <f t="shared" si="147"/>
        <v>0</v>
      </c>
      <c r="L2316" s="5">
        <v>0</v>
      </c>
      <c r="M2316" s="5">
        <v>1</v>
      </c>
      <c r="N2316" t="s">
        <v>12</v>
      </c>
      <c r="O2316" s="8">
        <v>18.635616438356163</v>
      </c>
      <c r="P2316" t="s">
        <v>32</v>
      </c>
      <c r="Q2316">
        <v>1</v>
      </c>
      <c r="R2316" s="2">
        <v>39190</v>
      </c>
    </row>
    <row r="2317" spans="1:18" x14ac:dyDescent="0.3">
      <c r="A2317" t="s">
        <v>7</v>
      </c>
      <c r="B2317">
        <v>18984117</v>
      </c>
      <c r="C2317" t="s">
        <v>8</v>
      </c>
      <c r="D2317" s="4">
        <v>45993</v>
      </c>
      <c r="E2317" s="11">
        <f t="shared" si="144"/>
        <v>2025</v>
      </c>
      <c r="F2317" s="11">
        <f t="shared" si="145"/>
        <v>12</v>
      </c>
      <c r="G2317" s="11" t="str">
        <f t="shared" si="146"/>
        <v>202512</v>
      </c>
      <c r="I2317" s="5">
        <v>9999</v>
      </c>
      <c r="J2317" s="5">
        <v>333.3</v>
      </c>
      <c r="K2317" s="5">
        <f t="shared" si="147"/>
        <v>0</v>
      </c>
      <c r="L2317" s="5">
        <v>0</v>
      </c>
      <c r="M2317" s="5">
        <v>0</v>
      </c>
      <c r="N2317" t="s">
        <v>9</v>
      </c>
      <c r="O2317" s="8">
        <v>25.301369863013697</v>
      </c>
      <c r="P2317" t="s">
        <v>33</v>
      </c>
      <c r="Q2317">
        <v>2</v>
      </c>
      <c r="R2317" s="2">
        <v>36758</v>
      </c>
    </row>
    <row r="2318" spans="1:18" x14ac:dyDescent="0.3">
      <c r="A2318" t="s">
        <v>7</v>
      </c>
      <c r="B2318">
        <v>18984118</v>
      </c>
      <c r="C2318" t="s">
        <v>10</v>
      </c>
      <c r="D2318" s="4">
        <v>45992</v>
      </c>
      <c r="E2318" s="11">
        <f t="shared" si="144"/>
        <v>2025</v>
      </c>
      <c r="F2318" s="11">
        <f t="shared" si="145"/>
        <v>12</v>
      </c>
      <c r="G2318" s="11" t="str">
        <f t="shared" si="146"/>
        <v>202512</v>
      </c>
      <c r="H2318" s="4">
        <v>46142</v>
      </c>
      <c r="I2318" s="5">
        <v>150</v>
      </c>
      <c r="J2318" s="5">
        <v>5</v>
      </c>
      <c r="K2318" s="5">
        <f t="shared" si="147"/>
        <v>0</v>
      </c>
      <c r="L2318" s="5">
        <v>0</v>
      </c>
      <c r="M2318" s="5">
        <v>1</v>
      </c>
      <c r="N2318" t="s">
        <v>9</v>
      </c>
      <c r="O2318" s="8">
        <v>31.824657534246576</v>
      </c>
      <c r="P2318" t="s">
        <v>35</v>
      </c>
      <c r="Q2318">
        <v>4</v>
      </c>
      <c r="R2318" s="2">
        <v>34376</v>
      </c>
    </row>
    <row r="2319" spans="1:18" x14ac:dyDescent="0.3">
      <c r="A2319" t="s">
        <v>7</v>
      </c>
      <c r="B2319">
        <v>18984136</v>
      </c>
      <c r="C2319" t="s">
        <v>10</v>
      </c>
      <c r="D2319" s="4">
        <v>45992</v>
      </c>
      <c r="E2319" s="11">
        <f t="shared" si="144"/>
        <v>2025</v>
      </c>
      <c r="F2319" s="11">
        <f t="shared" si="145"/>
        <v>12</v>
      </c>
      <c r="G2319" s="11" t="str">
        <f t="shared" si="146"/>
        <v>202512</v>
      </c>
      <c r="H2319" s="4">
        <v>46161</v>
      </c>
      <c r="I2319" s="5">
        <v>169</v>
      </c>
      <c r="J2319" s="5">
        <v>5.6333333333333337</v>
      </c>
      <c r="K2319" s="5">
        <f t="shared" si="147"/>
        <v>0</v>
      </c>
      <c r="L2319" s="5">
        <v>0</v>
      </c>
      <c r="M2319" s="5">
        <v>1</v>
      </c>
      <c r="N2319" t="s">
        <v>12</v>
      </c>
      <c r="O2319" s="8">
        <v>20.2</v>
      </c>
      <c r="P2319" t="s">
        <v>32</v>
      </c>
      <c r="Q2319">
        <v>1</v>
      </c>
      <c r="R2319" s="2">
        <v>38619</v>
      </c>
    </row>
    <row r="2320" spans="1:18" x14ac:dyDescent="0.3">
      <c r="A2320" t="s">
        <v>7</v>
      </c>
      <c r="B2320">
        <v>18984204</v>
      </c>
      <c r="C2320" t="s">
        <v>8</v>
      </c>
      <c r="D2320" s="4">
        <v>45993</v>
      </c>
      <c r="E2320" s="11">
        <f t="shared" si="144"/>
        <v>2025</v>
      </c>
      <c r="F2320" s="11">
        <f t="shared" si="145"/>
        <v>12</v>
      </c>
      <c r="G2320" s="11" t="str">
        <f t="shared" si="146"/>
        <v>202512</v>
      </c>
      <c r="I2320" s="5">
        <v>9999</v>
      </c>
      <c r="J2320" s="5">
        <v>333.3</v>
      </c>
      <c r="K2320" s="5">
        <f t="shared" si="147"/>
        <v>0</v>
      </c>
      <c r="L2320" s="5">
        <v>0</v>
      </c>
      <c r="M2320" s="5">
        <v>0</v>
      </c>
      <c r="N2320" t="s">
        <v>12</v>
      </c>
      <c r="O2320" s="8">
        <v>19.671232876712327</v>
      </c>
      <c r="P2320" t="s">
        <v>32</v>
      </c>
      <c r="Q2320">
        <v>1</v>
      </c>
      <c r="R2320" s="2">
        <v>38813</v>
      </c>
    </row>
    <row r="2321" spans="1:18" x14ac:dyDescent="0.3">
      <c r="A2321" t="s">
        <v>7</v>
      </c>
      <c r="B2321">
        <v>18984284</v>
      </c>
      <c r="C2321" t="s">
        <v>10</v>
      </c>
      <c r="D2321" s="4">
        <v>45992</v>
      </c>
      <c r="E2321" s="11">
        <f t="shared" si="144"/>
        <v>2025</v>
      </c>
      <c r="F2321" s="11">
        <f t="shared" si="145"/>
        <v>12</v>
      </c>
      <c r="G2321" s="11" t="str">
        <f t="shared" si="146"/>
        <v>202512</v>
      </c>
      <c r="I2321" s="5">
        <v>9999</v>
      </c>
      <c r="J2321" s="5">
        <v>333.3</v>
      </c>
      <c r="K2321" s="5">
        <f t="shared" si="147"/>
        <v>0</v>
      </c>
      <c r="L2321" s="5">
        <v>0</v>
      </c>
      <c r="M2321" s="5">
        <v>0</v>
      </c>
      <c r="N2321" t="s">
        <v>9</v>
      </c>
      <c r="O2321" s="8">
        <v>20.421917808219177</v>
      </c>
      <c r="P2321" t="s">
        <v>32</v>
      </c>
      <c r="Q2321">
        <v>1</v>
      </c>
      <c r="R2321" s="2">
        <v>38538</v>
      </c>
    </row>
    <row r="2322" spans="1:18" x14ac:dyDescent="0.3">
      <c r="A2322" t="s">
        <v>7</v>
      </c>
      <c r="B2322">
        <v>18984318</v>
      </c>
      <c r="C2322" t="s">
        <v>8</v>
      </c>
      <c r="D2322" s="4">
        <v>45992</v>
      </c>
      <c r="E2322" s="11">
        <f t="shared" si="144"/>
        <v>2025</v>
      </c>
      <c r="F2322" s="11">
        <f t="shared" si="145"/>
        <v>12</v>
      </c>
      <c r="G2322" s="11" t="str">
        <f t="shared" si="146"/>
        <v>202512</v>
      </c>
      <c r="I2322" s="5">
        <v>9999</v>
      </c>
      <c r="J2322" s="5">
        <v>333.3</v>
      </c>
      <c r="K2322" s="5">
        <f t="shared" si="147"/>
        <v>0</v>
      </c>
      <c r="L2322" s="5">
        <v>0</v>
      </c>
      <c r="M2322" s="5">
        <v>0</v>
      </c>
      <c r="N2322" t="s">
        <v>9</v>
      </c>
      <c r="O2322" s="8">
        <v>54.643835616438359</v>
      </c>
      <c r="P2322" t="s">
        <v>35</v>
      </c>
      <c r="Q2322">
        <v>4</v>
      </c>
      <c r="R2322" s="2">
        <v>26047</v>
      </c>
    </row>
    <row r="2323" spans="1:18" x14ac:dyDescent="0.3">
      <c r="A2323" t="s">
        <v>7</v>
      </c>
      <c r="B2323">
        <v>18984436</v>
      </c>
      <c r="C2323" t="s">
        <v>10</v>
      </c>
      <c r="D2323" s="4">
        <v>45994</v>
      </c>
      <c r="E2323" s="11">
        <f t="shared" si="144"/>
        <v>2025</v>
      </c>
      <c r="F2323" s="11">
        <f t="shared" si="145"/>
        <v>12</v>
      </c>
      <c r="G2323" s="11" t="str">
        <f t="shared" si="146"/>
        <v>202512</v>
      </c>
      <c r="H2323" s="4">
        <v>46112</v>
      </c>
      <c r="I2323" s="5">
        <v>118</v>
      </c>
      <c r="J2323" s="5">
        <v>3.9333333333333331</v>
      </c>
      <c r="K2323" s="5">
        <f t="shared" si="147"/>
        <v>0</v>
      </c>
      <c r="L2323" s="5">
        <v>0</v>
      </c>
      <c r="M2323" s="5">
        <v>1</v>
      </c>
      <c r="N2323" t="s">
        <v>9</v>
      </c>
      <c r="O2323" s="8">
        <v>19.161643835616438</v>
      </c>
      <c r="P2323" t="s">
        <v>32</v>
      </c>
      <c r="Q2323">
        <v>1</v>
      </c>
      <c r="R2323" s="2">
        <v>39000</v>
      </c>
    </row>
    <row r="2324" spans="1:18" x14ac:dyDescent="0.3">
      <c r="A2324" t="s">
        <v>7</v>
      </c>
      <c r="B2324">
        <v>18984444</v>
      </c>
      <c r="C2324" t="s">
        <v>8</v>
      </c>
      <c r="D2324" s="4">
        <v>45994</v>
      </c>
      <c r="E2324" s="11">
        <f t="shared" si="144"/>
        <v>2025</v>
      </c>
      <c r="F2324" s="11">
        <f t="shared" si="145"/>
        <v>12</v>
      </c>
      <c r="G2324" s="11" t="str">
        <f t="shared" si="146"/>
        <v>202512</v>
      </c>
      <c r="I2324" s="5">
        <v>9999</v>
      </c>
      <c r="J2324" s="5">
        <v>333.3</v>
      </c>
      <c r="K2324" s="5">
        <f t="shared" si="147"/>
        <v>0</v>
      </c>
      <c r="L2324" s="5">
        <v>0</v>
      </c>
      <c r="M2324" s="5">
        <v>0</v>
      </c>
      <c r="N2324" t="s">
        <v>9</v>
      </c>
      <c r="O2324" s="8">
        <v>20.887671232876713</v>
      </c>
      <c r="P2324" t="s">
        <v>32</v>
      </c>
      <c r="Q2324">
        <v>1</v>
      </c>
      <c r="R2324" s="2">
        <v>38370</v>
      </c>
    </row>
    <row r="2325" spans="1:18" x14ac:dyDescent="0.3">
      <c r="A2325" t="s">
        <v>7</v>
      </c>
      <c r="B2325">
        <v>18984445</v>
      </c>
      <c r="C2325" t="s">
        <v>10</v>
      </c>
      <c r="D2325" s="4">
        <v>45994</v>
      </c>
      <c r="E2325" s="11">
        <f t="shared" si="144"/>
        <v>2025</v>
      </c>
      <c r="F2325" s="11">
        <f t="shared" si="145"/>
        <v>12</v>
      </c>
      <c r="G2325" s="11" t="str">
        <f t="shared" si="146"/>
        <v>202512</v>
      </c>
      <c r="I2325" s="5">
        <v>9999</v>
      </c>
      <c r="J2325" s="5">
        <v>333.3</v>
      </c>
      <c r="K2325" s="5">
        <f t="shared" si="147"/>
        <v>0</v>
      </c>
      <c r="L2325" s="5">
        <v>0</v>
      </c>
      <c r="M2325" s="5">
        <v>0</v>
      </c>
      <c r="N2325" t="s">
        <v>9</v>
      </c>
      <c r="O2325" s="8">
        <v>21.082191780821919</v>
      </c>
      <c r="P2325" t="s">
        <v>33</v>
      </c>
      <c r="Q2325">
        <v>2</v>
      </c>
      <c r="R2325" s="2">
        <v>38299</v>
      </c>
    </row>
    <row r="2326" spans="1:18" x14ac:dyDescent="0.3">
      <c r="A2326" t="s">
        <v>7</v>
      </c>
      <c r="B2326">
        <v>18984483</v>
      </c>
      <c r="C2326" t="s">
        <v>8</v>
      </c>
      <c r="D2326" s="4">
        <v>45994</v>
      </c>
      <c r="E2326" s="11">
        <f t="shared" si="144"/>
        <v>2025</v>
      </c>
      <c r="F2326" s="11">
        <f t="shared" si="145"/>
        <v>12</v>
      </c>
      <c r="G2326" s="11" t="str">
        <f t="shared" si="146"/>
        <v>202512</v>
      </c>
      <c r="I2326" s="5">
        <v>9999</v>
      </c>
      <c r="J2326" s="5">
        <v>333.3</v>
      </c>
      <c r="K2326" s="5">
        <f t="shared" si="147"/>
        <v>0</v>
      </c>
      <c r="L2326" s="5">
        <v>0</v>
      </c>
      <c r="M2326" s="5">
        <v>0</v>
      </c>
      <c r="N2326" t="s">
        <v>9</v>
      </c>
      <c r="O2326" s="8">
        <v>18.742465753424657</v>
      </c>
      <c r="P2326" t="s">
        <v>32</v>
      </c>
      <c r="Q2326">
        <v>1</v>
      </c>
      <c r="R2326" s="2">
        <v>39153</v>
      </c>
    </row>
    <row r="2327" spans="1:18" x14ac:dyDescent="0.3">
      <c r="A2327" t="s">
        <v>7</v>
      </c>
      <c r="B2327">
        <v>18984484</v>
      </c>
      <c r="C2327" t="s">
        <v>10</v>
      </c>
      <c r="D2327" s="4">
        <v>45994</v>
      </c>
      <c r="E2327" s="11">
        <f t="shared" si="144"/>
        <v>2025</v>
      </c>
      <c r="F2327" s="11">
        <f t="shared" si="145"/>
        <v>12</v>
      </c>
      <c r="G2327" s="11" t="str">
        <f t="shared" si="146"/>
        <v>202512</v>
      </c>
      <c r="I2327" s="5">
        <v>9999</v>
      </c>
      <c r="J2327" s="5">
        <v>333.3</v>
      </c>
      <c r="K2327" s="5">
        <f t="shared" si="147"/>
        <v>0</v>
      </c>
      <c r="L2327" s="5">
        <v>0</v>
      </c>
      <c r="M2327" s="5">
        <v>0</v>
      </c>
      <c r="N2327" t="s">
        <v>9</v>
      </c>
      <c r="O2327" s="8">
        <v>18.098630136986301</v>
      </c>
      <c r="P2327" t="s">
        <v>32</v>
      </c>
      <c r="Q2327">
        <v>1</v>
      </c>
      <c r="R2327" s="2">
        <v>39388</v>
      </c>
    </row>
    <row r="2328" spans="1:18" x14ac:dyDescent="0.3">
      <c r="A2328" t="s">
        <v>7</v>
      </c>
      <c r="B2328">
        <v>18984498</v>
      </c>
      <c r="C2328" t="s">
        <v>8</v>
      </c>
      <c r="D2328" s="4">
        <v>45994</v>
      </c>
      <c r="E2328" s="11">
        <f t="shared" si="144"/>
        <v>2025</v>
      </c>
      <c r="F2328" s="11">
        <f t="shared" si="145"/>
        <v>12</v>
      </c>
      <c r="G2328" s="11" t="str">
        <f t="shared" si="146"/>
        <v>202512</v>
      </c>
      <c r="I2328" s="5">
        <v>9999</v>
      </c>
      <c r="J2328" s="5">
        <v>333.3</v>
      </c>
      <c r="K2328" s="5">
        <f t="shared" si="147"/>
        <v>0</v>
      </c>
      <c r="L2328" s="5">
        <v>0</v>
      </c>
      <c r="M2328" s="5">
        <v>0</v>
      </c>
      <c r="N2328" t="s">
        <v>9</v>
      </c>
      <c r="O2328" s="8">
        <v>20.898630136986302</v>
      </c>
      <c r="P2328" t="s">
        <v>32</v>
      </c>
      <c r="Q2328">
        <v>1</v>
      </c>
      <c r="R2328" s="2">
        <v>38366</v>
      </c>
    </row>
    <row r="2329" spans="1:18" x14ac:dyDescent="0.3">
      <c r="A2329" t="s">
        <v>7</v>
      </c>
      <c r="B2329">
        <v>18984502</v>
      </c>
      <c r="C2329" t="s">
        <v>8</v>
      </c>
      <c r="D2329" s="4">
        <v>45994</v>
      </c>
      <c r="E2329" s="11">
        <f t="shared" si="144"/>
        <v>2025</v>
      </c>
      <c r="F2329" s="11">
        <f t="shared" si="145"/>
        <v>12</v>
      </c>
      <c r="G2329" s="11" t="str">
        <f t="shared" si="146"/>
        <v>202512</v>
      </c>
      <c r="H2329" s="4">
        <v>46131</v>
      </c>
      <c r="I2329" s="5">
        <v>137</v>
      </c>
      <c r="J2329" s="5">
        <v>4.5666666666666664</v>
      </c>
      <c r="K2329" s="5">
        <f t="shared" si="147"/>
        <v>0</v>
      </c>
      <c r="L2329" s="5">
        <v>0</v>
      </c>
      <c r="M2329" s="5">
        <v>1</v>
      </c>
      <c r="N2329" t="s">
        <v>9</v>
      </c>
      <c r="O2329" s="8">
        <v>19.413698630136988</v>
      </c>
      <c r="P2329" t="s">
        <v>32</v>
      </c>
      <c r="Q2329">
        <v>1</v>
      </c>
      <c r="R2329" s="2">
        <v>38908</v>
      </c>
    </row>
    <row r="2330" spans="1:18" x14ac:dyDescent="0.3">
      <c r="A2330" t="s">
        <v>7</v>
      </c>
      <c r="B2330">
        <v>18984562</v>
      </c>
      <c r="C2330" t="s">
        <v>8</v>
      </c>
      <c r="D2330" s="4">
        <v>45993</v>
      </c>
      <c r="E2330" s="11">
        <f t="shared" si="144"/>
        <v>2025</v>
      </c>
      <c r="F2330" s="11">
        <f t="shared" si="145"/>
        <v>12</v>
      </c>
      <c r="G2330" s="11" t="str">
        <f t="shared" si="146"/>
        <v>202512</v>
      </c>
      <c r="H2330" s="4">
        <v>46096</v>
      </c>
      <c r="I2330" s="5">
        <v>103</v>
      </c>
      <c r="J2330" s="5">
        <v>3.4333333333333331</v>
      </c>
      <c r="K2330" s="5">
        <f t="shared" si="147"/>
        <v>0</v>
      </c>
      <c r="L2330" s="5">
        <v>0</v>
      </c>
      <c r="M2330" s="5">
        <v>1</v>
      </c>
      <c r="N2330" t="s">
        <v>9</v>
      </c>
      <c r="O2330" s="8">
        <v>18.556164383561644</v>
      </c>
      <c r="P2330" t="s">
        <v>32</v>
      </c>
      <c r="Q2330">
        <v>1</v>
      </c>
      <c r="R2330" s="2">
        <v>39220</v>
      </c>
    </row>
    <row r="2331" spans="1:18" x14ac:dyDescent="0.3">
      <c r="A2331" t="s">
        <v>7</v>
      </c>
      <c r="B2331">
        <v>18984596</v>
      </c>
      <c r="C2331" t="s">
        <v>8</v>
      </c>
      <c r="D2331" s="4">
        <v>46093</v>
      </c>
      <c r="E2331" s="11">
        <f t="shared" si="144"/>
        <v>2026</v>
      </c>
      <c r="F2331" s="11">
        <f t="shared" si="145"/>
        <v>3</v>
      </c>
      <c r="G2331" s="11" t="str">
        <f t="shared" si="146"/>
        <v>202603</v>
      </c>
      <c r="I2331" s="5">
        <v>9999</v>
      </c>
      <c r="J2331" s="5">
        <v>333.3</v>
      </c>
      <c r="K2331" s="5">
        <f t="shared" si="147"/>
        <v>0</v>
      </c>
      <c r="L2331" s="5">
        <v>0</v>
      </c>
      <c r="M2331" s="5">
        <v>0</v>
      </c>
      <c r="N2331" t="s">
        <v>12</v>
      </c>
      <c r="O2331" s="8">
        <v>21.904109589041095</v>
      </c>
      <c r="P2331" t="s">
        <v>33</v>
      </c>
      <c r="Q2331">
        <v>2</v>
      </c>
      <c r="R2331" s="2">
        <v>38098</v>
      </c>
    </row>
    <row r="2332" spans="1:18" x14ac:dyDescent="0.3">
      <c r="A2332" t="s">
        <v>7</v>
      </c>
      <c r="B2332">
        <v>18984797</v>
      </c>
      <c r="C2332" t="s">
        <v>10</v>
      </c>
      <c r="D2332" s="4">
        <v>45994</v>
      </c>
      <c r="E2332" s="11">
        <f t="shared" si="144"/>
        <v>2025</v>
      </c>
      <c r="F2332" s="11">
        <f t="shared" si="145"/>
        <v>12</v>
      </c>
      <c r="G2332" s="11" t="str">
        <f t="shared" si="146"/>
        <v>202512</v>
      </c>
      <c r="I2332" s="5">
        <v>9999</v>
      </c>
      <c r="J2332" s="5">
        <v>333.3</v>
      </c>
      <c r="K2332" s="5">
        <f t="shared" si="147"/>
        <v>0</v>
      </c>
      <c r="L2332" s="5">
        <v>0</v>
      </c>
      <c r="M2332" s="5">
        <v>0</v>
      </c>
      <c r="N2332" t="s">
        <v>9</v>
      </c>
      <c r="O2332" s="8">
        <v>20.389041095890413</v>
      </c>
      <c r="P2332" t="s">
        <v>32</v>
      </c>
      <c r="Q2332">
        <v>1</v>
      </c>
      <c r="R2332" s="2">
        <v>38552</v>
      </c>
    </row>
    <row r="2333" spans="1:18" x14ac:dyDescent="0.3">
      <c r="A2333" t="s">
        <v>7</v>
      </c>
      <c r="B2333">
        <v>18984813</v>
      </c>
      <c r="C2333" t="s">
        <v>8</v>
      </c>
      <c r="D2333" s="4">
        <v>45994</v>
      </c>
      <c r="E2333" s="11">
        <f t="shared" si="144"/>
        <v>2025</v>
      </c>
      <c r="F2333" s="11">
        <f t="shared" si="145"/>
        <v>12</v>
      </c>
      <c r="G2333" s="11" t="str">
        <f t="shared" si="146"/>
        <v>202512</v>
      </c>
      <c r="I2333" s="5">
        <v>9999</v>
      </c>
      <c r="J2333" s="5">
        <v>333.3</v>
      </c>
      <c r="K2333" s="5">
        <f t="shared" si="147"/>
        <v>0</v>
      </c>
      <c r="L2333" s="5">
        <v>0</v>
      </c>
      <c r="M2333" s="5">
        <v>0</v>
      </c>
      <c r="N2333" t="s">
        <v>12</v>
      </c>
      <c r="O2333" s="8">
        <v>28.997260273972604</v>
      </c>
      <c r="P2333" t="s">
        <v>34</v>
      </c>
      <c r="Q2333">
        <v>3</v>
      </c>
      <c r="R2333" s="2">
        <v>35410</v>
      </c>
    </row>
    <row r="2334" spans="1:18" x14ac:dyDescent="0.3">
      <c r="A2334" t="s">
        <v>7</v>
      </c>
      <c r="B2334">
        <v>18984925</v>
      </c>
      <c r="C2334" t="s">
        <v>10</v>
      </c>
      <c r="D2334" s="4">
        <v>45995</v>
      </c>
      <c r="E2334" s="11">
        <f t="shared" si="144"/>
        <v>2025</v>
      </c>
      <c r="F2334" s="11">
        <f t="shared" si="145"/>
        <v>12</v>
      </c>
      <c r="G2334" s="11" t="str">
        <f t="shared" si="146"/>
        <v>202512</v>
      </c>
      <c r="I2334" s="5">
        <v>9999</v>
      </c>
      <c r="J2334" s="5">
        <v>333.3</v>
      </c>
      <c r="K2334" s="5">
        <f t="shared" si="147"/>
        <v>0</v>
      </c>
      <c r="L2334" s="5">
        <v>0</v>
      </c>
      <c r="M2334" s="5">
        <v>0</v>
      </c>
      <c r="N2334" t="s">
        <v>12</v>
      </c>
      <c r="O2334" s="8">
        <v>20.6</v>
      </c>
      <c r="P2334" t="s">
        <v>32</v>
      </c>
      <c r="Q2334">
        <v>1</v>
      </c>
      <c r="R2334" s="2">
        <v>38476</v>
      </c>
    </row>
    <row r="2335" spans="1:18" x14ac:dyDescent="0.3">
      <c r="A2335" t="s">
        <v>7</v>
      </c>
      <c r="B2335">
        <v>18984937</v>
      </c>
      <c r="C2335" t="s">
        <v>8</v>
      </c>
      <c r="D2335" s="4">
        <v>45995</v>
      </c>
      <c r="E2335" s="11">
        <f t="shared" si="144"/>
        <v>2025</v>
      </c>
      <c r="F2335" s="11">
        <f t="shared" si="145"/>
        <v>12</v>
      </c>
      <c r="G2335" s="11" t="str">
        <f t="shared" si="146"/>
        <v>202512</v>
      </c>
      <c r="H2335" s="4">
        <v>46096</v>
      </c>
      <c r="I2335" s="5">
        <v>101</v>
      </c>
      <c r="J2335" s="5">
        <v>3.3666666666666667</v>
      </c>
      <c r="K2335" s="5">
        <f t="shared" si="147"/>
        <v>0</v>
      </c>
      <c r="L2335" s="5">
        <v>0</v>
      </c>
      <c r="M2335" s="5">
        <v>1</v>
      </c>
      <c r="N2335" t="s">
        <v>9</v>
      </c>
      <c r="O2335" s="8">
        <v>18.153424657534245</v>
      </c>
      <c r="P2335" t="s">
        <v>32</v>
      </c>
      <c r="Q2335">
        <v>1</v>
      </c>
      <c r="R2335" s="2">
        <v>39369</v>
      </c>
    </row>
    <row r="2336" spans="1:18" x14ac:dyDescent="0.3">
      <c r="A2336" t="s">
        <v>7</v>
      </c>
      <c r="B2336">
        <v>18984942</v>
      </c>
      <c r="C2336" t="s">
        <v>8</v>
      </c>
      <c r="D2336" s="4">
        <v>45995</v>
      </c>
      <c r="E2336" s="11">
        <f t="shared" si="144"/>
        <v>2025</v>
      </c>
      <c r="F2336" s="11">
        <f t="shared" si="145"/>
        <v>12</v>
      </c>
      <c r="G2336" s="11" t="str">
        <f t="shared" si="146"/>
        <v>202512</v>
      </c>
      <c r="H2336" s="4">
        <v>46142</v>
      </c>
      <c r="I2336" s="5">
        <v>147</v>
      </c>
      <c r="J2336" s="5">
        <v>4.9000000000000004</v>
      </c>
      <c r="K2336" s="5">
        <f t="shared" si="147"/>
        <v>0</v>
      </c>
      <c r="L2336" s="5">
        <v>0</v>
      </c>
      <c r="M2336" s="5">
        <v>1</v>
      </c>
      <c r="N2336" t="s">
        <v>9</v>
      </c>
      <c r="O2336" s="8">
        <v>19.613698630136987</v>
      </c>
      <c r="P2336" t="s">
        <v>32</v>
      </c>
      <c r="Q2336">
        <v>1</v>
      </c>
      <c r="R2336" s="2">
        <v>38836</v>
      </c>
    </row>
    <row r="2337" spans="1:18" x14ac:dyDescent="0.3">
      <c r="A2337" t="s">
        <v>7</v>
      </c>
      <c r="B2337">
        <v>18984950</v>
      </c>
      <c r="C2337" t="s">
        <v>10</v>
      </c>
      <c r="D2337" s="4">
        <v>45995</v>
      </c>
      <c r="E2337" s="11">
        <f t="shared" si="144"/>
        <v>2025</v>
      </c>
      <c r="F2337" s="11">
        <f t="shared" si="145"/>
        <v>12</v>
      </c>
      <c r="G2337" s="11" t="str">
        <f t="shared" si="146"/>
        <v>202512</v>
      </c>
      <c r="I2337" s="5">
        <v>9999</v>
      </c>
      <c r="J2337" s="5">
        <v>333.3</v>
      </c>
      <c r="K2337" s="5">
        <f t="shared" si="147"/>
        <v>0</v>
      </c>
      <c r="L2337" s="5">
        <v>0</v>
      </c>
      <c r="M2337" s="5">
        <v>0</v>
      </c>
      <c r="N2337" t="s">
        <v>9</v>
      </c>
      <c r="O2337" s="8">
        <v>20.534246575342465</v>
      </c>
      <c r="P2337" t="s">
        <v>32</v>
      </c>
      <c r="Q2337">
        <v>1</v>
      </c>
      <c r="R2337" s="2">
        <v>38500</v>
      </c>
    </row>
    <row r="2338" spans="1:18" x14ac:dyDescent="0.3">
      <c r="A2338" t="s">
        <v>7</v>
      </c>
      <c r="B2338">
        <v>18984954</v>
      </c>
      <c r="C2338" t="s">
        <v>10</v>
      </c>
      <c r="D2338" s="4">
        <v>45995</v>
      </c>
      <c r="E2338" s="11">
        <f t="shared" si="144"/>
        <v>2025</v>
      </c>
      <c r="F2338" s="11">
        <f t="shared" si="145"/>
        <v>12</v>
      </c>
      <c r="G2338" s="11" t="str">
        <f t="shared" si="146"/>
        <v>202512</v>
      </c>
      <c r="H2338" s="4">
        <v>46127</v>
      </c>
      <c r="I2338" s="5">
        <v>132</v>
      </c>
      <c r="J2338" s="5">
        <v>4.4000000000000004</v>
      </c>
      <c r="K2338" s="5">
        <f t="shared" si="147"/>
        <v>0</v>
      </c>
      <c r="L2338" s="5">
        <v>0</v>
      </c>
      <c r="M2338" s="5">
        <v>1</v>
      </c>
      <c r="N2338" t="s">
        <v>9</v>
      </c>
      <c r="O2338" s="8">
        <v>18.18904109589041</v>
      </c>
      <c r="P2338" t="s">
        <v>32</v>
      </c>
      <c r="Q2338">
        <v>1</v>
      </c>
      <c r="R2338" s="2">
        <v>39356</v>
      </c>
    </row>
    <row r="2339" spans="1:18" x14ac:dyDescent="0.3">
      <c r="A2339" t="s">
        <v>7</v>
      </c>
      <c r="B2339">
        <v>18984983</v>
      </c>
      <c r="C2339" t="s">
        <v>8</v>
      </c>
      <c r="D2339" s="4">
        <v>45995</v>
      </c>
      <c r="E2339" s="11">
        <f t="shared" si="144"/>
        <v>2025</v>
      </c>
      <c r="F2339" s="11">
        <f t="shared" si="145"/>
        <v>12</v>
      </c>
      <c r="G2339" s="11" t="str">
        <f t="shared" si="146"/>
        <v>202512</v>
      </c>
      <c r="I2339" s="5">
        <v>9999</v>
      </c>
      <c r="J2339" s="5">
        <v>333.3</v>
      </c>
      <c r="K2339" s="5">
        <f t="shared" si="147"/>
        <v>0</v>
      </c>
      <c r="L2339" s="5">
        <v>0</v>
      </c>
      <c r="M2339" s="5">
        <v>0</v>
      </c>
      <c r="N2339" t="s">
        <v>9</v>
      </c>
      <c r="O2339" s="8">
        <v>20.597260273972601</v>
      </c>
      <c r="P2339" t="s">
        <v>32</v>
      </c>
      <c r="Q2339">
        <v>1</v>
      </c>
      <c r="R2339" s="2">
        <v>38477</v>
      </c>
    </row>
    <row r="2340" spans="1:18" x14ac:dyDescent="0.3">
      <c r="A2340" t="s">
        <v>7</v>
      </c>
      <c r="B2340">
        <v>18984985</v>
      </c>
      <c r="C2340" t="s">
        <v>8</v>
      </c>
      <c r="D2340" s="4">
        <v>45995</v>
      </c>
      <c r="E2340" s="11">
        <f t="shared" si="144"/>
        <v>2025</v>
      </c>
      <c r="F2340" s="11">
        <f t="shared" si="145"/>
        <v>12</v>
      </c>
      <c r="G2340" s="11" t="str">
        <f t="shared" si="146"/>
        <v>202512</v>
      </c>
      <c r="H2340" s="4">
        <v>46117</v>
      </c>
      <c r="I2340" s="5">
        <v>122</v>
      </c>
      <c r="J2340" s="5">
        <v>4.0666666666666664</v>
      </c>
      <c r="K2340" s="5">
        <f t="shared" si="147"/>
        <v>0</v>
      </c>
      <c r="L2340" s="5">
        <v>0</v>
      </c>
      <c r="M2340" s="5">
        <v>1</v>
      </c>
      <c r="N2340" t="s">
        <v>9</v>
      </c>
      <c r="O2340" s="8">
        <v>20.356164383561644</v>
      </c>
      <c r="P2340" t="s">
        <v>32</v>
      </c>
      <c r="Q2340">
        <v>1</v>
      </c>
      <c r="R2340" s="2">
        <v>38565</v>
      </c>
    </row>
    <row r="2341" spans="1:18" x14ac:dyDescent="0.3">
      <c r="A2341" t="s">
        <v>7</v>
      </c>
      <c r="B2341">
        <v>18984989</v>
      </c>
      <c r="C2341" t="s">
        <v>8</v>
      </c>
      <c r="D2341" s="4">
        <v>45995</v>
      </c>
      <c r="E2341" s="11">
        <f t="shared" si="144"/>
        <v>2025</v>
      </c>
      <c r="F2341" s="11">
        <f t="shared" si="145"/>
        <v>12</v>
      </c>
      <c r="G2341" s="11" t="str">
        <f t="shared" si="146"/>
        <v>202512</v>
      </c>
      <c r="H2341" s="4">
        <v>46159</v>
      </c>
      <c r="I2341" s="5">
        <v>164</v>
      </c>
      <c r="J2341" s="5">
        <v>5.4666666666666668</v>
      </c>
      <c r="K2341" s="5">
        <f t="shared" si="147"/>
        <v>0</v>
      </c>
      <c r="L2341" s="5">
        <v>0</v>
      </c>
      <c r="M2341" s="5">
        <v>1</v>
      </c>
      <c r="N2341" t="s">
        <v>9</v>
      </c>
      <c r="O2341" s="8">
        <v>18.887671232876713</v>
      </c>
      <c r="P2341" t="s">
        <v>32</v>
      </c>
      <c r="Q2341">
        <v>1</v>
      </c>
      <c r="R2341" s="2">
        <v>39101</v>
      </c>
    </row>
    <row r="2342" spans="1:18" x14ac:dyDescent="0.3">
      <c r="A2342" t="s">
        <v>7</v>
      </c>
      <c r="B2342">
        <v>18984992</v>
      </c>
      <c r="C2342" t="s">
        <v>8</v>
      </c>
      <c r="D2342" s="4">
        <v>45995</v>
      </c>
      <c r="E2342" s="11">
        <f t="shared" si="144"/>
        <v>2025</v>
      </c>
      <c r="F2342" s="11">
        <f t="shared" si="145"/>
        <v>12</v>
      </c>
      <c r="G2342" s="11" t="str">
        <f t="shared" si="146"/>
        <v>202512</v>
      </c>
      <c r="I2342" s="5">
        <v>9999</v>
      </c>
      <c r="J2342" s="5">
        <v>333.3</v>
      </c>
      <c r="K2342" s="5">
        <f t="shared" si="147"/>
        <v>0</v>
      </c>
      <c r="L2342" s="5">
        <v>0</v>
      </c>
      <c r="M2342" s="5">
        <v>0</v>
      </c>
      <c r="N2342" t="s">
        <v>9</v>
      </c>
      <c r="O2342" s="8">
        <v>20.353424657534248</v>
      </c>
      <c r="P2342" t="s">
        <v>32</v>
      </c>
      <c r="Q2342">
        <v>1</v>
      </c>
      <c r="R2342" s="2">
        <v>38566</v>
      </c>
    </row>
    <row r="2343" spans="1:18" x14ac:dyDescent="0.3">
      <c r="A2343" t="s">
        <v>7</v>
      </c>
      <c r="B2343">
        <v>18985001</v>
      </c>
      <c r="C2343" t="s">
        <v>8</v>
      </c>
      <c r="D2343" s="4">
        <v>45995</v>
      </c>
      <c r="E2343" s="11">
        <f t="shared" si="144"/>
        <v>2025</v>
      </c>
      <c r="F2343" s="11">
        <f t="shared" si="145"/>
        <v>12</v>
      </c>
      <c r="G2343" s="11" t="str">
        <f t="shared" si="146"/>
        <v>202512</v>
      </c>
      <c r="H2343" s="4">
        <v>46053</v>
      </c>
      <c r="I2343" s="5">
        <v>58</v>
      </c>
      <c r="J2343" s="5">
        <v>1.9333333333333333</v>
      </c>
      <c r="K2343" s="5">
        <f t="shared" si="147"/>
        <v>0</v>
      </c>
      <c r="L2343" s="5">
        <v>1</v>
      </c>
      <c r="M2343" s="5">
        <v>1</v>
      </c>
      <c r="N2343" t="s">
        <v>9</v>
      </c>
      <c r="O2343" s="8">
        <v>46.076712328767123</v>
      </c>
      <c r="P2343" t="s">
        <v>35</v>
      </c>
      <c r="Q2343">
        <v>4</v>
      </c>
      <c r="R2343" s="2">
        <v>29177</v>
      </c>
    </row>
    <row r="2344" spans="1:18" x14ac:dyDescent="0.3">
      <c r="A2344" t="s">
        <v>7</v>
      </c>
      <c r="B2344">
        <v>18985058</v>
      </c>
      <c r="C2344" t="s">
        <v>10</v>
      </c>
      <c r="D2344" s="4">
        <v>45995</v>
      </c>
      <c r="E2344" s="11">
        <f t="shared" si="144"/>
        <v>2025</v>
      </c>
      <c r="F2344" s="11">
        <f t="shared" si="145"/>
        <v>12</v>
      </c>
      <c r="G2344" s="11" t="str">
        <f t="shared" si="146"/>
        <v>202512</v>
      </c>
      <c r="I2344" s="5">
        <v>9999</v>
      </c>
      <c r="J2344" s="5">
        <v>333.3</v>
      </c>
      <c r="K2344" s="5">
        <f t="shared" si="147"/>
        <v>0</v>
      </c>
      <c r="L2344" s="5">
        <v>0</v>
      </c>
      <c r="M2344" s="5">
        <v>0</v>
      </c>
      <c r="N2344" t="s">
        <v>9</v>
      </c>
      <c r="O2344" s="8">
        <v>19</v>
      </c>
      <c r="P2344" t="s">
        <v>32</v>
      </c>
      <c r="Q2344">
        <v>1</v>
      </c>
      <c r="R2344" s="2">
        <v>39060</v>
      </c>
    </row>
    <row r="2345" spans="1:18" x14ac:dyDescent="0.3">
      <c r="A2345" t="s">
        <v>7</v>
      </c>
      <c r="B2345">
        <v>18985062</v>
      </c>
      <c r="C2345" t="s">
        <v>10</v>
      </c>
      <c r="D2345" s="4">
        <v>45995</v>
      </c>
      <c r="E2345" s="11">
        <f t="shared" si="144"/>
        <v>2025</v>
      </c>
      <c r="F2345" s="11">
        <f t="shared" si="145"/>
        <v>12</v>
      </c>
      <c r="G2345" s="11" t="str">
        <f t="shared" si="146"/>
        <v>202512</v>
      </c>
      <c r="H2345" s="4">
        <v>46050</v>
      </c>
      <c r="I2345" s="5">
        <v>55</v>
      </c>
      <c r="J2345" s="5">
        <v>1.8333333333333333</v>
      </c>
      <c r="K2345" s="5">
        <f t="shared" si="147"/>
        <v>0</v>
      </c>
      <c r="L2345" s="5">
        <v>1</v>
      </c>
      <c r="M2345" s="5">
        <v>1</v>
      </c>
      <c r="N2345" t="s">
        <v>9</v>
      </c>
      <c r="O2345" s="8">
        <v>18.747945205479454</v>
      </c>
      <c r="P2345" t="s">
        <v>32</v>
      </c>
      <c r="Q2345">
        <v>1</v>
      </c>
      <c r="R2345" s="2">
        <v>39152</v>
      </c>
    </row>
    <row r="2346" spans="1:18" x14ac:dyDescent="0.3">
      <c r="A2346" t="s">
        <v>7</v>
      </c>
      <c r="B2346">
        <v>18985070</v>
      </c>
      <c r="C2346" t="s">
        <v>10</v>
      </c>
      <c r="D2346" s="4">
        <v>45995</v>
      </c>
      <c r="E2346" s="11">
        <f t="shared" si="144"/>
        <v>2025</v>
      </c>
      <c r="F2346" s="11">
        <f t="shared" si="145"/>
        <v>12</v>
      </c>
      <c r="G2346" s="11" t="str">
        <f t="shared" si="146"/>
        <v>202512</v>
      </c>
      <c r="H2346" s="4">
        <v>46082</v>
      </c>
      <c r="I2346" s="5">
        <v>87</v>
      </c>
      <c r="J2346" s="5">
        <v>2.9</v>
      </c>
      <c r="K2346" s="5">
        <f t="shared" si="147"/>
        <v>0</v>
      </c>
      <c r="L2346" s="5">
        <v>1</v>
      </c>
      <c r="M2346" s="5">
        <v>1</v>
      </c>
      <c r="N2346" t="s">
        <v>9</v>
      </c>
      <c r="O2346" s="8">
        <v>25.323287671232876</v>
      </c>
      <c r="P2346" t="s">
        <v>33</v>
      </c>
      <c r="Q2346">
        <v>2</v>
      </c>
      <c r="R2346" s="2">
        <v>36752</v>
      </c>
    </row>
    <row r="2347" spans="1:18" x14ac:dyDescent="0.3">
      <c r="A2347" t="s">
        <v>7</v>
      </c>
      <c r="B2347">
        <v>18985143</v>
      </c>
      <c r="C2347" t="s">
        <v>8</v>
      </c>
      <c r="D2347" s="4">
        <v>45995</v>
      </c>
      <c r="E2347" s="11">
        <f t="shared" si="144"/>
        <v>2025</v>
      </c>
      <c r="F2347" s="11">
        <f t="shared" si="145"/>
        <v>12</v>
      </c>
      <c r="G2347" s="11" t="str">
        <f t="shared" si="146"/>
        <v>202512</v>
      </c>
      <c r="H2347" s="4">
        <v>46082</v>
      </c>
      <c r="I2347" s="5">
        <v>87</v>
      </c>
      <c r="J2347" s="5">
        <v>2.9</v>
      </c>
      <c r="K2347" s="5">
        <f t="shared" si="147"/>
        <v>0</v>
      </c>
      <c r="L2347" s="5">
        <v>1</v>
      </c>
      <c r="M2347" s="5">
        <v>1</v>
      </c>
      <c r="N2347" t="s">
        <v>9</v>
      </c>
      <c r="O2347" s="8">
        <v>19.038356164383561</v>
      </c>
      <c r="P2347" t="s">
        <v>32</v>
      </c>
      <c r="Q2347">
        <v>1</v>
      </c>
      <c r="R2347" s="2">
        <v>39046</v>
      </c>
    </row>
    <row r="2348" spans="1:18" x14ac:dyDescent="0.3">
      <c r="A2348" t="s">
        <v>7</v>
      </c>
      <c r="B2348">
        <v>18985173</v>
      </c>
      <c r="C2348" t="s">
        <v>8</v>
      </c>
      <c r="D2348" s="4">
        <v>45995</v>
      </c>
      <c r="E2348" s="11">
        <f t="shared" si="144"/>
        <v>2025</v>
      </c>
      <c r="F2348" s="11">
        <f t="shared" si="145"/>
        <v>12</v>
      </c>
      <c r="G2348" s="11" t="str">
        <f t="shared" si="146"/>
        <v>202512</v>
      </c>
      <c r="H2348" s="4">
        <v>46006</v>
      </c>
      <c r="I2348" s="5">
        <v>11</v>
      </c>
      <c r="J2348" s="5">
        <v>0.36666666666666664</v>
      </c>
      <c r="K2348" s="5">
        <f t="shared" si="147"/>
        <v>1</v>
      </c>
      <c r="L2348" s="5">
        <v>1</v>
      </c>
      <c r="M2348" s="5">
        <v>1</v>
      </c>
      <c r="N2348" t="s">
        <v>9</v>
      </c>
      <c r="O2348" s="8">
        <v>25.391780821917809</v>
      </c>
      <c r="P2348" t="s">
        <v>33</v>
      </c>
      <c r="Q2348">
        <v>2</v>
      </c>
      <c r="R2348" s="2">
        <v>36727</v>
      </c>
    </row>
    <row r="2349" spans="1:18" x14ac:dyDescent="0.3">
      <c r="A2349" t="s">
        <v>7</v>
      </c>
      <c r="B2349">
        <v>18985221</v>
      </c>
      <c r="C2349" t="s">
        <v>10</v>
      </c>
      <c r="D2349" s="4">
        <v>45995</v>
      </c>
      <c r="E2349" s="11">
        <f t="shared" si="144"/>
        <v>2025</v>
      </c>
      <c r="F2349" s="11">
        <f t="shared" si="145"/>
        <v>12</v>
      </c>
      <c r="G2349" s="11" t="str">
        <f t="shared" si="146"/>
        <v>202512</v>
      </c>
      <c r="H2349" s="4">
        <v>46004</v>
      </c>
      <c r="I2349" s="5">
        <v>9</v>
      </c>
      <c r="J2349" s="5">
        <v>0.3</v>
      </c>
      <c r="K2349" s="5">
        <f t="shared" si="147"/>
        <v>1</v>
      </c>
      <c r="L2349" s="5">
        <v>1</v>
      </c>
      <c r="M2349" s="5">
        <v>1</v>
      </c>
      <c r="N2349" t="s">
        <v>9</v>
      </c>
      <c r="O2349" s="8">
        <v>25.646575342465752</v>
      </c>
      <c r="P2349" t="s">
        <v>33</v>
      </c>
      <c r="Q2349">
        <v>2</v>
      </c>
      <c r="R2349" s="2">
        <v>36634</v>
      </c>
    </row>
    <row r="2350" spans="1:18" x14ac:dyDescent="0.3">
      <c r="A2350" t="s">
        <v>7</v>
      </c>
      <c r="B2350">
        <v>18985233</v>
      </c>
      <c r="C2350" t="s">
        <v>8</v>
      </c>
      <c r="D2350" s="4">
        <v>45995</v>
      </c>
      <c r="E2350" s="11">
        <f t="shared" si="144"/>
        <v>2025</v>
      </c>
      <c r="F2350" s="11">
        <f t="shared" si="145"/>
        <v>12</v>
      </c>
      <c r="G2350" s="11" t="str">
        <f t="shared" si="146"/>
        <v>202512</v>
      </c>
      <c r="H2350" s="4">
        <v>46022</v>
      </c>
      <c r="I2350" s="5">
        <v>27</v>
      </c>
      <c r="J2350" s="5">
        <v>0.9</v>
      </c>
      <c r="K2350" s="5">
        <f t="shared" si="147"/>
        <v>1</v>
      </c>
      <c r="L2350" s="5">
        <v>1</v>
      </c>
      <c r="M2350" s="5">
        <v>1</v>
      </c>
      <c r="N2350" t="s">
        <v>9</v>
      </c>
      <c r="O2350" s="8">
        <v>19.986301369863014</v>
      </c>
      <c r="P2350" t="s">
        <v>32</v>
      </c>
      <c r="Q2350">
        <v>1</v>
      </c>
      <c r="R2350" s="2">
        <v>38700</v>
      </c>
    </row>
    <row r="2351" spans="1:18" x14ac:dyDescent="0.3">
      <c r="A2351" t="s">
        <v>7</v>
      </c>
      <c r="B2351">
        <v>18985235</v>
      </c>
      <c r="C2351" t="s">
        <v>8</v>
      </c>
      <c r="D2351" s="4">
        <v>45995</v>
      </c>
      <c r="E2351" s="11">
        <f t="shared" si="144"/>
        <v>2025</v>
      </c>
      <c r="F2351" s="11">
        <f t="shared" si="145"/>
        <v>12</v>
      </c>
      <c r="G2351" s="11" t="str">
        <f t="shared" si="146"/>
        <v>202512</v>
      </c>
      <c r="H2351" s="4">
        <v>46056</v>
      </c>
      <c r="I2351" s="5">
        <v>61</v>
      </c>
      <c r="J2351" s="5">
        <v>2.0333333333333332</v>
      </c>
      <c r="K2351" s="5">
        <f t="shared" si="147"/>
        <v>0</v>
      </c>
      <c r="L2351" s="5">
        <v>1</v>
      </c>
      <c r="M2351" s="5">
        <v>1</v>
      </c>
      <c r="N2351" t="s">
        <v>9</v>
      </c>
      <c r="O2351" s="8">
        <v>19.065753424657533</v>
      </c>
      <c r="P2351" t="s">
        <v>32</v>
      </c>
      <c r="Q2351">
        <v>1</v>
      </c>
      <c r="R2351" s="2">
        <v>39036</v>
      </c>
    </row>
    <row r="2352" spans="1:18" x14ac:dyDescent="0.3">
      <c r="A2352" t="s">
        <v>7</v>
      </c>
      <c r="B2352">
        <v>18985236</v>
      </c>
      <c r="C2352" t="s">
        <v>8</v>
      </c>
      <c r="D2352" s="4">
        <v>45995</v>
      </c>
      <c r="E2352" s="11">
        <f t="shared" si="144"/>
        <v>2025</v>
      </c>
      <c r="F2352" s="11">
        <f t="shared" si="145"/>
        <v>12</v>
      </c>
      <c r="G2352" s="11" t="str">
        <f t="shared" si="146"/>
        <v>202512</v>
      </c>
      <c r="H2352" s="4">
        <v>46081</v>
      </c>
      <c r="I2352" s="5">
        <v>86</v>
      </c>
      <c r="J2352" s="5">
        <v>2.8666666666666667</v>
      </c>
      <c r="K2352" s="5">
        <f t="shared" si="147"/>
        <v>0</v>
      </c>
      <c r="L2352" s="5">
        <v>1</v>
      </c>
      <c r="M2352" s="5">
        <v>1</v>
      </c>
      <c r="N2352" t="s">
        <v>9</v>
      </c>
      <c r="O2352" s="8">
        <v>21.504109589041096</v>
      </c>
      <c r="P2352" t="s">
        <v>33</v>
      </c>
      <c r="Q2352">
        <v>2</v>
      </c>
      <c r="R2352" s="2">
        <v>38146</v>
      </c>
    </row>
    <row r="2353" spans="1:18" x14ac:dyDescent="0.3">
      <c r="A2353" t="s">
        <v>7</v>
      </c>
      <c r="B2353">
        <v>18985256</v>
      </c>
      <c r="C2353" t="s">
        <v>8</v>
      </c>
      <c r="D2353" s="4">
        <v>45995</v>
      </c>
      <c r="E2353" s="11">
        <f t="shared" si="144"/>
        <v>2025</v>
      </c>
      <c r="F2353" s="11">
        <f t="shared" si="145"/>
        <v>12</v>
      </c>
      <c r="G2353" s="11" t="str">
        <f t="shared" si="146"/>
        <v>202512</v>
      </c>
      <c r="H2353" s="4">
        <v>46112</v>
      </c>
      <c r="I2353" s="5">
        <v>117</v>
      </c>
      <c r="J2353" s="5">
        <v>3.9</v>
      </c>
      <c r="K2353" s="5">
        <f t="shared" si="147"/>
        <v>0</v>
      </c>
      <c r="L2353" s="5">
        <v>0</v>
      </c>
      <c r="M2353" s="5">
        <v>1</v>
      </c>
      <c r="N2353" t="s">
        <v>9</v>
      </c>
      <c r="O2353" s="8">
        <v>20.101369863013698</v>
      </c>
      <c r="P2353" t="s">
        <v>32</v>
      </c>
      <c r="Q2353">
        <v>1</v>
      </c>
      <c r="R2353" s="2">
        <v>38658</v>
      </c>
    </row>
    <row r="2354" spans="1:18" x14ac:dyDescent="0.3">
      <c r="A2354" t="s">
        <v>7</v>
      </c>
      <c r="B2354">
        <v>18985267</v>
      </c>
      <c r="C2354" t="s">
        <v>8</v>
      </c>
      <c r="D2354" s="4">
        <v>45995</v>
      </c>
      <c r="E2354" s="11">
        <f t="shared" si="144"/>
        <v>2025</v>
      </c>
      <c r="F2354" s="11">
        <f t="shared" si="145"/>
        <v>12</v>
      </c>
      <c r="G2354" s="11" t="str">
        <f t="shared" si="146"/>
        <v>202512</v>
      </c>
      <c r="I2354" s="5">
        <v>9999</v>
      </c>
      <c r="J2354" s="5">
        <v>333.3</v>
      </c>
      <c r="K2354" s="5">
        <f t="shared" si="147"/>
        <v>0</v>
      </c>
      <c r="L2354" s="5">
        <v>0</v>
      </c>
      <c r="M2354" s="5">
        <v>0</v>
      </c>
      <c r="N2354" t="s">
        <v>12</v>
      </c>
      <c r="O2354" s="8">
        <v>23.4</v>
      </c>
      <c r="P2354" t="s">
        <v>33</v>
      </c>
      <c r="Q2354">
        <v>2</v>
      </c>
      <c r="R2354" s="2">
        <v>37454</v>
      </c>
    </row>
    <row r="2355" spans="1:18" x14ac:dyDescent="0.3">
      <c r="A2355" t="s">
        <v>7</v>
      </c>
      <c r="B2355">
        <v>18985268</v>
      </c>
      <c r="C2355" t="s">
        <v>8</v>
      </c>
      <c r="D2355" s="4">
        <v>45995</v>
      </c>
      <c r="E2355" s="11">
        <f t="shared" si="144"/>
        <v>2025</v>
      </c>
      <c r="F2355" s="11">
        <f t="shared" si="145"/>
        <v>12</v>
      </c>
      <c r="G2355" s="11" t="str">
        <f t="shared" si="146"/>
        <v>202512</v>
      </c>
      <c r="H2355" s="4">
        <v>46124</v>
      </c>
      <c r="I2355" s="5">
        <v>129</v>
      </c>
      <c r="J2355" s="5">
        <v>4.3</v>
      </c>
      <c r="K2355" s="5">
        <f t="shared" si="147"/>
        <v>0</v>
      </c>
      <c r="L2355" s="5">
        <v>0</v>
      </c>
      <c r="M2355" s="5">
        <v>1</v>
      </c>
      <c r="N2355" t="s">
        <v>9</v>
      </c>
      <c r="O2355" s="8">
        <v>18.315068493150687</v>
      </c>
      <c r="P2355" t="s">
        <v>32</v>
      </c>
      <c r="Q2355">
        <v>1</v>
      </c>
      <c r="R2355" s="2">
        <v>39310</v>
      </c>
    </row>
    <row r="2356" spans="1:18" x14ac:dyDescent="0.3">
      <c r="A2356" t="s">
        <v>7</v>
      </c>
      <c r="B2356">
        <v>18985287</v>
      </c>
      <c r="C2356" t="s">
        <v>10</v>
      </c>
      <c r="D2356" s="4">
        <v>45995</v>
      </c>
      <c r="E2356" s="11">
        <f t="shared" si="144"/>
        <v>2025</v>
      </c>
      <c r="F2356" s="11">
        <f t="shared" si="145"/>
        <v>12</v>
      </c>
      <c r="G2356" s="11" t="str">
        <f t="shared" si="146"/>
        <v>202512</v>
      </c>
      <c r="H2356" s="4">
        <v>46024</v>
      </c>
      <c r="I2356" s="5">
        <v>29</v>
      </c>
      <c r="J2356" s="5">
        <v>0.96666666666666667</v>
      </c>
      <c r="K2356" s="5">
        <f t="shared" si="147"/>
        <v>1</v>
      </c>
      <c r="L2356" s="5">
        <v>1</v>
      </c>
      <c r="M2356" s="5">
        <v>1</v>
      </c>
      <c r="N2356" t="s">
        <v>9</v>
      </c>
      <c r="O2356" s="8">
        <v>20.835616438356166</v>
      </c>
      <c r="P2356" t="s">
        <v>32</v>
      </c>
      <c r="Q2356">
        <v>1</v>
      </c>
      <c r="R2356" s="2">
        <v>38390</v>
      </c>
    </row>
    <row r="2357" spans="1:18" x14ac:dyDescent="0.3">
      <c r="A2357" t="s">
        <v>7</v>
      </c>
      <c r="B2357">
        <v>18985290</v>
      </c>
      <c r="C2357" t="s">
        <v>8</v>
      </c>
      <c r="D2357" s="4">
        <v>45995</v>
      </c>
      <c r="E2357" s="11">
        <f t="shared" si="144"/>
        <v>2025</v>
      </c>
      <c r="F2357" s="11">
        <f t="shared" si="145"/>
        <v>12</v>
      </c>
      <c r="G2357" s="11" t="str">
        <f t="shared" si="146"/>
        <v>202512</v>
      </c>
      <c r="I2357" s="5">
        <v>9999</v>
      </c>
      <c r="J2357" s="5">
        <v>333.3</v>
      </c>
      <c r="K2357" s="5">
        <f t="shared" si="147"/>
        <v>0</v>
      </c>
      <c r="L2357" s="5">
        <v>0</v>
      </c>
      <c r="M2357" s="5">
        <v>0</v>
      </c>
      <c r="N2357" t="s">
        <v>9</v>
      </c>
      <c r="O2357" s="8">
        <v>19.002739726027396</v>
      </c>
      <c r="P2357" t="s">
        <v>32</v>
      </c>
      <c r="Q2357">
        <v>1</v>
      </c>
      <c r="R2357" s="2">
        <v>39059</v>
      </c>
    </row>
    <row r="2358" spans="1:18" x14ac:dyDescent="0.3">
      <c r="A2358" t="s">
        <v>7</v>
      </c>
      <c r="B2358">
        <v>18985291</v>
      </c>
      <c r="C2358" t="s">
        <v>10</v>
      </c>
      <c r="D2358" s="4">
        <v>45995</v>
      </c>
      <c r="E2358" s="11">
        <f t="shared" si="144"/>
        <v>2025</v>
      </c>
      <c r="F2358" s="11">
        <f t="shared" si="145"/>
        <v>12</v>
      </c>
      <c r="G2358" s="11" t="str">
        <f t="shared" si="146"/>
        <v>202512</v>
      </c>
      <c r="I2358" s="5">
        <v>9999</v>
      </c>
      <c r="J2358" s="5">
        <v>333.3</v>
      </c>
      <c r="K2358" s="5">
        <f t="shared" si="147"/>
        <v>0</v>
      </c>
      <c r="L2358" s="5">
        <v>0</v>
      </c>
      <c r="M2358" s="5">
        <v>0</v>
      </c>
      <c r="N2358" t="s">
        <v>9</v>
      </c>
      <c r="O2358" s="8">
        <v>19.315068493150687</v>
      </c>
      <c r="P2358" t="s">
        <v>32</v>
      </c>
      <c r="Q2358">
        <v>1</v>
      </c>
      <c r="R2358" s="2">
        <v>38945</v>
      </c>
    </row>
    <row r="2359" spans="1:18" x14ac:dyDescent="0.3">
      <c r="A2359" t="s">
        <v>7</v>
      </c>
      <c r="B2359">
        <v>18985371</v>
      </c>
      <c r="C2359" t="s">
        <v>8</v>
      </c>
      <c r="D2359" s="4">
        <v>45995</v>
      </c>
      <c r="E2359" s="11">
        <f t="shared" si="144"/>
        <v>2025</v>
      </c>
      <c r="F2359" s="11">
        <f t="shared" si="145"/>
        <v>12</v>
      </c>
      <c r="G2359" s="11" t="str">
        <f t="shared" si="146"/>
        <v>202512</v>
      </c>
      <c r="H2359" s="4">
        <v>46006</v>
      </c>
      <c r="I2359" s="5">
        <v>11</v>
      </c>
      <c r="J2359" s="5">
        <v>0.36666666666666664</v>
      </c>
      <c r="K2359" s="5">
        <f t="shared" si="147"/>
        <v>1</v>
      </c>
      <c r="L2359" s="5">
        <v>1</v>
      </c>
      <c r="M2359" s="5">
        <v>1</v>
      </c>
      <c r="N2359" t="s">
        <v>9</v>
      </c>
      <c r="O2359" s="8">
        <v>26.991780821917807</v>
      </c>
      <c r="P2359" t="s">
        <v>34</v>
      </c>
      <c r="Q2359">
        <v>3</v>
      </c>
      <c r="R2359" s="2">
        <v>36143</v>
      </c>
    </row>
    <row r="2360" spans="1:18" x14ac:dyDescent="0.3">
      <c r="A2360" t="s">
        <v>7</v>
      </c>
      <c r="B2360">
        <v>18985570</v>
      </c>
      <c r="C2360" t="s">
        <v>8</v>
      </c>
      <c r="D2360" s="4">
        <v>45996</v>
      </c>
      <c r="E2360" s="11">
        <f t="shared" si="144"/>
        <v>2025</v>
      </c>
      <c r="F2360" s="11">
        <f t="shared" si="145"/>
        <v>12</v>
      </c>
      <c r="G2360" s="11" t="str">
        <f t="shared" si="146"/>
        <v>202512</v>
      </c>
      <c r="I2360" s="5">
        <v>9999</v>
      </c>
      <c r="J2360" s="5">
        <v>333.3</v>
      </c>
      <c r="K2360" s="5">
        <f t="shared" si="147"/>
        <v>0</v>
      </c>
      <c r="L2360" s="5">
        <v>0</v>
      </c>
      <c r="M2360" s="5">
        <v>0</v>
      </c>
      <c r="N2360" t="s">
        <v>12</v>
      </c>
      <c r="O2360" s="8">
        <v>31.528767123287672</v>
      </c>
      <c r="P2360" t="s">
        <v>35</v>
      </c>
      <c r="Q2360">
        <v>4</v>
      </c>
      <c r="R2360" s="2">
        <v>34488</v>
      </c>
    </row>
    <row r="2361" spans="1:18" x14ac:dyDescent="0.3">
      <c r="A2361" t="s">
        <v>7</v>
      </c>
      <c r="B2361">
        <v>18985652</v>
      </c>
      <c r="C2361" t="s">
        <v>8</v>
      </c>
      <c r="D2361" s="4">
        <v>45996</v>
      </c>
      <c r="E2361" s="11">
        <f t="shared" si="144"/>
        <v>2025</v>
      </c>
      <c r="F2361" s="11">
        <f t="shared" si="145"/>
        <v>12</v>
      </c>
      <c r="G2361" s="11" t="str">
        <f t="shared" si="146"/>
        <v>202512</v>
      </c>
      <c r="H2361" s="4">
        <v>46081</v>
      </c>
      <c r="I2361" s="5">
        <v>85</v>
      </c>
      <c r="J2361" s="5">
        <v>2.8333333333333335</v>
      </c>
      <c r="K2361" s="5">
        <f t="shared" si="147"/>
        <v>0</v>
      </c>
      <c r="L2361" s="5">
        <v>1</v>
      </c>
      <c r="M2361" s="5">
        <v>1</v>
      </c>
      <c r="N2361" t="s">
        <v>12</v>
      </c>
      <c r="O2361" s="8">
        <v>18.356164383561644</v>
      </c>
      <c r="P2361" t="s">
        <v>32</v>
      </c>
      <c r="Q2361">
        <v>1</v>
      </c>
      <c r="R2361" s="2">
        <v>39296</v>
      </c>
    </row>
    <row r="2362" spans="1:18" x14ac:dyDescent="0.3">
      <c r="A2362" t="s">
        <v>7</v>
      </c>
      <c r="B2362">
        <v>18985653</v>
      </c>
      <c r="C2362" t="s">
        <v>10</v>
      </c>
      <c r="D2362" s="4">
        <v>45996</v>
      </c>
      <c r="E2362" s="11">
        <f t="shared" si="144"/>
        <v>2025</v>
      </c>
      <c r="F2362" s="11">
        <f t="shared" si="145"/>
        <v>12</v>
      </c>
      <c r="G2362" s="11" t="str">
        <f t="shared" si="146"/>
        <v>202512</v>
      </c>
      <c r="I2362" s="5">
        <v>9999</v>
      </c>
      <c r="J2362" s="5">
        <v>333.3</v>
      </c>
      <c r="K2362" s="5">
        <f t="shared" si="147"/>
        <v>0</v>
      </c>
      <c r="L2362" s="5">
        <v>0</v>
      </c>
      <c r="M2362" s="5">
        <v>0</v>
      </c>
      <c r="N2362" t="s">
        <v>9</v>
      </c>
      <c r="O2362" s="8">
        <v>24.117808219178084</v>
      </c>
      <c r="P2362" t="s">
        <v>33</v>
      </c>
      <c r="Q2362">
        <v>2</v>
      </c>
      <c r="R2362" s="2">
        <v>37193</v>
      </c>
    </row>
    <row r="2363" spans="1:18" x14ac:dyDescent="0.3">
      <c r="A2363" t="s">
        <v>7</v>
      </c>
      <c r="B2363">
        <v>18985712</v>
      </c>
      <c r="C2363" t="s">
        <v>8</v>
      </c>
      <c r="D2363" s="4">
        <v>45996</v>
      </c>
      <c r="E2363" s="11">
        <f t="shared" si="144"/>
        <v>2025</v>
      </c>
      <c r="F2363" s="11">
        <f t="shared" si="145"/>
        <v>12</v>
      </c>
      <c r="G2363" s="11" t="str">
        <f t="shared" si="146"/>
        <v>202512</v>
      </c>
      <c r="H2363" s="4">
        <v>46127</v>
      </c>
      <c r="I2363" s="5">
        <v>131</v>
      </c>
      <c r="J2363" s="5">
        <v>4.3666666666666663</v>
      </c>
      <c r="K2363" s="5">
        <f t="shared" si="147"/>
        <v>0</v>
      </c>
      <c r="L2363" s="5">
        <v>0</v>
      </c>
      <c r="M2363" s="5">
        <v>1</v>
      </c>
      <c r="N2363" t="s">
        <v>9</v>
      </c>
      <c r="O2363" s="8">
        <v>47.534246575342465</v>
      </c>
      <c r="P2363" t="s">
        <v>35</v>
      </c>
      <c r="Q2363">
        <v>4</v>
      </c>
      <c r="R2363" s="2">
        <v>28646</v>
      </c>
    </row>
    <row r="2364" spans="1:18" x14ac:dyDescent="0.3">
      <c r="A2364" t="s">
        <v>7</v>
      </c>
      <c r="B2364">
        <v>18985737</v>
      </c>
      <c r="C2364" t="s">
        <v>8</v>
      </c>
      <c r="D2364" s="4">
        <v>45996</v>
      </c>
      <c r="E2364" s="11">
        <f t="shared" si="144"/>
        <v>2025</v>
      </c>
      <c r="F2364" s="11">
        <f t="shared" si="145"/>
        <v>12</v>
      </c>
      <c r="G2364" s="11" t="str">
        <f t="shared" si="146"/>
        <v>202512</v>
      </c>
      <c r="H2364" s="4">
        <v>46075</v>
      </c>
      <c r="I2364" s="5">
        <v>79</v>
      </c>
      <c r="J2364" s="5">
        <v>2.6333333333333333</v>
      </c>
      <c r="K2364" s="5">
        <f t="shared" si="147"/>
        <v>0</v>
      </c>
      <c r="L2364" s="5">
        <v>1</v>
      </c>
      <c r="M2364" s="5">
        <v>1</v>
      </c>
      <c r="N2364" t="s">
        <v>9</v>
      </c>
      <c r="O2364" s="8">
        <v>20.24931506849315</v>
      </c>
      <c r="P2364" t="s">
        <v>32</v>
      </c>
      <c r="Q2364">
        <v>1</v>
      </c>
      <c r="R2364" s="2">
        <v>38605</v>
      </c>
    </row>
    <row r="2365" spans="1:18" x14ac:dyDescent="0.3">
      <c r="A2365" t="s">
        <v>7</v>
      </c>
      <c r="B2365">
        <v>18985785</v>
      </c>
      <c r="C2365" t="s">
        <v>10</v>
      </c>
      <c r="D2365" s="4">
        <v>45996</v>
      </c>
      <c r="E2365" s="11">
        <f t="shared" si="144"/>
        <v>2025</v>
      </c>
      <c r="F2365" s="11">
        <f t="shared" si="145"/>
        <v>12</v>
      </c>
      <c r="G2365" s="11" t="str">
        <f t="shared" si="146"/>
        <v>202512</v>
      </c>
      <c r="I2365" s="5">
        <v>9999</v>
      </c>
      <c r="J2365" s="5">
        <v>333.3</v>
      </c>
      <c r="K2365" s="5">
        <f t="shared" si="147"/>
        <v>0</v>
      </c>
      <c r="L2365" s="5">
        <v>0</v>
      </c>
      <c r="M2365" s="5">
        <v>0</v>
      </c>
      <c r="N2365" t="s">
        <v>9</v>
      </c>
      <c r="O2365" s="8">
        <v>20.12054794520548</v>
      </c>
      <c r="P2365" t="s">
        <v>32</v>
      </c>
      <c r="Q2365">
        <v>1</v>
      </c>
      <c r="R2365" s="2">
        <v>38652</v>
      </c>
    </row>
    <row r="2366" spans="1:18" x14ac:dyDescent="0.3">
      <c r="A2366" t="s">
        <v>7</v>
      </c>
      <c r="B2366">
        <v>18985786</v>
      </c>
      <c r="C2366" t="s">
        <v>10</v>
      </c>
      <c r="D2366" s="4">
        <v>45996</v>
      </c>
      <c r="E2366" s="11">
        <f t="shared" si="144"/>
        <v>2025</v>
      </c>
      <c r="F2366" s="11">
        <f t="shared" si="145"/>
        <v>12</v>
      </c>
      <c r="G2366" s="11" t="str">
        <f t="shared" si="146"/>
        <v>202512</v>
      </c>
      <c r="I2366" s="5">
        <v>9999</v>
      </c>
      <c r="J2366" s="5">
        <v>333.3</v>
      </c>
      <c r="K2366" s="5">
        <f t="shared" si="147"/>
        <v>0</v>
      </c>
      <c r="L2366" s="5">
        <v>0</v>
      </c>
      <c r="M2366" s="5">
        <v>0</v>
      </c>
      <c r="N2366" t="s">
        <v>9</v>
      </c>
      <c r="O2366" s="8">
        <v>18.068493150684933</v>
      </c>
      <c r="P2366" t="s">
        <v>32</v>
      </c>
      <c r="Q2366">
        <v>1</v>
      </c>
      <c r="R2366" s="2">
        <v>39401</v>
      </c>
    </row>
    <row r="2367" spans="1:18" x14ac:dyDescent="0.3">
      <c r="A2367" t="s">
        <v>7</v>
      </c>
      <c r="B2367">
        <v>18985787</v>
      </c>
      <c r="C2367" t="s">
        <v>10</v>
      </c>
      <c r="D2367" s="4">
        <v>45996</v>
      </c>
      <c r="E2367" s="11">
        <f t="shared" si="144"/>
        <v>2025</v>
      </c>
      <c r="F2367" s="11">
        <f t="shared" si="145"/>
        <v>12</v>
      </c>
      <c r="G2367" s="11" t="str">
        <f t="shared" si="146"/>
        <v>202512</v>
      </c>
      <c r="I2367" s="5">
        <v>9999</v>
      </c>
      <c r="J2367" s="5">
        <v>333.3</v>
      </c>
      <c r="K2367" s="5">
        <f t="shared" si="147"/>
        <v>0</v>
      </c>
      <c r="L2367" s="5">
        <v>0</v>
      </c>
      <c r="M2367" s="5">
        <v>0</v>
      </c>
      <c r="N2367" t="s">
        <v>12</v>
      </c>
      <c r="O2367" s="8">
        <v>18.123287671232877</v>
      </c>
      <c r="P2367" t="s">
        <v>32</v>
      </c>
      <c r="Q2367">
        <v>1</v>
      </c>
      <c r="R2367" s="2">
        <v>39381</v>
      </c>
    </row>
    <row r="2368" spans="1:18" x14ac:dyDescent="0.3">
      <c r="A2368" t="s">
        <v>7</v>
      </c>
      <c r="B2368">
        <v>18985811</v>
      </c>
      <c r="C2368" t="s">
        <v>8</v>
      </c>
      <c r="D2368" s="4">
        <v>45996</v>
      </c>
      <c r="E2368" s="11">
        <f t="shared" si="144"/>
        <v>2025</v>
      </c>
      <c r="F2368" s="11">
        <f t="shared" si="145"/>
        <v>12</v>
      </c>
      <c r="G2368" s="11" t="str">
        <f t="shared" si="146"/>
        <v>202512</v>
      </c>
      <c r="H2368" s="4">
        <v>46035</v>
      </c>
      <c r="I2368" s="5">
        <v>39</v>
      </c>
      <c r="J2368" s="5">
        <v>1.3</v>
      </c>
      <c r="K2368" s="5">
        <f t="shared" si="147"/>
        <v>0</v>
      </c>
      <c r="L2368" s="5">
        <v>1</v>
      </c>
      <c r="M2368" s="5">
        <v>1</v>
      </c>
      <c r="N2368" t="s">
        <v>9</v>
      </c>
      <c r="O2368" s="8">
        <v>28.624657534246577</v>
      </c>
      <c r="P2368" t="s">
        <v>34</v>
      </c>
      <c r="Q2368">
        <v>3</v>
      </c>
      <c r="R2368" s="2">
        <v>35548</v>
      </c>
    </row>
    <row r="2369" spans="1:18" x14ac:dyDescent="0.3">
      <c r="A2369" t="s">
        <v>7</v>
      </c>
      <c r="B2369">
        <v>18985853</v>
      </c>
      <c r="C2369" t="s">
        <v>8</v>
      </c>
      <c r="D2369" s="4">
        <v>45996</v>
      </c>
      <c r="E2369" s="11">
        <f t="shared" si="144"/>
        <v>2025</v>
      </c>
      <c r="F2369" s="11">
        <f t="shared" si="145"/>
        <v>12</v>
      </c>
      <c r="G2369" s="11" t="str">
        <f t="shared" si="146"/>
        <v>202512</v>
      </c>
      <c r="I2369" s="5">
        <v>9999</v>
      </c>
      <c r="J2369" s="5">
        <v>333.3</v>
      </c>
      <c r="K2369" s="5">
        <f t="shared" si="147"/>
        <v>0</v>
      </c>
      <c r="L2369" s="5">
        <v>0</v>
      </c>
      <c r="M2369" s="5">
        <v>0</v>
      </c>
      <c r="N2369" t="s">
        <v>9</v>
      </c>
      <c r="O2369" s="8">
        <v>28.638356164383563</v>
      </c>
      <c r="P2369" t="s">
        <v>34</v>
      </c>
      <c r="Q2369">
        <v>3</v>
      </c>
      <c r="R2369" s="2">
        <v>35543</v>
      </c>
    </row>
    <row r="2370" spans="1:18" x14ac:dyDescent="0.3">
      <c r="A2370" t="s">
        <v>7</v>
      </c>
      <c r="B2370">
        <v>18985862</v>
      </c>
      <c r="C2370" t="s">
        <v>8</v>
      </c>
      <c r="D2370" s="4">
        <v>45996</v>
      </c>
      <c r="E2370" s="11">
        <f t="shared" si="144"/>
        <v>2025</v>
      </c>
      <c r="F2370" s="11">
        <f t="shared" si="145"/>
        <v>12</v>
      </c>
      <c r="G2370" s="11" t="str">
        <f t="shared" si="146"/>
        <v>202512</v>
      </c>
      <c r="H2370" s="4">
        <v>46053</v>
      </c>
      <c r="I2370" s="5">
        <v>57</v>
      </c>
      <c r="J2370" s="5">
        <v>1.9</v>
      </c>
      <c r="K2370" s="5">
        <f t="shared" si="147"/>
        <v>0</v>
      </c>
      <c r="L2370" s="5">
        <v>1</v>
      </c>
      <c r="M2370" s="5">
        <v>1</v>
      </c>
      <c r="N2370" t="s">
        <v>9</v>
      </c>
      <c r="O2370" s="8">
        <v>19.186301369863013</v>
      </c>
      <c r="P2370" t="s">
        <v>32</v>
      </c>
      <c r="Q2370">
        <v>1</v>
      </c>
      <c r="R2370" s="2">
        <v>38993</v>
      </c>
    </row>
    <row r="2371" spans="1:18" x14ac:dyDescent="0.3">
      <c r="A2371" t="s">
        <v>7</v>
      </c>
      <c r="B2371">
        <v>18985865</v>
      </c>
      <c r="C2371" t="s">
        <v>10</v>
      </c>
      <c r="D2371" s="4">
        <v>45996</v>
      </c>
      <c r="E2371" s="11">
        <f t="shared" ref="E2371:E2434" si="148">+YEAR(D2371)</f>
        <v>2025</v>
      </c>
      <c r="F2371" s="11">
        <f t="shared" ref="F2371:F2434" si="149">+MONTH(D2371)</f>
        <v>12</v>
      </c>
      <c r="G2371" s="11" t="str">
        <f t="shared" ref="G2371:G2434" si="150">+TEXT(D2371, "yyymm")</f>
        <v>202512</v>
      </c>
      <c r="H2371" s="4">
        <v>46004</v>
      </c>
      <c r="I2371" s="5">
        <v>8</v>
      </c>
      <c r="J2371" s="5">
        <v>0.26666666666666666</v>
      </c>
      <c r="K2371" s="5">
        <f t="shared" ref="K2371:K2434" si="151">IF(J2371&lt;=1,1,0)</f>
        <v>1</v>
      </c>
      <c r="L2371" s="5">
        <v>1</v>
      </c>
      <c r="M2371" s="5">
        <v>1</v>
      </c>
      <c r="N2371" t="s">
        <v>9</v>
      </c>
      <c r="O2371" s="8">
        <v>21.17808219178082</v>
      </c>
      <c r="P2371" t="s">
        <v>33</v>
      </c>
      <c r="Q2371">
        <v>2</v>
      </c>
      <c r="R2371" s="2">
        <v>38266</v>
      </c>
    </row>
    <row r="2372" spans="1:18" x14ac:dyDescent="0.3">
      <c r="A2372" t="s">
        <v>7</v>
      </c>
      <c r="B2372">
        <v>18985868</v>
      </c>
      <c r="C2372" t="s">
        <v>8</v>
      </c>
      <c r="D2372" s="4">
        <v>45996</v>
      </c>
      <c r="E2372" s="11">
        <f t="shared" si="148"/>
        <v>2025</v>
      </c>
      <c r="F2372" s="11">
        <f t="shared" si="149"/>
        <v>12</v>
      </c>
      <c r="G2372" s="11" t="str">
        <f t="shared" si="150"/>
        <v>202512</v>
      </c>
      <c r="H2372" s="4">
        <v>46069</v>
      </c>
      <c r="I2372" s="5">
        <v>73</v>
      </c>
      <c r="J2372" s="5">
        <v>2.4333333333333331</v>
      </c>
      <c r="K2372" s="5">
        <f t="shared" si="151"/>
        <v>0</v>
      </c>
      <c r="L2372" s="5">
        <v>1</v>
      </c>
      <c r="M2372" s="5">
        <v>1</v>
      </c>
      <c r="N2372" t="s">
        <v>12</v>
      </c>
      <c r="O2372" s="8">
        <v>32.709589041095889</v>
      </c>
      <c r="P2372" t="s">
        <v>35</v>
      </c>
      <c r="Q2372">
        <v>4</v>
      </c>
      <c r="R2372" s="2">
        <v>34057</v>
      </c>
    </row>
    <row r="2373" spans="1:18" x14ac:dyDescent="0.3">
      <c r="A2373" t="s">
        <v>7</v>
      </c>
      <c r="B2373">
        <v>18985874</v>
      </c>
      <c r="C2373" t="s">
        <v>8</v>
      </c>
      <c r="D2373" s="4">
        <v>45996</v>
      </c>
      <c r="E2373" s="11">
        <f t="shared" si="148"/>
        <v>2025</v>
      </c>
      <c r="F2373" s="11">
        <f t="shared" si="149"/>
        <v>12</v>
      </c>
      <c r="G2373" s="11" t="str">
        <f t="shared" si="150"/>
        <v>202512</v>
      </c>
      <c r="H2373" s="4">
        <v>46022</v>
      </c>
      <c r="I2373" s="5">
        <v>26</v>
      </c>
      <c r="J2373" s="5">
        <v>0.8666666666666667</v>
      </c>
      <c r="K2373" s="5">
        <f t="shared" si="151"/>
        <v>1</v>
      </c>
      <c r="L2373" s="5">
        <v>1</v>
      </c>
      <c r="M2373" s="5">
        <v>1</v>
      </c>
      <c r="N2373" t="s">
        <v>12</v>
      </c>
      <c r="O2373" s="8">
        <v>27.890410958904109</v>
      </c>
      <c r="P2373" t="s">
        <v>34</v>
      </c>
      <c r="Q2373">
        <v>3</v>
      </c>
      <c r="R2373" s="2">
        <v>35816</v>
      </c>
    </row>
    <row r="2374" spans="1:18" x14ac:dyDescent="0.3">
      <c r="A2374" t="s">
        <v>7</v>
      </c>
      <c r="B2374">
        <v>18985881</v>
      </c>
      <c r="C2374" t="s">
        <v>8</v>
      </c>
      <c r="D2374" s="4">
        <v>45996</v>
      </c>
      <c r="E2374" s="11">
        <f t="shared" si="148"/>
        <v>2025</v>
      </c>
      <c r="F2374" s="11">
        <f t="shared" si="149"/>
        <v>12</v>
      </c>
      <c r="G2374" s="11" t="str">
        <f t="shared" si="150"/>
        <v>202512</v>
      </c>
      <c r="I2374" s="5">
        <v>9999</v>
      </c>
      <c r="J2374" s="5">
        <v>333.3</v>
      </c>
      <c r="K2374" s="5">
        <f t="shared" si="151"/>
        <v>0</v>
      </c>
      <c r="L2374" s="5">
        <v>0</v>
      </c>
      <c r="M2374" s="5">
        <v>0</v>
      </c>
      <c r="N2374" t="s">
        <v>12</v>
      </c>
      <c r="O2374" s="8">
        <v>51.142465753424659</v>
      </c>
      <c r="P2374" t="s">
        <v>35</v>
      </c>
      <c r="Q2374">
        <v>4</v>
      </c>
      <c r="R2374" s="2">
        <v>27329</v>
      </c>
    </row>
    <row r="2375" spans="1:18" x14ac:dyDescent="0.3">
      <c r="A2375" t="s">
        <v>7</v>
      </c>
      <c r="B2375">
        <v>18985882</v>
      </c>
      <c r="C2375" t="s">
        <v>8</v>
      </c>
      <c r="D2375" s="4">
        <v>45996</v>
      </c>
      <c r="E2375" s="11">
        <f t="shared" si="148"/>
        <v>2025</v>
      </c>
      <c r="F2375" s="11">
        <f t="shared" si="149"/>
        <v>12</v>
      </c>
      <c r="G2375" s="11" t="str">
        <f t="shared" si="150"/>
        <v>202512</v>
      </c>
      <c r="H2375" s="4">
        <v>46065</v>
      </c>
      <c r="I2375" s="5">
        <v>69</v>
      </c>
      <c r="J2375" s="5">
        <v>2.2999999999999998</v>
      </c>
      <c r="K2375" s="5">
        <f t="shared" si="151"/>
        <v>0</v>
      </c>
      <c r="L2375" s="5">
        <v>1</v>
      </c>
      <c r="M2375" s="5">
        <v>1</v>
      </c>
      <c r="N2375" t="s">
        <v>12</v>
      </c>
      <c r="O2375" s="8">
        <v>34.980821917808221</v>
      </c>
      <c r="P2375" t="s">
        <v>35</v>
      </c>
      <c r="Q2375">
        <v>4</v>
      </c>
      <c r="R2375" s="2">
        <v>33228</v>
      </c>
    </row>
    <row r="2376" spans="1:18" x14ac:dyDescent="0.3">
      <c r="A2376" t="s">
        <v>7</v>
      </c>
      <c r="B2376">
        <v>18985883</v>
      </c>
      <c r="C2376" t="s">
        <v>8</v>
      </c>
      <c r="D2376" s="4">
        <v>45996</v>
      </c>
      <c r="E2376" s="11">
        <f t="shared" si="148"/>
        <v>2025</v>
      </c>
      <c r="F2376" s="11">
        <f t="shared" si="149"/>
        <v>12</v>
      </c>
      <c r="G2376" s="11" t="str">
        <f t="shared" si="150"/>
        <v>202512</v>
      </c>
      <c r="I2376" s="5">
        <v>9999</v>
      </c>
      <c r="J2376" s="5">
        <v>333.3</v>
      </c>
      <c r="K2376" s="5">
        <f t="shared" si="151"/>
        <v>0</v>
      </c>
      <c r="L2376" s="5">
        <v>0</v>
      </c>
      <c r="M2376" s="5">
        <v>0</v>
      </c>
      <c r="N2376" t="s">
        <v>12</v>
      </c>
      <c r="O2376" s="8">
        <v>21.18904109589041</v>
      </c>
      <c r="P2376" t="s">
        <v>33</v>
      </c>
      <c r="Q2376">
        <v>2</v>
      </c>
      <c r="R2376" s="2">
        <v>38262</v>
      </c>
    </row>
    <row r="2377" spans="1:18" x14ac:dyDescent="0.3">
      <c r="A2377" t="s">
        <v>7</v>
      </c>
      <c r="B2377">
        <v>18985893</v>
      </c>
      <c r="C2377" t="s">
        <v>8</v>
      </c>
      <c r="D2377" s="4">
        <v>45996</v>
      </c>
      <c r="E2377" s="11">
        <f t="shared" si="148"/>
        <v>2025</v>
      </c>
      <c r="F2377" s="11">
        <f t="shared" si="149"/>
        <v>12</v>
      </c>
      <c r="G2377" s="11" t="str">
        <f t="shared" si="150"/>
        <v>202512</v>
      </c>
      <c r="H2377" s="4">
        <v>46070</v>
      </c>
      <c r="I2377" s="5">
        <v>74</v>
      </c>
      <c r="J2377" s="5">
        <v>2.4666666666666668</v>
      </c>
      <c r="K2377" s="5">
        <f t="shared" si="151"/>
        <v>0</v>
      </c>
      <c r="L2377" s="5">
        <v>1</v>
      </c>
      <c r="M2377" s="5">
        <v>1</v>
      </c>
      <c r="N2377" t="s">
        <v>12</v>
      </c>
      <c r="O2377" s="8">
        <v>25.378082191780823</v>
      </c>
      <c r="P2377" t="s">
        <v>33</v>
      </c>
      <c r="Q2377">
        <v>2</v>
      </c>
      <c r="R2377" s="2">
        <v>36733</v>
      </c>
    </row>
    <row r="2378" spans="1:18" x14ac:dyDescent="0.3">
      <c r="A2378" t="s">
        <v>7</v>
      </c>
      <c r="B2378">
        <v>18985894</v>
      </c>
      <c r="C2378" t="s">
        <v>8</v>
      </c>
      <c r="D2378" s="4">
        <v>45996</v>
      </c>
      <c r="E2378" s="11">
        <f t="shared" si="148"/>
        <v>2025</v>
      </c>
      <c r="F2378" s="11">
        <f t="shared" si="149"/>
        <v>12</v>
      </c>
      <c r="G2378" s="11" t="str">
        <f t="shared" si="150"/>
        <v>202512</v>
      </c>
      <c r="I2378" s="5">
        <v>9999</v>
      </c>
      <c r="J2378" s="5">
        <v>333.3</v>
      </c>
      <c r="K2378" s="5">
        <f t="shared" si="151"/>
        <v>0</v>
      </c>
      <c r="L2378" s="5">
        <v>0</v>
      </c>
      <c r="M2378" s="5">
        <v>0</v>
      </c>
      <c r="N2378" t="s">
        <v>12</v>
      </c>
      <c r="O2378" s="8">
        <v>18.901369863013699</v>
      </c>
      <c r="P2378" t="s">
        <v>32</v>
      </c>
      <c r="Q2378">
        <v>1</v>
      </c>
      <c r="R2378" s="2">
        <v>39097</v>
      </c>
    </row>
    <row r="2379" spans="1:18" x14ac:dyDescent="0.3">
      <c r="A2379" t="s">
        <v>7</v>
      </c>
      <c r="B2379">
        <v>18985895</v>
      </c>
      <c r="C2379" t="s">
        <v>8</v>
      </c>
      <c r="D2379" s="4">
        <v>45996</v>
      </c>
      <c r="E2379" s="11">
        <f t="shared" si="148"/>
        <v>2025</v>
      </c>
      <c r="F2379" s="11">
        <f t="shared" si="149"/>
        <v>12</v>
      </c>
      <c r="G2379" s="11" t="str">
        <f t="shared" si="150"/>
        <v>202512</v>
      </c>
      <c r="H2379" s="4">
        <v>46070</v>
      </c>
      <c r="I2379" s="5">
        <v>74</v>
      </c>
      <c r="J2379" s="5">
        <v>2.4666666666666668</v>
      </c>
      <c r="K2379" s="5">
        <f t="shared" si="151"/>
        <v>0</v>
      </c>
      <c r="L2379" s="5">
        <v>1</v>
      </c>
      <c r="M2379" s="5">
        <v>1</v>
      </c>
      <c r="N2379" t="s">
        <v>12</v>
      </c>
      <c r="O2379" s="8">
        <v>36.11780821917808</v>
      </c>
      <c r="P2379" t="s">
        <v>35</v>
      </c>
      <c r="Q2379">
        <v>4</v>
      </c>
      <c r="R2379" s="2">
        <v>32813</v>
      </c>
    </row>
    <row r="2380" spans="1:18" x14ac:dyDescent="0.3">
      <c r="A2380" t="s">
        <v>7</v>
      </c>
      <c r="B2380">
        <v>18985897</v>
      </c>
      <c r="C2380" t="s">
        <v>8</v>
      </c>
      <c r="D2380" s="4">
        <v>45996</v>
      </c>
      <c r="E2380" s="11">
        <f t="shared" si="148"/>
        <v>2025</v>
      </c>
      <c r="F2380" s="11">
        <f t="shared" si="149"/>
        <v>12</v>
      </c>
      <c r="G2380" s="11" t="str">
        <f t="shared" si="150"/>
        <v>202512</v>
      </c>
      <c r="I2380" s="5">
        <v>9999</v>
      </c>
      <c r="J2380" s="5">
        <v>333.3</v>
      </c>
      <c r="K2380" s="5">
        <f t="shared" si="151"/>
        <v>0</v>
      </c>
      <c r="L2380" s="5">
        <v>0</v>
      </c>
      <c r="M2380" s="5">
        <v>0</v>
      </c>
      <c r="N2380" t="s">
        <v>12</v>
      </c>
      <c r="O2380" s="8">
        <v>28.167123287671235</v>
      </c>
      <c r="P2380" t="s">
        <v>34</v>
      </c>
      <c r="Q2380">
        <v>3</v>
      </c>
      <c r="R2380" s="2">
        <v>35715</v>
      </c>
    </row>
    <row r="2381" spans="1:18" x14ac:dyDescent="0.3">
      <c r="A2381" t="s">
        <v>7</v>
      </c>
      <c r="B2381">
        <v>18985929</v>
      </c>
      <c r="C2381" t="s">
        <v>8</v>
      </c>
      <c r="D2381" s="4">
        <v>45996</v>
      </c>
      <c r="E2381" s="11">
        <f t="shared" si="148"/>
        <v>2025</v>
      </c>
      <c r="F2381" s="11">
        <f t="shared" si="149"/>
        <v>12</v>
      </c>
      <c r="G2381" s="11" t="str">
        <f t="shared" si="150"/>
        <v>202512</v>
      </c>
      <c r="H2381" s="4">
        <v>46009</v>
      </c>
      <c r="I2381" s="5">
        <v>13</v>
      </c>
      <c r="J2381" s="5">
        <v>0.43333333333333335</v>
      </c>
      <c r="K2381" s="5">
        <f t="shared" si="151"/>
        <v>1</v>
      </c>
      <c r="L2381" s="5">
        <v>1</v>
      </c>
      <c r="M2381" s="5">
        <v>1</v>
      </c>
      <c r="N2381" t="s">
        <v>12</v>
      </c>
      <c r="O2381" s="8">
        <v>44.42739726027397</v>
      </c>
      <c r="P2381" t="s">
        <v>35</v>
      </c>
      <c r="Q2381">
        <v>4</v>
      </c>
      <c r="R2381" s="2">
        <v>29780</v>
      </c>
    </row>
    <row r="2382" spans="1:18" x14ac:dyDescent="0.3">
      <c r="A2382" t="s">
        <v>7</v>
      </c>
      <c r="B2382">
        <v>18985930</v>
      </c>
      <c r="C2382" t="s">
        <v>8</v>
      </c>
      <c r="D2382" s="4">
        <v>45996</v>
      </c>
      <c r="E2382" s="11">
        <f t="shared" si="148"/>
        <v>2025</v>
      </c>
      <c r="F2382" s="11">
        <f t="shared" si="149"/>
        <v>12</v>
      </c>
      <c r="G2382" s="11" t="str">
        <f t="shared" si="150"/>
        <v>202512</v>
      </c>
      <c r="I2382" s="5">
        <v>9999</v>
      </c>
      <c r="J2382" s="5">
        <v>333.3</v>
      </c>
      <c r="K2382" s="5">
        <f t="shared" si="151"/>
        <v>0</v>
      </c>
      <c r="L2382" s="5">
        <v>0</v>
      </c>
      <c r="M2382" s="5">
        <v>0</v>
      </c>
      <c r="N2382" t="s">
        <v>12</v>
      </c>
      <c r="O2382" s="8">
        <v>33.852054794520548</v>
      </c>
      <c r="P2382" t="s">
        <v>35</v>
      </c>
      <c r="Q2382">
        <v>4</v>
      </c>
      <c r="R2382" s="2">
        <v>33640</v>
      </c>
    </row>
    <row r="2383" spans="1:18" x14ac:dyDescent="0.3">
      <c r="A2383" t="s">
        <v>7</v>
      </c>
      <c r="B2383">
        <v>18985977</v>
      </c>
      <c r="C2383" t="s">
        <v>8</v>
      </c>
      <c r="D2383" s="4">
        <v>45996</v>
      </c>
      <c r="E2383" s="11">
        <f t="shared" si="148"/>
        <v>2025</v>
      </c>
      <c r="F2383" s="11">
        <f t="shared" si="149"/>
        <v>12</v>
      </c>
      <c r="G2383" s="11" t="str">
        <f t="shared" si="150"/>
        <v>202512</v>
      </c>
      <c r="I2383" s="5">
        <v>9999</v>
      </c>
      <c r="J2383" s="5">
        <v>333.3</v>
      </c>
      <c r="K2383" s="5">
        <f t="shared" si="151"/>
        <v>0</v>
      </c>
      <c r="L2383" s="5">
        <v>0</v>
      </c>
      <c r="M2383" s="5">
        <v>0</v>
      </c>
      <c r="N2383" t="s">
        <v>9</v>
      </c>
      <c r="O2383" s="8">
        <v>20.61917808219178</v>
      </c>
      <c r="P2383" t="s">
        <v>32</v>
      </c>
      <c r="Q2383">
        <v>1</v>
      </c>
      <c r="R2383" s="2">
        <v>38470</v>
      </c>
    </row>
    <row r="2384" spans="1:18" x14ac:dyDescent="0.3">
      <c r="A2384" t="s">
        <v>7</v>
      </c>
      <c r="B2384">
        <v>18986018</v>
      </c>
      <c r="C2384" t="s">
        <v>8</v>
      </c>
      <c r="D2384" s="4">
        <v>45996</v>
      </c>
      <c r="E2384" s="11">
        <f t="shared" si="148"/>
        <v>2025</v>
      </c>
      <c r="F2384" s="11">
        <f t="shared" si="149"/>
        <v>12</v>
      </c>
      <c r="G2384" s="11" t="str">
        <f t="shared" si="150"/>
        <v>202512</v>
      </c>
      <c r="I2384" s="5">
        <v>9999</v>
      </c>
      <c r="J2384" s="5">
        <v>333.3</v>
      </c>
      <c r="K2384" s="5">
        <f t="shared" si="151"/>
        <v>0</v>
      </c>
      <c r="L2384" s="5">
        <v>0</v>
      </c>
      <c r="M2384" s="5">
        <v>0</v>
      </c>
      <c r="N2384" t="s">
        <v>12</v>
      </c>
      <c r="O2384" s="8">
        <v>23.372602739726027</v>
      </c>
      <c r="P2384" t="s">
        <v>33</v>
      </c>
      <c r="Q2384">
        <v>2</v>
      </c>
      <c r="R2384" s="2">
        <v>37465</v>
      </c>
    </row>
    <row r="2385" spans="1:18" x14ac:dyDescent="0.3">
      <c r="A2385" t="s">
        <v>7</v>
      </c>
      <c r="B2385">
        <v>18986019</v>
      </c>
      <c r="C2385" t="s">
        <v>8</v>
      </c>
      <c r="D2385" s="4">
        <v>45996</v>
      </c>
      <c r="E2385" s="11">
        <f t="shared" si="148"/>
        <v>2025</v>
      </c>
      <c r="F2385" s="11">
        <f t="shared" si="149"/>
        <v>12</v>
      </c>
      <c r="G2385" s="11" t="str">
        <f t="shared" si="150"/>
        <v>202512</v>
      </c>
      <c r="H2385" s="4">
        <v>46069</v>
      </c>
      <c r="I2385" s="5">
        <v>73</v>
      </c>
      <c r="J2385" s="5">
        <v>2.4333333333333331</v>
      </c>
      <c r="K2385" s="5">
        <f t="shared" si="151"/>
        <v>0</v>
      </c>
      <c r="L2385" s="5">
        <v>1</v>
      </c>
      <c r="M2385" s="5">
        <v>1</v>
      </c>
      <c r="N2385" t="s">
        <v>12</v>
      </c>
      <c r="O2385" s="8">
        <v>21.446575342465753</v>
      </c>
      <c r="P2385" t="s">
        <v>33</v>
      </c>
      <c r="Q2385">
        <v>2</v>
      </c>
      <c r="R2385" s="2">
        <v>38168</v>
      </c>
    </row>
    <row r="2386" spans="1:18" x14ac:dyDescent="0.3">
      <c r="A2386" t="s">
        <v>7</v>
      </c>
      <c r="B2386">
        <v>18986020</v>
      </c>
      <c r="C2386" t="s">
        <v>8</v>
      </c>
      <c r="D2386" s="4">
        <v>45996</v>
      </c>
      <c r="E2386" s="11">
        <f t="shared" si="148"/>
        <v>2025</v>
      </c>
      <c r="F2386" s="11">
        <f t="shared" si="149"/>
        <v>12</v>
      </c>
      <c r="G2386" s="11" t="str">
        <f t="shared" si="150"/>
        <v>202512</v>
      </c>
      <c r="H2386" s="4">
        <v>46038</v>
      </c>
      <c r="I2386" s="5">
        <v>42</v>
      </c>
      <c r="J2386" s="5">
        <v>1.4</v>
      </c>
      <c r="K2386" s="5">
        <f t="shared" si="151"/>
        <v>0</v>
      </c>
      <c r="L2386" s="5">
        <v>1</v>
      </c>
      <c r="M2386" s="5">
        <v>1</v>
      </c>
      <c r="N2386" t="s">
        <v>12</v>
      </c>
      <c r="O2386" s="8">
        <v>23.794520547945204</v>
      </c>
      <c r="P2386" t="s">
        <v>33</v>
      </c>
      <c r="Q2386">
        <v>2</v>
      </c>
      <c r="R2386" s="2">
        <v>37311</v>
      </c>
    </row>
    <row r="2387" spans="1:18" x14ac:dyDescent="0.3">
      <c r="A2387" t="s">
        <v>11</v>
      </c>
      <c r="B2387">
        <v>18986145</v>
      </c>
      <c r="C2387" t="s">
        <v>8</v>
      </c>
      <c r="D2387" s="4">
        <v>45996</v>
      </c>
      <c r="E2387" s="11">
        <f t="shared" si="148"/>
        <v>2025</v>
      </c>
      <c r="F2387" s="11">
        <f t="shared" si="149"/>
        <v>12</v>
      </c>
      <c r="G2387" s="11" t="str">
        <f t="shared" si="150"/>
        <v>202512</v>
      </c>
      <c r="H2387" s="4">
        <v>46069</v>
      </c>
      <c r="I2387" s="5">
        <v>73</v>
      </c>
      <c r="J2387" s="5">
        <v>2.4333333333333331</v>
      </c>
      <c r="K2387" s="5">
        <f t="shared" si="151"/>
        <v>0</v>
      </c>
      <c r="L2387" s="5">
        <v>1</v>
      </c>
      <c r="M2387" s="5">
        <v>1</v>
      </c>
      <c r="N2387" t="s">
        <v>12</v>
      </c>
      <c r="O2387" s="8">
        <v>26.391780821917809</v>
      </c>
      <c r="P2387" t="s">
        <v>34</v>
      </c>
      <c r="Q2387">
        <v>3</v>
      </c>
      <c r="R2387" s="2">
        <v>36363</v>
      </c>
    </row>
    <row r="2388" spans="1:18" x14ac:dyDescent="0.3">
      <c r="A2388" t="s">
        <v>11</v>
      </c>
      <c r="B2388">
        <v>18986146</v>
      </c>
      <c r="C2388" t="s">
        <v>8</v>
      </c>
      <c r="D2388" s="4">
        <v>45996</v>
      </c>
      <c r="E2388" s="11">
        <f t="shared" si="148"/>
        <v>2025</v>
      </c>
      <c r="F2388" s="11">
        <f t="shared" si="149"/>
        <v>12</v>
      </c>
      <c r="G2388" s="11" t="str">
        <f t="shared" si="150"/>
        <v>202512</v>
      </c>
      <c r="I2388" s="5">
        <v>9999</v>
      </c>
      <c r="J2388" s="5">
        <v>333.3</v>
      </c>
      <c r="K2388" s="5">
        <f t="shared" si="151"/>
        <v>0</v>
      </c>
      <c r="L2388" s="5">
        <v>0</v>
      </c>
      <c r="M2388" s="5">
        <v>0</v>
      </c>
      <c r="N2388" t="s">
        <v>12</v>
      </c>
      <c r="O2388" s="8">
        <v>33.61917808219178</v>
      </c>
      <c r="P2388" t="s">
        <v>35</v>
      </c>
      <c r="Q2388">
        <v>4</v>
      </c>
      <c r="R2388" s="2">
        <v>33725</v>
      </c>
    </row>
    <row r="2389" spans="1:18" x14ac:dyDescent="0.3">
      <c r="A2389" t="s">
        <v>7</v>
      </c>
      <c r="B2389">
        <v>18986191</v>
      </c>
      <c r="C2389" t="s">
        <v>10</v>
      </c>
      <c r="D2389" s="4">
        <v>46092</v>
      </c>
      <c r="E2389" s="11">
        <f t="shared" si="148"/>
        <v>2026</v>
      </c>
      <c r="F2389" s="11">
        <f t="shared" si="149"/>
        <v>3</v>
      </c>
      <c r="G2389" s="11" t="str">
        <f t="shared" si="150"/>
        <v>202603</v>
      </c>
      <c r="I2389" s="5">
        <v>9999</v>
      </c>
      <c r="J2389" s="5">
        <v>333.3</v>
      </c>
      <c r="K2389" s="5">
        <f t="shared" si="151"/>
        <v>0</v>
      </c>
      <c r="L2389" s="5">
        <v>0</v>
      </c>
      <c r="M2389" s="5">
        <v>0</v>
      </c>
      <c r="N2389" t="s">
        <v>9</v>
      </c>
      <c r="O2389" s="8">
        <v>22.301369863013697</v>
      </c>
      <c r="P2389" t="s">
        <v>33</v>
      </c>
      <c r="Q2389">
        <v>2</v>
      </c>
      <c r="R2389" s="2">
        <v>37952</v>
      </c>
    </row>
    <row r="2390" spans="1:18" x14ac:dyDescent="0.3">
      <c r="A2390" t="s">
        <v>7</v>
      </c>
      <c r="B2390">
        <v>18986204</v>
      </c>
      <c r="C2390" t="s">
        <v>10</v>
      </c>
      <c r="D2390" s="4">
        <v>45996</v>
      </c>
      <c r="E2390" s="11">
        <f t="shared" si="148"/>
        <v>2025</v>
      </c>
      <c r="F2390" s="11">
        <f t="shared" si="149"/>
        <v>12</v>
      </c>
      <c r="G2390" s="11" t="str">
        <f t="shared" si="150"/>
        <v>202512</v>
      </c>
      <c r="H2390" s="4">
        <v>46112</v>
      </c>
      <c r="I2390" s="5">
        <v>116</v>
      </c>
      <c r="J2390" s="5">
        <v>3.8666666666666667</v>
      </c>
      <c r="K2390" s="5">
        <f t="shared" si="151"/>
        <v>0</v>
      </c>
      <c r="L2390" s="5">
        <v>0</v>
      </c>
      <c r="M2390" s="5">
        <v>1</v>
      </c>
      <c r="N2390" t="s">
        <v>9</v>
      </c>
      <c r="O2390" s="8">
        <v>20.693150684931506</v>
      </c>
      <c r="P2390" t="s">
        <v>32</v>
      </c>
      <c r="Q2390">
        <v>1</v>
      </c>
      <c r="R2390" s="2">
        <v>38443</v>
      </c>
    </row>
    <row r="2391" spans="1:18" x14ac:dyDescent="0.3">
      <c r="A2391" t="s">
        <v>11</v>
      </c>
      <c r="B2391">
        <v>18986214</v>
      </c>
      <c r="C2391" t="s">
        <v>8</v>
      </c>
      <c r="D2391" s="4">
        <v>45996</v>
      </c>
      <c r="E2391" s="11">
        <f t="shared" si="148"/>
        <v>2025</v>
      </c>
      <c r="F2391" s="11">
        <f t="shared" si="149"/>
        <v>12</v>
      </c>
      <c r="G2391" s="11" t="str">
        <f t="shared" si="150"/>
        <v>202512</v>
      </c>
      <c r="H2391" s="4">
        <v>46037</v>
      </c>
      <c r="I2391" s="5">
        <v>41</v>
      </c>
      <c r="J2391" s="5">
        <v>1.3666666666666667</v>
      </c>
      <c r="K2391" s="5">
        <f t="shared" si="151"/>
        <v>0</v>
      </c>
      <c r="L2391" s="5">
        <v>1</v>
      </c>
      <c r="M2391" s="5">
        <v>1</v>
      </c>
      <c r="N2391" t="s">
        <v>12</v>
      </c>
      <c r="O2391" s="8">
        <v>21.068493150684933</v>
      </c>
      <c r="P2391" t="s">
        <v>33</v>
      </c>
      <c r="Q2391">
        <v>2</v>
      </c>
      <c r="R2391" s="2">
        <v>38306</v>
      </c>
    </row>
    <row r="2392" spans="1:18" x14ac:dyDescent="0.3">
      <c r="A2392" t="s">
        <v>11</v>
      </c>
      <c r="B2392">
        <v>18986215</v>
      </c>
      <c r="C2392" t="s">
        <v>8</v>
      </c>
      <c r="D2392" s="4">
        <v>45996</v>
      </c>
      <c r="E2392" s="11">
        <f t="shared" si="148"/>
        <v>2025</v>
      </c>
      <c r="F2392" s="11">
        <f t="shared" si="149"/>
        <v>12</v>
      </c>
      <c r="G2392" s="11" t="str">
        <f t="shared" si="150"/>
        <v>202512</v>
      </c>
      <c r="I2392" s="5">
        <v>9999</v>
      </c>
      <c r="J2392" s="5">
        <v>333.3</v>
      </c>
      <c r="K2392" s="5">
        <f t="shared" si="151"/>
        <v>0</v>
      </c>
      <c r="L2392" s="5">
        <v>0</v>
      </c>
      <c r="M2392" s="5">
        <v>0</v>
      </c>
      <c r="N2392" t="s">
        <v>12</v>
      </c>
      <c r="O2392" s="8">
        <v>25.550684931506851</v>
      </c>
      <c r="P2392" t="s">
        <v>33</v>
      </c>
      <c r="Q2392">
        <v>2</v>
      </c>
      <c r="R2392" s="2">
        <v>36670</v>
      </c>
    </row>
    <row r="2393" spans="1:18" x14ac:dyDescent="0.3">
      <c r="A2393" t="s">
        <v>7</v>
      </c>
      <c r="B2393">
        <v>18986219</v>
      </c>
      <c r="C2393" t="s">
        <v>8</v>
      </c>
      <c r="D2393" s="4">
        <v>45996</v>
      </c>
      <c r="E2393" s="11">
        <f t="shared" si="148"/>
        <v>2025</v>
      </c>
      <c r="F2393" s="11">
        <f t="shared" si="149"/>
        <v>12</v>
      </c>
      <c r="G2393" s="11" t="str">
        <f t="shared" si="150"/>
        <v>202512</v>
      </c>
      <c r="H2393" s="4">
        <v>46027</v>
      </c>
      <c r="I2393" s="5">
        <v>31</v>
      </c>
      <c r="J2393" s="5">
        <v>1.0333333333333334</v>
      </c>
      <c r="K2393" s="5">
        <f t="shared" si="151"/>
        <v>0</v>
      </c>
      <c r="L2393" s="5">
        <v>1</v>
      </c>
      <c r="M2393" s="5">
        <v>1</v>
      </c>
      <c r="N2393" t="s">
        <v>12</v>
      </c>
      <c r="O2393" s="8">
        <v>23.580821917808219</v>
      </c>
      <c r="P2393" t="s">
        <v>33</v>
      </c>
      <c r="Q2393">
        <v>2</v>
      </c>
      <c r="R2393" s="2">
        <v>37389</v>
      </c>
    </row>
    <row r="2394" spans="1:18" x14ac:dyDescent="0.3">
      <c r="A2394" t="s">
        <v>7</v>
      </c>
      <c r="B2394">
        <v>18986223</v>
      </c>
      <c r="C2394" t="s">
        <v>8</v>
      </c>
      <c r="D2394" s="4">
        <v>45996</v>
      </c>
      <c r="E2394" s="11">
        <f t="shared" si="148"/>
        <v>2025</v>
      </c>
      <c r="F2394" s="11">
        <f t="shared" si="149"/>
        <v>12</v>
      </c>
      <c r="G2394" s="11" t="str">
        <f t="shared" si="150"/>
        <v>202512</v>
      </c>
      <c r="H2394" s="4">
        <v>46073</v>
      </c>
      <c r="I2394" s="5">
        <v>77</v>
      </c>
      <c r="J2394" s="5">
        <v>2.5666666666666669</v>
      </c>
      <c r="K2394" s="5">
        <f t="shared" si="151"/>
        <v>0</v>
      </c>
      <c r="L2394" s="5">
        <v>1</v>
      </c>
      <c r="M2394" s="5">
        <v>1</v>
      </c>
      <c r="N2394" t="s">
        <v>9</v>
      </c>
      <c r="O2394" s="8">
        <v>19.775342465753425</v>
      </c>
      <c r="P2394" t="s">
        <v>32</v>
      </c>
      <c r="Q2394">
        <v>1</v>
      </c>
      <c r="R2394" s="2">
        <v>38778</v>
      </c>
    </row>
    <row r="2395" spans="1:18" x14ac:dyDescent="0.3">
      <c r="A2395" t="s">
        <v>7</v>
      </c>
      <c r="B2395">
        <v>18986249</v>
      </c>
      <c r="C2395" t="s">
        <v>10</v>
      </c>
      <c r="D2395" s="4">
        <v>45996</v>
      </c>
      <c r="E2395" s="11">
        <f t="shared" si="148"/>
        <v>2025</v>
      </c>
      <c r="F2395" s="11">
        <f t="shared" si="149"/>
        <v>12</v>
      </c>
      <c r="G2395" s="11" t="str">
        <f t="shared" si="150"/>
        <v>202512</v>
      </c>
      <c r="H2395" s="4">
        <v>46117</v>
      </c>
      <c r="I2395" s="5">
        <v>121</v>
      </c>
      <c r="J2395" s="5">
        <v>4.0333333333333332</v>
      </c>
      <c r="K2395" s="5">
        <f t="shared" si="151"/>
        <v>0</v>
      </c>
      <c r="L2395" s="5">
        <v>0</v>
      </c>
      <c r="M2395" s="5">
        <v>1</v>
      </c>
      <c r="N2395" t="s">
        <v>9</v>
      </c>
      <c r="O2395" s="8">
        <v>21.887671232876713</v>
      </c>
      <c r="P2395" t="s">
        <v>33</v>
      </c>
      <c r="Q2395">
        <v>2</v>
      </c>
      <c r="R2395" s="2">
        <v>38007</v>
      </c>
    </row>
    <row r="2396" spans="1:18" x14ac:dyDescent="0.3">
      <c r="A2396" t="s">
        <v>7</v>
      </c>
      <c r="B2396">
        <v>18986250</v>
      </c>
      <c r="C2396" t="s">
        <v>10</v>
      </c>
      <c r="D2396" s="4">
        <v>45996</v>
      </c>
      <c r="E2396" s="11">
        <f t="shared" si="148"/>
        <v>2025</v>
      </c>
      <c r="F2396" s="11">
        <f t="shared" si="149"/>
        <v>12</v>
      </c>
      <c r="G2396" s="11" t="str">
        <f t="shared" si="150"/>
        <v>202512</v>
      </c>
      <c r="H2396" s="4">
        <v>46113</v>
      </c>
      <c r="I2396" s="5">
        <v>117</v>
      </c>
      <c r="J2396" s="5">
        <v>3.9</v>
      </c>
      <c r="K2396" s="5">
        <f t="shared" si="151"/>
        <v>0</v>
      </c>
      <c r="L2396" s="5">
        <v>0</v>
      </c>
      <c r="M2396" s="5">
        <v>1</v>
      </c>
      <c r="N2396" t="s">
        <v>9</v>
      </c>
      <c r="O2396" s="8">
        <v>19.449315068493149</v>
      </c>
      <c r="P2396" t="s">
        <v>32</v>
      </c>
      <c r="Q2396">
        <v>1</v>
      </c>
      <c r="R2396" s="2">
        <v>38897</v>
      </c>
    </row>
    <row r="2397" spans="1:18" x14ac:dyDescent="0.3">
      <c r="A2397" t="s">
        <v>7</v>
      </c>
      <c r="B2397">
        <v>18986251</v>
      </c>
      <c r="C2397" t="s">
        <v>8</v>
      </c>
      <c r="D2397" s="4">
        <v>45996</v>
      </c>
      <c r="E2397" s="11">
        <f t="shared" si="148"/>
        <v>2025</v>
      </c>
      <c r="F2397" s="11">
        <f t="shared" si="149"/>
        <v>12</v>
      </c>
      <c r="G2397" s="11" t="str">
        <f t="shared" si="150"/>
        <v>202512</v>
      </c>
      <c r="H2397" s="4">
        <v>46142</v>
      </c>
      <c r="I2397" s="5">
        <v>146</v>
      </c>
      <c r="J2397" s="5">
        <v>4.8666666666666663</v>
      </c>
      <c r="K2397" s="5">
        <f t="shared" si="151"/>
        <v>0</v>
      </c>
      <c r="L2397" s="5">
        <v>0</v>
      </c>
      <c r="M2397" s="5">
        <v>1</v>
      </c>
      <c r="N2397" t="s">
        <v>9</v>
      </c>
      <c r="O2397" s="8">
        <v>21.635616438356163</v>
      </c>
      <c r="P2397" t="s">
        <v>33</v>
      </c>
      <c r="Q2397">
        <v>2</v>
      </c>
      <c r="R2397" s="2">
        <v>38099</v>
      </c>
    </row>
    <row r="2398" spans="1:18" x14ac:dyDescent="0.3">
      <c r="A2398" t="s">
        <v>7</v>
      </c>
      <c r="B2398">
        <v>18986252</v>
      </c>
      <c r="C2398" t="s">
        <v>8</v>
      </c>
      <c r="D2398" s="4">
        <v>45996</v>
      </c>
      <c r="E2398" s="11">
        <f t="shared" si="148"/>
        <v>2025</v>
      </c>
      <c r="F2398" s="11">
        <f t="shared" si="149"/>
        <v>12</v>
      </c>
      <c r="G2398" s="11" t="str">
        <f t="shared" si="150"/>
        <v>202512</v>
      </c>
      <c r="H2398" s="4">
        <v>46033</v>
      </c>
      <c r="I2398" s="5">
        <v>37</v>
      </c>
      <c r="J2398" s="5">
        <v>1.2333333333333334</v>
      </c>
      <c r="K2398" s="5">
        <f t="shared" si="151"/>
        <v>0</v>
      </c>
      <c r="L2398" s="5">
        <v>1</v>
      </c>
      <c r="M2398" s="5">
        <v>1</v>
      </c>
      <c r="N2398" t="s">
        <v>9</v>
      </c>
      <c r="O2398" s="8">
        <v>19.747945205479454</v>
      </c>
      <c r="P2398" t="s">
        <v>32</v>
      </c>
      <c r="Q2398">
        <v>1</v>
      </c>
      <c r="R2398" s="2">
        <v>38788</v>
      </c>
    </row>
    <row r="2399" spans="1:18" x14ac:dyDescent="0.3">
      <c r="A2399" t="s">
        <v>7</v>
      </c>
      <c r="B2399">
        <v>18986253</v>
      </c>
      <c r="C2399" t="s">
        <v>10</v>
      </c>
      <c r="D2399" s="4">
        <v>45996</v>
      </c>
      <c r="E2399" s="11">
        <f t="shared" si="148"/>
        <v>2025</v>
      </c>
      <c r="F2399" s="11">
        <f t="shared" si="149"/>
        <v>12</v>
      </c>
      <c r="G2399" s="11" t="str">
        <f t="shared" si="150"/>
        <v>202512</v>
      </c>
      <c r="I2399" s="5">
        <v>9999</v>
      </c>
      <c r="J2399" s="5">
        <v>333.3</v>
      </c>
      <c r="K2399" s="5">
        <f t="shared" si="151"/>
        <v>0</v>
      </c>
      <c r="L2399" s="5">
        <v>0</v>
      </c>
      <c r="M2399" s="5">
        <v>0</v>
      </c>
      <c r="N2399" t="s">
        <v>9</v>
      </c>
      <c r="O2399" s="8">
        <v>21.997260273972604</v>
      </c>
      <c r="P2399" t="s">
        <v>33</v>
      </c>
      <c r="Q2399">
        <v>2</v>
      </c>
      <c r="R2399" s="2">
        <v>37967</v>
      </c>
    </row>
    <row r="2400" spans="1:18" x14ac:dyDescent="0.3">
      <c r="A2400" t="s">
        <v>7</v>
      </c>
      <c r="B2400">
        <v>18986318</v>
      </c>
      <c r="C2400" t="s">
        <v>10</v>
      </c>
      <c r="D2400" s="4">
        <v>45996</v>
      </c>
      <c r="E2400" s="11">
        <f t="shared" si="148"/>
        <v>2025</v>
      </c>
      <c r="F2400" s="11">
        <f t="shared" si="149"/>
        <v>12</v>
      </c>
      <c r="G2400" s="11" t="str">
        <f t="shared" si="150"/>
        <v>202512</v>
      </c>
      <c r="H2400" s="4">
        <v>46034</v>
      </c>
      <c r="I2400" s="5">
        <v>38</v>
      </c>
      <c r="J2400" s="5">
        <v>1.2666666666666666</v>
      </c>
      <c r="K2400" s="5">
        <f t="shared" si="151"/>
        <v>0</v>
      </c>
      <c r="L2400" s="5">
        <v>1</v>
      </c>
      <c r="M2400" s="5">
        <v>1</v>
      </c>
      <c r="N2400" t="s">
        <v>12</v>
      </c>
      <c r="O2400" s="8">
        <v>22.109589041095891</v>
      </c>
      <c r="P2400" t="s">
        <v>33</v>
      </c>
      <c r="Q2400">
        <v>2</v>
      </c>
      <c r="R2400" s="2">
        <v>37926</v>
      </c>
    </row>
    <row r="2401" spans="1:18" x14ac:dyDescent="0.3">
      <c r="A2401" t="s">
        <v>7</v>
      </c>
      <c r="B2401">
        <v>18986319</v>
      </c>
      <c r="C2401" t="s">
        <v>10</v>
      </c>
      <c r="D2401" s="4">
        <v>45996</v>
      </c>
      <c r="E2401" s="11">
        <f t="shared" si="148"/>
        <v>2025</v>
      </c>
      <c r="F2401" s="11">
        <f t="shared" si="149"/>
        <v>12</v>
      </c>
      <c r="G2401" s="11" t="str">
        <f t="shared" si="150"/>
        <v>202512</v>
      </c>
      <c r="I2401" s="5">
        <v>9999</v>
      </c>
      <c r="J2401" s="5">
        <v>333.3</v>
      </c>
      <c r="K2401" s="5">
        <f t="shared" si="151"/>
        <v>0</v>
      </c>
      <c r="L2401" s="5">
        <v>0</v>
      </c>
      <c r="M2401" s="5">
        <v>0</v>
      </c>
      <c r="N2401" t="s">
        <v>9</v>
      </c>
      <c r="O2401" s="8">
        <v>22.136986301369863</v>
      </c>
      <c r="P2401" t="s">
        <v>33</v>
      </c>
      <c r="Q2401">
        <v>2</v>
      </c>
      <c r="R2401" s="2">
        <v>37916</v>
      </c>
    </row>
    <row r="2402" spans="1:18" x14ac:dyDescent="0.3">
      <c r="A2402" t="s">
        <v>7</v>
      </c>
      <c r="B2402">
        <v>18986326</v>
      </c>
      <c r="C2402" t="s">
        <v>8</v>
      </c>
      <c r="D2402" s="4">
        <v>45996</v>
      </c>
      <c r="E2402" s="11">
        <f t="shared" si="148"/>
        <v>2025</v>
      </c>
      <c r="F2402" s="11">
        <f t="shared" si="149"/>
        <v>12</v>
      </c>
      <c r="G2402" s="11" t="str">
        <f t="shared" si="150"/>
        <v>202512</v>
      </c>
      <c r="I2402" s="5">
        <v>9999</v>
      </c>
      <c r="J2402" s="5">
        <v>333.3</v>
      </c>
      <c r="K2402" s="5">
        <f t="shared" si="151"/>
        <v>0</v>
      </c>
      <c r="L2402" s="5">
        <v>0</v>
      </c>
      <c r="M2402" s="5">
        <v>0</v>
      </c>
      <c r="N2402" t="s">
        <v>12</v>
      </c>
      <c r="O2402" s="8">
        <v>22.005479452054793</v>
      </c>
      <c r="P2402" t="s">
        <v>33</v>
      </c>
      <c r="Q2402">
        <v>2</v>
      </c>
      <c r="R2402" s="2">
        <v>37964</v>
      </c>
    </row>
    <row r="2403" spans="1:18" x14ac:dyDescent="0.3">
      <c r="A2403" t="s">
        <v>7</v>
      </c>
      <c r="B2403">
        <v>18986360</v>
      </c>
      <c r="C2403" t="s">
        <v>8</v>
      </c>
      <c r="D2403" s="4">
        <v>45997</v>
      </c>
      <c r="E2403" s="11">
        <f t="shared" si="148"/>
        <v>2025</v>
      </c>
      <c r="F2403" s="11">
        <f t="shared" si="149"/>
        <v>12</v>
      </c>
      <c r="G2403" s="11" t="str">
        <f t="shared" si="150"/>
        <v>202512</v>
      </c>
      <c r="H2403" s="4">
        <v>46113</v>
      </c>
      <c r="I2403" s="5">
        <v>116</v>
      </c>
      <c r="J2403" s="5">
        <v>3.8666666666666667</v>
      </c>
      <c r="K2403" s="5">
        <f t="shared" si="151"/>
        <v>0</v>
      </c>
      <c r="L2403" s="5">
        <v>0</v>
      </c>
      <c r="M2403" s="5">
        <v>1</v>
      </c>
      <c r="N2403" t="s">
        <v>9</v>
      </c>
      <c r="O2403" s="8">
        <v>38.19178082191781</v>
      </c>
      <c r="P2403" t="s">
        <v>35</v>
      </c>
      <c r="Q2403">
        <v>4</v>
      </c>
      <c r="R2403" s="2">
        <v>32057</v>
      </c>
    </row>
    <row r="2404" spans="1:18" x14ac:dyDescent="0.3">
      <c r="A2404" t="s">
        <v>7</v>
      </c>
      <c r="B2404">
        <v>18986361</v>
      </c>
      <c r="C2404" t="s">
        <v>8</v>
      </c>
      <c r="D2404" s="4">
        <v>45997</v>
      </c>
      <c r="E2404" s="11">
        <f t="shared" si="148"/>
        <v>2025</v>
      </c>
      <c r="F2404" s="11">
        <f t="shared" si="149"/>
        <v>12</v>
      </c>
      <c r="G2404" s="11" t="str">
        <f t="shared" si="150"/>
        <v>202512</v>
      </c>
      <c r="H2404" s="4">
        <v>46007</v>
      </c>
      <c r="I2404" s="5">
        <v>10</v>
      </c>
      <c r="J2404" s="5">
        <v>0.33333333333333331</v>
      </c>
      <c r="K2404" s="5">
        <f t="shared" si="151"/>
        <v>1</v>
      </c>
      <c r="L2404" s="5">
        <v>1</v>
      </c>
      <c r="M2404" s="5">
        <v>1</v>
      </c>
      <c r="N2404" t="s">
        <v>9</v>
      </c>
      <c r="O2404" s="8">
        <v>21.021917808219179</v>
      </c>
      <c r="P2404" t="s">
        <v>33</v>
      </c>
      <c r="Q2404">
        <v>2</v>
      </c>
      <c r="R2404" s="2">
        <v>38324</v>
      </c>
    </row>
    <row r="2405" spans="1:18" x14ac:dyDescent="0.3">
      <c r="A2405" t="s">
        <v>7</v>
      </c>
      <c r="B2405">
        <v>18986362</v>
      </c>
      <c r="C2405" t="s">
        <v>8</v>
      </c>
      <c r="D2405" s="4">
        <v>45997</v>
      </c>
      <c r="E2405" s="11">
        <f t="shared" si="148"/>
        <v>2025</v>
      </c>
      <c r="F2405" s="11">
        <f t="shared" si="149"/>
        <v>12</v>
      </c>
      <c r="G2405" s="11" t="str">
        <f t="shared" si="150"/>
        <v>202512</v>
      </c>
      <c r="I2405" s="5">
        <v>9999</v>
      </c>
      <c r="J2405" s="5">
        <v>333.3</v>
      </c>
      <c r="K2405" s="5">
        <f t="shared" si="151"/>
        <v>0</v>
      </c>
      <c r="L2405" s="5">
        <v>0</v>
      </c>
      <c r="M2405" s="5">
        <v>0</v>
      </c>
      <c r="N2405" t="s">
        <v>9</v>
      </c>
      <c r="O2405" s="8">
        <v>19.156164383561645</v>
      </c>
      <c r="P2405" t="s">
        <v>32</v>
      </c>
      <c r="Q2405">
        <v>1</v>
      </c>
      <c r="R2405" s="2">
        <v>39005</v>
      </c>
    </row>
    <row r="2406" spans="1:18" x14ac:dyDescent="0.3">
      <c r="A2406" t="s">
        <v>7</v>
      </c>
      <c r="B2406">
        <v>18986363</v>
      </c>
      <c r="C2406" t="s">
        <v>10</v>
      </c>
      <c r="D2406" s="4">
        <v>45997</v>
      </c>
      <c r="E2406" s="11">
        <f t="shared" si="148"/>
        <v>2025</v>
      </c>
      <c r="F2406" s="11">
        <f t="shared" si="149"/>
        <v>12</v>
      </c>
      <c r="G2406" s="11" t="str">
        <f t="shared" si="150"/>
        <v>202512</v>
      </c>
      <c r="H2406" s="4">
        <v>46043</v>
      </c>
      <c r="I2406" s="5">
        <v>46</v>
      </c>
      <c r="J2406" s="5">
        <v>1.5333333333333334</v>
      </c>
      <c r="K2406" s="5">
        <f t="shared" si="151"/>
        <v>0</v>
      </c>
      <c r="L2406" s="5">
        <v>1</v>
      </c>
      <c r="M2406" s="5">
        <v>1</v>
      </c>
      <c r="N2406" t="s">
        <v>9</v>
      </c>
      <c r="O2406" s="8">
        <v>18.786301369863015</v>
      </c>
      <c r="P2406" t="s">
        <v>32</v>
      </c>
      <c r="Q2406">
        <v>1</v>
      </c>
      <c r="R2406" s="2">
        <v>39140</v>
      </c>
    </row>
    <row r="2407" spans="1:18" x14ac:dyDescent="0.3">
      <c r="A2407" t="s">
        <v>7</v>
      </c>
      <c r="B2407">
        <v>18986364</v>
      </c>
      <c r="C2407" t="s">
        <v>10</v>
      </c>
      <c r="D2407" s="4">
        <v>45997</v>
      </c>
      <c r="E2407" s="11">
        <f t="shared" si="148"/>
        <v>2025</v>
      </c>
      <c r="F2407" s="11">
        <f t="shared" si="149"/>
        <v>12</v>
      </c>
      <c r="G2407" s="11" t="str">
        <f t="shared" si="150"/>
        <v>202512</v>
      </c>
      <c r="H2407" s="4">
        <v>46085</v>
      </c>
      <c r="I2407" s="5">
        <v>88</v>
      </c>
      <c r="J2407" s="5">
        <v>2.9333333333333331</v>
      </c>
      <c r="K2407" s="5">
        <f t="shared" si="151"/>
        <v>0</v>
      </c>
      <c r="L2407" s="5">
        <v>1</v>
      </c>
      <c r="M2407" s="5">
        <v>1</v>
      </c>
      <c r="N2407" t="s">
        <v>9</v>
      </c>
      <c r="O2407" s="8">
        <v>20.147945205479452</v>
      </c>
      <c r="P2407" t="s">
        <v>32</v>
      </c>
      <c r="Q2407">
        <v>1</v>
      </c>
      <c r="R2407" s="2">
        <v>38643</v>
      </c>
    </row>
    <row r="2408" spans="1:18" x14ac:dyDescent="0.3">
      <c r="A2408" t="s">
        <v>7</v>
      </c>
      <c r="B2408">
        <v>18986378</v>
      </c>
      <c r="C2408" t="s">
        <v>8</v>
      </c>
      <c r="D2408" s="4">
        <v>45997</v>
      </c>
      <c r="E2408" s="11">
        <f t="shared" si="148"/>
        <v>2025</v>
      </c>
      <c r="F2408" s="11">
        <f t="shared" si="149"/>
        <v>12</v>
      </c>
      <c r="G2408" s="11" t="str">
        <f t="shared" si="150"/>
        <v>202512</v>
      </c>
      <c r="I2408" s="5">
        <v>9999</v>
      </c>
      <c r="J2408" s="5">
        <v>333.3</v>
      </c>
      <c r="K2408" s="5">
        <f t="shared" si="151"/>
        <v>0</v>
      </c>
      <c r="L2408" s="5">
        <v>0</v>
      </c>
      <c r="M2408" s="5">
        <v>0</v>
      </c>
      <c r="N2408" t="s">
        <v>9</v>
      </c>
      <c r="O2408" s="8">
        <v>20.476712328767125</v>
      </c>
      <c r="P2408" t="s">
        <v>32</v>
      </c>
      <c r="Q2408">
        <v>1</v>
      </c>
      <c r="R2408" s="2">
        <v>38523</v>
      </c>
    </row>
    <row r="2409" spans="1:18" x14ac:dyDescent="0.3">
      <c r="A2409" t="s">
        <v>7</v>
      </c>
      <c r="B2409">
        <v>18986385</v>
      </c>
      <c r="C2409" t="s">
        <v>8</v>
      </c>
      <c r="D2409" s="4">
        <v>45997</v>
      </c>
      <c r="E2409" s="11">
        <f t="shared" si="148"/>
        <v>2025</v>
      </c>
      <c r="F2409" s="11">
        <f t="shared" si="149"/>
        <v>12</v>
      </c>
      <c r="G2409" s="11" t="str">
        <f t="shared" si="150"/>
        <v>202512</v>
      </c>
      <c r="H2409" s="4">
        <v>46127</v>
      </c>
      <c r="I2409" s="5">
        <v>130</v>
      </c>
      <c r="J2409" s="5">
        <v>4.333333333333333</v>
      </c>
      <c r="K2409" s="5">
        <f t="shared" si="151"/>
        <v>0</v>
      </c>
      <c r="L2409" s="5">
        <v>0</v>
      </c>
      <c r="M2409" s="5">
        <v>1</v>
      </c>
      <c r="N2409" t="s">
        <v>9</v>
      </c>
      <c r="O2409" s="8">
        <v>18.775342465753425</v>
      </c>
      <c r="P2409" t="s">
        <v>32</v>
      </c>
      <c r="Q2409">
        <v>1</v>
      </c>
      <c r="R2409" s="2">
        <v>39144</v>
      </c>
    </row>
    <row r="2410" spans="1:18" x14ac:dyDescent="0.3">
      <c r="A2410" t="s">
        <v>7</v>
      </c>
      <c r="B2410">
        <v>18986387</v>
      </c>
      <c r="C2410" t="s">
        <v>8</v>
      </c>
      <c r="D2410" s="4">
        <v>45997</v>
      </c>
      <c r="E2410" s="11">
        <f t="shared" si="148"/>
        <v>2025</v>
      </c>
      <c r="F2410" s="11">
        <f t="shared" si="149"/>
        <v>12</v>
      </c>
      <c r="G2410" s="11" t="str">
        <f t="shared" si="150"/>
        <v>202512</v>
      </c>
      <c r="I2410" s="5">
        <v>9999</v>
      </c>
      <c r="J2410" s="5">
        <v>333.3</v>
      </c>
      <c r="K2410" s="5">
        <f t="shared" si="151"/>
        <v>0</v>
      </c>
      <c r="L2410" s="5">
        <v>0</v>
      </c>
      <c r="M2410" s="5">
        <v>0</v>
      </c>
      <c r="N2410" t="s">
        <v>9</v>
      </c>
      <c r="O2410" s="8">
        <v>20.027397260273972</v>
      </c>
      <c r="P2410" t="s">
        <v>32</v>
      </c>
      <c r="Q2410">
        <v>1</v>
      </c>
      <c r="R2410" s="2">
        <v>38687</v>
      </c>
    </row>
    <row r="2411" spans="1:18" x14ac:dyDescent="0.3">
      <c r="A2411" t="s">
        <v>7</v>
      </c>
      <c r="B2411">
        <v>18986394</v>
      </c>
      <c r="C2411" t="s">
        <v>10</v>
      </c>
      <c r="D2411" s="4">
        <v>45997</v>
      </c>
      <c r="E2411" s="11">
        <f t="shared" si="148"/>
        <v>2025</v>
      </c>
      <c r="F2411" s="11">
        <f t="shared" si="149"/>
        <v>12</v>
      </c>
      <c r="G2411" s="11" t="str">
        <f t="shared" si="150"/>
        <v>202512</v>
      </c>
      <c r="H2411" s="4">
        <v>46053</v>
      </c>
      <c r="I2411" s="5">
        <v>56</v>
      </c>
      <c r="J2411" s="5">
        <v>1.8666666666666667</v>
      </c>
      <c r="K2411" s="5">
        <f t="shared" si="151"/>
        <v>0</v>
      </c>
      <c r="L2411" s="5">
        <v>1</v>
      </c>
      <c r="M2411" s="5">
        <v>1</v>
      </c>
      <c r="N2411" t="s">
        <v>9</v>
      </c>
      <c r="O2411" s="8">
        <v>19.252054794520546</v>
      </c>
      <c r="P2411" t="s">
        <v>32</v>
      </c>
      <c r="Q2411">
        <v>1</v>
      </c>
      <c r="R2411" s="2">
        <v>38970</v>
      </c>
    </row>
    <row r="2412" spans="1:18" x14ac:dyDescent="0.3">
      <c r="A2412" t="s">
        <v>7</v>
      </c>
      <c r="B2412">
        <v>18986400</v>
      </c>
      <c r="C2412" t="s">
        <v>8</v>
      </c>
      <c r="D2412" s="4">
        <v>45997</v>
      </c>
      <c r="E2412" s="11">
        <f t="shared" si="148"/>
        <v>2025</v>
      </c>
      <c r="F2412" s="11">
        <f t="shared" si="149"/>
        <v>12</v>
      </c>
      <c r="G2412" s="11" t="str">
        <f t="shared" si="150"/>
        <v>202512</v>
      </c>
      <c r="I2412" s="5">
        <v>9999</v>
      </c>
      <c r="J2412" s="5">
        <v>333.3</v>
      </c>
      <c r="K2412" s="5">
        <f t="shared" si="151"/>
        <v>0</v>
      </c>
      <c r="L2412" s="5">
        <v>0</v>
      </c>
      <c r="M2412" s="5">
        <v>0</v>
      </c>
      <c r="N2412" t="s">
        <v>9</v>
      </c>
      <c r="O2412" s="8">
        <v>19.312328767123287</v>
      </c>
      <c r="P2412" t="s">
        <v>32</v>
      </c>
      <c r="Q2412">
        <v>1</v>
      </c>
      <c r="R2412" s="2">
        <v>38948</v>
      </c>
    </row>
    <row r="2413" spans="1:18" x14ac:dyDescent="0.3">
      <c r="A2413" t="s">
        <v>7</v>
      </c>
      <c r="B2413">
        <v>18986417</v>
      </c>
      <c r="C2413" t="s">
        <v>8</v>
      </c>
      <c r="D2413" s="4">
        <v>45997</v>
      </c>
      <c r="E2413" s="11">
        <f t="shared" si="148"/>
        <v>2025</v>
      </c>
      <c r="F2413" s="11">
        <f t="shared" si="149"/>
        <v>12</v>
      </c>
      <c r="G2413" s="11" t="str">
        <f t="shared" si="150"/>
        <v>202512</v>
      </c>
      <c r="H2413" s="4">
        <v>46081</v>
      </c>
      <c r="I2413" s="5">
        <v>84</v>
      </c>
      <c r="J2413" s="5">
        <v>2.8</v>
      </c>
      <c r="K2413" s="5">
        <f t="shared" si="151"/>
        <v>0</v>
      </c>
      <c r="L2413" s="5">
        <v>1</v>
      </c>
      <c r="M2413" s="5">
        <v>1</v>
      </c>
      <c r="N2413" t="s">
        <v>9</v>
      </c>
      <c r="O2413" s="8">
        <v>20.539726027397261</v>
      </c>
      <c r="P2413" t="s">
        <v>32</v>
      </c>
      <c r="Q2413">
        <v>1</v>
      </c>
      <c r="R2413" s="2">
        <v>38500</v>
      </c>
    </row>
    <row r="2414" spans="1:18" x14ac:dyDescent="0.3">
      <c r="A2414" t="s">
        <v>7</v>
      </c>
      <c r="B2414">
        <v>18986432</v>
      </c>
      <c r="C2414" t="s">
        <v>10</v>
      </c>
      <c r="D2414" s="4">
        <v>45997</v>
      </c>
      <c r="E2414" s="11">
        <f t="shared" si="148"/>
        <v>2025</v>
      </c>
      <c r="F2414" s="11">
        <f t="shared" si="149"/>
        <v>12</v>
      </c>
      <c r="G2414" s="11" t="str">
        <f t="shared" si="150"/>
        <v>202512</v>
      </c>
      <c r="H2414" s="4">
        <v>46053</v>
      </c>
      <c r="I2414" s="5">
        <v>56</v>
      </c>
      <c r="J2414" s="5">
        <v>1.8666666666666667</v>
      </c>
      <c r="K2414" s="5">
        <f t="shared" si="151"/>
        <v>0</v>
      </c>
      <c r="L2414" s="5">
        <v>1</v>
      </c>
      <c r="M2414" s="5">
        <v>1</v>
      </c>
      <c r="N2414" t="s">
        <v>9</v>
      </c>
      <c r="O2414" s="8">
        <v>20.517808219178082</v>
      </c>
      <c r="P2414" t="s">
        <v>32</v>
      </c>
      <c r="Q2414">
        <v>1</v>
      </c>
      <c r="R2414" s="2">
        <v>38508</v>
      </c>
    </row>
    <row r="2415" spans="1:18" x14ac:dyDescent="0.3">
      <c r="A2415" t="s">
        <v>7</v>
      </c>
      <c r="B2415">
        <v>18986433</v>
      </c>
      <c r="C2415" t="s">
        <v>8</v>
      </c>
      <c r="D2415" s="4">
        <v>45997</v>
      </c>
      <c r="E2415" s="11">
        <f t="shared" si="148"/>
        <v>2025</v>
      </c>
      <c r="F2415" s="11">
        <f t="shared" si="149"/>
        <v>12</v>
      </c>
      <c r="G2415" s="11" t="str">
        <f t="shared" si="150"/>
        <v>202512</v>
      </c>
      <c r="H2415" s="4">
        <v>46142</v>
      </c>
      <c r="I2415" s="5">
        <v>145</v>
      </c>
      <c r="J2415" s="5">
        <v>4.833333333333333</v>
      </c>
      <c r="K2415" s="5">
        <f t="shared" si="151"/>
        <v>0</v>
      </c>
      <c r="L2415" s="5">
        <v>0</v>
      </c>
      <c r="M2415" s="5">
        <v>1</v>
      </c>
      <c r="N2415" t="s">
        <v>12</v>
      </c>
      <c r="O2415" s="8">
        <v>21.758904109589039</v>
      </c>
      <c r="P2415" t="s">
        <v>33</v>
      </c>
      <c r="Q2415">
        <v>2</v>
      </c>
      <c r="R2415" s="2">
        <v>38055</v>
      </c>
    </row>
    <row r="2416" spans="1:18" x14ac:dyDescent="0.3">
      <c r="A2416" t="s">
        <v>7</v>
      </c>
      <c r="B2416">
        <v>18986446</v>
      </c>
      <c r="C2416" t="s">
        <v>10</v>
      </c>
      <c r="D2416" s="4">
        <v>45997</v>
      </c>
      <c r="E2416" s="11">
        <f t="shared" si="148"/>
        <v>2025</v>
      </c>
      <c r="F2416" s="11">
        <f t="shared" si="149"/>
        <v>12</v>
      </c>
      <c r="G2416" s="11" t="str">
        <f t="shared" si="150"/>
        <v>202512</v>
      </c>
      <c r="I2416" s="5">
        <v>9999</v>
      </c>
      <c r="J2416" s="5">
        <v>333.3</v>
      </c>
      <c r="K2416" s="5">
        <f t="shared" si="151"/>
        <v>0</v>
      </c>
      <c r="L2416" s="5">
        <v>0</v>
      </c>
      <c r="M2416" s="5">
        <v>0</v>
      </c>
      <c r="N2416" t="s">
        <v>12</v>
      </c>
      <c r="O2416" s="8">
        <v>19.991780821917807</v>
      </c>
      <c r="P2416" t="s">
        <v>32</v>
      </c>
      <c r="Q2416">
        <v>1</v>
      </c>
      <c r="R2416" s="2">
        <v>38700</v>
      </c>
    </row>
    <row r="2417" spans="1:18" x14ac:dyDescent="0.3">
      <c r="A2417" t="s">
        <v>7</v>
      </c>
      <c r="B2417">
        <v>18986447</v>
      </c>
      <c r="C2417" t="s">
        <v>8</v>
      </c>
      <c r="D2417" s="4">
        <v>45997</v>
      </c>
      <c r="E2417" s="11">
        <f t="shared" si="148"/>
        <v>2025</v>
      </c>
      <c r="F2417" s="11">
        <f t="shared" si="149"/>
        <v>12</v>
      </c>
      <c r="G2417" s="11" t="str">
        <f t="shared" si="150"/>
        <v>202512</v>
      </c>
      <c r="H2417" s="4">
        <v>46082</v>
      </c>
      <c r="I2417" s="5">
        <v>85</v>
      </c>
      <c r="J2417" s="5">
        <v>2.8333333333333335</v>
      </c>
      <c r="K2417" s="5">
        <f t="shared" si="151"/>
        <v>0</v>
      </c>
      <c r="L2417" s="5">
        <v>1</v>
      </c>
      <c r="M2417" s="5">
        <v>1</v>
      </c>
      <c r="N2417" t="s">
        <v>12</v>
      </c>
      <c r="O2417" s="8">
        <v>18.589041095890412</v>
      </c>
      <c r="P2417" t="s">
        <v>32</v>
      </c>
      <c r="Q2417">
        <v>1</v>
      </c>
      <c r="R2417" s="2">
        <v>39212</v>
      </c>
    </row>
    <row r="2418" spans="1:18" x14ac:dyDescent="0.3">
      <c r="A2418" t="s">
        <v>7</v>
      </c>
      <c r="B2418">
        <v>18986448</v>
      </c>
      <c r="C2418" t="s">
        <v>8</v>
      </c>
      <c r="D2418" s="4">
        <v>45997</v>
      </c>
      <c r="E2418" s="11">
        <f t="shared" si="148"/>
        <v>2025</v>
      </c>
      <c r="F2418" s="11">
        <f t="shared" si="149"/>
        <v>12</v>
      </c>
      <c r="G2418" s="11" t="str">
        <f t="shared" si="150"/>
        <v>202512</v>
      </c>
      <c r="I2418" s="5">
        <v>9999</v>
      </c>
      <c r="J2418" s="5">
        <v>333.3</v>
      </c>
      <c r="K2418" s="5">
        <f t="shared" si="151"/>
        <v>0</v>
      </c>
      <c r="L2418" s="5">
        <v>0</v>
      </c>
      <c r="M2418" s="5">
        <v>0</v>
      </c>
      <c r="N2418" t="s">
        <v>12</v>
      </c>
      <c r="O2418" s="8">
        <v>22.641095890410959</v>
      </c>
      <c r="P2418" t="s">
        <v>33</v>
      </c>
      <c r="Q2418">
        <v>2</v>
      </c>
      <c r="R2418" s="2">
        <v>37733</v>
      </c>
    </row>
    <row r="2419" spans="1:18" x14ac:dyDescent="0.3">
      <c r="A2419" t="s">
        <v>7</v>
      </c>
      <c r="B2419">
        <v>18986768</v>
      </c>
      <c r="C2419" t="s">
        <v>8</v>
      </c>
      <c r="D2419" s="4">
        <v>45997</v>
      </c>
      <c r="E2419" s="11">
        <f t="shared" si="148"/>
        <v>2025</v>
      </c>
      <c r="F2419" s="11">
        <f t="shared" si="149"/>
        <v>12</v>
      </c>
      <c r="G2419" s="11" t="str">
        <f t="shared" si="150"/>
        <v>202512</v>
      </c>
      <c r="I2419" s="5">
        <v>9999</v>
      </c>
      <c r="J2419" s="5">
        <v>333.3</v>
      </c>
      <c r="K2419" s="5">
        <f t="shared" si="151"/>
        <v>0</v>
      </c>
      <c r="L2419" s="5">
        <v>0</v>
      </c>
      <c r="M2419" s="5">
        <v>0</v>
      </c>
      <c r="N2419" t="s">
        <v>12</v>
      </c>
      <c r="O2419" s="8">
        <v>30.126027397260273</v>
      </c>
      <c r="P2419" t="s">
        <v>34</v>
      </c>
      <c r="Q2419">
        <v>3</v>
      </c>
      <c r="R2419" s="2">
        <v>35001</v>
      </c>
    </row>
    <row r="2420" spans="1:18" x14ac:dyDescent="0.3">
      <c r="A2420" t="s">
        <v>7</v>
      </c>
      <c r="B2420">
        <v>18986769</v>
      </c>
      <c r="C2420" t="s">
        <v>8</v>
      </c>
      <c r="D2420" s="4">
        <v>45997</v>
      </c>
      <c r="E2420" s="11">
        <f t="shared" si="148"/>
        <v>2025</v>
      </c>
      <c r="F2420" s="11">
        <f t="shared" si="149"/>
        <v>12</v>
      </c>
      <c r="G2420" s="11" t="str">
        <f t="shared" si="150"/>
        <v>202512</v>
      </c>
      <c r="I2420" s="5">
        <v>9999</v>
      </c>
      <c r="J2420" s="5">
        <v>333.3</v>
      </c>
      <c r="K2420" s="5">
        <f t="shared" si="151"/>
        <v>0</v>
      </c>
      <c r="L2420" s="5">
        <v>0</v>
      </c>
      <c r="M2420" s="5">
        <v>0</v>
      </c>
      <c r="N2420" t="s">
        <v>12</v>
      </c>
      <c r="O2420" s="8">
        <v>19.43013698630137</v>
      </c>
      <c r="P2420" t="s">
        <v>32</v>
      </c>
      <c r="Q2420">
        <v>1</v>
      </c>
      <c r="R2420" s="2">
        <v>38905</v>
      </c>
    </row>
    <row r="2421" spans="1:18" x14ac:dyDescent="0.3">
      <c r="A2421" t="s">
        <v>7</v>
      </c>
      <c r="B2421">
        <v>18986771</v>
      </c>
      <c r="C2421" t="s">
        <v>8</v>
      </c>
      <c r="D2421" s="4">
        <v>45997</v>
      </c>
      <c r="E2421" s="11">
        <f t="shared" si="148"/>
        <v>2025</v>
      </c>
      <c r="F2421" s="11">
        <f t="shared" si="149"/>
        <v>12</v>
      </c>
      <c r="G2421" s="11" t="str">
        <f t="shared" si="150"/>
        <v>202512</v>
      </c>
      <c r="I2421" s="5">
        <v>9999</v>
      </c>
      <c r="J2421" s="5">
        <v>333.3</v>
      </c>
      <c r="K2421" s="5">
        <f t="shared" si="151"/>
        <v>0</v>
      </c>
      <c r="L2421" s="5">
        <v>0</v>
      </c>
      <c r="M2421" s="5">
        <v>0</v>
      </c>
      <c r="N2421" t="s">
        <v>12</v>
      </c>
      <c r="O2421" s="8">
        <v>19.734246575342464</v>
      </c>
      <c r="P2421" t="s">
        <v>32</v>
      </c>
      <c r="Q2421">
        <v>1</v>
      </c>
      <c r="R2421" s="2">
        <v>38794</v>
      </c>
    </row>
    <row r="2422" spans="1:18" x14ac:dyDescent="0.3">
      <c r="A2422" t="s">
        <v>7</v>
      </c>
      <c r="B2422">
        <v>18986772</v>
      </c>
      <c r="C2422" t="s">
        <v>8</v>
      </c>
      <c r="D2422" s="4">
        <v>45997</v>
      </c>
      <c r="E2422" s="11">
        <f t="shared" si="148"/>
        <v>2025</v>
      </c>
      <c r="F2422" s="11">
        <f t="shared" si="149"/>
        <v>12</v>
      </c>
      <c r="G2422" s="11" t="str">
        <f t="shared" si="150"/>
        <v>202512</v>
      </c>
      <c r="I2422" s="5">
        <v>9999</v>
      </c>
      <c r="J2422" s="5">
        <v>333.3</v>
      </c>
      <c r="K2422" s="5">
        <f t="shared" si="151"/>
        <v>0</v>
      </c>
      <c r="L2422" s="5">
        <v>0</v>
      </c>
      <c r="M2422" s="5">
        <v>0</v>
      </c>
      <c r="N2422" t="s">
        <v>12</v>
      </c>
      <c r="O2422" s="8">
        <v>20.082191780821919</v>
      </c>
      <c r="P2422" t="s">
        <v>32</v>
      </c>
      <c r="Q2422">
        <v>1</v>
      </c>
      <c r="R2422" s="2">
        <v>38667</v>
      </c>
    </row>
    <row r="2423" spans="1:18" x14ac:dyDescent="0.3">
      <c r="A2423" t="s">
        <v>7</v>
      </c>
      <c r="B2423">
        <v>18986786</v>
      </c>
      <c r="C2423" t="s">
        <v>10</v>
      </c>
      <c r="D2423" s="4">
        <v>46001</v>
      </c>
      <c r="E2423" s="11">
        <f t="shared" si="148"/>
        <v>2025</v>
      </c>
      <c r="F2423" s="11">
        <f t="shared" si="149"/>
        <v>12</v>
      </c>
      <c r="G2423" s="11" t="str">
        <f t="shared" si="150"/>
        <v>202512</v>
      </c>
      <c r="H2423" s="4">
        <v>46113</v>
      </c>
      <c r="I2423" s="5">
        <v>112</v>
      </c>
      <c r="J2423" s="5">
        <v>3.7333333333333334</v>
      </c>
      <c r="K2423" s="5">
        <f t="shared" si="151"/>
        <v>0</v>
      </c>
      <c r="L2423" s="5">
        <v>0</v>
      </c>
      <c r="M2423" s="5">
        <v>1</v>
      </c>
      <c r="N2423" t="s">
        <v>9</v>
      </c>
      <c r="O2423" s="8">
        <v>18.238356164383561</v>
      </c>
      <c r="P2423" t="s">
        <v>32</v>
      </c>
      <c r="Q2423">
        <v>1</v>
      </c>
      <c r="R2423" s="2">
        <v>39344</v>
      </c>
    </row>
    <row r="2424" spans="1:18" x14ac:dyDescent="0.3">
      <c r="A2424" t="s">
        <v>7</v>
      </c>
      <c r="B2424">
        <v>18986790</v>
      </c>
      <c r="C2424" t="s">
        <v>8</v>
      </c>
      <c r="D2424" s="4">
        <v>46001</v>
      </c>
      <c r="E2424" s="11">
        <f t="shared" si="148"/>
        <v>2025</v>
      </c>
      <c r="F2424" s="11">
        <f t="shared" si="149"/>
        <v>12</v>
      </c>
      <c r="G2424" s="11" t="str">
        <f t="shared" si="150"/>
        <v>202512</v>
      </c>
      <c r="H2424" s="4">
        <v>46112</v>
      </c>
      <c r="I2424" s="5">
        <v>111</v>
      </c>
      <c r="J2424" s="5">
        <v>3.7</v>
      </c>
      <c r="K2424" s="5">
        <f t="shared" si="151"/>
        <v>0</v>
      </c>
      <c r="L2424" s="5">
        <v>0</v>
      </c>
      <c r="M2424" s="5">
        <v>1</v>
      </c>
      <c r="N2424" t="s">
        <v>9</v>
      </c>
      <c r="O2424" s="8">
        <v>24.063013698630137</v>
      </c>
      <c r="P2424" t="s">
        <v>33</v>
      </c>
      <c r="Q2424">
        <v>2</v>
      </c>
      <c r="R2424" s="2">
        <v>37218</v>
      </c>
    </row>
    <row r="2425" spans="1:18" x14ac:dyDescent="0.3">
      <c r="A2425" t="s">
        <v>7</v>
      </c>
      <c r="B2425">
        <v>18986801</v>
      </c>
      <c r="C2425" t="s">
        <v>10</v>
      </c>
      <c r="D2425" s="4">
        <v>46001</v>
      </c>
      <c r="E2425" s="11">
        <f t="shared" si="148"/>
        <v>2025</v>
      </c>
      <c r="F2425" s="11">
        <f t="shared" si="149"/>
        <v>12</v>
      </c>
      <c r="G2425" s="11" t="str">
        <f t="shared" si="150"/>
        <v>202512</v>
      </c>
      <c r="H2425" s="4">
        <v>46022</v>
      </c>
      <c r="I2425" s="5">
        <v>21</v>
      </c>
      <c r="J2425" s="5">
        <v>0.7</v>
      </c>
      <c r="K2425" s="5">
        <f t="shared" si="151"/>
        <v>1</v>
      </c>
      <c r="L2425" s="5">
        <v>1</v>
      </c>
      <c r="M2425" s="5">
        <v>1</v>
      </c>
      <c r="N2425" t="s">
        <v>9</v>
      </c>
      <c r="O2425" s="8">
        <v>21.186301369863013</v>
      </c>
      <c r="P2425" t="s">
        <v>33</v>
      </c>
      <c r="Q2425">
        <v>2</v>
      </c>
      <c r="R2425" s="2">
        <v>38268</v>
      </c>
    </row>
    <row r="2426" spans="1:18" x14ac:dyDescent="0.3">
      <c r="A2426" t="s">
        <v>7</v>
      </c>
      <c r="B2426">
        <v>18986808</v>
      </c>
      <c r="C2426" t="s">
        <v>10</v>
      </c>
      <c r="D2426" s="4">
        <v>46001</v>
      </c>
      <c r="E2426" s="11">
        <f t="shared" si="148"/>
        <v>2025</v>
      </c>
      <c r="F2426" s="11">
        <f t="shared" si="149"/>
        <v>12</v>
      </c>
      <c r="G2426" s="11" t="str">
        <f t="shared" si="150"/>
        <v>202512</v>
      </c>
      <c r="H2426" s="4">
        <v>46037</v>
      </c>
      <c r="I2426" s="5">
        <v>36</v>
      </c>
      <c r="J2426" s="5">
        <v>1.2</v>
      </c>
      <c r="K2426" s="5">
        <f t="shared" si="151"/>
        <v>0</v>
      </c>
      <c r="L2426" s="5">
        <v>1</v>
      </c>
      <c r="M2426" s="5">
        <v>1</v>
      </c>
      <c r="N2426" t="s">
        <v>9</v>
      </c>
      <c r="O2426" s="8">
        <v>27.375342465753423</v>
      </c>
      <c r="P2426" t="s">
        <v>34</v>
      </c>
      <c r="Q2426">
        <v>3</v>
      </c>
      <c r="R2426" s="2">
        <v>36009</v>
      </c>
    </row>
    <row r="2427" spans="1:18" x14ac:dyDescent="0.3">
      <c r="A2427" t="s">
        <v>7</v>
      </c>
      <c r="B2427">
        <v>18986809</v>
      </c>
      <c r="C2427" t="s">
        <v>10</v>
      </c>
      <c r="D2427" s="4">
        <v>46001</v>
      </c>
      <c r="E2427" s="11">
        <f t="shared" si="148"/>
        <v>2025</v>
      </c>
      <c r="F2427" s="11">
        <f t="shared" si="149"/>
        <v>12</v>
      </c>
      <c r="G2427" s="11" t="str">
        <f t="shared" si="150"/>
        <v>202512</v>
      </c>
      <c r="I2427" s="5">
        <v>9999</v>
      </c>
      <c r="J2427" s="5">
        <v>333.3</v>
      </c>
      <c r="K2427" s="5">
        <f t="shared" si="151"/>
        <v>0</v>
      </c>
      <c r="L2427" s="5">
        <v>0</v>
      </c>
      <c r="M2427" s="5">
        <v>0</v>
      </c>
      <c r="N2427" t="s">
        <v>9</v>
      </c>
      <c r="O2427" s="8">
        <v>20.786301369863015</v>
      </c>
      <c r="P2427" t="s">
        <v>32</v>
      </c>
      <c r="Q2427">
        <v>1</v>
      </c>
      <c r="R2427" s="2">
        <v>38414</v>
      </c>
    </row>
    <row r="2428" spans="1:18" x14ac:dyDescent="0.3">
      <c r="A2428" t="s">
        <v>7</v>
      </c>
      <c r="B2428">
        <v>18986812</v>
      </c>
      <c r="C2428" t="s">
        <v>10</v>
      </c>
      <c r="D2428" s="4">
        <v>46001</v>
      </c>
      <c r="E2428" s="11">
        <f t="shared" si="148"/>
        <v>2025</v>
      </c>
      <c r="F2428" s="11">
        <f t="shared" si="149"/>
        <v>12</v>
      </c>
      <c r="G2428" s="11" t="str">
        <f t="shared" si="150"/>
        <v>202512</v>
      </c>
      <c r="H2428" s="4">
        <v>46068</v>
      </c>
      <c r="I2428" s="5">
        <v>67</v>
      </c>
      <c r="J2428" s="5">
        <v>2.2333333333333334</v>
      </c>
      <c r="K2428" s="5">
        <f t="shared" si="151"/>
        <v>0</v>
      </c>
      <c r="L2428" s="5">
        <v>1</v>
      </c>
      <c r="M2428" s="5">
        <v>1</v>
      </c>
      <c r="N2428" t="s">
        <v>9</v>
      </c>
      <c r="O2428" s="8">
        <v>20.265753424657536</v>
      </c>
      <c r="P2428" t="s">
        <v>32</v>
      </c>
      <c r="Q2428">
        <v>1</v>
      </c>
      <c r="R2428" s="2">
        <v>38604</v>
      </c>
    </row>
    <row r="2429" spans="1:18" x14ac:dyDescent="0.3">
      <c r="A2429" t="s">
        <v>7</v>
      </c>
      <c r="B2429">
        <v>18986818</v>
      </c>
      <c r="C2429" t="s">
        <v>8</v>
      </c>
      <c r="D2429" s="4">
        <v>46001</v>
      </c>
      <c r="E2429" s="11">
        <f t="shared" si="148"/>
        <v>2025</v>
      </c>
      <c r="F2429" s="11">
        <f t="shared" si="149"/>
        <v>12</v>
      </c>
      <c r="G2429" s="11" t="str">
        <f t="shared" si="150"/>
        <v>202512</v>
      </c>
      <c r="H2429" s="4">
        <v>46003</v>
      </c>
      <c r="I2429" s="5">
        <v>2</v>
      </c>
      <c r="J2429" s="5">
        <v>6.6666666666666666E-2</v>
      </c>
      <c r="K2429" s="5">
        <f t="shared" si="151"/>
        <v>1</v>
      </c>
      <c r="L2429" s="5">
        <v>1</v>
      </c>
      <c r="M2429" s="5">
        <v>1</v>
      </c>
      <c r="N2429" t="s">
        <v>9</v>
      </c>
      <c r="O2429" s="8">
        <v>21.142465753424659</v>
      </c>
      <c r="P2429" t="s">
        <v>33</v>
      </c>
      <c r="Q2429">
        <v>2</v>
      </c>
      <c r="R2429" s="2">
        <v>38284</v>
      </c>
    </row>
    <row r="2430" spans="1:18" x14ac:dyDescent="0.3">
      <c r="A2430" t="s">
        <v>7</v>
      </c>
      <c r="B2430">
        <v>18986819</v>
      </c>
      <c r="C2430" t="s">
        <v>8</v>
      </c>
      <c r="D2430" s="4">
        <v>46001</v>
      </c>
      <c r="E2430" s="11">
        <f t="shared" si="148"/>
        <v>2025</v>
      </c>
      <c r="F2430" s="11">
        <f t="shared" si="149"/>
        <v>12</v>
      </c>
      <c r="G2430" s="11" t="str">
        <f t="shared" si="150"/>
        <v>202512</v>
      </c>
      <c r="I2430" s="5">
        <v>9999</v>
      </c>
      <c r="J2430" s="5">
        <v>333.3</v>
      </c>
      <c r="K2430" s="5">
        <f t="shared" si="151"/>
        <v>0</v>
      </c>
      <c r="L2430" s="5">
        <v>0</v>
      </c>
      <c r="M2430" s="5">
        <v>0</v>
      </c>
      <c r="N2430" t="s">
        <v>9</v>
      </c>
      <c r="O2430" s="8">
        <v>18.986301369863014</v>
      </c>
      <c r="P2430" t="s">
        <v>32</v>
      </c>
      <c r="Q2430">
        <v>1</v>
      </c>
      <c r="R2430" s="2">
        <v>39071</v>
      </c>
    </row>
    <row r="2431" spans="1:18" x14ac:dyDescent="0.3">
      <c r="A2431" t="s">
        <v>7</v>
      </c>
      <c r="B2431">
        <v>18986825</v>
      </c>
      <c r="C2431" t="s">
        <v>10</v>
      </c>
      <c r="D2431" s="4">
        <v>46001</v>
      </c>
      <c r="E2431" s="11">
        <f t="shared" si="148"/>
        <v>2025</v>
      </c>
      <c r="F2431" s="11">
        <f t="shared" si="149"/>
        <v>12</v>
      </c>
      <c r="G2431" s="11" t="str">
        <f t="shared" si="150"/>
        <v>202512</v>
      </c>
      <c r="H2431" s="4">
        <v>46036</v>
      </c>
      <c r="I2431" s="5">
        <v>35</v>
      </c>
      <c r="J2431" s="5">
        <v>1.1666666666666667</v>
      </c>
      <c r="K2431" s="5">
        <f t="shared" si="151"/>
        <v>0</v>
      </c>
      <c r="L2431" s="5">
        <v>1</v>
      </c>
      <c r="M2431" s="5">
        <v>1</v>
      </c>
      <c r="N2431" t="s">
        <v>9</v>
      </c>
      <c r="O2431" s="8">
        <v>23.347945205479451</v>
      </c>
      <c r="P2431" t="s">
        <v>33</v>
      </c>
      <c r="Q2431">
        <v>2</v>
      </c>
      <c r="R2431" s="2">
        <v>37479</v>
      </c>
    </row>
    <row r="2432" spans="1:18" x14ac:dyDescent="0.3">
      <c r="A2432" t="s">
        <v>7</v>
      </c>
      <c r="B2432">
        <v>18986828</v>
      </c>
      <c r="C2432" t="s">
        <v>8</v>
      </c>
      <c r="D2432" s="4">
        <v>46001</v>
      </c>
      <c r="E2432" s="11">
        <f t="shared" si="148"/>
        <v>2025</v>
      </c>
      <c r="F2432" s="11">
        <f t="shared" si="149"/>
        <v>12</v>
      </c>
      <c r="G2432" s="11" t="str">
        <f t="shared" si="150"/>
        <v>202512</v>
      </c>
      <c r="I2432" s="5">
        <v>9999</v>
      </c>
      <c r="J2432" s="5">
        <v>333.3</v>
      </c>
      <c r="K2432" s="5">
        <f t="shared" si="151"/>
        <v>0</v>
      </c>
      <c r="L2432" s="5">
        <v>0</v>
      </c>
      <c r="M2432" s="5">
        <v>0</v>
      </c>
      <c r="N2432" t="s">
        <v>9</v>
      </c>
      <c r="O2432" s="8">
        <v>19.887671232876713</v>
      </c>
      <c r="P2432" t="s">
        <v>32</v>
      </c>
      <c r="Q2432">
        <v>1</v>
      </c>
      <c r="R2432" s="2">
        <v>38742</v>
      </c>
    </row>
    <row r="2433" spans="1:18" x14ac:dyDescent="0.3">
      <c r="A2433" t="s">
        <v>7</v>
      </c>
      <c r="B2433">
        <v>18986830</v>
      </c>
      <c r="C2433" t="s">
        <v>8</v>
      </c>
      <c r="D2433" s="4">
        <v>46001</v>
      </c>
      <c r="E2433" s="11">
        <f t="shared" si="148"/>
        <v>2025</v>
      </c>
      <c r="F2433" s="11">
        <f t="shared" si="149"/>
        <v>12</v>
      </c>
      <c r="G2433" s="11" t="str">
        <f t="shared" si="150"/>
        <v>202512</v>
      </c>
      <c r="H2433" s="4">
        <v>46128</v>
      </c>
      <c r="I2433" s="5">
        <v>127</v>
      </c>
      <c r="J2433" s="5">
        <v>4.2333333333333334</v>
      </c>
      <c r="K2433" s="5">
        <f t="shared" si="151"/>
        <v>0</v>
      </c>
      <c r="L2433" s="5">
        <v>0</v>
      </c>
      <c r="M2433" s="5">
        <v>1</v>
      </c>
      <c r="N2433" t="s">
        <v>9</v>
      </c>
      <c r="O2433" s="8">
        <v>27.356164383561644</v>
      </c>
      <c r="P2433" t="s">
        <v>34</v>
      </c>
      <c r="Q2433">
        <v>3</v>
      </c>
      <c r="R2433" s="2">
        <v>36016</v>
      </c>
    </row>
    <row r="2434" spans="1:18" x14ac:dyDescent="0.3">
      <c r="A2434" t="s">
        <v>7</v>
      </c>
      <c r="B2434">
        <v>18986831</v>
      </c>
      <c r="C2434" t="s">
        <v>8</v>
      </c>
      <c r="D2434" s="4">
        <v>46001</v>
      </c>
      <c r="E2434" s="11">
        <f t="shared" si="148"/>
        <v>2025</v>
      </c>
      <c r="F2434" s="11">
        <f t="shared" si="149"/>
        <v>12</v>
      </c>
      <c r="G2434" s="11" t="str">
        <f t="shared" si="150"/>
        <v>202512</v>
      </c>
      <c r="H2434" s="4">
        <v>46112</v>
      </c>
      <c r="I2434" s="5">
        <v>111</v>
      </c>
      <c r="J2434" s="5">
        <v>3.7</v>
      </c>
      <c r="K2434" s="5">
        <f t="shared" si="151"/>
        <v>0</v>
      </c>
      <c r="L2434" s="5">
        <v>0</v>
      </c>
      <c r="M2434" s="5">
        <v>1</v>
      </c>
      <c r="N2434" t="s">
        <v>9</v>
      </c>
      <c r="O2434" s="8">
        <v>19.657534246575342</v>
      </c>
      <c r="P2434" t="s">
        <v>32</v>
      </c>
      <c r="Q2434">
        <v>1</v>
      </c>
      <c r="R2434" s="2">
        <v>38826</v>
      </c>
    </row>
    <row r="2435" spans="1:18" x14ac:dyDescent="0.3">
      <c r="A2435" t="s">
        <v>7</v>
      </c>
      <c r="B2435">
        <v>18986834</v>
      </c>
      <c r="C2435" t="s">
        <v>8</v>
      </c>
      <c r="D2435" s="4">
        <v>46001</v>
      </c>
      <c r="E2435" s="11">
        <f t="shared" ref="E2435:E2498" si="152">+YEAR(D2435)</f>
        <v>2025</v>
      </c>
      <c r="F2435" s="11">
        <f t="shared" ref="F2435:F2498" si="153">+MONTH(D2435)</f>
        <v>12</v>
      </c>
      <c r="G2435" s="11" t="str">
        <f t="shared" ref="G2435:G2498" si="154">+TEXT(D2435, "yyymm")</f>
        <v>202512</v>
      </c>
      <c r="I2435" s="5">
        <v>9999</v>
      </c>
      <c r="J2435" s="5">
        <v>333.3</v>
      </c>
      <c r="K2435" s="5">
        <f t="shared" ref="K2435:K2498" si="155">IF(J2435&lt;=1,1,0)</f>
        <v>0</v>
      </c>
      <c r="L2435" s="5">
        <v>0</v>
      </c>
      <c r="M2435" s="5">
        <v>0</v>
      </c>
      <c r="N2435" t="s">
        <v>9</v>
      </c>
      <c r="O2435" s="8">
        <v>25.021917808219179</v>
      </c>
      <c r="P2435" t="s">
        <v>33</v>
      </c>
      <c r="Q2435">
        <v>2</v>
      </c>
      <c r="R2435" s="2">
        <v>36868</v>
      </c>
    </row>
    <row r="2436" spans="1:18" x14ac:dyDescent="0.3">
      <c r="A2436" t="s">
        <v>7</v>
      </c>
      <c r="B2436">
        <v>18986836</v>
      </c>
      <c r="C2436" t="s">
        <v>8</v>
      </c>
      <c r="D2436" s="4">
        <v>46001</v>
      </c>
      <c r="E2436" s="11">
        <f t="shared" si="152"/>
        <v>2025</v>
      </c>
      <c r="F2436" s="11">
        <f t="shared" si="153"/>
        <v>12</v>
      </c>
      <c r="G2436" s="11" t="str">
        <f t="shared" si="154"/>
        <v>202512</v>
      </c>
      <c r="H2436" s="4">
        <v>46022</v>
      </c>
      <c r="I2436" s="5">
        <v>21</v>
      </c>
      <c r="J2436" s="5">
        <v>0.7</v>
      </c>
      <c r="K2436" s="5">
        <f t="shared" si="155"/>
        <v>1</v>
      </c>
      <c r="L2436" s="5">
        <v>1</v>
      </c>
      <c r="M2436" s="5">
        <v>1</v>
      </c>
      <c r="N2436" t="s">
        <v>9</v>
      </c>
      <c r="O2436" s="8">
        <v>22.142465753424659</v>
      </c>
      <c r="P2436" t="s">
        <v>33</v>
      </c>
      <c r="Q2436">
        <v>2</v>
      </c>
      <c r="R2436" s="2">
        <v>37919</v>
      </c>
    </row>
    <row r="2437" spans="1:18" x14ac:dyDescent="0.3">
      <c r="A2437" t="s">
        <v>7</v>
      </c>
      <c r="B2437">
        <v>18986840</v>
      </c>
      <c r="C2437" t="s">
        <v>8</v>
      </c>
      <c r="D2437" s="4">
        <v>46001</v>
      </c>
      <c r="E2437" s="11">
        <f t="shared" si="152"/>
        <v>2025</v>
      </c>
      <c r="F2437" s="11">
        <f t="shared" si="153"/>
        <v>12</v>
      </c>
      <c r="G2437" s="11" t="str">
        <f t="shared" si="154"/>
        <v>202512</v>
      </c>
      <c r="I2437" s="5">
        <v>9999</v>
      </c>
      <c r="J2437" s="5">
        <v>333.3</v>
      </c>
      <c r="K2437" s="5">
        <f t="shared" si="155"/>
        <v>0</v>
      </c>
      <c r="L2437" s="5">
        <v>0</v>
      </c>
      <c r="M2437" s="5">
        <v>0</v>
      </c>
      <c r="N2437" t="s">
        <v>9</v>
      </c>
      <c r="O2437" s="8">
        <v>19.827397260273973</v>
      </c>
      <c r="P2437" t="s">
        <v>32</v>
      </c>
      <c r="Q2437">
        <v>1</v>
      </c>
      <c r="R2437" s="2">
        <v>38764</v>
      </c>
    </row>
    <row r="2438" spans="1:18" x14ac:dyDescent="0.3">
      <c r="A2438" t="s">
        <v>7</v>
      </c>
      <c r="B2438">
        <v>18986841</v>
      </c>
      <c r="C2438" t="s">
        <v>8</v>
      </c>
      <c r="D2438" s="4">
        <v>46001</v>
      </c>
      <c r="E2438" s="11">
        <f t="shared" si="152"/>
        <v>2025</v>
      </c>
      <c r="F2438" s="11">
        <f t="shared" si="153"/>
        <v>12</v>
      </c>
      <c r="G2438" s="11" t="str">
        <f t="shared" si="154"/>
        <v>202512</v>
      </c>
      <c r="H2438" s="4">
        <v>46081</v>
      </c>
      <c r="I2438" s="5">
        <v>80</v>
      </c>
      <c r="J2438" s="5">
        <v>2.6666666666666665</v>
      </c>
      <c r="K2438" s="5">
        <f t="shared" si="155"/>
        <v>0</v>
      </c>
      <c r="L2438" s="5">
        <v>1</v>
      </c>
      <c r="M2438" s="5">
        <v>1</v>
      </c>
      <c r="N2438" t="s">
        <v>9</v>
      </c>
      <c r="O2438" s="8">
        <v>19.863013698630137</v>
      </c>
      <c r="P2438" t="s">
        <v>32</v>
      </c>
      <c r="Q2438">
        <v>1</v>
      </c>
      <c r="R2438" s="2">
        <v>38751</v>
      </c>
    </row>
    <row r="2439" spans="1:18" x14ac:dyDescent="0.3">
      <c r="A2439" t="s">
        <v>7</v>
      </c>
      <c r="B2439">
        <v>18986842</v>
      </c>
      <c r="C2439" t="s">
        <v>10</v>
      </c>
      <c r="D2439" s="4">
        <v>46001</v>
      </c>
      <c r="E2439" s="11">
        <f t="shared" si="152"/>
        <v>2025</v>
      </c>
      <c r="F2439" s="11">
        <f t="shared" si="153"/>
        <v>12</v>
      </c>
      <c r="G2439" s="11" t="str">
        <f t="shared" si="154"/>
        <v>202512</v>
      </c>
      <c r="I2439" s="5">
        <v>9999</v>
      </c>
      <c r="J2439" s="5">
        <v>333.3</v>
      </c>
      <c r="K2439" s="5">
        <f t="shared" si="155"/>
        <v>0</v>
      </c>
      <c r="L2439" s="5">
        <v>0</v>
      </c>
      <c r="M2439" s="5">
        <v>0</v>
      </c>
      <c r="N2439" t="s">
        <v>9</v>
      </c>
      <c r="O2439" s="8">
        <v>21.87123287671233</v>
      </c>
      <c r="P2439" t="s">
        <v>33</v>
      </c>
      <c r="Q2439">
        <v>2</v>
      </c>
      <c r="R2439" s="2">
        <v>38018</v>
      </c>
    </row>
    <row r="2440" spans="1:18" x14ac:dyDescent="0.3">
      <c r="A2440" t="s">
        <v>7</v>
      </c>
      <c r="B2440">
        <v>18986843</v>
      </c>
      <c r="C2440" t="s">
        <v>8</v>
      </c>
      <c r="D2440" s="4">
        <v>46001</v>
      </c>
      <c r="E2440" s="11">
        <f t="shared" si="152"/>
        <v>2025</v>
      </c>
      <c r="F2440" s="11">
        <f t="shared" si="153"/>
        <v>12</v>
      </c>
      <c r="G2440" s="11" t="str">
        <f t="shared" si="154"/>
        <v>202512</v>
      </c>
      <c r="H2440" s="4">
        <v>46042</v>
      </c>
      <c r="I2440" s="5">
        <v>41</v>
      </c>
      <c r="J2440" s="5">
        <v>1.3666666666666667</v>
      </c>
      <c r="K2440" s="5">
        <f t="shared" si="155"/>
        <v>0</v>
      </c>
      <c r="L2440" s="5">
        <v>1</v>
      </c>
      <c r="M2440" s="5">
        <v>1</v>
      </c>
      <c r="N2440" t="s">
        <v>9</v>
      </c>
      <c r="O2440" s="8">
        <v>18.873972602739727</v>
      </c>
      <c r="P2440" t="s">
        <v>32</v>
      </c>
      <c r="Q2440">
        <v>1</v>
      </c>
      <c r="R2440" s="2">
        <v>39112</v>
      </c>
    </row>
    <row r="2441" spans="1:18" x14ac:dyDescent="0.3">
      <c r="A2441" t="s">
        <v>7</v>
      </c>
      <c r="B2441">
        <v>18986846</v>
      </c>
      <c r="C2441" t="s">
        <v>8</v>
      </c>
      <c r="D2441" s="4">
        <v>46001</v>
      </c>
      <c r="E2441" s="11">
        <f t="shared" si="152"/>
        <v>2025</v>
      </c>
      <c r="F2441" s="11">
        <f t="shared" si="153"/>
        <v>12</v>
      </c>
      <c r="G2441" s="11" t="str">
        <f t="shared" si="154"/>
        <v>202512</v>
      </c>
      <c r="H2441" s="4">
        <v>46083</v>
      </c>
      <c r="I2441" s="5">
        <v>82</v>
      </c>
      <c r="J2441" s="5">
        <v>2.7333333333333334</v>
      </c>
      <c r="K2441" s="5">
        <f t="shared" si="155"/>
        <v>0</v>
      </c>
      <c r="L2441" s="5">
        <v>1</v>
      </c>
      <c r="M2441" s="5">
        <v>1</v>
      </c>
      <c r="N2441" t="s">
        <v>9</v>
      </c>
      <c r="O2441" s="8">
        <v>18.07123287671233</v>
      </c>
      <c r="P2441" t="s">
        <v>32</v>
      </c>
      <c r="Q2441">
        <v>1</v>
      </c>
      <c r="R2441" s="2">
        <v>39405</v>
      </c>
    </row>
    <row r="2442" spans="1:18" x14ac:dyDescent="0.3">
      <c r="A2442" t="s">
        <v>7</v>
      </c>
      <c r="B2442">
        <v>18986848</v>
      </c>
      <c r="C2442" t="s">
        <v>8</v>
      </c>
      <c r="D2442" s="4">
        <v>46001</v>
      </c>
      <c r="E2442" s="11">
        <f t="shared" si="152"/>
        <v>2025</v>
      </c>
      <c r="F2442" s="11">
        <f t="shared" si="153"/>
        <v>12</v>
      </c>
      <c r="G2442" s="11" t="str">
        <f t="shared" si="154"/>
        <v>202512</v>
      </c>
      <c r="H2442" s="4">
        <v>46127</v>
      </c>
      <c r="I2442" s="5">
        <v>126</v>
      </c>
      <c r="J2442" s="5">
        <v>4.2</v>
      </c>
      <c r="K2442" s="5">
        <f t="shared" si="155"/>
        <v>0</v>
      </c>
      <c r="L2442" s="5">
        <v>0</v>
      </c>
      <c r="M2442" s="5">
        <v>1</v>
      </c>
      <c r="N2442" t="s">
        <v>9</v>
      </c>
      <c r="O2442" s="8">
        <v>21.224657534246575</v>
      </c>
      <c r="P2442" t="s">
        <v>33</v>
      </c>
      <c r="Q2442">
        <v>2</v>
      </c>
      <c r="R2442" s="2">
        <v>38254</v>
      </c>
    </row>
    <row r="2443" spans="1:18" x14ac:dyDescent="0.3">
      <c r="A2443" t="s">
        <v>7</v>
      </c>
      <c r="B2443">
        <v>18986850</v>
      </c>
      <c r="C2443" t="s">
        <v>10</v>
      </c>
      <c r="D2443" s="4">
        <v>46038</v>
      </c>
      <c r="E2443" s="11">
        <f t="shared" si="152"/>
        <v>2026</v>
      </c>
      <c r="F2443" s="11">
        <f t="shared" si="153"/>
        <v>1</v>
      </c>
      <c r="G2443" s="11" t="str">
        <f t="shared" si="154"/>
        <v>202601</v>
      </c>
      <c r="I2443" s="5">
        <v>9999</v>
      </c>
      <c r="J2443" s="5">
        <v>333.3</v>
      </c>
      <c r="K2443" s="5">
        <f t="shared" si="155"/>
        <v>0</v>
      </c>
      <c r="L2443" s="5">
        <v>0</v>
      </c>
      <c r="M2443" s="5">
        <v>0</v>
      </c>
      <c r="N2443" t="s">
        <v>9</v>
      </c>
      <c r="O2443" s="8">
        <v>24.016438356164382</v>
      </c>
      <c r="P2443" t="s">
        <v>33</v>
      </c>
      <c r="Q2443">
        <v>2</v>
      </c>
      <c r="R2443" s="2">
        <v>37272</v>
      </c>
    </row>
    <row r="2444" spans="1:18" x14ac:dyDescent="0.3">
      <c r="A2444" t="s">
        <v>7</v>
      </c>
      <c r="B2444">
        <v>18986943</v>
      </c>
      <c r="C2444" t="s">
        <v>8</v>
      </c>
      <c r="D2444" s="4">
        <v>46002</v>
      </c>
      <c r="E2444" s="11">
        <f t="shared" si="152"/>
        <v>2025</v>
      </c>
      <c r="F2444" s="11">
        <f t="shared" si="153"/>
        <v>12</v>
      </c>
      <c r="G2444" s="11" t="str">
        <f t="shared" si="154"/>
        <v>202512</v>
      </c>
      <c r="H2444" s="4">
        <v>46129</v>
      </c>
      <c r="I2444" s="5">
        <v>127</v>
      </c>
      <c r="J2444" s="5">
        <v>4.2333333333333334</v>
      </c>
      <c r="K2444" s="5">
        <f t="shared" si="155"/>
        <v>0</v>
      </c>
      <c r="L2444" s="5">
        <v>0</v>
      </c>
      <c r="M2444" s="5">
        <v>1</v>
      </c>
      <c r="N2444" t="s">
        <v>12</v>
      </c>
      <c r="O2444" s="8">
        <v>19.539726027397261</v>
      </c>
      <c r="P2444" t="s">
        <v>32</v>
      </c>
      <c r="Q2444">
        <v>1</v>
      </c>
      <c r="R2444" s="2">
        <v>38870</v>
      </c>
    </row>
    <row r="2445" spans="1:18" x14ac:dyDescent="0.3">
      <c r="A2445" t="s">
        <v>7</v>
      </c>
      <c r="B2445">
        <v>18986971</v>
      </c>
      <c r="C2445" t="s">
        <v>10</v>
      </c>
      <c r="D2445" s="4">
        <v>46001</v>
      </c>
      <c r="E2445" s="11">
        <f t="shared" si="152"/>
        <v>2025</v>
      </c>
      <c r="F2445" s="11">
        <f t="shared" si="153"/>
        <v>12</v>
      </c>
      <c r="G2445" s="11" t="str">
        <f t="shared" si="154"/>
        <v>202512</v>
      </c>
      <c r="H2445" s="4">
        <v>46082</v>
      </c>
      <c r="I2445" s="5">
        <v>81</v>
      </c>
      <c r="J2445" s="5">
        <v>2.7</v>
      </c>
      <c r="K2445" s="5">
        <f t="shared" si="155"/>
        <v>0</v>
      </c>
      <c r="L2445" s="5">
        <v>1</v>
      </c>
      <c r="M2445" s="5">
        <v>1</v>
      </c>
      <c r="N2445" t="s">
        <v>12</v>
      </c>
      <c r="O2445" s="8">
        <v>18.843835616438355</v>
      </c>
      <c r="P2445" t="s">
        <v>32</v>
      </c>
      <c r="Q2445">
        <v>1</v>
      </c>
      <c r="R2445" s="2">
        <v>39123</v>
      </c>
    </row>
    <row r="2446" spans="1:18" x14ac:dyDescent="0.3">
      <c r="A2446" t="s">
        <v>7</v>
      </c>
      <c r="B2446">
        <v>18986972</v>
      </c>
      <c r="C2446" t="s">
        <v>8</v>
      </c>
      <c r="D2446" s="4">
        <v>46001</v>
      </c>
      <c r="E2446" s="11">
        <f t="shared" si="152"/>
        <v>2025</v>
      </c>
      <c r="F2446" s="11">
        <f t="shared" si="153"/>
        <v>12</v>
      </c>
      <c r="G2446" s="11" t="str">
        <f t="shared" si="154"/>
        <v>202512</v>
      </c>
      <c r="I2446" s="5">
        <v>9999</v>
      </c>
      <c r="J2446" s="5">
        <v>333.3</v>
      </c>
      <c r="K2446" s="5">
        <f t="shared" si="155"/>
        <v>0</v>
      </c>
      <c r="L2446" s="5">
        <v>0</v>
      </c>
      <c r="M2446" s="5">
        <v>0</v>
      </c>
      <c r="N2446" t="s">
        <v>9</v>
      </c>
      <c r="O2446" s="8">
        <v>18.347945205479451</v>
      </c>
      <c r="P2446" t="s">
        <v>32</v>
      </c>
      <c r="Q2446">
        <v>1</v>
      </c>
      <c r="R2446" s="2">
        <v>39304</v>
      </c>
    </row>
    <row r="2447" spans="1:18" x14ac:dyDescent="0.3">
      <c r="A2447" t="s">
        <v>7</v>
      </c>
      <c r="B2447">
        <v>18986973</v>
      </c>
      <c r="C2447" t="s">
        <v>10</v>
      </c>
      <c r="D2447" s="4">
        <v>46001</v>
      </c>
      <c r="E2447" s="11">
        <f t="shared" si="152"/>
        <v>2025</v>
      </c>
      <c r="F2447" s="11">
        <f t="shared" si="153"/>
        <v>12</v>
      </c>
      <c r="G2447" s="11" t="str">
        <f t="shared" si="154"/>
        <v>202512</v>
      </c>
      <c r="I2447" s="5">
        <v>9999</v>
      </c>
      <c r="J2447" s="5">
        <v>333.3</v>
      </c>
      <c r="K2447" s="5">
        <f t="shared" si="155"/>
        <v>0</v>
      </c>
      <c r="L2447" s="5">
        <v>0</v>
      </c>
      <c r="M2447" s="5">
        <v>0</v>
      </c>
      <c r="N2447" t="s">
        <v>9</v>
      </c>
      <c r="O2447" s="8">
        <v>24.350684931506848</v>
      </c>
      <c r="P2447" t="s">
        <v>33</v>
      </c>
      <c r="Q2447">
        <v>2</v>
      </c>
      <c r="R2447" s="2">
        <v>37113</v>
      </c>
    </row>
    <row r="2448" spans="1:18" x14ac:dyDescent="0.3">
      <c r="A2448" t="s">
        <v>7</v>
      </c>
      <c r="B2448">
        <v>18987100</v>
      </c>
      <c r="C2448" t="s">
        <v>8</v>
      </c>
      <c r="D2448" s="4">
        <v>46003</v>
      </c>
      <c r="E2448" s="11">
        <f t="shared" si="152"/>
        <v>2025</v>
      </c>
      <c r="F2448" s="11">
        <f t="shared" si="153"/>
        <v>12</v>
      </c>
      <c r="G2448" s="11" t="str">
        <f t="shared" si="154"/>
        <v>202512</v>
      </c>
      <c r="H2448" s="4">
        <v>46097</v>
      </c>
      <c r="I2448" s="5">
        <v>94</v>
      </c>
      <c r="J2448" s="5">
        <v>3.1333333333333333</v>
      </c>
      <c r="K2448" s="5">
        <f t="shared" si="155"/>
        <v>0</v>
      </c>
      <c r="L2448" s="5">
        <v>0</v>
      </c>
      <c r="M2448" s="5">
        <v>1</v>
      </c>
      <c r="N2448" t="s">
        <v>12</v>
      </c>
      <c r="O2448" s="8">
        <v>22.323287671232876</v>
      </c>
      <c r="P2448" t="s">
        <v>33</v>
      </c>
      <c r="Q2448">
        <v>2</v>
      </c>
      <c r="R2448" s="2">
        <v>37855</v>
      </c>
    </row>
    <row r="2449" spans="1:18" x14ac:dyDescent="0.3">
      <c r="A2449" t="s">
        <v>7</v>
      </c>
      <c r="B2449">
        <v>18987102</v>
      </c>
      <c r="C2449" t="s">
        <v>8</v>
      </c>
      <c r="D2449" s="4">
        <v>46003</v>
      </c>
      <c r="E2449" s="11">
        <f t="shared" si="152"/>
        <v>2025</v>
      </c>
      <c r="F2449" s="11">
        <f t="shared" si="153"/>
        <v>12</v>
      </c>
      <c r="G2449" s="11" t="str">
        <f t="shared" si="154"/>
        <v>202512</v>
      </c>
      <c r="H2449" s="4">
        <v>46112</v>
      </c>
      <c r="I2449" s="5">
        <v>109</v>
      </c>
      <c r="J2449" s="5">
        <v>3.6333333333333333</v>
      </c>
      <c r="K2449" s="5">
        <f t="shared" si="155"/>
        <v>0</v>
      </c>
      <c r="L2449" s="5">
        <v>0</v>
      </c>
      <c r="M2449" s="5">
        <v>1</v>
      </c>
      <c r="N2449" t="s">
        <v>12</v>
      </c>
      <c r="O2449" s="8">
        <v>22.797260273972604</v>
      </c>
      <c r="P2449" t="s">
        <v>33</v>
      </c>
      <c r="Q2449">
        <v>2</v>
      </c>
      <c r="R2449" s="2">
        <v>37682</v>
      </c>
    </row>
    <row r="2450" spans="1:18" x14ac:dyDescent="0.3">
      <c r="A2450" t="s">
        <v>7</v>
      </c>
      <c r="B2450">
        <v>18987104</v>
      </c>
      <c r="C2450" t="s">
        <v>8</v>
      </c>
      <c r="D2450" s="4">
        <v>46003</v>
      </c>
      <c r="E2450" s="11">
        <f t="shared" si="152"/>
        <v>2025</v>
      </c>
      <c r="F2450" s="11">
        <f t="shared" si="153"/>
        <v>12</v>
      </c>
      <c r="G2450" s="11" t="str">
        <f t="shared" si="154"/>
        <v>202512</v>
      </c>
      <c r="H2450" s="4">
        <v>46081</v>
      </c>
      <c r="I2450" s="5">
        <v>78</v>
      </c>
      <c r="J2450" s="5">
        <v>2.6</v>
      </c>
      <c r="K2450" s="5">
        <f t="shared" si="155"/>
        <v>0</v>
      </c>
      <c r="L2450" s="5">
        <v>1</v>
      </c>
      <c r="M2450" s="5">
        <v>1</v>
      </c>
      <c r="N2450" t="s">
        <v>12</v>
      </c>
      <c r="O2450" s="8">
        <v>23.841095890410958</v>
      </c>
      <c r="P2450" t="s">
        <v>33</v>
      </c>
      <c r="Q2450">
        <v>2</v>
      </c>
      <c r="R2450" s="2">
        <v>37301</v>
      </c>
    </row>
    <row r="2451" spans="1:18" x14ac:dyDescent="0.3">
      <c r="A2451" t="s">
        <v>7</v>
      </c>
      <c r="B2451">
        <v>18987263</v>
      </c>
      <c r="C2451" t="s">
        <v>8</v>
      </c>
      <c r="D2451" s="4">
        <v>46003</v>
      </c>
      <c r="E2451" s="11">
        <f t="shared" si="152"/>
        <v>2025</v>
      </c>
      <c r="F2451" s="11">
        <f t="shared" si="153"/>
        <v>12</v>
      </c>
      <c r="G2451" s="11" t="str">
        <f t="shared" si="154"/>
        <v>202512</v>
      </c>
      <c r="I2451" s="5">
        <v>9999</v>
      </c>
      <c r="J2451" s="5">
        <v>333.3</v>
      </c>
      <c r="K2451" s="5">
        <f t="shared" si="155"/>
        <v>0</v>
      </c>
      <c r="L2451" s="5">
        <v>0</v>
      </c>
      <c r="M2451" s="5">
        <v>0</v>
      </c>
      <c r="N2451" t="s">
        <v>12</v>
      </c>
      <c r="O2451" s="8">
        <v>18.865753424657534</v>
      </c>
      <c r="P2451" t="s">
        <v>32</v>
      </c>
      <c r="Q2451">
        <v>1</v>
      </c>
      <c r="R2451" s="2">
        <v>39117</v>
      </c>
    </row>
    <row r="2452" spans="1:18" x14ac:dyDescent="0.3">
      <c r="A2452" t="s">
        <v>7</v>
      </c>
      <c r="B2452">
        <v>18987274</v>
      </c>
      <c r="C2452" t="s">
        <v>8</v>
      </c>
      <c r="D2452" s="4">
        <v>46003</v>
      </c>
      <c r="E2452" s="11">
        <f t="shared" si="152"/>
        <v>2025</v>
      </c>
      <c r="F2452" s="11">
        <f t="shared" si="153"/>
        <v>12</v>
      </c>
      <c r="G2452" s="11" t="str">
        <f t="shared" si="154"/>
        <v>202512</v>
      </c>
      <c r="I2452" s="5">
        <v>9999</v>
      </c>
      <c r="J2452" s="5">
        <v>333.3</v>
      </c>
      <c r="K2452" s="5">
        <f t="shared" si="155"/>
        <v>0</v>
      </c>
      <c r="L2452" s="5">
        <v>0</v>
      </c>
      <c r="M2452" s="5">
        <v>0</v>
      </c>
      <c r="N2452" t="s">
        <v>12</v>
      </c>
      <c r="O2452" s="8">
        <v>18.876712328767123</v>
      </c>
      <c r="P2452" t="s">
        <v>32</v>
      </c>
      <c r="Q2452">
        <v>1</v>
      </c>
      <c r="R2452" s="2">
        <v>39113</v>
      </c>
    </row>
    <row r="2453" spans="1:18" x14ac:dyDescent="0.3">
      <c r="A2453" t="s">
        <v>7</v>
      </c>
      <c r="B2453">
        <v>18987323</v>
      </c>
      <c r="C2453" t="s">
        <v>8</v>
      </c>
      <c r="D2453" s="4">
        <v>46002</v>
      </c>
      <c r="E2453" s="11">
        <f t="shared" si="152"/>
        <v>2025</v>
      </c>
      <c r="F2453" s="11">
        <f t="shared" si="153"/>
        <v>12</v>
      </c>
      <c r="G2453" s="11" t="str">
        <f t="shared" si="154"/>
        <v>202512</v>
      </c>
      <c r="I2453" s="5">
        <v>9999</v>
      </c>
      <c r="J2453" s="5">
        <v>333.3</v>
      </c>
      <c r="K2453" s="5">
        <f t="shared" si="155"/>
        <v>0</v>
      </c>
      <c r="L2453" s="5">
        <v>0</v>
      </c>
      <c r="M2453" s="5">
        <v>0</v>
      </c>
      <c r="N2453" t="s">
        <v>12</v>
      </c>
      <c r="O2453" s="8">
        <v>26.12054794520548</v>
      </c>
      <c r="P2453" t="s">
        <v>34</v>
      </c>
      <c r="Q2453">
        <v>3</v>
      </c>
      <c r="R2453" s="2">
        <v>36468</v>
      </c>
    </row>
    <row r="2454" spans="1:18" x14ac:dyDescent="0.3">
      <c r="A2454" t="s">
        <v>7</v>
      </c>
      <c r="B2454">
        <v>18987324</v>
      </c>
      <c r="C2454" t="s">
        <v>10</v>
      </c>
      <c r="D2454" s="4">
        <v>46002</v>
      </c>
      <c r="E2454" s="11">
        <f t="shared" si="152"/>
        <v>2025</v>
      </c>
      <c r="F2454" s="11">
        <f t="shared" si="153"/>
        <v>12</v>
      </c>
      <c r="G2454" s="11" t="str">
        <f t="shared" si="154"/>
        <v>202512</v>
      </c>
      <c r="H2454" s="4">
        <v>46003</v>
      </c>
      <c r="I2454" s="5">
        <v>1</v>
      </c>
      <c r="J2454" s="5">
        <v>3.3333333333333333E-2</v>
      </c>
      <c r="K2454" s="5">
        <f t="shared" si="155"/>
        <v>1</v>
      </c>
      <c r="L2454" s="5">
        <v>1</v>
      </c>
      <c r="M2454" s="5">
        <v>1</v>
      </c>
      <c r="N2454" t="s">
        <v>9</v>
      </c>
      <c r="O2454" s="8">
        <v>18.219178082191782</v>
      </c>
      <c r="P2454" t="s">
        <v>32</v>
      </c>
      <c r="Q2454">
        <v>1</v>
      </c>
      <c r="R2454" s="2">
        <v>39352</v>
      </c>
    </row>
    <row r="2455" spans="1:18" x14ac:dyDescent="0.3">
      <c r="A2455" t="s">
        <v>7</v>
      </c>
      <c r="B2455">
        <v>18987325</v>
      </c>
      <c r="C2455" t="s">
        <v>8</v>
      </c>
      <c r="D2455" s="4">
        <v>46002</v>
      </c>
      <c r="E2455" s="11">
        <f t="shared" si="152"/>
        <v>2025</v>
      </c>
      <c r="F2455" s="11">
        <f t="shared" si="153"/>
        <v>12</v>
      </c>
      <c r="G2455" s="11" t="str">
        <f t="shared" si="154"/>
        <v>202512</v>
      </c>
      <c r="H2455" s="4">
        <v>46089</v>
      </c>
      <c r="I2455" s="5">
        <v>87</v>
      </c>
      <c r="J2455" s="5">
        <v>2.9</v>
      </c>
      <c r="K2455" s="5">
        <f t="shared" si="155"/>
        <v>0</v>
      </c>
      <c r="L2455" s="5">
        <v>1</v>
      </c>
      <c r="M2455" s="5">
        <v>1</v>
      </c>
      <c r="N2455" t="s">
        <v>9</v>
      </c>
      <c r="O2455" s="8">
        <v>23.893150684931506</v>
      </c>
      <c r="P2455" t="s">
        <v>33</v>
      </c>
      <c r="Q2455">
        <v>2</v>
      </c>
      <c r="R2455" s="2">
        <v>37281</v>
      </c>
    </row>
    <row r="2456" spans="1:18" x14ac:dyDescent="0.3">
      <c r="A2456" t="s">
        <v>7</v>
      </c>
      <c r="B2456">
        <v>18987328</v>
      </c>
      <c r="C2456" t="s">
        <v>8</v>
      </c>
      <c r="D2456" s="4">
        <v>46002</v>
      </c>
      <c r="E2456" s="11">
        <f t="shared" si="152"/>
        <v>2025</v>
      </c>
      <c r="F2456" s="11">
        <f t="shared" si="153"/>
        <v>12</v>
      </c>
      <c r="G2456" s="11" t="str">
        <f t="shared" si="154"/>
        <v>202512</v>
      </c>
      <c r="I2456" s="5">
        <v>9999</v>
      </c>
      <c r="J2456" s="5">
        <v>333.3</v>
      </c>
      <c r="K2456" s="5">
        <f t="shared" si="155"/>
        <v>0</v>
      </c>
      <c r="L2456" s="5">
        <v>0</v>
      </c>
      <c r="M2456" s="5">
        <v>0</v>
      </c>
      <c r="N2456" t="s">
        <v>12</v>
      </c>
      <c r="O2456" s="8">
        <v>24.372602739726027</v>
      </c>
      <c r="P2456" t="s">
        <v>33</v>
      </c>
      <c r="Q2456">
        <v>2</v>
      </c>
      <c r="R2456" s="2">
        <v>37106</v>
      </c>
    </row>
    <row r="2457" spans="1:18" x14ac:dyDescent="0.3">
      <c r="A2457" t="s">
        <v>7</v>
      </c>
      <c r="B2457">
        <v>18987330</v>
      </c>
      <c r="C2457" t="s">
        <v>8</v>
      </c>
      <c r="D2457" s="4">
        <v>46002</v>
      </c>
      <c r="E2457" s="11">
        <f t="shared" si="152"/>
        <v>2025</v>
      </c>
      <c r="F2457" s="11">
        <f t="shared" si="153"/>
        <v>12</v>
      </c>
      <c r="G2457" s="11" t="str">
        <f t="shared" si="154"/>
        <v>202512</v>
      </c>
      <c r="I2457" s="5">
        <v>9999</v>
      </c>
      <c r="J2457" s="5">
        <v>333.3</v>
      </c>
      <c r="K2457" s="5">
        <f t="shared" si="155"/>
        <v>0</v>
      </c>
      <c r="L2457" s="5">
        <v>0</v>
      </c>
      <c r="M2457" s="5">
        <v>0</v>
      </c>
      <c r="N2457" t="s">
        <v>12</v>
      </c>
      <c r="O2457" s="8">
        <v>24.084931506849315</v>
      </c>
      <c r="P2457" t="s">
        <v>33</v>
      </c>
      <c r="Q2457">
        <v>2</v>
      </c>
      <c r="R2457" s="2">
        <v>37211</v>
      </c>
    </row>
    <row r="2458" spans="1:18" x14ac:dyDescent="0.3">
      <c r="A2458" t="s">
        <v>7</v>
      </c>
      <c r="B2458">
        <v>18987331</v>
      </c>
      <c r="C2458" t="s">
        <v>8</v>
      </c>
      <c r="D2458" s="4">
        <v>46099</v>
      </c>
      <c r="E2458" s="11">
        <f t="shared" si="152"/>
        <v>2026</v>
      </c>
      <c r="F2458" s="11">
        <f t="shared" si="153"/>
        <v>3</v>
      </c>
      <c r="G2458" s="11" t="str">
        <f t="shared" si="154"/>
        <v>202603</v>
      </c>
      <c r="I2458" s="5">
        <v>9999</v>
      </c>
      <c r="J2458" s="5">
        <v>333.3</v>
      </c>
      <c r="K2458" s="5">
        <f t="shared" si="155"/>
        <v>0</v>
      </c>
      <c r="L2458" s="5">
        <v>0</v>
      </c>
      <c r="M2458" s="5">
        <v>0</v>
      </c>
      <c r="N2458" t="s">
        <v>9</v>
      </c>
      <c r="O2458" s="8">
        <v>20.742465753424657</v>
      </c>
      <c r="P2458" t="s">
        <v>32</v>
      </c>
      <c r="Q2458">
        <v>1</v>
      </c>
      <c r="R2458" s="2">
        <v>38528</v>
      </c>
    </row>
    <row r="2459" spans="1:18" x14ac:dyDescent="0.3">
      <c r="A2459" t="s">
        <v>7</v>
      </c>
      <c r="B2459">
        <v>18987332</v>
      </c>
      <c r="C2459" t="s">
        <v>8</v>
      </c>
      <c r="D2459" s="4">
        <v>46002</v>
      </c>
      <c r="E2459" s="11">
        <f t="shared" si="152"/>
        <v>2025</v>
      </c>
      <c r="F2459" s="11">
        <f t="shared" si="153"/>
        <v>12</v>
      </c>
      <c r="G2459" s="11" t="str">
        <f t="shared" si="154"/>
        <v>202512</v>
      </c>
      <c r="H2459" s="4">
        <v>46083</v>
      </c>
      <c r="I2459" s="5">
        <v>81</v>
      </c>
      <c r="J2459" s="5">
        <v>2.7</v>
      </c>
      <c r="K2459" s="5">
        <f t="shared" si="155"/>
        <v>0</v>
      </c>
      <c r="L2459" s="5">
        <v>1</v>
      </c>
      <c r="M2459" s="5">
        <v>1</v>
      </c>
      <c r="N2459" t="s">
        <v>9</v>
      </c>
      <c r="O2459" s="8">
        <v>21.30958904109589</v>
      </c>
      <c r="P2459" t="s">
        <v>33</v>
      </c>
      <c r="Q2459">
        <v>2</v>
      </c>
      <c r="R2459" s="2">
        <v>38224</v>
      </c>
    </row>
    <row r="2460" spans="1:18" x14ac:dyDescent="0.3">
      <c r="A2460" t="s">
        <v>7</v>
      </c>
      <c r="B2460">
        <v>18987337</v>
      </c>
      <c r="C2460" t="s">
        <v>8</v>
      </c>
      <c r="D2460" s="4">
        <v>46002</v>
      </c>
      <c r="E2460" s="11">
        <f t="shared" si="152"/>
        <v>2025</v>
      </c>
      <c r="F2460" s="11">
        <f t="shared" si="153"/>
        <v>12</v>
      </c>
      <c r="G2460" s="11" t="str">
        <f t="shared" si="154"/>
        <v>202512</v>
      </c>
      <c r="I2460" s="5">
        <v>9999</v>
      </c>
      <c r="J2460" s="5">
        <v>333.3</v>
      </c>
      <c r="K2460" s="5">
        <f t="shared" si="155"/>
        <v>0</v>
      </c>
      <c r="L2460" s="5">
        <v>0</v>
      </c>
      <c r="M2460" s="5">
        <v>0</v>
      </c>
      <c r="N2460" t="s">
        <v>12</v>
      </c>
      <c r="O2460" s="8">
        <v>33.663013698630138</v>
      </c>
      <c r="P2460" t="s">
        <v>35</v>
      </c>
      <c r="Q2460">
        <v>4</v>
      </c>
      <c r="R2460" s="2">
        <v>33715</v>
      </c>
    </row>
    <row r="2461" spans="1:18" x14ac:dyDescent="0.3">
      <c r="A2461" t="s">
        <v>11</v>
      </c>
      <c r="B2461">
        <v>18987343</v>
      </c>
      <c r="C2461" t="s">
        <v>8</v>
      </c>
      <c r="D2461" s="4">
        <v>46002</v>
      </c>
      <c r="E2461" s="11">
        <f t="shared" si="152"/>
        <v>2025</v>
      </c>
      <c r="F2461" s="11">
        <f t="shared" si="153"/>
        <v>12</v>
      </c>
      <c r="G2461" s="11" t="str">
        <f t="shared" si="154"/>
        <v>202512</v>
      </c>
      <c r="H2461" s="4">
        <v>46091</v>
      </c>
      <c r="I2461" s="5">
        <v>89</v>
      </c>
      <c r="J2461" s="5">
        <v>2.9666666666666668</v>
      </c>
      <c r="K2461" s="5">
        <f t="shared" si="155"/>
        <v>0</v>
      </c>
      <c r="L2461" s="5">
        <v>1</v>
      </c>
      <c r="M2461" s="5">
        <v>1</v>
      </c>
      <c r="N2461" t="s">
        <v>9</v>
      </c>
      <c r="O2461" s="8">
        <v>21.115068493150684</v>
      </c>
      <c r="P2461" t="s">
        <v>33</v>
      </c>
      <c r="Q2461">
        <v>2</v>
      </c>
      <c r="R2461" s="2">
        <v>38295</v>
      </c>
    </row>
    <row r="2462" spans="1:18" x14ac:dyDescent="0.3">
      <c r="A2462" t="s">
        <v>7</v>
      </c>
      <c r="B2462">
        <v>18987344</v>
      </c>
      <c r="C2462" t="s">
        <v>8</v>
      </c>
      <c r="D2462" s="4">
        <v>46002</v>
      </c>
      <c r="E2462" s="11">
        <f t="shared" si="152"/>
        <v>2025</v>
      </c>
      <c r="F2462" s="11">
        <f t="shared" si="153"/>
        <v>12</v>
      </c>
      <c r="G2462" s="11" t="str">
        <f t="shared" si="154"/>
        <v>202512</v>
      </c>
      <c r="H2462" s="4">
        <v>46112</v>
      </c>
      <c r="I2462" s="5">
        <v>110</v>
      </c>
      <c r="J2462" s="5">
        <v>3.6666666666666665</v>
      </c>
      <c r="K2462" s="5">
        <f t="shared" si="155"/>
        <v>0</v>
      </c>
      <c r="L2462" s="5">
        <v>0</v>
      </c>
      <c r="M2462" s="5">
        <v>1</v>
      </c>
      <c r="N2462" t="s">
        <v>9</v>
      </c>
      <c r="O2462" s="8">
        <v>31.616438356164384</v>
      </c>
      <c r="P2462" t="s">
        <v>35</v>
      </c>
      <c r="Q2462">
        <v>4</v>
      </c>
      <c r="R2462" s="2">
        <v>34462</v>
      </c>
    </row>
    <row r="2463" spans="1:18" x14ac:dyDescent="0.3">
      <c r="A2463" t="s">
        <v>11</v>
      </c>
      <c r="B2463">
        <v>18987345</v>
      </c>
      <c r="C2463" t="s">
        <v>8</v>
      </c>
      <c r="D2463" s="4">
        <v>46002</v>
      </c>
      <c r="E2463" s="11">
        <f t="shared" si="152"/>
        <v>2025</v>
      </c>
      <c r="F2463" s="11">
        <f t="shared" si="153"/>
        <v>12</v>
      </c>
      <c r="G2463" s="11" t="str">
        <f t="shared" si="154"/>
        <v>202512</v>
      </c>
      <c r="H2463" s="4">
        <v>46053</v>
      </c>
      <c r="I2463" s="5">
        <v>51</v>
      </c>
      <c r="J2463" s="5">
        <v>1.7</v>
      </c>
      <c r="K2463" s="5">
        <f t="shared" si="155"/>
        <v>0</v>
      </c>
      <c r="L2463" s="5">
        <v>1</v>
      </c>
      <c r="M2463" s="5">
        <v>1</v>
      </c>
      <c r="N2463" t="s">
        <v>9</v>
      </c>
      <c r="O2463" s="8">
        <v>20.287671232876711</v>
      </c>
      <c r="P2463" t="s">
        <v>32</v>
      </c>
      <c r="Q2463">
        <v>1</v>
      </c>
      <c r="R2463" s="2">
        <v>38597</v>
      </c>
    </row>
    <row r="2464" spans="1:18" x14ac:dyDescent="0.3">
      <c r="A2464" t="s">
        <v>7</v>
      </c>
      <c r="B2464">
        <v>18987348</v>
      </c>
      <c r="C2464" t="s">
        <v>8</v>
      </c>
      <c r="D2464" s="4">
        <v>46002</v>
      </c>
      <c r="E2464" s="11">
        <f t="shared" si="152"/>
        <v>2025</v>
      </c>
      <c r="F2464" s="11">
        <f t="shared" si="153"/>
        <v>12</v>
      </c>
      <c r="G2464" s="11" t="str">
        <f t="shared" si="154"/>
        <v>202512</v>
      </c>
      <c r="I2464" s="5">
        <v>9999</v>
      </c>
      <c r="J2464" s="5">
        <v>333.3</v>
      </c>
      <c r="K2464" s="5">
        <f t="shared" si="155"/>
        <v>0</v>
      </c>
      <c r="L2464" s="5">
        <v>0</v>
      </c>
      <c r="M2464" s="5">
        <v>0</v>
      </c>
      <c r="N2464" t="s">
        <v>12</v>
      </c>
      <c r="O2464" s="8">
        <v>18.665753424657535</v>
      </c>
      <c r="P2464" t="s">
        <v>32</v>
      </c>
      <c r="Q2464">
        <v>1</v>
      </c>
      <c r="R2464" s="2">
        <v>39189</v>
      </c>
    </row>
    <row r="2465" spans="1:18" x14ac:dyDescent="0.3">
      <c r="A2465" t="s">
        <v>7</v>
      </c>
      <c r="B2465">
        <v>18987349</v>
      </c>
      <c r="C2465" t="s">
        <v>10</v>
      </c>
      <c r="D2465" s="4">
        <v>46002</v>
      </c>
      <c r="E2465" s="11">
        <f t="shared" si="152"/>
        <v>2025</v>
      </c>
      <c r="F2465" s="11">
        <f t="shared" si="153"/>
        <v>12</v>
      </c>
      <c r="G2465" s="11" t="str">
        <f t="shared" si="154"/>
        <v>202512</v>
      </c>
      <c r="H2465" s="4">
        <v>46040</v>
      </c>
      <c r="I2465" s="5">
        <v>38</v>
      </c>
      <c r="J2465" s="5">
        <v>1.2666666666666666</v>
      </c>
      <c r="K2465" s="5">
        <f t="shared" si="155"/>
        <v>0</v>
      </c>
      <c r="L2465" s="5">
        <v>1</v>
      </c>
      <c r="M2465" s="5">
        <v>1</v>
      </c>
      <c r="N2465" t="s">
        <v>9</v>
      </c>
      <c r="O2465" s="8">
        <v>23.336986301369862</v>
      </c>
      <c r="P2465" t="s">
        <v>33</v>
      </c>
      <c r="Q2465">
        <v>2</v>
      </c>
      <c r="R2465" s="2">
        <v>37484</v>
      </c>
    </row>
    <row r="2466" spans="1:18" x14ac:dyDescent="0.3">
      <c r="A2466" t="s">
        <v>7</v>
      </c>
      <c r="B2466">
        <v>18987351</v>
      </c>
      <c r="C2466" t="s">
        <v>10</v>
      </c>
      <c r="D2466" s="4">
        <v>46002</v>
      </c>
      <c r="E2466" s="11">
        <f t="shared" si="152"/>
        <v>2025</v>
      </c>
      <c r="F2466" s="11">
        <f t="shared" si="153"/>
        <v>12</v>
      </c>
      <c r="G2466" s="11" t="str">
        <f t="shared" si="154"/>
        <v>202512</v>
      </c>
      <c r="H2466" s="4">
        <v>46067</v>
      </c>
      <c r="I2466" s="5">
        <v>65</v>
      </c>
      <c r="J2466" s="5">
        <v>2.1666666666666665</v>
      </c>
      <c r="K2466" s="5">
        <f t="shared" si="155"/>
        <v>0</v>
      </c>
      <c r="L2466" s="5">
        <v>1</v>
      </c>
      <c r="M2466" s="5">
        <v>1</v>
      </c>
      <c r="N2466" t="s">
        <v>9</v>
      </c>
      <c r="O2466" s="8">
        <v>18.076712328767123</v>
      </c>
      <c r="P2466" t="s">
        <v>32</v>
      </c>
      <c r="Q2466">
        <v>1</v>
      </c>
      <c r="R2466" s="2">
        <v>39404</v>
      </c>
    </row>
    <row r="2467" spans="1:18" x14ac:dyDescent="0.3">
      <c r="A2467" t="s">
        <v>7</v>
      </c>
      <c r="B2467">
        <v>18987353</v>
      </c>
      <c r="C2467" t="s">
        <v>8</v>
      </c>
      <c r="D2467" s="4">
        <v>46002</v>
      </c>
      <c r="E2467" s="11">
        <f t="shared" si="152"/>
        <v>2025</v>
      </c>
      <c r="F2467" s="11">
        <f t="shared" si="153"/>
        <v>12</v>
      </c>
      <c r="G2467" s="11" t="str">
        <f t="shared" si="154"/>
        <v>202512</v>
      </c>
      <c r="I2467" s="5">
        <v>9999</v>
      </c>
      <c r="J2467" s="5">
        <v>333.3</v>
      </c>
      <c r="K2467" s="5">
        <f t="shared" si="155"/>
        <v>0</v>
      </c>
      <c r="L2467" s="5">
        <v>0</v>
      </c>
      <c r="M2467" s="5">
        <v>0</v>
      </c>
      <c r="N2467" t="s">
        <v>12</v>
      </c>
      <c r="O2467" s="8">
        <v>33.446575342465756</v>
      </c>
      <c r="P2467" t="s">
        <v>35</v>
      </c>
      <c r="Q2467">
        <v>4</v>
      </c>
      <c r="R2467" s="2">
        <v>33794</v>
      </c>
    </row>
    <row r="2468" spans="1:18" x14ac:dyDescent="0.3">
      <c r="A2468" t="s">
        <v>11</v>
      </c>
      <c r="B2468">
        <v>18987357</v>
      </c>
      <c r="C2468" t="s">
        <v>8</v>
      </c>
      <c r="D2468" s="4">
        <v>46002</v>
      </c>
      <c r="E2468" s="11">
        <f t="shared" si="152"/>
        <v>2025</v>
      </c>
      <c r="F2468" s="11">
        <f t="shared" si="153"/>
        <v>12</v>
      </c>
      <c r="G2468" s="11" t="str">
        <f t="shared" si="154"/>
        <v>202512</v>
      </c>
      <c r="I2468" s="5">
        <v>9999</v>
      </c>
      <c r="J2468" s="5">
        <v>333.3</v>
      </c>
      <c r="K2468" s="5">
        <f t="shared" si="155"/>
        <v>0</v>
      </c>
      <c r="L2468" s="5">
        <v>0</v>
      </c>
      <c r="M2468" s="5">
        <v>0</v>
      </c>
      <c r="N2468" t="s">
        <v>12</v>
      </c>
      <c r="O2468" s="8">
        <v>25.224657534246575</v>
      </c>
      <c r="P2468" t="s">
        <v>33</v>
      </c>
      <c r="Q2468">
        <v>2</v>
      </c>
      <c r="R2468" s="2">
        <v>36795</v>
      </c>
    </row>
    <row r="2469" spans="1:18" x14ac:dyDescent="0.3">
      <c r="A2469" t="s">
        <v>7</v>
      </c>
      <c r="B2469">
        <v>18987359</v>
      </c>
      <c r="C2469" t="s">
        <v>8</v>
      </c>
      <c r="D2469" s="4">
        <v>46002</v>
      </c>
      <c r="E2469" s="11">
        <f t="shared" si="152"/>
        <v>2025</v>
      </c>
      <c r="F2469" s="11">
        <f t="shared" si="153"/>
        <v>12</v>
      </c>
      <c r="G2469" s="11" t="str">
        <f t="shared" si="154"/>
        <v>202512</v>
      </c>
      <c r="I2469" s="5">
        <v>9999</v>
      </c>
      <c r="J2469" s="5">
        <v>333.3</v>
      </c>
      <c r="K2469" s="5">
        <f t="shared" si="155"/>
        <v>0</v>
      </c>
      <c r="L2469" s="5">
        <v>0</v>
      </c>
      <c r="M2469" s="5">
        <v>0</v>
      </c>
      <c r="N2469" t="s">
        <v>12</v>
      </c>
      <c r="O2469" s="8">
        <v>39.139726027397259</v>
      </c>
      <c r="P2469" t="s">
        <v>35</v>
      </c>
      <c r="Q2469">
        <v>4</v>
      </c>
      <c r="R2469" s="2">
        <v>31716</v>
      </c>
    </row>
    <row r="2470" spans="1:18" x14ac:dyDescent="0.3">
      <c r="A2470" t="s">
        <v>7</v>
      </c>
      <c r="B2470">
        <v>18987360</v>
      </c>
      <c r="C2470" t="s">
        <v>10</v>
      </c>
      <c r="D2470" s="4">
        <v>46002</v>
      </c>
      <c r="E2470" s="11">
        <f t="shared" si="152"/>
        <v>2025</v>
      </c>
      <c r="F2470" s="11">
        <f t="shared" si="153"/>
        <v>12</v>
      </c>
      <c r="G2470" s="11" t="str">
        <f t="shared" si="154"/>
        <v>202512</v>
      </c>
      <c r="I2470" s="5">
        <v>9999</v>
      </c>
      <c r="J2470" s="5">
        <v>333.3</v>
      </c>
      <c r="K2470" s="5">
        <f t="shared" si="155"/>
        <v>0</v>
      </c>
      <c r="L2470" s="5">
        <v>0</v>
      </c>
      <c r="M2470" s="5">
        <v>0</v>
      </c>
      <c r="N2470" t="s">
        <v>9</v>
      </c>
      <c r="O2470" s="8">
        <v>18.221917808219178</v>
      </c>
      <c r="P2470" t="s">
        <v>32</v>
      </c>
      <c r="Q2470">
        <v>1</v>
      </c>
      <c r="R2470" s="2">
        <v>39351</v>
      </c>
    </row>
    <row r="2471" spans="1:18" x14ac:dyDescent="0.3">
      <c r="A2471" t="s">
        <v>7</v>
      </c>
      <c r="B2471">
        <v>18987367</v>
      </c>
      <c r="C2471" t="s">
        <v>8</v>
      </c>
      <c r="D2471" s="4">
        <v>46002</v>
      </c>
      <c r="E2471" s="11">
        <f t="shared" si="152"/>
        <v>2025</v>
      </c>
      <c r="F2471" s="11">
        <f t="shared" si="153"/>
        <v>12</v>
      </c>
      <c r="G2471" s="11" t="str">
        <f t="shared" si="154"/>
        <v>202512</v>
      </c>
      <c r="I2471" s="5">
        <v>9999</v>
      </c>
      <c r="J2471" s="5">
        <v>333.3</v>
      </c>
      <c r="K2471" s="5">
        <f t="shared" si="155"/>
        <v>0</v>
      </c>
      <c r="L2471" s="5">
        <v>0</v>
      </c>
      <c r="M2471" s="5">
        <v>0</v>
      </c>
      <c r="N2471" t="s">
        <v>12</v>
      </c>
      <c r="O2471" s="8">
        <v>19.926027397260274</v>
      </c>
      <c r="P2471" t="s">
        <v>32</v>
      </c>
      <c r="Q2471">
        <v>1</v>
      </c>
      <c r="R2471" s="2">
        <v>38729</v>
      </c>
    </row>
    <row r="2472" spans="1:18" x14ac:dyDescent="0.3">
      <c r="A2472" t="s">
        <v>7</v>
      </c>
      <c r="B2472">
        <v>18987368</v>
      </c>
      <c r="C2472" t="s">
        <v>8</v>
      </c>
      <c r="D2472" s="4">
        <v>46002</v>
      </c>
      <c r="E2472" s="11">
        <f t="shared" si="152"/>
        <v>2025</v>
      </c>
      <c r="F2472" s="11">
        <f t="shared" si="153"/>
        <v>12</v>
      </c>
      <c r="G2472" s="11" t="str">
        <f t="shared" si="154"/>
        <v>202512</v>
      </c>
      <c r="H2472" s="4">
        <v>46081</v>
      </c>
      <c r="I2472" s="5">
        <v>79</v>
      </c>
      <c r="J2472" s="5">
        <v>2.6333333333333333</v>
      </c>
      <c r="K2472" s="5">
        <f t="shared" si="155"/>
        <v>0</v>
      </c>
      <c r="L2472" s="5">
        <v>1</v>
      </c>
      <c r="M2472" s="5">
        <v>1</v>
      </c>
      <c r="N2472" t="s">
        <v>12</v>
      </c>
      <c r="O2472" s="8">
        <v>19.098630136986301</v>
      </c>
      <c r="P2472" t="s">
        <v>32</v>
      </c>
      <c r="Q2472">
        <v>1</v>
      </c>
      <c r="R2472" s="2">
        <v>39031</v>
      </c>
    </row>
    <row r="2473" spans="1:18" x14ac:dyDescent="0.3">
      <c r="A2473" t="s">
        <v>7</v>
      </c>
      <c r="B2473">
        <v>18987371</v>
      </c>
      <c r="C2473" t="s">
        <v>10</v>
      </c>
      <c r="D2473" s="4">
        <v>46002</v>
      </c>
      <c r="E2473" s="11">
        <f t="shared" si="152"/>
        <v>2025</v>
      </c>
      <c r="F2473" s="11">
        <f t="shared" si="153"/>
        <v>12</v>
      </c>
      <c r="G2473" s="11" t="str">
        <f t="shared" si="154"/>
        <v>202512</v>
      </c>
      <c r="I2473" s="5">
        <v>9999</v>
      </c>
      <c r="J2473" s="5">
        <v>333.3</v>
      </c>
      <c r="K2473" s="5">
        <f t="shared" si="155"/>
        <v>0</v>
      </c>
      <c r="L2473" s="5">
        <v>0</v>
      </c>
      <c r="M2473" s="5">
        <v>0</v>
      </c>
      <c r="N2473" t="s">
        <v>12</v>
      </c>
      <c r="O2473" s="8">
        <v>18.602739726027398</v>
      </c>
      <c r="P2473" t="s">
        <v>32</v>
      </c>
      <c r="Q2473">
        <v>1</v>
      </c>
      <c r="R2473" s="2">
        <v>39212</v>
      </c>
    </row>
    <row r="2474" spans="1:18" x14ac:dyDescent="0.3">
      <c r="A2474" t="s">
        <v>7</v>
      </c>
      <c r="B2474">
        <v>18987372</v>
      </c>
      <c r="C2474" t="s">
        <v>8</v>
      </c>
      <c r="D2474" s="4">
        <v>46002</v>
      </c>
      <c r="E2474" s="11">
        <f t="shared" si="152"/>
        <v>2025</v>
      </c>
      <c r="F2474" s="11">
        <f t="shared" si="153"/>
        <v>12</v>
      </c>
      <c r="G2474" s="11" t="str">
        <f t="shared" si="154"/>
        <v>202512</v>
      </c>
      <c r="I2474" s="5">
        <v>9999</v>
      </c>
      <c r="J2474" s="5">
        <v>333.3</v>
      </c>
      <c r="K2474" s="5">
        <f t="shared" si="155"/>
        <v>0</v>
      </c>
      <c r="L2474" s="5">
        <v>0</v>
      </c>
      <c r="M2474" s="5">
        <v>0</v>
      </c>
      <c r="N2474" t="s">
        <v>12</v>
      </c>
      <c r="O2474" s="8">
        <v>22.816438356164383</v>
      </c>
      <c r="P2474" t="s">
        <v>33</v>
      </c>
      <c r="Q2474">
        <v>2</v>
      </c>
      <c r="R2474" s="2">
        <v>37674</v>
      </c>
    </row>
    <row r="2475" spans="1:18" x14ac:dyDescent="0.3">
      <c r="A2475" t="s">
        <v>7</v>
      </c>
      <c r="B2475">
        <v>18987373</v>
      </c>
      <c r="C2475" t="s">
        <v>10</v>
      </c>
      <c r="D2475" s="4">
        <v>46002</v>
      </c>
      <c r="E2475" s="11">
        <f t="shared" si="152"/>
        <v>2025</v>
      </c>
      <c r="F2475" s="11">
        <f t="shared" si="153"/>
        <v>12</v>
      </c>
      <c r="G2475" s="11" t="str">
        <f t="shared" si="154"/>
        <v>202512</v>
      </c>
      <c r="H2475" s="4">
        <v>46173</v>
      </c>
      <c r="I2475" s="5">
        <v>171</v>
      </c>
      <c r="J2475" s="5">
        <v>5.7</v>
      </c>
      <c r="K2475" s="5">
        <f t="shared" si="155"/>
        <v>0</v>
      </c>
      <c r="L2475" s="5">
        <v>0</v>
      </c>
      <c r="M2475" s="5">
        <v>1</v>
      </c>
      <c r="N2475" t="s">
        <v>9</v>
      </c>
      <c r="O2475" s="8">
        <v>27.279452054794522</v>
      </c>
      <c r="P2475" t="s">
        <v>34</v>
      </c>
      <c r="Q2475">
        <v>3</v>
      </c>
      <c r="R2475" s="2">
        <v>36045</v>
      </c>
    </row>
    <row r="2476" spans="1:18" x14ac:dyDescent="0.3">
      <c r="A2476" t="s">
        <v>7</v>
      </c>
      <c r="B2476">
        <v>18987375</v>
      </c>
      <c r="C2476" t="s">
        <v>10</v>
      </c>
      <c r="D2476" s="4">
        <v>46002</v>
      </c>
      <c r="E2476" s="11">
        <f t="shared" si="152"/>
        <v>2025</v>
      </c>
      <c r="F2476" s="11">
        <f t="shared" si="153"/>
        <v>12</v>
      </c>
      <c r="G2476" s="11" t="str">
        <f t="shared" si="154"/>
        <v>202512</v>
      </c>
      <c r="I2476" s="5">
        <v>9999</v>
      </c>
      <c r="J2476" s="5">
        <v>333.3</v>
      </c>
      <c r="K2476" s="5">
        <f t="shared" si="155"/>
        <v>0</v>
      </c>
      <c r="L2476" s="5">
        <v>0</v>
      </c>
      <c r="M2476" s="5">
        <v>0</v>
      </c>
      <c r="N2476" t="s">
        <v>9</v>
      </c>
      <c r="O2476" s="8">
        <v>19.002739726027396</v>
      </c>
      <c r="P2476" t="s">
        <v>32</v>
      </c>
      <c r="Q2476">
        <v>1</v>
      </c>
      <c r="R2476" s="2">
        <v>39066</v>
      </c>
    </row>
    <row r="2477" spans="1:18" x14ac:dyDescent="0.3">
      <c r="A2477" t="s">
        <v>7</v>
      </c>
      <c r="B2477">
        <v>18987379</v>
      </c>
      <c r="C2477" t="s">
        <v>10</v>
      </c>
      <c r="D2477" s="4">
        <v>46002</v>
      </c>
      <c r="E2477" s="11">
        <f t="shared" si="152"/>
        <v>2025</v>
      </c>
      <c r="F2477" s="11">
        <f t="shared" si="153"/>
        <v>12</v>
      </c>
      <c r="G2477" s="11" t="str">
        <f t="shared" si="154"/>
        <v>202512</v>
      </c>
      <c r="H2477" s="4">
        <v>46142</v>
      </c>
      <c r="I2477" s="5">
        <v>140</v>
      </c>
      <c r="J2477" s="5">
        <v>4.666666666666667</v>
      </c>
      <c r="K2477" s="5">
        <f t="shared" si="155"/>
        <v>0</v>
      </c>
      <c r="L2477" s="5">
        <v>0</v>
      </c>
      <c r="M2477" s="5">
        <v>1</v>
      </c>
      <c r="N2477" t="s">
        <v>9</v>
      </c>
      <c r="O2477" s="8">
        <v>18.547945205479451</v>
      </c>
      <c r="P2477" t="s">
        <v>32</v>
      </c>
      <c r="Q2477">
        <v>1</v>
      </c>
      <c r="R2477" s="2">
        <v>39232</v>
      </c>
    </row>
    <row r="2478" spans="1:18" x14ac:dyDescent="0.3">
      <c r="A2478" t="s">
        <v>7</v>
      </c>
      <c r="B2478">
        <v>18987380</v>
      </c>
      <c r="C2478" t="s">
        <v>8</v>
      </c>
      <c r="D2478" s="4">
        <v>46002</v>
      </c>
      <c r="E2478" s="11">
        <f t="shared" si="152"/>
        <v>2025</v>
      </c>
      <c r="F2478" s="11">
        <f t="shared" si="153"/>
        <v>12</v>
      </c>
      <c r="G2478" s="11" t="str">
        <f t="shared" si="154"/>
        <v>202512</v>
      </c>
      <c r="H2478" s="4">
        <v>46112</v>
      </c>
      <c r="I2478" s="5">
        <v>110</v>
      </c>
      <c r="J2478" s="5">
        <v>3.6666666666666665</v>
      </c>
      <c r="K2478" s="5">
        <f t="shared" si="155"/>
        <v>0</v>
      </c>
      <c r="L2478" s="5">
        <v>0</v>
      </c>
      <c r="M2478" s="5">
        <v>1</v>
      </c>
      <c r="N2478" t="s">
        <v>9</v>
      </c>
      <c r="O2478" s="8">
        <v>21.652054794520549</v>
      </c>
      <c r="P2478" t="s">
        <v>33</v>
      </c>
      <c r="Q2478">
        <v>2</v>
      </c>
      <c r="R2478" s="2">
        <v>38099</v>
      </c>
    </row>
    <row r="2479" spans="1:18" x14ac:dyDescent="0.3">
      <c r="A2479" t="s">
        <v>7</v>
      </c>
      <c r="B2479">
        <v>18987382</v>
      </c>
      <c r="C2479" t="s">
        <v>8</v>
      </c>
      <c r="D2479" s="4">
        <v>46002</v>
      </c>
      <c r="E2479" s="11">
        <f t="shared" si="152"/>
        <v>2025</v>
      </c>
      <c r="F2479" s="11">
        <f t="shared" si="153"/>
        <v>12</v>
      </c>
      <c r="G2479" s="11" t="str">
        <f t="shared" si="154"/>
        <v>202512</v>
      </c>
      <c r="H2479" s="4">
        <v>46113</v>
      </c>
      <c r="I2479" s="5">
        <v>111</v>
      </c>
      <c r="J2479" s="5">
        <v>3.7</v>
      </c>
      <c r="K2479" s="5">
        <f t="shared" si="155"/>
        <v>0</v>
      </c>
      <c r="L2479" s="5">
        <v>0</v>
      </c>
      <c r="M2479" s="5">
        <v>1</v>
      </c>
      <c r="N2479" t="s">
        <v>9</v>
      </c>
      <c r="O2479" s="8">
        <v>19.142465753424659</v>
      </c>
      <c r="P2479" t="s">
        <v>32</v>
      </c>
      <c r="Q2479">
        <v>1</v>
      </c>
      <c r="R2479" s="2">
        <v>39015</v>
      </c>
    </row>
    <row r="2480" spans="1:18" x14ac:dyDescent="0.3">
      <c r="A2480" t="s">
        <v>7</v>
      </c>
      <c r="B2480">
        <v>18987385</v>
      </c>
      <c r="C2480" t="s">
        <v>10</v>
      </c>
      <c r="D2480" s="4">
        <v>46002</v>
      </c>
      <c r="E2480" s="11">
        <f t="shared" si="152"/>
        <v>2025</v>
      </c>
      <c r="F2480" s="11">
        <f t="shared" si="153"/>
        <v>12</v>
      </c>
      <c r="G2480" s="11" t="str">
        <f t="shared" si="154"/>
        <v>202512</v>
      </c>
      <c r="I2480" s="5">
        <v>9999</v>
      </c>
      <c r="J2480" s="5">
        <v>333.3</v>
      </c>
      <c r="K2480" s="5">
        <f t="shared" si="155"/>
        <v>0</v>
      </c>
      <c r="L2480" s="5">
        <v>0</v>
      </c>
      <c r="M2480" s="5">
        <v>0</v>
      </c>
      <c r="N2480" t="s">
        <v>9</v>
      </c>
      <c r="O2480" s="8">
        <v>21.008219178082193</v>
      </c>
      <c r="P2480" t="s">
        <v>33</v>
      </c>
      <c r="Q2480">
        <v>2</v>
      </c>
      <c r="R2480" s="2">
        <v>38334</v>
      </c>
    </row>
    <row r="2481" spans="1:18" x14ac:dyDescent="0.3">
      <c r="A2481" t="s">
        <v>7</v>
      </c>
      <c r="B2481">
        <v>18987388</v>
      </c>
      <c r="C2481" t="s">
        <v>8</v>
      </c>
      <c r="D2481" s="4">
        <v>46002</v>
      </c>
      <c r="E2481" s="11">
        <f t="shared" si="152"/>
        <v>2025</v>
      </c>
      <c r="F2481" s="11">
        <f t="shared" si="153"/>
        <v>12</v>
      </c>
      <c r="G2481" s="11" t="str">
        <f t="shared" si="154"/>
        <v>202512</v>
      </c>
      <c r="I2481" s="5">
        <v>9999</v>
      </c>
      <c r="J2481" s="5">
        <v>333.3</v>
      </c>
      <c r="K2481" s="5">
        <f t="shared" si="155"/>
        <v>0</v>
      </c>
      <c r="L2481" s="5">
        <v>0</v>
      </c>
      <c r="M2481" s="5">
        <v>0</v>
      </c>
      <c r="N2481" t="s">
        <v>12</v>
      </c>
      <c r="O2481" s="8">
        <v>18.621917808219177</v>
      </c>
      <c r="P2481" t="s">
        <v>32</v>
      </c>
      <c r="Q2481">
        <v>1</v>
      </c>
      <c r="R2481" s="2">
        <v>39205</v>
      </c>
    </row>
    <row r="2482" spans="1:18" x14ac:dyDescent="0.3">
      <c r="A2482" t="s">
        <v>7</v>
      </c>
      <c r="B2482">
        <v>18987390</v>
      </c>
      <c r="C2482" t="s">
        <v>8</v>
      </c>
      <c r="D2482" s="4">
        <v>46002</v>
      </c>
      <c r="E2482" s="11">
        <f t="shared" si="152"/>
        <v>2025</v>
      </c>
      <c r="F2482" s="11">
        <f t="shared" si="153"/>
        <v>12</v>
      </c>
      <c r="G2482" s="11" t="str">
        <f t="shared" si="154"/>
        <v>202512</v>
      </c>
      <c r="H2482" s="4">
        <v>46044</v>
      </c>
      <c r="I2482" s="5">
        <v>42</v>
      </c>
      <c r="J2482" s="5">
        <v>1.4</v>
      </c>
      <c r="K2482" s="5">
        <f t="shared" si="155"/>
        <v>0</v>
      </c>
      <c r="L2482" s="5">
        <v>1</v>
      </c>
      <c r="M2482" s="5">
        <v>1</v>
      </c>
      <c r="N2482" t="s">
        <v>9</v>
      </c>
      <c r="O2482" s="8">
        <v>21.197260273972603</v>
      </c>
      <c r="P2482" t="s">
        <v>33</v>
      </c>
      <c r="Q2482">
        <v>2</v>
      </c>
      <c r="R2482" s="2">
        <v>38265</v>
      </c>
    </row>
    <row r="2483" spans="1:18" x14ac:dyDescent="0.3">
      <c r="A2483" t="s">
        <v>11</v>
      </c>
      <c r="B2483">
        <v>18987405</v>
      </c>
      <c r="C2483" t="s">
        <v>8</v>
      </c>
      <c r="D2483" s="4">
        <v>46004</v>
      </c>
      <c r="E2483" s="11">
        <f t="shared" si="152"/>
        <v>2025</v>
      </c>
      <c r="F2483" s="11">
        <f t="shared" si="153"/>
        <v>12</v>
      </c>
      <c r="G2483" s="11" t="str">
        <f t="shared" si="154"/>
        <v>202512</v>
      </c>
      <c r="H2483" s="4">
        <v>46113</v>
      </c>
      <c r="I2483" s="5">
        <v>109</v>
      </c>
      <c r="J2483" s="5">
        <v>3.6333333333333333</v>
      </c>
      <c r="K2483" s="5">
        <f t="shared" si="155"/>
        <v>0</v>
      </c>
      <c r="L2483" s="5">
        <v>0</v>
      </c>
      <c r="M2483" s="5">
        <v>1</v>
      </c>
      <c r="N2483" t="s">
        <v>9</v>
      </c>
      <c r="O2483" s="8">
        <v>20.791780821917808</v>
      </c>
      <c r="P2483" t="s">
        <v>32</v>
      </c>
      <c r="Q2483">
        <v>1</v>
      </c>
      <c r="R2483" s="2">
        <v>38415</v>
      </c>
    </row>
    <row r="2484" spans="1:18" x14ac:dyDescent="0.3">
      <c r="A2484" t="s">
        <v>7</v>
      </c>
      <c r="B2484">
        <v>18987406</v>
      </c>
      <c r="C2484" t="s">
        <v>8</v>
      </c>
      <c r="D2484" s="4">
        <v>46004</v>
      </c>
      <c r="E2484" s="11">
        <f t="shared" si="152"/>
        <v>2025</v>
      </c>
      <c r="F2484" s="11">
        <f t="shared" si="153"/>
        <v>12</v>
      </c>
      <c r="G2484" s="11" t="str">
        <f t="shared" si="154"/>
        <v>202512</v>
      </c>
      <c r="H2484" s="4">
        <v>46112</v>
      </c>
      <c r="I2484" s="5">
        <v>108</v>
      </c>
      <c r="J2484" s="5">
        <v>3.6</v>
      </c>
      <c r="K2484" s="5">
        <f t="shared" si="155"/>
        <v>0</v>
      </c>
      <c r="L2484" s="5">
        <v>0</v>
      </c>
      <c r="M2484" s="5">
        <v>1</v>
      </c>
      <c r="N2484" t="s">
        <v>9</v>
      </c>
      <c r="O2484" s="8">
        <v>19.328767123287673</v>
      </c>
      <c r="P2484" t="s">
        <v>32</v>
      </c>
      <c r="Q2484">
        <v>1</v>
      </c>
      <c r="R2484" s="2">
        <v>38949</v>
      </c>
    </row>
    <row r="2485" spans="1:18" x14ac:dyDescent="0.3">
      <c r="A2485" t="s">
        <v>7</v>
      </c>
      <c r="B2485">
        <v>18987408</v>
      </c>
      <c r="C2485" t="s">
        <v>8</v>
      </c>
      <c r="D2485" s="4">
        <v>46004</v>
      </c>
      <c r="E2485" s="11">
        <f t="shared" si="152"/>
        <v>2025</v>
      </c>
      <c r="F2485" s="11">
        <f t="shared" si="153"/>
        <v>12</v>
      </c>
      <c r="G2485" s="11" t="str">
        <f t="shared" si="154"/>
        <v>202512</v>
      </c>
      <c r="H2485" s="4">
        <v>46146</v>
      </c>
      <c r="I2485" s="5">
        <v>142</v>
      </c>
      <c r="J2485" s="5">
        <v>4.7333333333333334</v>
      </c>
      <c r="K2485" s="5">
        <f t="shared" si="155"/>
        <v>0</v>
      </c>
      <c r="L2485" s="5">
        <v>0</v>
      </c>
      <c r="M2485" s="5">
        <v>1</v>
      </c>
      <c r="N2485" t="s">
        <v>12</v>
      </c>
      <c r="O2485" s="8">
        <v>27.383561643835616</v>
      </c>
      <c r="P2485" t="s">
        <v>34</v>
      </c>
      <c r="Q2485">
        <v>3</v>
      </c>
      <c r="R2485" s="2">
        <v>36009</v>
      </c>
    </row>
    <row r="2486" spans="1:18" x14ac:dyDescent="0.3">
      <c r="A2486" t="s">
        <v>7</v>
      </c>
      <c r="B2486">
        <v>18987410</v>
      </c>
      <c r="C2486" t="s">
        <v>10</v>
      </c>
      <c r="D2486" s="4">
        <v>46004</v>
      </c>
      <c r="E2486" s="11">
        <f t="shared" si="152"/>
        <v>2025</v>
      </c>
      <c r="F2486" s="11">
        <f t="shared" si="153"/>
        <v>12</v>
      </c>
      <c r="G2486" s="11" t="str">
        <f t="shared" si="154"/>
        <v>202512</v>
      </c>
      <c r="H2486" s="4">
        <v>46009</v>
      </c>
      <c r="I2486" s="5">
        <v>5</v>
      </c>
      <c r="J2486" s="5">
        <v>0.16666666666666666</v>
      </c>
      <c r="K2486" s="5">
        <f t="shared" si="155"/>
        <v>1</v>
      </c>
      <c r="L2486" s="5">
        <v>1</v>
      </c>
      <c r="M2486" s="5">
        <v>1</v>
      </c>
      <c r="N2486" t="s">
        <v>12</v>
      </c>
      <c r="O2486" s="8">
        <v>24.715068493150685</v>
      </c>
      <c r="P2486" t="s">
        <v>33</v>
      </c>
      <c r="Q2486">
        <v>2</v>
      </c>
      <c r="R2486" s="2">
        <v>36983</v>
      </c>
    </row>
    <row r="2487" spans="1:18" x14ac:dyDescent="0.3">
      <c r="A2487" t="s">
        <v>7</v>
      </c>
      <c r="B2487">
        <v>18987411</v>
      </c>
      <c r="C2487" t="s">
        <v>8</v>
      </c>
      <c r="D2487" s="4">
        <v>46004</v>
      </c>
      <c r="E2487" s="11">
        <f t="shared" si="152"/>
        <v>2025</v>
      </c>
      <c r="F2487" s="11">
        <f t="shared" si="153"/>
        <v>12</v>
      </c>
      <c r="G2487" s="11" t="str">
        <f t="shared" si="154"/>
        <v>202512</v>
      </c>
      <c r="I2487" s="5">
        <v>9999</v>
      </c>
      <c r="J2487" s="5">
        <v>333.3</v>
      </c>
      <c r="K2487" s="5">
        <f t="shared" si="155"/>
        <v>0</v>
      </c>
      <c r="L2487" s="5">
        <v>0</v>
      </c>
      <c r="M2487" s="5">
        <v>0</v>
      </c>
      <c r="N2487" t="s">
        <v>12</v>
      </c>
      <c r="O2487" s="8">
        <v>23.975342465753425</v>
      </c>
      <c r="P2487" t="s">
        <v>33</v>
      </c>
      <c r="Q2487">
        <v>2</v>
      </c>
      <c r="R2487" s="2">
        <v>37253</v>
      </c>
    </row>
    <row r="2488" spans="1:18" x14ac:dyDescent="0.3">
      <c r="A2488" t="s">
        <v>7</v>
      </c>
      <c r="B2488">
        <v>18987423</v>
      </c>
      <c r="C2488" t="s">
        <v>10</v>
      </c>
      <c r="D2488" s="4">
        <v>46004</v>
      </c>
      <c r="E2488" s="11">
        <f t="shared" si="152"/>
        <v>2025</v>
      </c>
      <c r="F2488" s="11">
        <f t="shared" si="153"/>
        <v>12</v>
      </c>
      <c r="G2488" s="11" t="str">
        <f t="shared" si="154"/>
        <v>202512</v>
      </c>
      <c r="H2488" s="4">
        <v>46099</v>
      </c>
      <c r="I2488" s="5">
        <v>95</v>
      </c>
      <c r="J2488" s="5">
        <v>3.1666666666666665</v>
      </c>
      <c r="K2488" s="5">
        <f t="shared" si="155"/>
        <v>0</v>
      </c>
      <c r="L2488" s="5">
        <v>0</v>
      </c>
      <c r="M2488" s="5">
        <v>1</v>
      </c>
      <c r="N2488" t="s">
        <v>9</v>
      </c>
      <c r="O2488" s="8">
        <v>18.857534246575341</v>
      </c>
      <c r="P2488" t="s">
        <v>32</v>
      </c>
      <c r="Q2488">
        <v>1</v>
      </c>
      <c r="R2488" s="2">
        <v>39121</v>
      </c>
    </row>
    <row r="2489" spans="1:18" x14ac:dyDescent="0.3">
      <c r="A2489" t="s">
        <v>7</v>
      </c>
      <c r="B2489">
        <v>18987432</v>
      </c>
      <c r="C2489" t="s">
        <v>8</v>
      </c>
      <c r="D2489" s="4">
        <v>46004</v>
      </c>
      <c r="E2489" s="11">
        <f t="shared" si="152"/>
        <v>2025</v>
      </c>
      <c r="F2489" s="11">
        <f t="shared" si="153"/>
        <v>12</v>
      </c>
      <c r="G2489" s="11" t="str">
        <f t="shared" si="154"/>
        <v>202512</v>
      </c>
      <c r="H2489" s="4">
        <v>46127</v>
      </c>
      <c r="I2489" s="5">
        <v>123</v>
      </c>
      <c r="J2489" s="5">
        <v>4.0999999999999996</v>
      </c>
      <c r="K2489" s="5">
        <f t="shared" si="155"/>
        <v>0</v>
      </c>
      <c r="L2489" s="5">
        <v>0</v>
      </c>
      <c r="M2489" s="5">
        <v>1</v>
      </c>
      <c r="N2489" t="s">
        <v>9</v>
      </c>
      <c r="O2489" s="8">
        <v>20.4986301369863</v>
      </c>
      <c r="P2489" t="s">
        <v>32</v>
      </c>
      <c r="Q2489">
        <v>1</v>
      </c>
      <c r="R2489" s="2">
        <v>38522</v>
      </c>
    </row>
    <row r="2490" spans="1:18" x14ac:dyDescent="0.3">
      <c r="A2490" t="s">
        <v>7</v>
      </c>
      <c r="B2490">
        <v>18987436</v>
      </c>
      <c r="C2490" t="s">
        <v>10</v>
      </c>
      <c r="D2490" s="4">
        <v>46004</v>
      </c>
      <c r="E2490" s="11">
        <f t="shared" si="152"/>
        <v>2025</v>
      </c>
      <c r="F2490" s="11">
        <f t="shared" si="153"/>
        <v>12</v>
      </c>
      <c r="G2490" s="11" t="str">
        <f t="shared" si="154"/>
        <v>202512</v>
      </c>
      <c r="H2490" s="4">
        <v>46057</v>
      </c>
      <c r="I2490" s="5">
        <v>53</v>
      </c>
      <c r="J2490" s="5">
        <v>1.7666666666666666</v>
      </c>
      <c r="K2490" s="5">
        <f t="shared" si="155"/>
        <v>0</v>
      </c>
      <c r="L2490" s="5">
        <v>1</v>
      </c>
      <c r="M2490" s="5">
        <v>1</v>
      </c>
      <c r="N2490" t="s">
        <v>9</v>
      </c>
      <c r="O2490" s="8">
        <v>22.112328767123287</v>
      </c>
      <c r="P2490" t="s">
        <v>33</v>
      </c>
      <c r="Q2490">
        <v>2</v>
      </c>
      <c r="R2490" s="2">
        <v>37933</v>
      </c>
    </row>
    <row r="2491" spans="1:18" x14ac:dyDescent="0.3">
      <c r="A2491" t="s">
        <v>7</v>
      </c>
      <c r="B2491">
        <v>18987437</v>
      </c>
      <c r="C2491" t="s">
        <v>8</v>
      </c>
      <c r="D2491" s="4">
        <v>46004</v>
      </c>
      <c r="E2491" s="11">
        <f t="shared" si="152"/>
        <v>2025</v>
      </c>
      <c r="F2491" s="11">
        <f t="shared" si="153"/>
        <v>12</v>
      </c>
      <c r="G2491" s="11" t="str">
        <f t="shared" si="154"/>
        <v>202512</v>
      </c>
      <c r="H2491" s="4">
        <v>46124</v>
      </c>
      <c r="I2491" s="5">
        <v>120</v>
      </c>
      <c r="J2491" s="5">
        <v>4</v>
      </c>
      <c r="K2491" s="5">
        <f t="shared" si="155"/>
        <v>0</v>
      </c>
      <c r="L2491" s="5">
        <v>0</v>
      </c>
      <c r="M2491" s="5">
        <v>1</v>
      </c>
      <c r="N2491" t="s">
        <v>9</v>
      </c>
      <c r="O2491" s="8">
        <v>20.364383561643837</v>
      </c>
      <c r="P2491" t="s">
        <v>32</v>
      </c>
      <c r="Q2491">
        <v>1</v>
      </c>
      <c r="R2491" s="2">
        <v>38571</v>
      </c>
    </row>
    <row r="2492" spans="1:18" x14ac:dyDescent="0.3">
      <c r="A2492" t="s">
        <v>7</v>
      </c>
      <c r="B2492">
        <v>18987497</v>
      </c>
      <c r="C2492" t="s">
        <v>10</v>
      </c>
      <c r="D2492" s="4">
        <v>46004</v>
      </c>
      <c r="E2492" s="11">
        <f t="shared" si="152"/>
        <v>2025</v>
      </c>
      <c r="F2492" s="11">
        <f t="shared" si="153"/>
        <v>12</v>
      </c>
      <c r="G2492" s="11" t="str">
        <f t="shared" si="154"/>
        <v>202512</v>
      </c>
      <c r="H2492" s="4">
        <v>46146</v>
      </c>
      <c r="I2492" s="5">
        <v>142</v>
      </c>
      <c r="J2492" s="5">
        <v>4.7333333333333334</v>
      </c>
      <c r="K2492" s="5">
        <f t="shared" si="155"/>
        <v>0</v>
      </c>
      <c r="L2492" s="5">
        <v>0</v>
      </c>
      <c r="M2492" s="5">
        <v>1</v>
      </c>
      <c r="N2492" t="s">
        <v>9</v>
      </c>
      <c r="O2492" s="8">
        <v>19.399999999999999</v>
      </c>
      <c r="P2492" t="s">
        <v>32</v>
      </c>
      <c r="Q2492">
        <v>1</v>
      </c>
      <c r="R2492" s="2">
        <v>38923</v>
      </c>
    </row>
    <row r="2493" spans="1:18" x14ac:dyDescent="0.3">
      <c r="A2493" t="s">
        <v>11</v>
      </c>
      <c r="B2493">
        <v>18987498</v>
      </c>
      <c r="C2493" t="s">
        <v>8</v>
      </c>
      <c r="D2493" s="4">
        <v>46004</v>
      </c>
      <c r="E2493" s="11">
        <f t="shared" si="152"/>
        <v>2025</v>
      </c>
      <c r="F2493" s="11">
        <f t="shared" si="153"/>
        <v>12</v>
      </c>
      <c r="G2493" s="11" t="str">
        <f t="shared" si="154"/>
        <v>202512</v>
      </c>
      <c r="H2493" s="4">
        <v>46093</v>
      </c>
      <c r="I2493" s="5">
        <v>89</v>
      </c>
      <c r="J2493" s="5">
        <v>2.9666666666666668</v>
      </c>
      <c r="K2493" s="5">
        <f t="shared" si="155"/>
        <v>0</v>
      </c>
      <c r="L2493" s="5">
        <v>1</v>
      </c>
      <c r="M2493" s="5">
        <v>1</v>
      </c>
      <c r="N2493" t="s">
        <v>9</v>
      </c>
      <c r="O2493" s="8">
        <v>18.994520547945207</v>
      </c>
      <c r="P2493" t="s">
        <v>32</v>
      </c>
      <c r="Q2493">
        <v>1</v>
      </c>
      <c r="R2493" s="2">
        <v>39071</v>
      </c>
    </row>
    <row r="2494" spans="1:18" x14ac:dyDescent="0.3">
      <c r="A2494" t="s">
        <v>7</v>
      </c>
      <c r="B2494">
        <v>18987499</v>
      </c>
      <c r="C2494" t="s">
        <v>8</v>
      </c>
      <c r="D2494" s="4">
        <v>46004</v>
      </c>
      <c r="E2494" s="11">
        <f t="shared" si="152"/>
        <v>2025</v>
      </c>
      <c r="F2494" s="11">
        <f t="shared" si="153"/>
        <v>12</v>
      </c>
      <c r="G2494" s="11" t="str">
        <f t="shared" si="154"/>
        <v>202512</v>
      </c>
      <c r="H2494" s="4">
        <v>46023</v>
      </c>
      <c r="I2494" s="5">
        <v>19</v>
      </c>
      <c r="J2494" s="5">
        <v>0.6333333333333333</v>
      </c>
      <c r="K2494" s="5">
        <f t="shared" si="155"/>
        <v>1</v>
      </c>
      <c r="L2494" s="5">
        <v>1</v>
      </c>
      <c r="M2494" s="5">
        <v>1</v>
      </c>
      <c r="N2494" t="s">
        <v>9</v>
      </c>
      <c r="O2494" s="8">
        <v>18.723287671232878</v>
      </c>
      <c r="P2494" t="s">
        <v>32</v>
      </c>
      <c r="Q2494">
        <v>1</v>
      </c>
      <c r="R2494" s="2">
        <v>39170</v>
      </c>
    </row>
    <row r="2495" spans="1:18" x14ac:dyDescent="0.3">
      <c r="A2495" t="s">
        <v>11</v>
      </c>
      <c r="B2495">
        <v>18987500</v>
      </c>
      <c r="C2495" t="s">
        <v>8</v>
      </c>
      <c r="D2495" s="4">
        <v>46004</v>
      </c>
      <c r="E2495" s="11">
        <f t="shared" si="152"/>
        <v>2025</v>
      </c>
      <c r="F2495" s="11">
        <f t="shared" si="153"/>
        <v>12</v>
      </c>
      <c r="G2495" s="11" t="str">
        <f t="shared" si="154"/>
        <v>202512</v>
      </c>
      <c r="H2495" s="4">
        <v>46096</v>
      </c>
      <c r="I2495" s="5">
        <v>92</v>
      </c>
      <c r="J2495" s="5">
        <v>3.0666666666666669</v>
      </c>
      <c r="K2495" s="5">
        <f t="shared" si="155"/>
        <v>0</v>
      </c>
      <c r="L2495" s="5">
        <v>0</v>
      </c>
      <c r="M2495" s="5">
        <v>1</v>
      </c>
      <c r="N2495" t="s">
        <v>9</v>
      </c>
      <c r="O2495" s="8">
        <v>18.413698630136988</v>
      </c>
      <c r="P2495" t="s">
        <v>32</v>
      </c>
      <c r="Q2495">
        <v>1</v>
      </c>
      <c r="R2495" s="2">
        <v>39283</v>
      </c>
    </row>
    <row r="2496" spans="1:18" x14ac:dyDescent="0.3">
      <c r="A2496" t="s">
        <v>11</v>
      </c>
      <c r="B2496">
        <v>18987502</v>
      </c>
      <c r="C2496" t="s">
        <v>8</v>
      </c>
      <c r="D2496" s="4">
        <v>46004</v>
      </c>
      <c r="E2496" s="11">
        <f t="shared" si="152"/>
        <v>2025</v>
      </c>
      <c r="F2496" s="11">
        <f t="shared" si="153"/>
        <v>12</v>
      </c>
      <c r="G2496" s="11" t="str">
        <f t="shared" si="154"/>
        <v>202512</v>
      </c>
      <c r="H2496" s="4">
        <v>46103</v>
      </c>
      <c r="I2496" s="5">
        <v>99</v>
      </c>
      <c r="J2496" s="5">
        <v>3.3</v>
      </c>
      <c r="K2496" s="5">
        <f t="shared" si="155"/>
        <v>0</v>
      </c>
      <c r="L2496" s="5">
        <v>0</v>
      </c>
      <c r="M2496" s="5">
        <v>1</v>
      </c>
      <c r="N2496" t="s">
        <v>9</v>
      </c>
      <c r="O2496" s="8">
        <v>18.652054794520549</v>
      </c>
      <c r="P2496" t="s">
        <v>32</v>
      </c>
      <c r="Q2496">
        <v>1</v>
      </c>
      <c r="R2496" s="2">
        <v>39196</v>
      </c>
    </row>
    <row r="2497" spans="1:18" x14ac:dyDescent="0.3">
      <c r="A2497" t="s">
        <v>7</v>
      </c>
      <c r="B2497">
        <v>18987523</v>
      </c>
      <c r="C2497" t="s">
        <v>10</v>
      </c>
      <c r="D2497" s="4">
        <v>46004</v>
      </c>
      <c r="E2497" s="11">
        <f t="shared" si="152"/>
        <v>2025</v>
      </c>
      <c r="F2497" s="11">
        <f t="shared" si="153"/>
        <v>12</v>
      </c>
      <c r="G2497" s="11" t="str">
        <f t="shared" si="154"/>
        <v>202512</v>
      </c>
      <c r="H2497" s="4">
        <v>46022</v>
      </c>
      <c r="I2497" s="5">
        <v>18</v>
      </c>
      <c r="J2497" s="5">
        <v>0.6</v>
      </c>
      <c r="K2497" s="5">
        <f t="shared" si="155"/>
        <v>1</v>
      </c>
      <c r="L2497" s="5">
        <v>1</v>
      </c>
      <c r="M2497" s="5">
        <v>1</v>
      </c>
      <c r="N2497" t="s">
        <v>9</v>
      </c>
      <c r="O2497" s="8">
        <v>19.92876712328767</v>
      </c>
      <c r="P2497" t="s">
        <v>32</v>
      </c>
      <c r="Q2497">
        <v>1</v>
      </c>
      <c r="R2497" s="2">
        <v>38730</v>
      </c>
    </row>
    <row r="2498" spans="1:18" x14ac:dyDescent="0.3">
      <c r="A2498" t="s">
        <v>7</v>
      </c>
      <c r="B2498">
        <v>18987537</v>
      </c>
      <c r="C2498" t="s">
        <v>8</v>
      </c>
      <c r="D2498" s="4">
        <v>46004</v>
      </c>
      <c r="E2498" s="11">
        <f t="shared" si="152"/>
        <v>2025</v>
      </c>
      <c r="F2498" s="11">
        <f t="shared" si="153"/>
        <v>12</v>
      </c>
      <c r="G2498" s="11" t="str">
        <f t="shared" si="154"/>
        <v>202512</v>
      </c>
      <c r="H2498" s="4">
        <v>46070</v>
      </c>
      <c r="I2498" s="5">
        <v>66</v>
      </c>
      <c r="J2498" s="5">
        <v>2.2000000000000002</v>
      </c>
      <c r="K2498" s="5">
        <f t="shared" si="155"/>
        <v>0</v>
      </c>
      <c r="L2498" s="5">
        <v>1</v>
      </c>
      <c r="M2498" s="5">
        <v>1</v>
      </c>
      <c r="N2498" t="s">
        <v>9</v>
      </c>
      <c r="O2498" s="8">
        <v>19.726027397260275</v>
      </c>
      <c r="P2498" t="s">
        <v>32</v>
      </c>
      <c r="Q2498">
        <v>1</v>
      </c>
      <c r="R2498" s="2">
        <v>38804</v>
      </c>
    </row>
    <row r="2499" spans="1:18" x14ac:dyDescent="0.3">
      <c r="A2499" t="s">
        <v>7</v>
      </c>
      <c r="B2499">
        <v>18987589</v>
      </c>
      <c r="C2499" t="s">
        <v>8</v>
      </c>
      <c r="D2499" s="4">
        <v>46002</v>
      </c>
      <c r="E2499" s="11">
        <f t="shared" ref="E2499:E2562" si="156">+YEAR(D2499)</f>
        <v>2025</v>
      </c>
      <c r="F2499" s="11">
        <f t="shared" ref="F2499:F2562" si="157">+MONTH(D2499)</f>
        <v>12</v>
      </c>
      <c r="G2499" s="11" t="str">
        <f t="shared" ref="G2499:G2562" si="158">+TEXT(D2499, "yyymm")</f>
        <v>202512</v>
      </c>
      <c r="I2499" s="5">
        <v>9999</v>
      </c>
      <c r="J2499" s="5">
        <v>333.3</v>
      </c>
      <c r="K2499" s="5">
        <f t="shared" ref="K2499:K2562" si="159">IF(J2499&lt;=1,1,0)</f>
        <v>0</v>
      </c>
      <c r="L2499" s="5">
        <v>0</v>
      </c>
      <c r="M2499" s="5">
        <v>0</v>
      </c>
      <c r="N2499" t="s">
        <v>12</v>
      </c>
      <c r="O2499" s="8">
        <v>22.208219178082192</v>
      </c>
      <c r="P2499" t="s">
        <v>33</v>
      </c>
      <c r="Q2499">
        <v>2</v>
      </c>
      <c r="R2499" s="2">
        <v>37896</v>
      </c>
    </row>
    <row r="2500" spans="1:18" x14ac:dyDescent="0.3">
      <c r="A2500" t="s">
        <v>7</v>
      </c>
      <c r="B2500">
        <v>18987632</v>
      </c>
      <c r="C2500" t="s">
        <v>8</v>
      </c>
      <c r="D2500" s="4">
        <v>46006</v>
      </c>
      <c r="E2500" s="11">
        <f t="shared" si="156"/>
        <v>2025</v>
      </c>
      <c r="F2500" s="11">
        <f t="shared" si="157"/>
        <v>12</v>
      </c>
      <c r="G2500" s="11" t="str">
        <f t="shared" si="158"/>
        <v>202512</v>
      </c>
      <c r="H2500" s="4">
        <v>46022</v>
      </c>
      <c r="I2500" s="5">
        <v>16</v>
      </c>
      <c r="J2500" s="5">
        <v>0.53333333333333333</v>
      </c>
      <c r="K2500" s="5">
        <f t="shared" si="159"/>
        <v>1</v>
      </c>
      <c r="L2500" s="5">
        <v>1</v>
      </c>
      <c r="M2500" s="5">
        <v>1</v>
      </c>
      <c r="N2500" t="s">
        <v>9</v>
      </c>
      <c r="O2500" s="8">
        <v>22.731506849315068</v>
      </c>
      <c r="P2500" t="s">
        <v>33</v>
      </c>
      <c r="Q2500">
        <v>2</v>
      </c>
      <c r="R2500" s="2">
        <v>37709</v>
      </c>
    </row>
    <row r="2501" spans="1:18" x14ac:dyDescent="0.3">
      <c r="A2501" t="s">
        <v>7</v>
      </c>
      <c r="B2501">
        <v>18987654</v>
      </c>
      <c r="C2501" t="s">
        <v>10</v>
      </c>
      <c r="D2501" s="4">
        <v>46006</v>
      </c>
      <c r="E2501" s="11">
        <f t="shared" si="156"/>
        <v>2025</v>
      </c>
      <c r="F2501" s="11">
        <f t="shared" si="157"/>
        <v>12</v>
      </c>
      <c r="G2501" s="11" t="str">
        <f t="shared" si="158"/>
        <v>202512</v>
      </c>
      <c r="H2501" s="4">
        <v>46126</v>
      </c>
      <c r="I2501" s="5">
        <v>120</v>
      </c>
      <c r="J2501" s="5">
        <v>4</v>
      </c>
      <c r="K2501" s="5">
        <f t="shared" si="159"/>
        <v>0</v>
      </c>
      <c r="L2501" s="5">
        <v>0</v>
      </c>
      <c r="M2501" s="5">
        <v>1</v>
      </c>
      <c r="N2501" t="s">
        <v>9</v>
      </c>
      <c r="O2501" s="8">
        <v>23.731506849315068</v>
      </c>
      <c r="P2501" t="s">
        <v>33</v>
      </c>
      <c r="Q2501">
        <v>2</v>
      </c>
      <c r="R2501" s="2">
        <v>37344</v>
      </c>
    </row>
    <row r="2502" spans="1:18" x14ac:dyDescent="0.3">
      <c r="A2502" t="s">
        <v>7</v>
      </c>
      <c r="B2502">
        <v>18987656</v>
      </c>
      <c r="C2502" t="s">
        <v>8</v>
      </c>
      <c r="D2502" s="4">
        <v>46006</v>
      </c>
      <c r="E2502" s="11">
        <f t="shared" si="156"/>
        <v>2025</v>
      </c>
      <c r="F2502" s="11">
        <f t="shared" si="157"/>
        <v>12</v>
      </c>
      <c r="G2502" s="11" t="str">
        <f t="shared" si="158"/>
        <v>202512</v>
      </c>
      <c r="I2502" s="5">
        <v>9999</v>
      </c>
      <c r="J2502" s="5">
        <v>333.3</v>
      </c>
      <c r="K2502" s="5">
        <f t="shared" si="159"/>
        <v>0</v>
      </c>
      <c r="L2502" s="5">
        <v>0</v>
      </c>
      <c r="M2502" s="5">
        <v>0</v>
      </c>
      <c r="N2502" t="s">
        <v>9</v>
      </c>
      <c r="O2502" s="8">
        <v>33.756164383561647</v>
      </c>
      <c r="P2502" t="s">
        <v>35</v>
      </c>
      <c r="Q2502">
        <v>4</v>
      </c>
      <c r="R2502" s="2">
        <v>33685</v>
      </c>
    </row>
    <row r="2503" spans="1:18" x14ac:dyDescent="0.3">
      <c r="A2503" t="s">
        <v>7</v>
      </c>
      <c r="B2503">
        <v>18987693</v>
      </c>
      <c r="C2503" t="s">
        <v>10</v>
      </c>
      <c r="D2503" s="4">
        <v>46006</v>
      </c>
      <c r="E2503" s="11">
        <f t="shared" si="156"/>
        <v>2025</v>
      </c>
      <c r="F2503" s="11">
        <f t="shared" si="157"/>
        <v>12</v>
      </c>
      <c r="G2503" s="11" t="str">
        <f t="shared" si="158"/>
        <v>202512</v>
      </c>
      <c r="I2503" s="5">
        <v>9999</v>
      </c>
      <c r="J2503" s="5">
        <v>333.3</v>
      </c>
      <c r="K2503" s="5">
        <f t="shared" si="159"/>
        <v>0</v>
      </c>
      <c r="L2503" s="5">
        <v>0</v>
      </c>
      <c r="M2503" s="5">
        <v>0</v>
      </c>
      <c r="N2503" t="s">
        <v>9</v>
      </c>
      <c r="O2503" s="8">
        <v>20.55890410958904</v>
      </c>
      <c r="P2503" t="s">
        <v>32</v>
      </c>
      <c r="Q2503">
        <v>1</v>
      </c>
      <c r="R2503" s="2">
        <v>38502</v>
      </c>
    </row>
    <row r="2504" spans="1:18" x14ac:dyDescent="0.3">
      <c r="A2504" t="s">
        <v>7</v>
      </c>
      <c r="B2504">
        <v>18987747</v>
      </c>
      <c r="C2504" t="s">
        <v>8</v>
      </c>
      <c r="D2504" s="4">
        <v>46006</v>
      </c>
      <c r="E2504" s="11">
        <f t="shared" si="156"/>
        <v>2025</v>
      </c>
      <c r="F2504" s="11">
        <f t="shared" si="157"/>
        <v>12</v>
      </c>
      <c r="G2504" s="11" t="str">
        <f t="shared" si="158"/>
        <v>202512</v>
      </c>
      <c r="H2504" s="4">
        <v>46143</v>
      </c>
      <c r="I2504" s="5">
        <v>137</v>
      </c>
      <c r="J2504" s="5">
        <v>4.5666666666666664</v>
      </c>
      <c r="K2504" s="5">
        <f t="shared" si="159"/>
        <v>0</v>
      </c>
      <c r="L2504" s="5">
        <v>0</v>
      </c>
      <c r="M2504" s="5">
        <v>1</v>
      </c>
      <c r="N2504" t="s">
        <v>9</v>
      </c>
      <c r="O2504" s="8">
        <v>25.087671232876712</v>
      </c>
      <c r="P2504" t="s">
        <v>33</v>
      </c>
      <c r="Q2504">
        <v>2</v>
      </c>
      <c r="R2504" s="2">
        <v>36849</v>
      </c>
    </row>
    <row r="2505" spans="1:18" x14ac:dyDescent="0.3">
      <c r="A2505" t="s">
        <v>7</v>
      </c>
      <c r="B2505">
        <v>18987754</v>
      </c>
      <c r="C2505" t="s">
        <v>8</v>
      </c>
      <c r="D2505" s="4">
        <v>46006</v>
      </c>
      <c r="E2505" s="11">
        <f t="shared" si="156"/>
        <v>2025</v>
      </c>
      <c r="F2505" s="11">
        <f t="shared" si="157"/>
        <v>12</v>
      </c>
      <c r="G2505" s="11" t="str">
        <f t="shared" si="158"/>
        <v>202512</v>
      </c>
      <c r="I2505" s="5">
        <v>9999</v>
      </c>
      <c r="J2505" s="5">
        <v>333.3</v>
      </c>
      <c r="K2505" s="5">
        <f t="shared" si="159"/>
        <v>0</v>
      </c>
      <c r="L2505" s="5">
        <v>0</v>
      </c>
      <c r="M2505" s="5">
        <v>0</v>
      </c>
      <c r="N2505" t="s">
        <v>9</v>
      </c>
      <c r="O2505" s="8">
        <v>19.860273972602741</v>
      </c>
      <c r="P2505" t="s">
        <v>32</v>
      </c>
      <c r="Q2505">
        <v>1</v>
      </c>
      <c r="R2505" s="2">
        <v>38757</v>
      </c>
    </row>
    <row r="2506" spans="1:18" x14ac:dyDescent="0.3">
      <c r="A2506" t="s">
        <v>7</v>
      </c>
      <c r="B2506">
        <v>18987756</v>
      </c>
      <c r="C2506" t="s">
        <v>8</v>
      </c>
      <c r="D2506" s="4">
        <v>46006</v>
      </c>
      <c r="E2506" s="11">
        <f t="shared" si="156"/>
        <v>2025</v>
      </c>
      <c r="F2506" s="11">
        <f t="shared" si="157"/>
        <v>12</v>
      </c>
      <c r="G2506" s="11" t="str">
        <f t="shared" si="158"/>
        <v>202512</v>
      </c>
      <c r="H2506" s="4">
        <v>46112</v>
      </c>
      <c r="I2506" s="5">
        <v>106</v>
      </c>
      <c r="J2506" s="5">
        <v>3.5333333333333332</v>
      </c>
      <c r="K2506" s="5">
        <f t="shared" si="159"/>
        <v>0</v>
      </c>
      <c r="L2506" s="5">
        <v>0</v>
      </c>
      <c r="M2506" s="5">
        <v>1</v>
      </c>
      <c r="N2506" t="s">
        <v>9</v>
      </c>
      <c r="O2506" s="8">
        <v>18.813698630136987</v>
      </c>
      <c r="P2506" t="s">
        <v>32</v>
      </c>
      <c r="Q2506">
        <v>1</v>
      </c>
      <c r="R2506" s="2">
        <v>39139</v>
      </c>
    </row>
    <row r="2507" spans="1:18" x14ac:dyDescent="0.3">
      <c r="A2507" t="s">
        <v>7</v>
      </c>
      <c r="B2507">
        <v>18987783</v>
      </c>
      <c r="C2507" t="s">
        <v>10</v>
      </c>
      <c r="D2507" s="4">
        <v>46006</v>
      </c>
      <c r="E2507" s="11">
        <f t="shared" si="156"/>
        <v>2025</v>
      </c>
      <c r="F2507" s="11">
        <f t="shared" si="157"/>
        <v>12</v>
      </c>
      <c r="G2507" s="11" t="str">
        <f t="shared" si="158"/>
        <v>202512</v>
      </c>
      <c r="I2507" s="5">
        <v>9999</v>
      </c>
      <c r="J2507" s="5">
        <v>333.3</v>
      </c>
      <c r="K2507" s="5">
        <f t="shared" si="159"/>
        <v>0</v>
      </c>
      <c r="L2507" s="5">
        <v>0</v>
      </c>
      <c r="M2507" s="5">
        <v>0</v>
      </c>
      <c r="N2507" t="s">
        <v>9</v>
      </c>
      <c r="O2507" s="8">
        <v>20.164383561643834</v>
      </c>
      <c r="P2507" t="s">
        <v>32</v>
      </c>
      <c r="Q2507">
        <v>1</v>
      </c>
      <c r="R2507" s="2">
        <v>38646</v>
      </c>
    </row>
    <row r="2508" spans="1:18" x14ac:dyDescent="0.3">
      <c r="A2508" t="s">
        <v>7</v>
      </c>
      <c r="B2508">
        <v>18987832</v>
      </c>
      <c r="C2508" t="s">
        <v>10</v>
      </c>
      <c r="D2508" s="4">
        <v>46003</v>
      </c>
      <c r="E2508" s="11">
        <f t="shared" si="156"/>
        <v>2025</v>
      </c>
      <c r="F2508" s="11">
        <f t="shared" si="157"/>
        <v>12</v>
      </c>
      <c r="G2508" s="11" t="str">
        <f t="shared" si="158"/>
        <v>202512</v>
      </c>
      <c r="H2508" s="4">
        <v>46096</v>
      </c>
      <c r="I2508" s="5">
        <v>93</v>
      </c>
      <c r="J2508" s="5">
        <v>3.1</v>
      </c>
      <c r="K2508" s="5">
        <f t="shared" si="159"/>
        <v>0</v>
      </c>
      <c r="L2508" s="5">
        <v>0</v>
      </c>
      <c r="M2508" s="5">
        <v>1</v>
      </c>
      <c r="N2508" t="s">
        <v>12</v>
      </c>
      <c r="O2508" s="8">
        <v>21.063013698630137</v>
      </c>
      <c r="P2508" t="s">
        <v>33</v>
      </c>
      <c r="Q2508">
        <v>2</v>
      </c>
      <c r="R2508" s="2">
        <v>38315</v>
      </c>
    </row>
    <row r="2509" spans="1:18" x14ac:dyDescent="0.3">
      <c r="A2509" t="s">
        <v>7</v>
      </c>
      <c r="B2509">
        <v>18987926</v>
      </c>
      <c r="C2509" t="s">
        <v>8</v>
      </c>
      <c r="D2509" s="4">
        <v>46003</v>
      </c>
      <c r="E2509" s="11">
        <f t="shared" si="156"/>
        <v>2025</v>
      </c>
      <c r="F2509" s="11">
        <f t="shared" si="157"/>
        <v>12</v>
      </c>
      <c r="G2509" s="11" t="str">
        <f t="shared" si="158"/>
        <v>202512</v>
      </c>
      <c r="I2509" s="5">
        <v>9999</v>
      </c>
      <c r="J2509" s="5">
        <v>333.3</v>
      </c>
      <c r="K2509" s="5">
        <f t="shared" si="159"/>
        <v>0</v>
      </c>
      <c r="L2509" s="5">
        <v>0</v>
      </c>
      <c r="M2509" s="5">
        <v>0</v>
      </c>
      <c r="N2509" t="s">
        <v>9</v>
      </c>
      <c r="O2509" s="8">
        <v>20.482191780821918</v>
      </c>
      <c r="P2509" t="s">
        <v>32</v>
      </c>
      <c r="Q2509">
        <v>1</v>
      </c>
      <c r="R2509" s="2">
        <v>38527</v>
      </c>
    </row>
    <row r="2510" spans="1:18" x14ac:dyDescent="0.3">
      <c r="A2510" t="s">
        <v>7</v>
      </c>
      <c r="B2510">
        <v>18987932</v>
      </c>
      <c r="C2510" t="s">
        <v>8</v>
      </c>
      <c r="D2510" s="4">
        <v>46003</v>
      </c>
      <c r="E2510" s="11">
        <f t="shared" si="156"/>
        <v>2025</v>
      </c>
      <c r="F2510" s="11">
        <f t="shared" si="157"/>
        <v>12</v>
      </c>
      <c r="G2510" s="11" t="str">
        <f t="shared" si="158"/>
        <v>202512</v>
      </c>
      <c r="H2510" s="4">
        <v>46112</v>
      </c>
      <c r="I2510" s="5">
        <v>109</v>
      </c>
      <c r="J2510" s="5">
        <v>3.6333333333333333</v>
      </c>
      <c r="K2510" s="5">
        <f t="shared" si="159"/>
        <v>0</v>
      </c>
      <c r="L2510" s="5">
        <v>0</v>
      </c>
      <c r="M2510" s="5">
        <v>1</v>
      </c>
      <c r="N2510" t="s">
        <v>9</v>
      </c>
      <c r="O2510" s="8">
        <v>20.115068493150684</v>
      </c>
      <c r="P2510" t="s">
        <v>32</v>
      </c>
      <c r="Q2510">
        <v>1</v>
      </c>
      <c r="R2510" s="2">
        <v>38661</v>
      </c>
    </row>
    <row r="2511" spans="1:18" x14ac:dyDescent="0.3">
      <c r="A2511" t="s">
        <v>7</v>
      </c>
      <c r="B2511">
        <v>18987943</v>
      </c>
      <c r="C2511" t="s">
        <v>10</v>
      </c>
      <c r="D2511" s="4">
        <v>46003</v>
      </c>
      <c r="E2511" s="11">
        <f t="shared" si="156"/>
        <v>2025</v>
      </c>
      <c r="F2511" s="11">
        <f t="shared" si="157"/>
        <v>12</v>
      </c>
      <c r="G2511" s="11" t="str">
        <f t="shared" si="158"/>
        <v>202512</v>
      </c>
      <c r="H2511" s="4">
        <v>46112</v>
      </c>
      <c r="I2511" s="5">
        <v>109</v>
      </c>
      <c r="J2511" s="5">
        <v>3.6333333333333333</v>
      </c>
      <c r="K2511" s="5">
        <f t="shared" si="159"/>
        <v>0</v>
      </c>
      <c r="L2511" s="5">
        <v>0</v>
      </c>
      <c r="M2511" s="5">
        <v>1</v>
      </c>
      <c r="N2511" t="s">
        <v>12</v>
      </c>
      <c r="O2511" s="8">
        <v>19.734246575342464</v>
      </c>
      <c r="P2511" t="s">
        <v>32</v>
      </c>
      <c r="Q2511">
        <v>1</v>
      </c>
      <c r="R2511" s="2">
        <v>38800</v>
      </c>
    </row>
    <row r="2512" spans="1:18" x14ac:dyDescent="0.3">
      <c r="A2512" t="s">
        <v>7</v>
      </c>
      <c r="B2512">
        <v>18987944</v>
      </c>
      <c r="C2512" t="s">
        <v>8</v>
      </c>
      <c r="D2512" s="4">
        <v>46003</v>
      </c>
      <c r="E2512" s="11">
        <f t="shared" si="156"/>
        <v>2025</v>
      </c>
      <c r="F2512" s="11">
        <f t="shared" si="157"/>
        <v>12</v>
      </c>
      <c r="G2512" s="11" t="str">
        <f t="shared" si="158"/>
        <v>202512</v>
      </c>
      <c r="H2512" s="4">
        <v>46063</v>
      </c>
      <c r="I2512" s="5">
        <v>60</v>
      </c>
      <c r="J2512" s="5">
        <v>2</v>
      </c>
      <c r="K2512" s="5">
        <f t="shared" si="159"/>
        <v>0</v>
      </c>
      <c r="L2512" s="5">
        <v>1</v>
      </c>
      <c r="M2512" s="5">
        <v>1</v>
      </c>
      <c r="N2512" t="s">
        <v>9</v>
      </c>
      <c r="O2512" s="8">
        <v>20.4986301369863</v>
      </c>
      <c r="P2512" t="s">
        <v>32</v>
      </c>
      <c r="Q2512">
        <v>1</v>
      </c>
      <c r="R2512" s="2">
        <v>38521</v>
      </c>
    </row>
    <row r="2513" spans="1:18" x14ac:dyDescent="0.3">
      <c r="A2513" t="s">
        <v>7</v>
      </c>
      <c r="B2513">
        <v>18987951</v>
      </c>
      <c r="C2513" t="s">
        <v>8</v>
      </c>
      <c r="D2513" s="4">
        <v>46003</v>
      </c>
      <c r="E2513" s="11">
        <f t="shared" si="156"/>
        <v>2025</v>
      </c>
      <c r="F2513" s="11">
        <f t="shared" si="157"/>
        <v>12</v>
      </c>
      <c r="G2513" s="11" t="str">
        <f t="shared" si="158"/>
        <v>202512</v>
      </c>
      <c r="I2513" s="5">
        <v>9999</v>
      </c>
      <c r="J2513" s="5">
        <v>333.3</v>
      </c>
      <c r="K2513" s="5">
        <f t="shared" si="159"/>
        <v>0</v>
      </c>
      <c r="L2513" s="5">
        <v>0</v>
      </c>
      <c r="M2513" s="5">
        <v>0</v>
      </c>
      <c r="N2513" t="s">
        <v>9</v>
      </c>
      <c r="O2513" s="8">
        <v>18.684931506849313</v>
      </c>
      <c r="P2513" t="s">
        <v>32</v>
      </c>
      <c r="Q2513">
        <v>1</v>
      </c>
      <c r="R2513" s="2">
        <v>39183</v>
      </c>
    </row>
    <row r="2514" spans="1:18" x14ac:dyDescent="0.3">
      <c r="A2514" t="s">
        <v>7</v>
      </c>
      <c r="B2514">
        <v>18988026</v>
      </c>
      <c r="C2514" t="s">
        <v>10</v>
      </c>
      <c r="D2514" s="4">
        <v>46003</v>
      </c>
      <c r="E2514" s="11">
        <f t="shared" si="156"/>
        <v>2025</v>
      </c>
      <c r="F2514" s="11">
        <f t="shared" si="157"/>
        <v>12</v>
      </c>
      <c r="G2514" s="11" t="str">
        <f t="shared" si="158"/>
        <v>202512</v>
      </c>
      <c r="H2514" s="4">
        <v>46082</v>
      </c>
      <c r="I2514" s="5">
        <v>79</v>
      </c>
      <c r="J2514" s="5">
        <v>2.6333333333333333</v>
      </c>
      <c r="K2514" s="5">
        <f t="shared" si="159"/>
        <v>0</v>
      </c>
      <c r="L2514" s="5">
        <v>1</v>
      </c>
      <c r="M2514" s="5">
        <v>1</v>
      </c>
      <c r="N2514" t="s">
        <v>9</v>
      </c>
      <c r="O2514" s="8">
        <v>18.504109589041096</v>
      </c>
      <c r="P2514" t="s">
        <v>32</v>
      </c>
      <c r="Q2514">
        <v>1</v>
      </c>
      <c r="R2514" s="2">
        <v>39249</v>
      </c>
    </row>
    <row r="2515" spans="1:18" x14ac:dyDescent="0.3">
      <c r="A2515" t="s">
        <v>7</v>
      </c>
      <c r="B2515">
        <v>18988028</v>
      </c>
      <c r="C2515" t="s">
        <v>10</v>
      </c>
      <c r="D2515" s="4">
        <v>46003</v>
      </c>
      <c r="E2515" s="11">
        <f t="shared" si="156"/>
        <v>2025</v>
      </c>
      <c r="F2515" s="11">
        <f t="shared" si="157"/>
        <v>12</v>
      </c>
      <c r="G2515" s="11" t="str">
        <f t="shared" si="158"/>
        <v>202512</v>
      </c>
      <c r="I2515" s="5">
        <v>9999</v>
      </c>
      <c r="J2515" s="5">
        <v>333.3</v>
      </c>
      <c r="K2515" s="5">
        <f t="shared" si="159"/>
        <v>0</v>
      </c>
      <c r="L2515" s="5">
        <v>0</v>
      </c>
      <c r="M2515" s="5">
        <v>0</v>
      </c>
      <c r="N2515" t="s">
        <v>9</v>
      </c>
      <c r="O2515" s="8">
        <v>19.830136986301369</v>
      </c>
      <c r="P2515" t="s">
        <v>32</v>
      </c>
      <c r="Q2515">
        <v>1</v>
      </c>
      <c r="R2515" s="2">
        <v>38765</v>
      </c>
    </row>
    <row r="2516" spans="1:18" x14ac:dyDescent="0.3">
      <c r="A2516" t="s">
        <v>7</v>
      </c>
      <c r="B2516">
        <v>18988066</v>
      </c>
      <c r="C2516" t="s">
        <v>8</v>
      </c>
      <c r="D2516" s="4">
        <v>46003</v>
      </c>
      <c r="E2516" s="11">
        <f t="shared" si="156"/>
        <v>2025</v>
      </c>
      <c r="F2516" s="11">
        <f t="shared" si="157"/>
        <v>12</v>
      </c>
      <c r="G2516" s="11" t="str">
        <f t="shared" si="158"/>
        <v>202512</v>
      </c>
      <c r="H2516" s="4">
        <v>46028</v>
      </c>
      <c r="I2516" s="5">
        <v>25</v>
      </c>
      <c r="J2516" s="5">
        <v>0.83333333333333337</v>
      </c>
      <c r="K2516" s="5">
        <f t="shared" si="159"/>
        <v>1</v>
      </c>
      <c r="L2516" s="5">
        <v>1</v>
      </c>
      <c r="M2516" s="5">
        <v>1</v>
      </c>
      <c r="N2516" t="s">
        <v>9</v>
      </c>
      <c r="O2516" s="8">
        <v>22.326027397260273</v>
      </c>
      <c r="P2516" t="s">
        <v>33</v>
      </c>
      <c r="Q2516">
        <v>2</v>
      </c>
      <c r="R2516" s="2">
        <v>37854</v>
      </c>
    </row>
    <row r="2517" spans="1:18" x14ac:dyDescent="0.3">
      <c r="A2517" t="s">
        <v>7</v>
      </c>
      <c r="B2517">
        <v>18988081</v>
      </c>
      <c r="C2517" t="s">
        <v>10</v>
      </c>
      <c r="D2517" s="4">
        <v>46003</v>
      </c>
      <c r="E2517" s="11">
        <f t="shared" si="156"/>
        <v>2025</v>
      </c>
      <c r="F2517" s="11">
        <f t="shared" si="157"/>
        <v>12</v>
      </c>
      <c r="G2517" s="11" t="str">
        <f t="shared" si="158"/>
        <v>202512</v>
      </c>
      <c r="H2517" s="4">
        <v>46113</v>
      </c>
      <c r="I2517" s="5">
        <v>110</v>
      </c>
      <c r="J2517" s="5">
        <v>3.6666666666666665</v>
      </c>
      <c r="K2517" s="5">
        <f t="shared" si="159"/>
        <v>0</v>
      </c>
      <c r="L2517" s="5">
        <v>0</v>
      </c>
      <c r="M2517" s="5">
        <v>1</v>
      </c>
      <c r="N2517" t="s">
        <v>9</v>
      </c>
      <c r="O2517" s="8">
        <v>18.528767123287672</v>
      </c>
      <c r="P2517" t="s">
        <v>32</v>
      </c>
      <c r="Q2517">
        <v>1</v>
      </c>
      <c r="R2517" s="2">
        <v>39240</v>
      </c>
    </row>
    <row r="2518" spans="1:18" x14ac:dyDescent="0.3">
      <c r="A2518" t="s">
        <v>7</v>
      </c>
      <c r="B2518">
        <v>18988085</v>
      </c>
      <c r="C2518" t="s">
        <v>10</v>
      </c>
      <c r="D2518" s="4">
        <v>46003</v>
      </c>
      <c r="E2518" s="11">
        <f t="shared" si="156"/>
        <v>2025</v>
      </c>
      <c r="F2518" s="11">
        <f t="shared" si="157"/>
        <v>12</v>
      </c>
      <c r="G2518" s="11" t="str">
        <f t="shared" si="158"/>
        <v>202512</v>
      </c>
      <c r="H2518" s="4">
        <v>46091</v>
      </c>
      <c r="I2518" s="5">
        <v>88</v>
      </c>
      <c r="J2518" s="5">
        <v>2.9333333333333331</v>
      </c>
      <c r="K2518" s="5">
        <f t="shared" si="159"/>
        <v>0</v>
      </c>
      <c r="L2518" s="5">
        <v>1</v>
      </c>
      <c r="M2518" s="5">
        <v>1</v>
      </c>
      <c r="N2518" t="s">
        <v>12</v>
      </c>
      <c r="O2518" s="8">
        <v>28.008219178082193</v>
      </c>
      <c r="P2518" t="s">
        <v>34</v>
      </c>
      <c r="Q2518">
        <v>3</v>
      </c>
      <c r="R2518" s="2">
        <v>35780</v>
      </c>
    </row>
    <row r="2519" spans="1:18" x14ac:dyDescent="0.3">
      <c r="A2519" t="s">
        <v>7</v>
      </c>
      <c r="B2519">
        <v>18988247</v>
      </c>
      <c r="C2519" t="s">
        <v>10</v>
      </c>
      <c r="D2519" s="4">
        <v>46003</v>
      </c>
      <c r="E2519" s="11">
        <f t="shared" si="156"/>
        <v>2025</v>
      </c>
      <c r="F2519" s="11">
        <f t="shared" si="157"/>
        <v>12</v>
      </c>
      <c r="G2519" s="11" t="str">
        <f t="shared" si="158"/>
        <v>202512</v>
      </c>
      <c r="H2519" s="4">
        <v>46007</v>
      </c>
      <c r="I2519" s="5">
        <v>4</v>
      </c>
      <c r="J2519" s="5">
        <v>0.13333333333333333</v>
      </c>
      <c r="K2519" s="5">
        <f t="shared" si="159"/>
        <v>1</v>
      </c>
      <c r="L2519" s="5">
        <v>1</v>
      </c>
      <c r="M2519" s="5">
        <v>1</v>
      </c>
      <c r="N2519" t="s">
        <v>9</v>
      </c>
      <c r="O2519" s="8">
        <v>20.304109589041097</v>
      </c>
      <c r="P2519" t="s">
        <v>32</v>
      </c>
      <c r="Q2519">
        <v>1</v>
      </c>
      <c r="R2519" s="2">
        <v>38592</v>
      </c>
    </row>
    <row r="2520" spans="1:18" x14ac:dyDescent="0.3">
      <c r="A2520" t="s">
        <v>7</v>
      </c>
      <c r="B2520">
        <v>18988552</v>
      </c>
      <c r="C2520" t="s">
        <v>8</v>
      </c>
      <c r="D2520" s="4">
        <v>46003</v>
      </c>
      <c r="E2520" s="11">
        <f t="shared" si="156"/>
        <v>2025</v>
      </c>
      <c r="F2520" s="11">
        <f t="shared" si="157"/>
        <v>12</v>
      </c>
      <c r="G2520" s="11" t="str">
        <f t="shared" si="158"/>
        <v>202512</v>
      </c>
      <c r="H2520" s="4">
        <v>46096</v>
      </c>
      <c r="I2520" s="5">
        <v>93</v>
      </c>
      <c r="J2520" s="5">
        <v>3.1</v>
      </c>
      <c r="K2520" s="5">
        <f t="shared" si="159"/>
        <v>0</v>
      </c>
      <c r="L2520" s="5">
        <v>0</v>
      </c>
      <c r="M2520" s="5">
        <v>1</v>
      </c>
      <c r="N2520" t="s">
        <v>12</v>
      </c>
      <c r="O2520" s="8">
        <v>27.797260273972604</v>
      </c>
      <c r="P2520" t="s">
        <v>34</v>
      </c>
      <c r="Q2520">
        <v>3</v>
      </c>
      <c r="R2520" s="2">
        <v>35857</v>
      </c>
    </row>
    <row r="2521" spans="1:18" x14ac:dyDescent="0.3">
      <c r="A2521" t="s">
        <v>7</v>
      </c>
      <c r="B2521">
        <v>18988565</v>
      </c>
      <c r="C2521" t="s">
        <v>8</v>
      </c>
      <c r="D2521" s="4">
        <v>46003</v>
      </c>
      <c r="E2521" s="11">
        <f t="shared" si="156"/>
        <v>2025</v>
      </c>
      <c r="F2521" s="11">
        <f t="shared" si="157"/>
        <v>12</v>
      </c>
      <c r="G2521" s="11" t="str">
        <f t="shared" si="158"/>
        <v>202512</v>
      </c>
      <c r="H2521" s="4">
        <v>46096</v>
      </c>
      <c r="I2521" s="5">
        <v>93</v>
      </c>
      <c r="J2521" s="5">
        <v>3.1</v>
      </c>
      <c r="K2521" s="5">
        <f t="shared" si="159"/>
        <v>0</v>
      </c>
      <c r="L2521" s="5">
        <v>0</v>
      </c>
      <c r="M2521" s="5">
        <v>1</v>
      </c>
      <c r="N2521" t="s">
        <v>12</v>
      </c>
      <c r="O2521" s="8">
        <v>19.317808219178083</v>
      </c>
      <c r="P2521" t="s">
        <v>32</v>
      </c>
      <c r="Q2521">
        <v>1</v>
      </c>
      <c r="R2521" s="2">
        <v>38952</v>
      </c>
    </row>
    <row r="2522" spans="1:18" x14ac:dyDescent="0.3">
      <c r="A2522" t="s">
        <v>7</v>
      </c>
      <c r="B2522">
        <v>18988566</v>
      </c>
      <c r="C2522" t="s">
        <v>8</v>
      </c>
      <c r="D2522" s="4">
        <v>46003</v>
      </c>
      <c r="E2522" s="11">
        <f t="shared" si="156"/>
        <v>2025</v>
      </c>
      <c r="F2522" s="11">
        <f t="shared" si="157"/>
        <v>12</v>
      </c>
      <c r="G2522" s="11" t="str">
        <f t="shared" si="158"/>
        <v>202512</v>
      </c>
      <c r="I2522" s="5">
        <v>9999</v>
      </c>
      <c r="J2522" s="5">
        <v>333.3</v>
      </c>
      <c r="K2522" s="5">
        <f t="shared" si="159"/>
        <v>0</v>
      </c>
      <c r="L2522" s="5">
        <v>0</v>
      </c>
      <c r="M2522" s="5">
        <v>0</v>
      </c>
      <c r="N2522" t="s">
        <v>9</v>
      </c>
      <c r="O2522" s="8">
        <v>23.476712328767125</v>
      </c>
      <c r="P2522" t="s">
        <v>33</v>
      </c>
      <c r="Q2522">
        <v>2</v>
      </c>
      <c r="R2522" s="2">
        <v>37434</v>
      </c>
    </row>
    <row r="2523" spans="1:18" x14ac:dyDescent="0.3">
      <c r="A2523" t="s">
        <v>7</v>
      </c>
      <c r="B2523">
        <v>18988573</v>
      </c>
      <c r="C2523" t="s">
        <v>10</v>
      </c>
      <c r="D2523" s="4">
        <v>46003</v>
      </c>
      <c r="E2523" s="11">
        <f t="shared" si="156"/>
        <v>2025</v>
      </c>
      <c r="F2523" s="11">
        <f t="shared" si="157"/>
        <v>12</v>
      </c>
      <c r="G2523" s="11" t="str">
        <f t="shared" si="158"/>
        <v>202512</v>
      </c>
      <c r="I2523" s="5">
        <v>9999</v>
      </c>
      <c r="J2523" s="5">
        <v>333.3</v>
      </c>
      <c r="K2523" s="5">
        <f t="shared" si="159"/>
        <v>0</v>
      </c>
      <c r="L2523" s="5">
        <v>0</v>
      </c>
      <c r="M2523" s="5">
        <v>0</v>
      </c>
      <c r="N2523" t="s">
        <v>9</v>
      </c>
      <c r="O2523" s="8">
        <v>20.542465753424658</v>
      </c>
      <c r="P2523" t="s">
        <v>32</v>
      </c>
      <c r="Q2523">
        <v>1</v>
      </c>
      <c r="R2523" s="2">
        <v>38505</v>
      </c>
    </row>
    <row r="2524" spans="1:18" x14ac:dyDescent="0.3">
      <c r="A2524" t="s">
        <v>7</v>
      </c>
      <c r="B2524">
        <v>18988666</v>
      </c>
      <c r="C2524" t="s">
        <v>8</v>
      </c>
      <c r="D2524" s="4">
        <v>46121</v>
      </c>
      <c r="E2524" s="11">
        <f t="shared" si="156"/>
        <v>2026</v>
      </c>
      <c r="F2524" s="11">
        <f t="shared" si="157"/>
        <v>4</v>
      </c>
      <c r="G2524" s="11" t="str">
        <f t="shared" si="158"/>
        <v>202604</v>
      </c>
      <c r="I2524" s="5">
        <v>9999</v>
      </c>
      <c r="J2524" s="5">
        <v>333.3</v>
      </c>
      <c r="K2524" s="5">
        <f t="shared" si="159"/>
        <v>0</v>
      </c>
      <c r="L2524" s="5">
        <v>0</v>
      </c>
      <c r="M2524" s="5">
        <v>0</v>
      </c>
      <c r="N2524" t="s">
        <v>12</v>
      </c>
      <c r="O2524" s="8">
        <v>18.600000000000001</v>
      </c>
      <c r="P2524" t="s">
        <v>32</v>
      </c>
      <c r="Q2524">
        <v>1</v>
      </c>
      <c r="R2524" s="2">
        <v>39332</v>
      </c>
    </row>
    <row r="2525" spans="1:18" x14ac:dyDescent="0.3">
      <c r="A2525" t="s">
        <v>7</v>
      </c>
      <c r="B2525">
        <v>18988686</v>
      </c>
      <c r="C2525" t="s">
        <v>10</v>
      </c>
      <c r="D2525" s="4">
        <v>46007</v>
      </c>
      <c r="E2525" s="11">
        <f t="shared" si="156"/>
        <v>2025</v>
      </c>
      <c r="F2525" s="11">
        <f t="shared" si="157"/>
        <v>12</v>
      </c>
      <c r="G2525" s="11" t="str">
        <f t="shared" si="158"/>
        <v>202512</v>
      </c>
      <c r="I2525" s="5">
        <v>9999</v>
      </c>
      <c r="J2525" s="5">
        <v>333.3</v>
      </c>
      <c r="K2525" s="5">
        <f t="shared" si="159"/>
        <v>0</v>
      </c>
      <c r="L2525" s="5">
        <v>0</v>
      </c>
      <c r="M2525" s="5">
        <v>0</v>
      </c>
      <c r="N2525" t="s">
        <v>12</v>
      </c>
      <c r="O2525" s="8">
        <v>22.19178082191781</v>
      </c>
      <c r="P2525" t="s">
        <v>33</v>
      </c>
      <c r="Q2525">
        <v>2</v>
      </c>
      <c r="R2525" s="2">
        <v>37907</v>
      </c>
    </row>
    <row r="2526" spans="1:18" x14ac:dyDescent="0.3">
      <c r="A2526" t="s">
        <v>7</v>
      </c>
      <c r="B2526">
        <v>18988706</v>
      </c>
      <c r="C2526" t="s">
        <v>8</v>
      </c>
      <c r="D2526" s="4">
        <v>46003</v>
      </c>
      <c r="E2526" s="11">
        <f t="shared" si="156"/>
        <v>2025</v>
      </c>
      <c r="F2526" s="11">
        <f t="shared" si="157"/>
        <v>12</v>
      </c>
      <c r="G2526" s="11" t="str">
        <f t="shared" si="158"/>
        <v>202512</v>
      </c>
      <c r="H2526" s="4">
        <v>46089</v>
      </c>
      <c r="I2526" s="5">
        <v>86</v>
      </c>
      <c r="J2526" s="5">
        <v>2.8666666666666667</v>
      </c>
      <c r="K2526" s="5">
        <f t="shared" si="159"/>
        <v>0</v>
      </c>
      <c r="L2526" s="5">
        <v>1</v>
      </c>
      <c r="M2526" s="5">
        <v>1</v>
      </c>
      <c r="N2526" t="s">
        <v>9</v>
      </c>
      <c r="O2526" s="8">
        <v>18.693150684931506</v>
      </c>
      <c r="P2526" t="s">
        <v>32</v>
      </c>
      <c r="Q2526">
        <v>1</v>
      </c>
      <c r="R2526" s="2">
        <v>39180</v>
      </c>
    </row>
    <row r="2527" spans="1:18" x14ac:dyDescent="0.3">
      <c r="A2527" t="s">
        <v>7</v>
      </c>
      <c r="B2527">
        <v>18988735</v>
      </c>
      <c r="C2527" t="s">
        <v>8</v>
      </c>
      <c r="D2527" s="4">
        <v>46007</v>
      </c>
      <c r="E2527" s="11">
        <f t="shared" si="156"/>
        <v>2025</v>
      </c>
      <c r="F2527" s="11">
        <f t="shared" si="157"/>
        <v>12</v>
      </c>
      <c r="G2527" s="11" t="str">
        <f t="shared" si="158"/>
        <v>202512</v>
      </c>
      <c r="H2527" s="4">
        <v>46068</v>
      </c>
      <c r="I2527" s="5">
        <v>61</v>
      </c>
      <c r="J2527" s="5">
        <v>2.0333333333333332</v>
      </c>
      <c r="K2527" s="5">
        <f t="shared" si="159"/>
        <v>0</v>
      </c>
      <c r="L2527" s="5">
        <v>1</v>
      </c>
      <c r="M2527" s="5">
        <v>1</v>
      </c>
      <c r="N2527" t="s">
        <v>12</v>
      </c>
      <c r="O2527" s="8">
        <v>18.863013698630137</v>
      </c>
      <c r="P2527" t="s">
        <v>32</v>
      </c>
      <c r="Q2527">
        <v>1</v>
      </c>
      <c r="R2527" s="2">
        <v>39122</v>
      </c>
    </row>
    <row r="2528" spans="1:18" x14ac:dyDescent="0.3">
      <c r="A2528" t="s">
        <v>7</v>
      </c>
      <c r="B2528">
        <v>18988749</v>
      </c>
      <c r="C2528" t="s">
        <v>8</v>
      </c>
      <c r="D2528" s="4">
        <v>46003</v>
      </c>
      <c r="E2528" s="11">
        <f t="shared" si="156"/>
        <v>2025</v>
      </c>
      <c r="F2528" s="11">
        <f t="shared" si="157"/>
        <v>12</v>
      </c>
      <c r="G2528" s="11" t="str">
        <f t="shared" si="158"/>
        <v>202512</v>
      </c>
      <c r="I2528" s="5">
        <v>9999</v>
      </c>
      <c r="J2528" s="5">
        <v>333.3</v>
      </c>
      <c r="K2528" s="5">
        <f t="shared" si="159"/>
        <v>0</v>
      </c>
      <c r="L2528" s="5">
        <v>0</v>
      </c>
      <c r="M2528" s="5">
        <v>0</v>
      </c>
      <c r="N2528" t="s">
        <v>9</v>
      </c>
      <c r="O2528" s="8">
        <v>21.476712328767125</v>
      </c>
      <c r="P2528" t="s">
        <v>33</v>
      </c>
      <c r="Q2528">
        <v>2</v>
      </c>
      <c r="R2528" s="2">
        <v>38164</v>
      </c>
    </row>
    <row r="2529" spans="1:18" x14ac:dyDescent="0.3">
      <c r="A2529" t="s">
        <v>7</v>
      </c>
      <c r="B2529">
        <v>18988883</v>
      </c>
      <c r="C2529" t="s">
        <v>8</v>
      </c>
      <c r="D2529" s="4">
        <v>46008</v>
      </c>
      <c r="E2529" s="11">
        <f t="shared" si="156"/>
        <v>2025</v>
      </c>
      <c r="F2529" s="11">
        <f t="shared" si="157"/>
        <v>12</v>
      </c>
      <c r="G2529" s="11" t="str">
        <f t="shared" si="158"/>
        <v>202512</v>
      </c>
      <c r="I2529" s="5">
        <v>9999</v>
      </c>
      <c r="J2529" s="5">
        <v>333.3</v>
      </c>
      <c r="K2529" s="5">
        <f t="shared" si="159"/>
        <v>0</v>
      </c>
      <c r="L2529" s="5">
        <v>0</v>
      </c>
      <c r="M2529" s="5">
        <v>0</v>
      </c>
      <c r="N2529" t="s">
        <v>12</v>
      </c>
      <c r="O2529" s="8">
        <v>19.665753424657535</v>
      </c>
      <c r="P2529" t="s">
        <v>32</v>
      </c>
      <c r="Q2529">
        <v>1</v>
      </c>
      <c r="R2529" s="2">
        <v>38830</v>
      </c>
    </row>
    <row r="2530" spans="1:18" x14ac:dyDescent="0.3">
      <c r="A2530" t="s">
        <v>7</v>
      </c>
      <c r="B2530">
        <v>18988929</v>
      </c>
      <c r="C2530" t="s">
        <v>8</v>
      </c>
      <c r="D2530" s="4">
        <v>46008</v>
      </c>
      <c r="E2530" s="11">
        <f t="shared" si="156"/>
        <v>2025</v>
      </c>
      <c r="F2530" s="11">
        <f t="shared" si="157"/>
        <v>12</v>
      </c>
      <c r="G2530" s="11" t="str">
        <f t="shared" si="158"/>
        <v>202512</v>
      </c>
      <c r="H2530" s="4">
        <v>46143</v>
      </c>
      <c r="I2530" s="5">
        <v>135</v>
      </c>
      <c r="J2530" s="5">
        <v>4.5</v>
      </c>
      <c r="K2530" s="5">
        <f t="shared" si="159"/>
        <v>0</v>
      </c>
      <c r="L2530" s="5">
        <v>0</v>
      </c>
      <c r="M2530" s="5">
        <v>1</v>
      </c>
      <c r="N2530" t="s">
        <v>12</v>
      </c>
      <c r="O2530" s="8">
        <v>21.397260273972602</v>
      </c>
      <c r="P2530" t="s">
        <v>33</v>
      </c>
      <c r="Q2530">
        <v>2</v>
      </c>
      <c r="R2530" s="2">
        <v>38198</v>
      </c>
    </row>
    <row r="2531" spans="1:18" x14ac:dyDescent="0.3">
      <c r="A2531" t="s">
        <v>11</v>
      </c>
      <c r="B2531">
        <v>18988960</v>
      </c>
      <c r="C2531" t="s">
        <v>10</v>
      </c>
      <c r="D2531" s="4">
        <v>46146</v>
      </c>
      <c r="E2531" s="11">
        <f t="shared" si="156"/>
        <v>2026</v>
      </c>
      <c r="F2531" s="11">
        <f t="shared" si="157"/>
        <v>5</v>
      </c>
      <c r="G2531" s="11" t="str">
        <f t="shared" si="158"/>
        <v>202605</v>
      </c>
      <c r="I2531" s="5">
        <v>9999</v>
      </c>
      <c r="J2531" s="5">
        <v>333.3</v>
      </c>
      <c r="K2531" s="5">
        <f t="shared" si="159"/>
        <v>0</v>
      </c>
      <c r="L2531" s="5">
        <v>0</v>
      </c>
      <c r="M2531" s="5">
        <v>0</v>
      </c>
      <c r="N2531" t="s">
        <v>9</v>
      </c>
      <c r="O2531" s="8">
        <v>19.402739726027399</v>
      </c>
      <c r="P2531" t="s">
        <v>32</v>
      </c>
      <c r="Q2531">
        <v>1</v>
      </c>
      <c r="R2531" s="2">
        <v>39064</v>
      </c>
    </row>
    <row r="2532" spans="1:18" x14ac:dyDescent="0.3">
      <c r="A2532" t="s">
        <v>7</v>
      </c>
      <c r="B2532">
        <v>18988967</v>
      </c>
      <c r="C2532" t="s">
        <v>10</v>
      </c>
      <c r="D2532" s="4">
        <v>46007</v>
      </c>
      <c r="E2532" s="11">
        <f t="shared" si="156"/>
        <v>2025</v>
      </c>
      <c r="F2532" s="11">
        <f t="shared" si="157"/>
        <v>12</v>
      </c>
      <c r="G2532" s="11" t="str">
        <f t="shared" si="158"/>
        <v>202512</v>
      </c>
      <c r="I2532" s="5">
        <v>9999</v>
      </c>
      <c r="J2532" s="5">
        <v>333.3</v>
      </c>
      <c r="K2532" s="5">
        <f t="shared" si="159"/>
        <v>0</v>
      </c>
      <c r="L2532" s="5">
        <v>0</v>
      </c>
      <c r="M2532" s="5">
        <v>0</v>
      </c>
      <c r="N2532" t="s">
        <v>9</v>
      </c>
      <c r="O2532" s="8">
        <v>20.093150684931508</v>
      </c>
      <c r="P2532" t="s">
        <v>32</v>
      </c>
      <c r="Q2532">
        <v>1</v>
      </c>
      <c r="R2532" s="2">
        <v>38673</v>
      </c>
    </row>
    <row r="2533" spans="1:18" x14ac:dyDescent="0.3">
      <c r="A2533" t="s">
        <v>7</v>
      </c>
      <c r="B2533">
        <v>18988970</v>
      </c>
      <c r="C2533" t="s">
        <v>8</v>
      </c>
      <c r="D2533" s="4">
        <v>46007</v>
      </c>
      <c r="E2533" s="11">
        <f t="shared" si="156"/>
        <v>2025</v>
      </c>
      <c r="F2533" s="11">
        <f t="shared" si="157"/>
        <v>12</v>
      </c>
      <c r="G2533" s="11" t="str">
        <f t="shared" si="158"/>
        <v>202512</v>
      </c>
      <c r="H2533" s="4">
        <v>46138</v>
      </c>
      <c r="I2533" s="5">
        <v>131</v>
      </c>
      <c r="J2533" s="5">
        <v>4.3666666666666663</v>
      </c>
      <c r="K2533" s="5">
        <f t="shared" si="159"/>
        <v>0</v>
      </c>
      <c r="L2533" s="5">
        <v>0</v>
      </c>
      <c r="M2533" s="5">
        <v>1</v>
      </c>
      <c r="N2533" t="s">
        <v>9</v>
      </c>
      <c r="O2533" s="8">
        <v>19.87123287671233</v>
      </c>
      <c r="P2533" t="s">
        <v>32</v>
      </c>
      <c r="Q2533">
        <v>1</v>
      </c>
      <c r="R2533" s="2">
        <v>38754</v>
      </c>
    </row>
    <row r="2534" spans="1:18" x14ac:dyDescent="0.3">
      <c r="A2534" t="s">
        <v>7</v>
      </c>
      <c r="B2534">
        <v>18988972</v>
      </c>
      <c r="C2534" t="s">
        <v>10</v>
      </c>
      <c r="D2534" s="4">
        <v>46007</v>
      </c>
      <c r="E2534" s="11">
        <f t="shared" si="156"/>
        <v>2025</v>
      </c>
      <c r="F2534" s="11">
        <f t="shared" si="157"/>
        <v>12</v>
      </c>
      <c r="G2534" s="11" t="str">
        <f t="shared" si="158"/>
        <v>202512</v>
      </c>
      <c r="H2534" s="4">
        <v>46054</v>
      </c>
      <c r="I2534" s="5">
        <v>47</v>
      </c>
      <c r="J2534" s="5">
        <v>1.5666666666666667</v>
      </c>
      <c r="K2534" s="5">
        <f t="shared" si="159"/>
        <v>0</v>
      </c>
      <c r="L2534" s="5">
        <v>1</v>
      </c>
      <c r="M2534" s="5">
        <v>1</v>
      </c>
      <c r="N2534" t="s">
        <v>9</v>
      </c>
      <c r="O2534" s="8">
        <v>19.698630136986303</v>
      </c>
      <c r="P2534" t="s">
        <v>32</v>
      </c>
      <c r="Q2534">
        <v>1</v>
      </c>
      <c r="R2534" s="2">
        <v>38817</v>
      </c>
    </row>
    <row r="2535" spans="1:18" x14ac:dyDescent="0.3">
      <c r="A2535" t="s">
        <v>11</v>
      </c>
      <c r="B2535">
        <v>18988982</v>
      </c>
      <c r="C2535" t="s">
        <v>8</v>
      </c>
      <c r="D2535" s="4">
        <v>46007</v>
      </c>
      <c r="E2535" s="11">
        <f t="shared" si="156"/>
        <v>2025</v>
      </c>
      <c r="F2535" s="11">
        <f t="shared" si="157"/>
        <v>12</v>
      </c>
      <c r="G2535" s="11" t="str">
        <f t="shared" si="158"/>
        <v>202512</v>
      </c>
      <c r="H2535" s="4">
        <v>46022</v>
      </c>
      <c r="I2535" s="5">
        <v>15</v>
      </c>
      <c r="J2535" s="5">
        <v>0.5</v>
      </c>
      <c r="K2535" s="5">
        <f t="shared" si="159"/>
        <v>1</v>
      </c>
      <c r="L2535" s="5">
        <v>1</v>
      </c>
      <c r="M2535" s="5">
        <v>1</v>
      </c>
      <c r="N2535" t="s">
        <v>9</v>
      </c>
      <c r="O2535" s="8">
        <v>18.232876712328768</v>
      </c>
      <c r="P2535" t="s">
        <v>32</v>
      </c>
      <c r="Q2535">
        <v>1</v>
      </c>
      <c r="R2535" s="2">
        <v>39352</v>
      </c>
    </row>
    <row r="2536" spans="1:18" x14ac:dyDescent="0.3">
      <c r="A2536" t="s">
        <v>7</v>
      </c>
      <c r="B2536">
        <v>18988988</v>
      </c>
      <c r="C2536" t="s">
        <v>10</v>
      </c>
      <c r="D2536" s="4">
        <v>46007</v>
      </c>
      <c r="E2536" s="11">
        <f t="shared" si="156"/>
        <v>2025</v>
      </c>
      <c r="F2536" s="11">
        <f t="shared" si="157"/>
        <v>12</v>
      </c>
      <c r="G2536" s="11" t="str">
        <f t="shared" si="158"/>
        <v>202512</v>
      </c>
      <c r="I2536" s="5">
        <v>9999</v>
      </c>
      <c r="J2536" s="5">
        <v>333.3</v>
      </c>
      <c r="K2536" s="5">
        <f t="shared" si="159"/>
        <v>0</v>
      </c>
      <c r="L2536" s="5">
        <v>0</v>
      </c>
      <c r="M2536" s="5">
        <v>0</v>
      </c>
      <c r="N2536" t="s">
        <v>9</v>
      </c>
      <c r="O2536" s="8">
        <v>18.816438356164383</v>
      </c>
      <c r="P2536" t="s">
        <v>32</v>
      </c>
      <c r="Q2536">
        <v>1</v>
      </c>
      <c r="R2536" s="2">
        <v>39139</v>
      </c>
    </row>
    <row r="2537" spans="1:18" x14ac:dyDescent="0.3">
      <c r="A2537" t="s">
        <v>7</v>
      </c>
      <c r="B2537">
        <v>18988993</v>
      </c>
      <c r="C2537" t="s">
        <v>10</v>
      </c>
      <c r="D2537" s="4">
        <v>46007</v>
      </c>
      <c r="E2537" s="11">
        <f t="shared" si="156"/>
        <v>2025</v>
      </c>
      <c r="F2537" s="11">
        <f t="shared" si="157"/>
        <v>12</v>
      </c>
      <c r="G2537" s="11" t="str">
        <f t="shared" si="158"/>
        <v>202512</v>
      </c>
      <c r="I2537" s="5">
        <v>9999</v>
      </c>
      <c r="J2537" s="5">
        <v>333.3</v>
      </c>
      <c r="K2537" s="5">
        <f t="shared" si="159"/>
        <v>0</v>
      </c>
      <c r="L2537" s="5">
        <v>0</v>
      </c>
      <c r="M2537" s="5">
        <v>0</v>
      </c>
      <c r="N2537" t="s">
        <v>9</v>
      </c>
      <c r="O2537" s="8">
        <v>20.849315068493151</v>
      </c>
      <c r="P2537" t="s">
        <v>32</v>
      </c>
      <c r="Q2537">
        <v>1</v>
      </c>
      <c r="R2537" s="2">
        <v>38397</v>
      </c>
    </row>
    <row r="2538" spans="1:18" x14ac:dyDescent="0.3">
      <c r="A2538" t="s">
        <v>7</v>
      </c>
      <c r="B2538">
        <v>18989002</v>
      </c>
      <c r="C2538" t="s">
        <v>8</v>
      </c>
      <c r="D2538" s="4">
        <v>46007</v>
      </c>
      <c r="E2538" s="11">
        <f t="shared" si="156"/>
        <v>2025</v>
      </c>
      <c r="F2538" s="11">
        <f t="shared" si="157"/>
        <v>12</v>
      </c>
      <c r="G2538" s="11" t="str">
        <f t="shared" si="158"/>
        <v>202512</v>
      </c>
      <c r="H2538" s="4">
        <v>46033</v>
      </c>
      <c r="I2538" s="5">
        <v>26</v>
      </c>
      <c r="J2538" s="5">
        <v>0.8666666666666667</v>
      </c>
      <c r="K2538" s="5">
        <f t="shared" si="159"/>
        <v>1</v>
      </c>
      <c r="L2538" s="5">
        <v>1</v>
      </c>
      <c r="M2538" s="5">
        <v>1</v>
      </c>
      <c r="N2538" t="s">
        <v>9</v>
      </c>
      <c r="O2538" s="8">
        <v>24.164383561643834</v>
      </c>
      <c r="P2538" t="s">
        <v>33</v>
      </c>
      <c r="Q2538">
        <v>2</v>
      </c>
      <c r="R2538" s="2">
        <v>37187</v>
      </c>
    </row>
    <row r="2539" spans="1:18" x14ac:dyDescent="0.3">
      <c r="A2539" t="s">
        <v>7</v>
      </c>
      <c r="B2539">
        <v>18989007</v>
      </c>
      <c r="C2539" t="s">
        <v>8</v>
      </c>
      <c r="D2539" s="4">
        <v>46007</v>
      </c>
      <c r="E2539" s="11">
        <f t="shared" si="156"/>
        <v>2025</v>
      </c>
      <c r="F2539" s="11">
        <f t="shared" si="157"/>
        <v>12</v>
      </c>
      <c r="G2539" s="11" t="str">
        <f t="shared" si="158"/>
        <v>202512</v>
      </c>
      <c r="H2539" s="4">
        <v>46090</v>
      </c>
      <c r="I2539" s="5">
        <v>83</v>
      </c>
      <c r="J2539" s="5">
        <v>2.7666666666666666</v>
      </c>
      <c r="K2539" s="5">
        <f t="shared" si="159"/>
        <v>0</v>
      </c>
      <c r="L2539" s="5">
        <v>1</v>
      </c>
      <c r="M2539" s="5">
        <v>1</v>
      </c>
      <c r="N2539" t="s">
        <v>9</v>
      </c>
      <c r="O2539" s="8">
        <v>18.791780821917808</v>
      </c>
      <c r="P2539" t="s">
        <v>32</v>
      </c>
      <c r="Q2539">
        <v>1</v>
      </c>
      <c r="R2539" s="2">
        <v>39148</v>
      </c>
    </row>
    <row r="2540" spans="1:18" x14ac:dyDescent="0.3">
      <c r="A2540" t="s">
        <v>7</v>
      </c>
      <c r="B2540">
        <v>18989019</v>
      </c>
      <c r="C2540" t="s">
        <v>8</v>
      </c>
      <c r="D2540" s="4">
        <v>46007</v>
      </c>
      <c r="E2540" s="11">
        <f t="shared" si="156"/>
        <v>2025</v>
      </c>
      <c r="F2540" s="11">
        <f t="shared" si="157"/>
        <v>12</v>
      </c>
      <c r="G2540" s="11" t="str">
        <f t="shared" si="158"/>
        <v>202512</v>
      </c>
      <c r="I2540" s="5">
        <v>9999</v>
      </c>
      <c r="J2540" s="5">
        <v>333.3</v>
      </c>
      <c r="K2540" s="5">
        <f t="shared" si="159"/>
        <v>0</v>
      </c>
      <c r="L2540" s="5">
        <v>0</v>
      </c>
      <c r="M2540" s="5">
        <v>0</v>
      </c>
      <c r="N2540" t="s">
        <v>9</v>
      </c>
      <c r="O2540" s="8">
        <v>29.756164383561643</v>
      </c>
      <c r="P2540" t="s">
        <v>34</v>
      </c>
      <c r="Q2540">
        <v>3</v>
      </c>
      <c r="R2540" s="2">
        <v>35146</v>
      </c>
    </row>
    <row r="2541" spans="1:18" x14ac:dyDescent="0.3">
      <c r="A2541" t="s">
        <v>7</v>
      </c>
      <c r="B2541">
        <v>18989020</v>
      </c>
      <c r="C2541" t="s">
        <v>8</v>
      </c>
      <c r="D2541" s="4">
        <v>46007</v>
      </c>
      <c r="E2541" s="11">
        <f t="shared" si="156"/>
        <v>2025</v>
      </c>
      <c r="F2541" s="11">
        <f t="shared" si="157"/>
        <v>12</v>
      </c>
      <c r="G2541" s="11" t="str">
        <f t="shared" si="158"/>
        <v>202512</v>
      </c>
      <c r="I2541" s="5">
        <v>9999</v>
      </c>
      <c r="J2541" s="5">
        <v>333.3</v>
      </c>
      <c r="K2541" s="5">
        <f t="shared" si="159"/>
        <v>0</v>
      </c>
      <c r="L2541" s="5">
        <v>0</v>
      </c>
      <c r="M2541" s="5">
        <v>0</v>
      </c>
      <c r="N2541" t="s">
        <v>9</v>
      </c>
      <c r="O2541" s="8">
        <v>24.126027397260273</v>
      </c>
      <c r="P2541" t="s">
        <v>33</v>
      </c>
      <c r="Q2541">
        <v>2</v>
      </c>
      <c r="R2541" s="2">
        <v>37201</v>
      </c>
    </row>
    <row r="2542" spans="1:18" x14ac:dyDescent="0.3">
      <c r="A2542" t="s">
        <v>7</v>
      </c>
      <c r="B2542">
        <v>18989021</v>
      </c>
      <c r="C2542" t="s">
        <v>8</v>
      </c>
      <c r="D2542" s="4">
        <v>46007</v>
      </c>
      <c r="E2542" s="11">
        <f t="shared" si="156"/>
        <v>2025</v>
      </c>
      <c r="F2542" s="11">
        <f t="shared" si="157"/>
        <v>12</v>
      </c>
      <c r="G2542" s="11" t="str">
        <f t="shared" si="158"/>
        <v>202512</v>
      </c>
      <c r="I2542" s="5">
        <v>9999</v>
      </c>
      <c r="J2542" s="5">
        <v>333.3</v>
      </c>
      <c r="K2542" s="5">
        <f t="shared" si="159"/>
        <v>0</v>
      </c>
      <c r="L2542" s="5">
        <v>0</v>
      </c>
      <c r="M2542" s="5">
        <v>0</v>
      </c>
      <c r="N2542" t="s">
        <v>9</v>
      </c>
      <c r="O2542" s="8">
        <v>18.449315068493149</v>
      </c>
      <c r="P2542" t="s">
        <v>32</v>
      </c>
      <c r="Q2542">
        <v>1</v>
      </c>
      <c r="R2542" s="2">
        <v>39273</v>
      </c>
    </row>
    <row r="2543" spans="1:18" x14ac:dyDescent="0.3">
      <c r="A2543" t="s">
        <v>7</v>
      </c>
      <c r="B2543">
        <v>18989024</v>
      </c>
      <c r="C2543" t="s">
        <v>8</v>
      </c>
      <c r="D2543" s="4">
        <v>46007</v>
      </c>
      <c r="E2543" s="11">
        <f t="shared" si="156"/>
        <v>2025</v>
      </c>
      <c r="F2543" s="11">
        <f t="shared" si="157"/>
        <v>12</v>
      </c>
      <c r="G2543" s="11" t="str">
        <f t="shared" si="158"/>
        <v>202512</v>
      </c>
      <c r="H2543" s="4">
        <v>46124</v>
      </c>
      <c r="I2543" s="5">
        <v>117</v>
      </c>
      <c r="J2543" s="5">
        <v>3.9</v>
      </c>
      <c r="K2543" s="5">
        <f t="shared" si="159"/>
        <v>0</v>
      </c>
      <c r="L2543" s="5">
        <v>0</v>
      </c>
      <c r="M2543" s="5">
        <v>1</v>
      </c>
      <c r="N2543" t="s">
        <v>9</v>
      </c>
      <c r="O2543" s="8">
        <v>19.093150684931508</v>
      </c>
      <c r="P2543" t="s">
        <v>32</v>
      </c>
      <c r="Q2543">
        <v>1</v>
      </c>
      <c r="R2543" s="2">
        <v>39038</v>
      </c>
    </row>
    <row r="2544" spans="1:18" x14ac:dyDescent="0.3">
      <c r="A2544" t="s">
        <v>7</v>
      </c>
      <c r="B2544">
        <v>18989135</v>
      </c>
      <c r="C2544" t="s">
        <v>8</v>
      </c>
      <c r="D2544" s="4">
        <v>46008</v>
      </c>
      <c r="E2544" s="11">
        <f t="shared" si="156"/>
        <v>2025</v>
      </c>
      <c r="F2544" s="11">
        <f t="shared" si="157"/>
        <v>12</v>
      </c>
      <c r="G2544" s="11" t="str">
        <f t="shared" si="158"/>
        <v>202512</v>
      </c>
      <c r="I2544" s="5">
        <v>9999</v>
      </c>
      <c r="J2544" s="5">
        <v>333.3</v>
      </c>
      <c r="K2544" s="5">
        <f t="shared" si="159"/>
        <v>0</v>
      </c>
      <c r="L2544" s="5">
        <v>0</v>
      </c>
      <c r="M2544" s="5">
        <v>0</v>
      </c>
      <c r="N2544" t="s">
        <v>12</v>
      </c>
      <c r="O2544" s="8">
        <v>18.654794520547945</v>
      </c>
      <c r="P2544" t="s">
        <v>32</v>
      </c>
      <c r="Q2544">
        <v>1</v>
      </c>
      <c r="R2544" s="2">
        <v>39199</v>
      </c>
    </row>
    <row r="2545" spans="1:18" x14ac:dyDescent="0.3">
      <c r="A2545" t="s">
        <v>7</v>
      </c>
      <c r="B2545">
        <v>18989138</v>
      </c>
      <c r="C2545" t="s">
        <v>8</v>
      </c>
      <c r="D2545" s="4">
        <v>46008</v>
      </c>
      <c r="E2545" s="11">
        <f t="shared" si="156"/>
        <v>2025</v>
      </c>
      <c r="F2545" s="11">
        <f t="shared" si="157"/>
        <v>12</v>
      </c>
      <c r="G2545" s="11" t="str">
        <f t="shared" si="158"/>
        <v>202512</v>
      </c>
      <c r="I2545" s="5">
        <v>9999</v>
      </c>
      <c r="J2545" s="5">
        <v>333.3</v>
      </c>
      <c r="K2545" s="5">
        <f t="shared" si="159"/>
        <v>0</v>
      </c>
      <c r="L2545" s="5">
        <v>0</v>
      </c>
      <c r="M2545" s="5">
        <v>0</v>
      </c>
      <c r="N2545" t="s">
        <v>12</v>
      </c>
      <c r="O2545" s="8">
        <v>18.775342465753425</v>
      </c>
      <c r="P2545" t="s">
        <v>32</v>
      </c>
      <c r="Q2545">
        <v>1</v>
      </c>
      <c r="R2545" s="2">
        <v>39155</v>
      </c>
    </row>
    <row r="2546" spans="1:18" x14ac:dyDescent="0.3">
      <c r="A2546" t="s">
        <v>7</v>
      </c>
      <c r="B2546">
        <v>18989146</v>
      </c>
      <c r="C2546" t="s">
        <v>8</v>
      </c>
      <c r="D2546" s="4">
        <v>46008</v>
      </c>
      <c r="E2546" s="11">
        <f t="shared" si="156"/>
        <v>2025</v>
      </c>
      <c r="F2546" s="11">
        <f t="shared" si="157"/>
        <v>12</v>
      </c>
      <c r="G2546" s="11" t="str">
        <f t="shared" si="158"/>
        <v>202512</v>
      </c>
      <c r="H2546" s="4">
        <v>46113</v>
      </c>
      <c r="I2546" s="5">
        <v>105</v>
      </c>
      <c r="J2546" s="5">
        <v>3.5</v>
      </c>
      <c r="K2546" s="5">
        <f t="shared" si="159"/>
        <v>0</v>
      </c>
      <c r="L2546" s="5">
        <v>0</v>
      </c>
      <c r="M2546" s="5">
        <v>1</v>
      </c>
      <c r="N2546" t="s">
        <v>12</v>
      </c>
      <c r="O2546" s="8">
        <v>21.397260273972602</v>
      </c>
      <c r="P2546" t="s">
        <v>33</v>
      </c>
      <c r="Q2546">
        <v>2</v>
      </c>
      <c r="R2546" s="2">
        <v>38198</v>
      </c>
    </row>
    <row r="2547" spans="1:18" x14ac:dyDescent="0.3">
      <c r="A2547" t="s">
        <v>7</v>
      </c>
      <c r="B2547">
        <v>18989285</v>
      </c>
      <c r="C2547" t="s">
        <v>8</v>
      </c>
      <c r="D2547" s="4">
        <v>46041</v>
      </c>
      <c r="E2547" s="11">
        <f t="shared" si="156"/>
        <v>2026</v>
      </c>
      <c r="F2547" s="11">
        <f t="shared" si="157"/>
        <v>1</v>
      </c>
      <c r="G2547" s="11" t="str">
        <f t="shared" si="158"/>
        <v>202601</v>
      </c>
      <c r="H2547" s="4">
        <v>46112</v>
      </c>
      <c r="I2547" s="5">
        <v>71</v>
      </c>
      <c r="J2547" s="5">
        <v>2.3666666666666667</v>
      </c>
      <c r="K2547" s="5">
        <f t="shared" si="159"/>
        <v>0</v>
      </c>
      <c r="L2547" s="5">
        <v>1</v>
      </c>
      <c r="M2547" s="5">
        <v>1</v>
      </c>
      <c r="N2547" t="s">
        <v>12</v>
      </c>
      <c r="O2547" s="8">
        <v>18.890410958904109</v>
      </c>
      <c r="P2547" t="s">
        <v>32</v>
      </c>
      <c r="Q2547">
        <v>1</v>
      </c>
      <c r="R2547" s="2">
        <v>39146</v>
      </c>
    </row>
    <row r="2548" spans="1:18" x14ac:dyDescent="0.3">
      <c r="A2548" t="s">
        <v>7</v>
      </c>
      <c r="B2548">
        <v>18989331</v>
      </c>
      <c r="C2548" t="s">
        <v>8</v>
      </c>
      <c r="D2548" s="4">
        <v>46009</v>
      </c>
      <c r="E2548" s="11">
        <f t="shared" si="156"/>
        <v>2025</v>
      </c>
      <c r="F2548" s="11">
        <f t="shared" si="157"/>
        <v>12</v>
      </c>
      <c r="G2548" s="11" t="str">
        <f t="shared" si="158"/>
        <v>202512</v>
      </c>
      <c r="H2548" s="4">
        <v>46023</v>
      </c>
      <c r="I2548" s="5">
        <v>14</v>
      </c>
      <c r="J2548" s="5">
        <v>0.46666666666666667</v>
      </c>
      <c r="K2548" s="5">
        <f t="shared" si="159"/>
        <v>1</v>
      </c>
      <c r="L2548" s="5">
        <v>1</v>
      </c>
      <c r="M2548" s="5">
        <v>1</v>
      </c>
      <c r="N2548" t="s">
        <v>9</v>
      </c>
      <c r="O2548" s="8">
        <v>19.463013698630139</v>
      </c>
      <c r="P2548" t="s">
        <v>32</v>
      </c>
      <c r="Q2548">
        <v>1</v>
      </c>
      <c r="R2548" s="2">
        <v>38905</v>
      </c>
    </row>
    <row r="2549" spans="1:18" x14ac:dyDescent="0.3">
      <c r="A2549" t="s">
        <v>7</v>
      </c>
      <c r="B2549">
        <v>18989353</v>
      </c>
      <c r="C2549" t="s">
        <v>8</v>
      </c>
      <c r="D2549" s="4">
        <v>46009</v>
      </c>
      <c r="E2549" s="11">
        <f t="shared" si="156"/>
        <v>2025</v>
      </c>
      <c r="F2549" s="11">
        <f t="shared" si="157"/>
        <v>12</v>
      </c>
      <c r="G2549" s="11" t="str">
        <f t="shared" si="158"/>
        <v>202512</v>
      </c>
      <c r="I2549" s="5">
        <v>9999</v>
      </c>
      <c r="J2549" s="5">
        <v>333.3</v>
      </c>
      <c r="K2549" s="5">
        <f t="shared" si="159"/>
        <v>0</v>
      </c>
      <c r="L2549" s="5">
        <v>0</v>
      </c>
      <c r="M2549" s="5">
        <v>0</v>
      </c>
      <c r="N2549" t="s">
        <v>9</v>
      </c>
      <c r="O2549" s="8">
        <v>19.287671232876711</v>
      </c>
      <c r="P2549" t="s">
        <v>32</v>
      </c>
      <c r="Q2549">
        <v>1</v>
      </c>
      <c r="R2549" s="2">
        <v>38969</v>
      </c>
    </row>
    <row r="2550" spans="1:18" x14ac:dyDescent="0.3">
      <c r="A2550" t="s">
        <v>7</v>
      </c>
      <c r="B2550">
        <v>18989367</v>
      </c>
      <c r="C2550" t="s">
        <v>10</v>
      </c>
      <c r="D2550" s="4">
        <v>46009</v>
      </c>
      <c r="E2550" s="11">
        <f t="shared" si="156"/>
        <v>2025</v>
      </c>
      <c r="F2550" s="11">
        <f t="shared" si="157"/>
        <v>12</v>
      </c>
      <c r="G2550" s="11" t="str">
        <f t="shared" si="158"/>
        <v>202512</v>
      </c>
      <c r="I2550" s="5">
        <v>9999</v>
      </c>
      <c r="J2550" s="5">
        <v>333.3</v>
      </c>
      <c r="K2550" s="5">
        <f t="shared" si="159"/>
        <v>0</v>
      </c>
      <c r="L2550" s="5">
        <v>0</v>
      </c>
      <c r="M2550" s="5">
        <v>0</v>
      </c>
      <c r="N2550" t="s">
        <v>9</v>
      </c>
      <c r="O2550" s="8">
        <v>18.232876712328768</v>
      </c>
      <c r="P2550" t="s">
        <v>32</v>
      </c>
      <c r="Q2550">
        <v>1</v>
      </c>
      <c r="R2550" s="2">
        <v>39354</v>
      </c>
    </row>
    <row r="2551" spans="1:18" x14ac:dyDescent="0.3">
      <c r="A2551" t="s">
        <v>7</v>
      </c>
      <c r="B2551">
        <v>18989385</v>
      </c>
      <c r="C2551" t="s">
        <v>8</v>
      </c>
      <c r="D2551" s="4">
        <v>46009</v>
      </c>
      <c r="E2551" s="11">
        <f t="shared" si="156"/>
        <v>2025</v>
      </c>
      <c r="F2551" s="11">
        <f t="shared" si="157"/>
        <v>12</v>
      </c>
      <c r="G2551" s="11" t="str">
        <f t="shared" si="158"/>
        <v>202512</v>
      </c>
      <c r="I2551" s="5">
        <v>9999</v>
      </c>
      <c r="J2551" s="5">
        <v>333.3</v>
      </c>
      <c r="K2551" s="5">
        <f t="shared" si="159"/>
        <v>0</v>
      </c>
      <c r="L2551" s="5">
        <v>0</v>
      </c>
      <c r="M2551" s="5">
        <v>0</v>
      </c>
      <c r="N2551" t="s">
        <v>9</v>
      </c>
      <c r="O2551" s="8">
        <v>20.145205479452056</v>
      </c>
      <c r="P2551" t="s">
        <v>32</v>
      </c>
      <c r="Q2551">
        <v>1</v>
      </c>
      <c r="R2551" s="2">
        <v>38656</v>
      </c>
    </row>
    <row r="2552" spans="1:18" x14ac:dyDescent="0.3">
      <c r="A2552" t="s">
        <v>7</v>
      </c>
      <c r="B2552">
        <v>18989386</v>
      </c>
      <c r="C2552" t="s">
        <v>8</v>
      </c>
      <c r="D2552" s="4">
        <v>46009</v>
      </c>
      <c r="E2552" s="11">
        <f t="shared" si="156"/>
        <v>2025</v>
      </c>
      <c r="F2552" s="11">
        <f t="shared" si="157"/>
        <v>12</v>
      </c>
      <c r="G2552" s="11" t="str">
        <f t="shared" si="158"/>
        <v>202512</v>
      </c>
      <c r="H2552" s="4">
        <v>46110</v>
      </c>
      <c r="I2552" s="5">
        <v>101</v>
      </c>
      <c r="J2552" s="5">
        <v>3.3666666666666667</v>
      </c>
      <c r="K2552" s="5">
        <f t="shared" si="159"/>
        <v>0</v>
      </c>
      <c r="L2552" s="5">
        <v>0</v>
      </c>
      <c r="M2552" s="5">
        <v>1</v>
      </c>
      <c r="N2552" t="s">
        <v>9</v>
      </c>
      <c r="O2552" s="8">
        <v>20.775342465753425</v>
      </c>
      <c r="P2552" t="s">
        <v>32</v>
      </c>
      <c r="Q2552">
        <v>1</v>
      </c>
      <c r="R2552" s="2">
        <v>38426</v>
      </c>
    </row>
    <row r="2553" spans="1:18" x14ac:dyDescent="0.3">
      <c r="A2553" t="s">
        <v>7</v>
      </c>
      <c r="B2553">
        <v>18989389</v>
      </c>
      <c r="C2553" t="s">
        <v>8</v>
      </c>
      <c r="D2553" s="4">
        <v>46009</v>
      </c>
      <c r="E2553" s="11">
        <f t="shared" si="156"/>
        <v>2025</v>
      </c>
      <c r="F2553" s="11">
        <f t="shared" si="157"/>
        <v>12</v>
      </c>
      <c r="G2553" s="11" t="str">
        <f t="shared" si="158"/>
        <v>202512</v>
      </c>
      <c r="H2553" s="4">
        <v>46040</v>
      </c>
      <c r="I2553" s="5">
        <v>31</v>
      </c>
      <c r="J2553" s="5">
        <v>1.0333333333333334</v>
      </c>
      <c r="K2553" s="5">
        <f t="shared" si="159"/>
        <v>0</v>
      </c>
      <c r="L2553" s="5">
        <v>1</v>
      </c>
      <c r="M2553" s="5">
        <v>1</v>
      </c>
      <c r="N2553" t="s">
        <v>12</v>
      </c>
      <c r="O2553" s="8">
        <v>24.427397260273974</v>
      </c>
      <c r="P2553" t="s">
        <v>33</v>
      </c>
      <c r="Q2553">
        <v>2</v>
      </c>
      <c r="R2553" s="2">
        <v>37093</v>
      </c>
    </row>
    <row r="2554" spans="1:18" x14ac:dyDescent="0.3">
      <c r="A2554" t="s">
        <v>7</v>
      </c>
      <c r="B2554">
        <v>18989390</v>
      </c>
      <c r="C2554" t="s">
        <v>8</v>
      </c>
      <c r="D2554" s="4">
        <v>46009</v>
      </c>
      <c r="E2554" s="11">
        <f t="shared" si="156"/>
        <v>2025</v>
      </c>
      <c r="F2554" s="11">
        <f t="shared" si="157"/>
        <v>12</v>
      </c>
      <c r="G2554" s="11" t="str">
        <f t="shared" si="158"/>
        <v>202512</v>
      </c>
      <c r="I2554" s="5">
        <v>9999</v>
      </c>
      <c r="J2554" s="5">
        <v>333.3</v>
      </c>
      <c r="K2554" s="5">
        <f t="shared" si="159"/>
        <v>0</v>
      </c>
      <c r="L2554" s="5">
        <v>0</v>
      </c>
      <c r="M2554" s="5">
        <v>0</v>
      </c>
      <c r="N2554" t="s">
        <v>12</v>
      </c>
      <c r="O2554" s="8">
        <v>25.438356164383563</v>
      </c>
      <c r="P2554" t="s">
        <v>33</v>
      </c>
      <c r="Q2554">
        <v>2</v>
      </c>
      <c r="R2554" s="2">
        <v>36724</v>
      </c>
    </row>
    <row r="2555" spans="1:18" x14ac:dyDescent="0.3">
      <c r="A2555" t="s">
        <v>7</v>
      </c>
      <c r="B2555">
        <v>18989403</v>
      </c>
      <c r="C2555" t="s">
        <v>8</v>
      </c>
      <c r="D2555" s="4">
        <v>46009</v>
      </c>
      <c r="E2555" s="11">
        <f t="shared" si="156"/>
        <v>2025</v>
      </c>
      <c r="F2555" s="11">
        <f t="shared" si="157"/>
        <v>12</v>
      </c>
      <c r="G2555" s="11" t="str">
        <f t="shared" si="158"/>
        <v>202512</v>
      </c>
      <c r="I2555" s="5">
        <v>9999</v>
      </c>
      <c r="J2555" s="5">
        <v>333.3</v>
      </c>
      <c r="K2555" s="5">
        <f t="shared" si="159"/>
        <v>0</v>
      </c>
      <c r="L2555" s="5">
        <v>0</v>
      </c>
      <c r="M2555" s="5">
        <v>0</v>
      </c>
      <c r="N2555" t="s">
        <v>12</v>
      </c>
      <c r="O2555" s="8">
        <v>19.010958904109589</v>
      </c>
      <c r="P2555" t="s">
        <v>32</v>
      </c>
      <c r="Q2555">
        <v>1</v>
      </c>
      <c r="R2555" s="2">
        <v>39070</v>
      </c>
    </row>
    <row r="2556" spans="1:18" x14ac:dyDescent="0.3">
      <c r="A2556" t="s">
        <v>7</v>
      </c>
      <c r="B2556">
        <v>18989418</v>
      </c>
      <c r="C2556" t="s">
        <v>8</v>
      </c>
      <c r="D2556" s="4">
        <v>46008</v>
      </c>
      <c r="E2556" s="11">
        <f t="shared" si="156"/>
        <v>2025</v>
      </c>
      <c r="F2556" s="11">
        <f t="shared" si="157"/>
        <v>12</v>
      </c>
      <c r="G2556" s="11" t="str">
        <f t="shared" si="158"/>
        <v>202512</v>
      </c>
      <c r="H2556" s="4">
        <v>46117</v>
      </c>
      <c r="I2556" s="5">
        <v>109</v>
      </c>
      <c r="J2556" s="5">
        <v>3.6333333333333333</v>
      </c>
      <c r="K2556" s="5">
        <f t="shared" si="159"/>
        <v>0</v>
      </c>
      <c r="L2556" s="5">
        <v>0</v>
      </c>
      <c r="M2556" s="5">
        <v>1</v>
      </c>
      <c r="N2556" t="s">
        <v>9</v>
      </c>
      <c r="O2556" s="8">
        <v>19.484931506849314</v>
      </c>
      <c r="P2556" t="s">
        <v>32</v>
      </c>
      <c r="Q2556">
        <v>1</v>
      </c>
      <c r="R2556" s="2">
        <v>38896</v>
      </c>
    </row>
    <row r="2557" spans="1:18" x14ac:dyDescent="0.3">
      <c r="A2557" t="s">
        <v>7</v>
      </c>
      <c r="B2557">
        <v>18989432</v>
      </c>
      <c r="C2557" t="s">
        <v>8</v>
      </c>
      <c r="D2557" s="4">
        <v>46008</v>
      </c>
      <c r="E2557" s="11">
        <f t="shared" si="156"/>
        <v>2025</v>
      </c>
      <c r="F2557" s="11">
        <f t="shared" si="157"/>
        <v>12</v>
      </c>
      <c r="G2557" s="11" t="str">
        <f t="shared" si="158"/>
        <v>202512</v>
      </c>
      <c r="H2557" s="4">
        <v>46113</v>
      </c>
      <c r="I2557" s="5">
        <v>105</v>
      </c>
      <c r="J2557" s="5">
        <v>3.5</v>
      </c>
      <c r="K2557" s="5">
        <f t="shared" si="159"/>
        <v>0</v>
      </c>
      <c r="L2557" s="5">
        <v>0</v>
      </c>
      <c r="M2557" s="5">
        <v>1</v>
      </c>
      <c r="N2557" t="s">
        <v>9</v>
      </c>
      <c r="O2557" s="8">
        <v>23.665753424657535</v>
      </c>
      <c r="P2557" t="s">
        <v>33</v>
      </c>
      <c r="Q2557">
        <v>2</v>
      </c>
      <c r="R2557" s="2">
        <v>37370</v>
      </c>
    </row>
    <row r="2558" spans="1:18" x14ac:dyDescent="0.3">
      <c r="A2558" t="s">
        <v>7</v>
      </c>
      <c r="B2558">
        <v>18989442</v>
      </c>
      <c r="C2558" t="s">
        <v>10</v>
      </c>
      <c r="D2558" s="4">
        <v>46008</v>
      </c>
      <c r="E2558" s="11">
        <f t="shared" si="156"/>
        <v>2025</v>
      </c>
      <c r="F2558" s="11">
        <f t="shared" si="157"/>
        <v>12</v>
      </c>
      <c r="G2558" s="11" t="str">
        <f t="shared" si="158"/>
        <v>202512</v>
      </c>
      <c r="H2558" s="4">
        <v>46096</v>
      </c>
      <c r="I2558" s="5">
        <v>88</v>
      </c>
      <c r="J2558" s="5">
        <v>2.9333333333333331</v>
      </c>
      <c r="K2558" s="5">
        <f t="shared" si="159"/>
        <v>0</v>
      </c>
      <c r="L2558" s="5">
        <v>1</v>
      </c>
      <c r="M2558" s="5">
        <v>1</v>
      </c>
      <c r="N2558" t="s">
        <v>9</v>
      </c>
      <c r="O2558" s="8">
        <v>19.789041095890411</v>
      </c>
      <c r="P2558" t="s">
        <v>32</v>
      </c>
      <c r="Q2558">
        <v>1</v>
      </c>
      <c r="R2558" s="2">
        <v>38785</v>
      </c>
    </row>
    <row r="2559" spans="1:18" x14ac:dyDescent="0.3">
      <c r="A2559" t="s">
        <v>7</v>
      </c>
      <c r="B2559">
        <v>18989444</v>
      </c>
      <c r="C2559" t="s">
        <v>8</v>
      </c>
      <c r="D2559" s="4">
        <v>46008</v>
      </c>
      <c r="E2559" s="11">
        <f t="shared" si="156"/>
        <v>2025</v>
      </c>
      <c r="F2559" s="11">
        <f t="shared" si="157"/>
        <v>12</v>
      </c>
      <c r="G2559" s="11" t="str">
        <f t="shared" si="158"/>
        <v>202512</v>
      </c>
      <c r="H2559" s="4">
        <v>46174</v>
      </c>
      <c r="I2559" s="5">
        <v>166</v>
      </c>
      <c r="J2559" s="5">
        <v>5.5333333333333332</v>
      </c>
      <c r="K2559" s="5">
        <f t="shared" si="159"/>
        <v>0</v>
      </c>
      <c r="L2559" s="5">
        <v>0</v>
      </c>
      <c r="M2559" s="5">
        <v>1</v>
      </c>
      <c r="N2559" t="s">
        <v>9</v>
      </c>
      <c r="O2559" s="8">
        <v>24.358904109589041</v>
      </c>
      <c r="P2559" t="s">
        <v>33</v>
      </c>
      <c r="Q2559">
        <v>2</v>
      </c>
      <c r="R2559" s="2">
        <v>37117</v>
      </c>
    </row>
    <row r="2560" spans="1:18" x14ac:dyDescent="0.3">
      <c r="A2560" t="s">
        <v>7</v>
      </c>
      <c r="B2560">
        <v>18989454</v>
      </c>
      <c r="C2560" t="s">
        <v>8</v>
      </c>
      <c r="D2560" s="4">
        <v>46008</v>
      </c>
      <c r="E2560" s="11">
        <f t="shared" si="156"/>
        <v>2025</v>
      </c>
      <c r="F2560" s="11">
        <f t="shared" si="157"/>
        <v>12</v>
      </c>
      <c r="G2560" s="11" t="str">
        <f t="shared" si="158"/>
        <v>202512</v>
      </c>
      <c r="H2560" s="4">
        <v>46130</v>
      </c>
      <c r="I2560" s="5">
        <v>122</v>
      </c>
      <c r="J2560" s="5">
        <v>4.0666666666666664</v>
      </c>
      <c r="K2560" s="5">
        <f t="shared" si="159"/>
        <v>0</v>
      </c>
      <c r="L2560" s="5">
        <v>0</v>
      </c>
      <c r="M2560" s="5">
        <v>1</v>
      </c>
      <c r="N2560" t="s">
        <v>9</v>
      </c>
      <c r="O2560" s="8">
        <v>24.726027397260275</v>
      </c>
      <c r="P2560" t="s">
        <v>33</v>
      </c>
      <c r="Q2560">
        <v>2</v>
      </c>
      <c r="R2560" s="2">
        <v>36983</v>
      </c>
    </row>
    <row r="2561" spans="1:18" x14ac:dyDescent="0.3">
      <c r="A2561" t="s">
        <v>7</v>
      </c>
      <c r="B2561">
        <v>18989456</v>
      </c>
      <c r="C2561" t="s">
        <v>8</v>
      </c>
      <c r="D2561" s="4">
        <v>46008</v>
      </c>
      <c r="E2561" s="11">
        <f t="shared" si="156"/>
        <v>2025</v>
      </c>
      <c r="F2561" s="11">
        <f t="shared" si="157"/>
        <v>12</v>
      </c>
      <c r="G2561" s="11" t="str">
        <f t="shared" si="158"/>
        <v>202512</v>
      </c>
      <c r="H2561" s="4">
        <v>46068</v>
      </c>
      <c r="I2561" s="5">
        <v>60</v>
      </c>
      <c r="J2561" s="5">
        <v>2</v>
      </c>
      <c r="K2561" s="5">
        <f t="shared" si="159"/>
        <v>0</v>
      </c>
      <c r="L2561" s="5">
        <v>1</v>
      </c>
      <c r="M2561" s="5">
        <v>1</v>
      </c>
      <c r="N2561" t="s">
        <v>9</v>
      </c>
      <c r="O2561" s="8">
        <v>20.936986301369863</v>
      </c>
      <c r="P2561" t="s">
        <v>32</v>
      </c>
      <c r="Q2561">
        <v>1</v>
      </c>
      <c r="R2561" s="2">
        <v>38366</v>
      </c>
    </row>
    <row r="2562" spans="1:18" x14ac:dyDescent="0.3">
      <c r="A2562" t="s">
        <v>7</v>
      </c>
      <c r="B2562">
        <v>18989459</v>
      </c>
      <c r="C2562" t="s">
        <v>8</v>
      </c>
      <c r="D2562" s="4">
        <v>46008</v>
      </c>
      <c r="E2562" s="11">
        <f t="shared" si="156"/>
        <v>2025</v>
      </c>
      <c r="F2562" s="11">
        <f t="shared" si="157"/>
        <v>12</v>
      </c>
      <c r="G2562" s="11" t="str">
        <f t="shared" si="158"/>
        <v>202512</v>
      </c>
      <c r="I2562" s="5">
        <v>9999</v>
      </c>
      <c r="J2562" s="5">
        <v>333.3</v>
      </c>
      <c r="K2562" s="5">
        <f t="shared" si="159"/>
        <v>0</v>
      </c>
      <c r="L2562" s="5">
        <v>0</v>
      </c>
      <c r="M2562" s="5">
        <v>0</v>
      </c>
      <c r="N2562" t="s">
        <v>9</v>
      </c>
      <c r="O2562" s="8">
        <v>18.399999999999999</v>
      </c>
      <c r="P2562" t="s">
        <v>32</v>
      </c>
      <c r="Q2562">
        <v>1</v>
      </c>
      <c r="R2562" s="2">
        <v>39292</v>
      </c>
    </row>
    <row r="2563" spans="1:18" x14ac:dyDescent="0.3">
      <c r="A2563" t="s">
        <v>7</v>
      </c>
      <c r="B2563">
        <v>18989583</v>
      </c>
      <c r="C2563" t="s">
        <v>8</v>
      </c>
      <c r="D2563" s="4">
        <v>46009</v>
      </c>
      <c r="E2563" s="11">
        <f t="shared" ref="E2563:E2626" si="160">+YEAR(D2563)</f>
        <v>2025</v>
      </c>
      <c r="F2563" s="11">
        <f t="shared" ref="F2563:F2626" si="161">+MONTH(D2563)</f>
        <v>12</v>
      </c>
      <c r="G2563" s="11" t="str">
        <f t="shared" ref="G2563:G2626" si="162">+TEXT(D2563, "yyymm")</f>
        <v>202512</v>
      </c>
      <c r="I2563" s="5">
        <v>9999</v>
      </c>
      <c r="J2563" s="5">
        <v>333.3</v>
      </c>
      <c r="K2563" s="5">
        <f t="shared" ref="K2563:K2626" si="163">IF(J2563&lt;=1,1,0)</f>
        <v>0</v>
      </c>
      <c r="L2563" s="5">
        <v>0</v>
      </c>
      <c r="M2563" s="5">
        <v>0</v>
      </c>
      <c r="N2563" t="s">
        <v>9</v>
      </c>
      <c r="O2563" s="8">
        <v>22.358904109589041</v>
      </c>
      <c r="P2563" t="s">
        <v>33</v>
      </c>
      <c r="Q2563">
        <v>2</v>
      </c>
      <c r="R2563" s="2">
        <v>37848</v>
      </c>
    </row>
    <row r="2564" spans="1:18" x14ac:dyDescent="0.3">
      <c r="A2564" t="s">
        <v>7</v>
      </c>
      <c r="B2564">
        <v>18989593</v>
      </c>
      <c r="C2564" t="s">
        <v>8</v>
      </c>
      <c r="D2564" s="4">
        <v>46009</v>
      </c>
      <c r="E2564" s="11">
        <f t="shared" si="160"/>
        <v>2025</v>
      </c>
      <c r="F2564" s="11">
        <f t="shared" si="161"/>
        <v>12</v>
      </c>
      <c r="G2564" s="11" t="str">
        <f t="shared" si="162"/>
        <v>202512</v>
      </c>
      <c r="H2564" s="4">
        <v>46173</v>
      </c>
      <c r="I2564" s="5">
        <v>164</v>
      </c>
      <c r="J2564" s="5">
        <v>5.4666666666666668</v>
      </c>
      <c r="K2564" s="5">
        <f t="shared" si="163"/>
        <v>0</v>
      </c>
      <c r="L2564" s="5">
        <v>0</v>
      </c>
      <c r="M2564" s="5">
        <v>1</v>
      </c>
      <c r="N2564" t="s">
        <v>9</v>
      </c>
      <c r="O2564" s="8">
        <v>20.663013698630138</v>
      </c>
      <c r="P2564" t="s">
        <v>32</v>
      </c>
      <c r="Q2564">
        <v>1</v>
      </c>
      <c r="R2564" s="2">
        <v>38467</v>
      </c>
    </row>
    <row r="2565" spans="1:18" x14ac:dyDescent="0.3">
      <c r="A2565" t="s">
        <v>7</v>
      </c>
      <c r="B2565">
        <v>18989607</v>
      </c>
      <c r="C2565" t="s">
        <v>10</v>
      </c>
      <c r="D2565" s="4">
        <v>46008</v>
      </c>
      <c r="E2565" s="11">
        <f t="shared" si="160"/>
        <v>2025</v>
      </c>
      <c r="F2565" s="11">
        <f t="shared" si="161"/>
        <v>12</v>
      </c>
      <c r="G2565" s="11" t="str">
        <f t="shared" si="162"/>
        <v>202512</v>
      </c>
      <c r="H2565" s="4">
        <v>46070</v>
      </c>
      <c r="I2565" s="5">
        <v>62</v>
      </c>
      <c r="J2565" s="5">
        <v>2.0666666666666669</v>
      </c>
      <c r="K2565" s="5">
        <f t="shared" si="163"/>
        <v>0</v>
      </c>
      <c r="L2565" s="5">
        <v>1</v>
      </c>
      <c r="M2565" s="5">
        <v>1</v>
      </c>
      <c r="N2565" t="s">
        <v>9</v>
      </c>
      <c r="O2565" s="8">
        <v>18.273972602739725</v>
      </c>
      <c r="P2565" t="s">
        <v>32</v>
      </c>
      <c r="Q2565">
        <v>1</v>
      </c>
      <c r="R2565" s="2">
        <v>39338</v>
      </c>
    </row>
    <row r="2566" spans="1:18" x14ac:dyDescent="0.3">
      <c r="A2566" t="s">
        <v>7</v>
      </c>
      <c r="B2566">
        <v>18989608</v>
      </c>
      <c r="C2566" t="s">
        <v>10</v>
      </c>
      <c r="D2566" s="4">
        <v>46008</v>
      </c>
      <c r="E2566" s="11">
        <f t="shared" si="160"/>
        <v>2025</v>
      </c>
      <c r="F2566" s="11">
        <f t="shared" si="161"/>
        <v>12</v>
      </c>
      <c r="G2566" s="11" t="str">
        <f t="shared" si="162"/>
        <v>202512</v>
      </c>
      <c r="H2566" s="4">
        <v>46089</v>
      </c>
      <c r="I2566" s="5">
        <v>81</v>
      </c>
      <c r="J2566" s="5">
        <v>2.7</v>
      </c>
      <c r="K2566" s="5">
        <f t="shared" si="163"/>
        <v>0</v>
      </c>
      <c r="L2566" s="5">
        <v>1</v>
      </c>
      <c r="M2566" s="5">
        <v>1</v>
      </c>
      <c r="N2566" t="s">
        <v>9</v>
      </c>
      <c r="O2566" s="8">
        <v>20.427397260273974</v>
      </c>
      <c r="P2566" t="s">
        <v>32</v>
      </c>
      <c r="Q2566">
        <v>1</v>
      </c>
      <c r="R2566" s="2">
        <v>38552</v>
      </c>
    </row>
    <row r="2567" spans="1:18" x14ac:dyDescent="0.3">
      <c r="A2567" t="s">
        <v>11</v>
      </c>
      <c r="B2567">
        <v>18989668</v>
      </c>
      <c r="C2567" t="s">
        <v>8</v>
      </c>
      <c r="D2567" s="4">
        <v>46008</v>
      </c>
      <c r="E2567" s="11">
        <f t="shared" si="160"/>
        <v>2025</v>
      </c>
      <c r="F2567" s="11">
        <f t="shared" si="161"/>
        <v>12</v>
      </c>
      <c r="G2567" s="11" t="str">
        <f t="shared" si="162"/>
        <v>202512</v>
      </c>
      <c r="I2567" s="5">
        <v>9999</v>
      </c>
      <c r="J2567" s="5">
        <v>333.3</v>
      </c>
      <c r="K2567" s="5">
        <f t="shared" si="163"/>
        <v>0</v>
      </c>
      <c r="L2567" s="5">
        <v>0</v>
      </c>
      <c r="M2567" s="5">
        <v>0</v>
      </c>
      <c r="N2567" t="s">
        <v>9</v>
      </c>
      <c r="O2567" s="8">
        <v>23.150684931506849</v>
      </c>
      <c r="P2567" t="s">
        <v>33</v>
      </c>
      <c r="Q2567">
        <v>2</v>
      </c>
      <c r="R2567" s="2">
        <v>37558</v>
      </c>
    </row>
    <row r="2568" spans="1:18" x14ac:dyDescent="0.3">
      <c r="A2568" t="s">
        <v>7</v>
      </c>
      <c r="B2568">
        <v>18989709</v>
      </c>
      <c r="C2568" t="s">
        <v>8</v>
      </c>
      <c r="D2568" s="4">
        <v>46010</v>
      </c>
      <c r="E2568" s="11">
        <f t="shared" si="160"/>
        <v>2025</v>
      </c>
      <c r="F2568" s="11">
        <f t="shared" si="161"/>
        <v>12</v>
      </c>
      <c r="G2568" s="11" t="str">
        <f t="shared" si="162"/>
        <v>202512</v>
      </c>
      <c r="I2568" s="5">
        <v>9999</v>
      </c>
      <c r="J2568" s="5">
        <v>333.3</v>
      </c>
      <c r="K2568" s="5">
        <f t="shared" si="163"/>
        <v>0</v>
      </c>
      <c r="L2568" s="5">
        <v>0</v>
      </c>
      <c r="M2568" s="5">
        <v>0</v>
      </c>
      <c r="N2568" t="s">
        <v>12</v>
      </c>
      <c r="O2568" s="8">
        <v>20.419178082191781</v>
      </c>
      <c r="P2568" t="s">
        <v>32</v>
      </c>
      <c r="Q2568">
        <v>1</v>
      </c>
      <c r="R2568" s="2">
        <v>38557</v>
      </c>
    </row>
    <row r="2569" spans="1:18" x14ac:dyDescent="0.3">
      <c r="A2569" t="s">
        <v>11</v>
      </c>
      <c r="B2569">
        <v>18989710</v>
      </c>
      <c r="C2569" t="s">
        <v>10</v>
      </c>
      <c r="D2569" s="4">
        <v>46010</v>
      </c>
      <c r="E2569" s="11">
        <f t="shared" si="160"/>
        <v>2025</v>
      </c>
      <c r="F2569" s="11">
        <f t="shared" si="161"/>
        <v>12</v>
      </c>
      <c r="G2569" s="11" t="str">
        <f t="shared" si="162"/>
        <v>202512</v>
      </c>
      <c r="I2569" s="5">
        <v>9999</v>
      </c>
      <c r="J2569" s="5">
        <v>333.3</v>
      </c>
      <c r="K2569" s="5">
        <f t="shared" si="163"/>
        <v>0</v>
      </c>
      <c r="L2569" s="5">
        <v>0</v>
      </c>
      <c r="M2569" s="5">
        <v>0</v>
      </c>
      <c r="N2569" t="s">
        <v>12</v>
      </c>
      <c r="O2569" s="8">
        <v>18.852054794520548</v>
      </c>
      <c r="P2569" t="s">
        <v>32</v>
      </c>
      <c r="Q2569">
        <v>1</v>
      </c>
      <c r="R2569" s="2">
        <v>39129</v>
      </c>
    </row>
    <row r="2570" spans="1:18" x14ac:dyDescent="0.3">
      <c r="A2570" t="s">
        <v>7</v>
      </c>
      <c r="B2570">
        <v>18989788</v>
      </c>
      <c r="C2570" t="s">
        <v>10</v>
      </c>
      <c r="D2570" s="4">
        <v>46098</v>
      </c>
      <c r="E2570" s="11">
        <f t="shared" si="160"/>
        <v>2026</v>
      </c>
      <c r="F2570" s="11">
        <f t="shared" si="161"/>
        <v>3</v>
      </c>
      <c r="G2570" s="11" t="str">
        <f t="shared" si="162"/>
        <v>202603</v>
      </c>
      <c r="H2570" s="4">
        <v>46112</v>
      </c>
      <c r="I2570" s="5">
        <v>14</v>
      </c>
      <c r="J2570" s="5">
        <v>0.46666666666666667</v>
      </c>
      <c r="K2570" s="5">
        <f t="shared" si="163"/>
        <v>1</v>
      </c>
      <c r="L2570" s="5">
        <v>1</v>
      </c>
      <c r="M2570" s="5">
        <v>1</v>
      </c>
      <c r="N2570" t="s">
        <v>9</v>
      </c>
      <c r="O2570" s="8">
        <v>20.134246575342466</v>
      </c>
      <c r="P2570" t="s">
        <v>32</v>
      </c>
      <c r="Q2570">
        <v>1</v>
      </c>
      <c r="R2570" s="2">
        <v>38749</v>
      </c>
    </row>
    <row r="2571" spans="1:18" x14ac:dyDescent="0.3">
      <c r="A2571" t="s">
        <v>7</v>
      </c>
      <c r="B2571">
        <v>18989828</v>
      </c>
      <c r="C2571" t="s">
        <v>8</v>
      </c>
      <c r="D2571" s="4">
        <v>46010</v>
      </c>
      <c r="E2571" s="11">
        <f t="shared" si="160"/>
        <v>2025</v>
      </c>
      <c r="F2571" s="11">
        <f t="shared" si="161"/>
        <v>12</v>
      </c>
      <c r="G2571" s="11" t="str">
        <f t="shared" si="162"/>
        <v>202512</v>
      </c>
      <c r="H2571" s="4">
        <v>46054</v>
      </c>
      <c r="I2571" s="5">
        <v>44</v>
      </c>
      <c r="J2571" s="5">
        <v>1.4666666666666666</v>
      </c>
      <c r="K2571" s="5">
        <f t="shared" si="163"/>
        <v>0</v>
      </c>
      <c r="L2571" s="5">
        <v>1</v>
      </c>
      <c r="M2571" s="5">
        <v>1</v>
      </c>
      <c r="N2571" t="s">
        <v>9</v>
      </c>
      <c r="O2571" s="8">
        <v>21.63013698630137</v>
      </c>
      <c r="P2571" t="s">
        <v>33</v>
      </c>
      <c r="Q2571">
        <v>2</v>
      </c>
      <c r="R2571" s="2">
        <v>38115</v>
      </c>
    </row>
    <row r="2572" spans="1:18" x14ac:dyDescent="0.3">
      <c r="A2572" t="s">
        <v>7</v>
      </c>
      <c r="B2572">
        <v>18989854</v>
      </c>
      <c r="C2572" t="s">
        <v>10</v>
      </c>
      <c r="D2572" s="4">
        <v>46010</v>
      </c>
      <c r="E2572" s="11">
        <f t="shared" si="160"/>
        <v>2025</v>
      </c>
      <c r="F2572" s="11">
        <f t="shared" si="161"/>
        <v>12</v>
      </c>
      <c r="G2572" s="11" t="str">
        <f t="shared" si="162"/>
        <v>202512</v>
      </c>
      <c r="H2572" s="4">
        <v>46113</v>
      </c>
      <c r="I2572" s="5">
        <v>103</v>
      </c>
      <c r="J2572" s="5">
        <v>3.4333333333333331</v>
      </c>
      <c r="K2572" s="5">
        <f t="shared" si="163"/>
        <v>0</v>
      </c>
      <c r="L2572" s="5">
        <v>0</v>
      </c>
      <c r="M2572" s="5">
        <v>1</v>
      </c>
      <c r="N2572" t="s">
        <v>9</v>
      </c>
      <c r="O2572" s="8">
        <v>18.463013698630139</v>
      </c>
      <c r="P2572" t="s">
        <v>32</v>
      </c>
      <c r="Q2572">
        <v>1</v>
      </c>
      <c r="R2572" s="2">
        <v>39271</v>
      </c>
    </row>
    <row r="2573" spans="1:18" x14ac:dyDescent="0.3">
      <c r="A2573" t="s">
        <v>7</v>
      </c>
      <c r="B2573">
        <v>18989855</v>
      </c>
      <c r="C2573" t="s">
        <v>8</v>
      </c>
      <c r="D2573" s="4">
        <v>46010</v>
      </c>
      <c r="E2573" s="11">
        <f t="shared" si="160"/>
        <v>2025</v>
      </c>
      <c r="F2573" s="11">
        <f t="shared" si="161"/>
        <v>12</v>
      </c>
      <c r="G2573" s="11" t="str">
        <f t="shared" si="162"/>
        <v>202512</v>
      </c>
      <c r="I2573" s="5">
        <v>9999</v>
      </c>
      <c r="J2573" s="5">
        <v>333.3</v>
      </c>
      <c r="K2573" s="5">
        <f t="shared" si="163"/>
        <v>0</v>
      </c>
      <c r="L2573" s="5">
        <v>0</v>
      </c>
      <c r="M2573" s="5">
        <v>0</v>
      </c>
      <c r="N2573" t="s">
        <v>9</v>
      </c>
      <c r="O2573" s="8">
        <v>19.44109589041096</v>
      </c>
      <c r="P2573" t="s">
        <v>32</v>
      </c>
      <c r="Q2573">
        <v>1</v>
      </c>
      <c r="R2573" s="2">
        <v>38914</v>
      </c>
    </row>
    <row r="2574" spans="1:18" x14ac:dyDescent="0.3">
      <c r="A2574" t="s">
        <v>7</v>
      </c>
      <c r="B2574">
        <v>18989859</v>
      </c>
      <c r="C2574" t="s">
        <v>8</v>
      </c>
      <c r="D2574" s="4">
        <v>46010</v>
      </c>
      <c r="E2574" s="11">
        <f t="shared" si="160"/>
        <v>2025</v>
      </c>
      <c r="F2574" s="11">
        <f t="shared" si="161"/>
        <v>12</v>
      </c>
      <c r="G2574" s="11" t="str">
        <f t="shared" si="162"/>
        <v>202512</v>
      </c>
      <c r="I2574" s="5">
        <v>9999</v>
      </c>
      <c r="J2574" s="5">
        <v>333.3</v>
      </c>
      <c r="K2574" s="5">
        <f t="shared" si="163"/>
        <v>0</v>
      </c>
      <c r="L2574" s="5">
        <v>0</v>
      </c>
      <c r="M2574" s="5">
        <v>0</v>
      </c>
      <c r="N2574" t="s">
        <v>9</v>
      </c>
      <c r="O2574" s="8">
        <v>21.372602739726027</v>
      </c>
      <c r="P2574" t="s">
        <v>33</v>
      </c>
      <c r="Q2574">
        <v>2</v>
      </c>
      <c r="R2574" s="2">
        <v>38209</v>
      </c>
    </row>
    <row r="2575" spans="1:18" x14ac:dyDescent="0.3">
      <c r="A2575" t="s">
        <v>7</v>
      </c>
      <c r="B2575">
        <v>18989866</v>
      </c>
      <c r="C2575" t="s">
        <v>8</v>
      </c>
      <c r="D2575" s="4">
        <v>46010</v>
      </c>
      <c r="E2575" s="11">
        <f t="shared" si="160"/>
        <v>2025</v>
      </c>
      <c r="F2575" s="11">
        <f t="shared" si="161"/>
        <v>12</v>
      </c>
      <c r="G2575" s="11" t="str">
        <f t="shared" si="162"/>
        <v>202512</v>
      </c>
      <c r="I2575" s="5">
        <v>9999</v>
      </c>
      <c r="J2575" s="5">
        <v>333.3</v>
      </c>
      <c r="K2575" s="5">
        <f t="shared" si="163"/>
        <v>0</v>
      </c>
      <c r="L2575" s="5">
        <v>0</v>
      </c>
      <c r="M2575" s="5">
        <v>0</v>
      </c>
      <c r="N2575" t="s">
        <v>9</v>
      </c>
      <c r="O2575" s="8">
        <v>20.709589041095889</v>
      </c>
      <c r="P2575" t="s">
        <v>32</v>
      </c>
      <c r="Q2575">
        <v>1</v>
      </c>
      <c r="R2575" s="2">
        <v>38451</v>
      </c>
    </row>
    <row r="2576" spans="1:18" x14ac:dyDescent="0.3">
      <c r="A2576" t="s">
        <v>7</v>
      </c>
      <c r="B2576">
        <v>18989891</v>
      </c>
      <c r="C2576" t="s">
        <v>8</v>
      </c>
      <c r="D2576" s="4">
        <v>46010</v>
      </c>
      <c r="E2576" s="11">
        <f t="shared" si="160"/>
        <v>2025</v>
      </c>
      <c r="F2576" s="11">
        <f t="shared" si="161"/>
        <v>12</v>
      </c>
      <c r="G2576" s="11" t="str">
        <f t="shared" si="162"/>
        <v>202512</v>
      </c>
      <c r="I2576" s="5">
        <v>9999</v>
      </c>
      <c r="J2576" s="5">
        <v>333.3</v>
      </c>
      <c r="K2576" s="5">
        <f t="shared" si="163"/>
        <v>0</v>
      </c>
      <c r="L2576" s="5">
        <v>0</v>
      </c>
      <c r="M2576" s="5">
        <v>0</v>
      </c>
      <c r="N2576" t="s">
        <v>9</v>
      </c>
      <c r="O2576" s="8">
        <v>19.090410958904108</v>
      </c>
      <c r="P2576" t="s">
        <v>32</v>
      </c>
      <c r="Q2576">
        <v>1</v>
      </c>
      <c r="R2576" s="2">
        <v>39042</v>
      </c>
    </row>
    <row r="2577" spans="1:18" x14ac:dyDescent="0.3">
      <c r="A2577" t="s">
        <v>7</v>
      </c>
      <c r="B2577">
        <v>18989928</v>
      </c>
      <c r="C2577" t="s">
        <v>8</v>
      </c>
      <c r="D2577" s="4">
        <v>46010</v>
      </c>
      <c r="E2577" s="11">
        <f t="shared" si="160"/>
        <v>2025</v>
      </c>
      <c r="F2577" s="11">
        <f t="shared" si="161"/>
        <v>12</v>
      </c>
      <c r="G2577" s="11" t="str">
        <f t="shared" si="162"/>
        <v>202512</v>
      </c>
      <c r="I2577" s="5">
        <v>9999</v>
      </c>
      <c r="J2577" s="5">
        <v>333.3</v>
      </c>
      <c r="K2577" s="5">
        <f t="shared" si="163"/>
        <v>0</v>
      </c>
      <c r="L2577" s="5">
        <v>0</v>
      </c>
      <c r="M2577" s="5">
        <v>0</v>
      </c>
      <c r="N2577" t="s">
        <v>9</v>
      </c>
      <c r="O2577" s="8">
        <v>19.156164383561645</v>
      </c>
      <c r="P2577" t="s">
        <v>32</v>
      </c>
      <c r="Q2577">
        <v>1</v>
      </c>
      <c r="R2577" s="2">
        <v>39018</v>
      </c>
    </row>
    <row r="2578" spans="1:18" x14ac:dyDescent="0.3">
      <c r="A2578" t="s">
        <v>7</v>
      </c>
      <c r="B2578">
        <v>18989931</v>
      </c>
      <c r="C2578" t="s">
        <v>8</v>
      </c>
      <c r="D2578" s="4">
        <v>46010</v>
      </c>
      <c r="E2578" s="11">
        <f t="shared" si="160"/>
        <v>2025</v>
      </c>
      <c r="F2578" s="11">
        <f t="shared" si="161"/>
        <v>12</v>
      </c>
      <c r="G2578" s="11" t="str">
        <f t="shared" si="162"/>
        <v>202512</v>
      </c>
      <c r="H2578" s="4">
        <v>46142</v>
      </c>
      <c r="I2578" s="5">
        <v>132</v>
      </c>
      <c r="J2578" s="5">
        <v>4.4000000000000004</v>
      </c>
      <c r="K2578" s="5">
        <f t="shared" si="163"/>
        <v>0</v>
      </c>
      <c r="L2578" s="5">
        <v>0</v>
      </c>
      <c r="M2578" s="5">
        <v>1</v>
      </c>
      <c r="N2578" t="s">
        <v>9</v>
      </c>
      <c r="O2578" s="8">
        <v>18.18904109589041</v>
      </c>
      <c r="P2578" t="s">
        <v>32</v>
      </c>
      <c r="Q2578">
        <v>1</v>
      </c>
      <c r="R2578" s="2">
        <v>39371</v>
      </c>
    </row>
    <row r="2579" spans="1:18" x14ac:dyDescent="0.3">
      <c r="A2579" t="s">
        <v>7</v>
      </c>
      <c r="B2579">
        <v>18989932</v>
      </c>
      <c r="C2579" t="s">
        <v>8</v>
      </c>
      <c r="D2579" s="4">
        <v>46010</v>
      </c>
      <c r="E2579" s="11">
        <f t="shared" si="160"/>
        <v>2025</v>
      </c>
      <c r="F2579" s="11">
        <f t="shared" si="161"/>
        <v>12</v>
      </c>
      <c r="G2579" s="11" t="str">
        <f t="shared" si="162"/>
        <v>202512</v>
      </c>
      <c r="H2579" s="4">
        <v>46063</v>
      </c>
      <c r="I2579" s="5">
        <v>53</v>
      </c>
      <c r="J2579" s="5">
        <v>1.7666666666666666</v>
      </c>
      <c r="K2579" s="5">
        <f t="shared" si="163"/>
        <v>0</v>
      </c>
      <c r="L2579" s="5">
        <v>1</v>
      </c>
      <c r="M2579" s="5">
        <v>1</v>
      </c>
      <c r="N2579" t="s">
        <v>9</v>
      </c>
      <c r="O2579" s="8">
        <v>18.893150684931506</v>
      </c>
      <c r="P2579" t="s">
        <v>32</v>
      </c>
      <c r="Q2579">
        <v>1</v>
      </c>
      <c r="R2579" s="2">
        <v>39114</v>
      </c>
    </row>
    <row r="2580" spans="1:18" x14ac:dyDescent="0.3">
      <c r="A2580" t="s">
        <v>7</v>
      </c>
      <c r="B2580">
        <v>18989935</v>
      </c>
      <c r="C2580" t="s">
        <v>10</v>
      </c>
      <c r="D2580" s="4">
        <v>46010</v>
      </c>
      <c r="E2580" s="11">
        <f t="shared" si="160"/>
        <v>2025</v>
      </c>
      <c r="F2580" s="11">
        <f t="shared" si="161"/>
        <v>12</v>
      </c>
      <c r="G2580" s="11" t="str">
        <f t="shared" si="162"/>
        <v>202512</v>
      </c>
      <c r="H2580" s="4">
        <v>46054</v>
      </c>
      <c r="I2580" s="5">
        <v>44</v>
      </c>
      <c r="J2580" s="5">
        <v>1.4666666666666666</v>
      </c>
      <c r="K2580" s="5">
        <f t="shared" si="163"/>
        <v>0</v>
      </c>
      <c r="L2580" s="5">
        <v>1</v>
      </c>
      <c r="M2580" s="5">
        <v>1</v>
      </c>
      <c r="N2580" t="s">
        <v>9</v>
      </c>
      <c r="O2580" s="8">
        <v>19.246575342465754</v>
      </c>
      <c r="P2580" t="s">
        <v>32</v>
      </c>
      <c r="Q2580">
        <v>1</v>
      </c>
      <c r="R2580" s="2">
        <v>38985</v>
      </c>
    </row>
    <row r="2581" spans="1:18" x14ac:dyDescent="0.3">
      <c r="A2581" t="s">
        <v>7</v>
      </c>
      <c r="B2581">
        <v>18989964</v>
      </c>
      <c r="C2581" t="s">
        <v>8</v>
      </c>
      <c r="D2581" s="4">
        <v>46010</v>
      </c>
      <c r="E2581" s="11">
        <f t="shared" si="160"/>
        <v>2025</v>
      </c>
      <c r="F2581" s="11">
        <f t="shared" si="161"/>
        <v>12</v>
      </c>
      <c r="G2581" s="11" t="str">
        <f t="shared" si="162"/>
        <v>202512</v>
      </c>
      <c r="H2581" s="4">
        <v>46110</v>
      </c>
      <c r="I2581" s="5">
        <v>100</v>
      </c>
      <c r="J2581" s="5">
        <v>3.3333333333333335</v>
      </c>
      <c r="K2581" s="5">
        <f t="shared" si="163"/>
        <v>0</v>
      </c>
      <c r="L2581" s="5">
        <v>0</v>
      </c>
      <c r="M2581" s="5">
        <v>1</v>
      </c>
      <c r="N2581" t="s">
        <v>9</v>
      </c>
      <c r="O2581" s="8">
        <v>22.531506849315068</v>
      </c>
      <c r="P2581" t="s">
        <v>33</v>
      </c>
      <c r="Q2581">
        <v>2</v>
      </c>
      <c r="R2581" s="2">
        <v>37786</v>
      </c>
    </row>
    <row r="2582" spans="1:18" x14ac:dyDescent="0.3">
      <c r="A2582" t="s">
        <v>7</v>
      </c>
      <c r="B2582">
        <v>18990122</v>
      </c>
      <c r="C2582" t="s">
        <v>8</v>
      </c>
      <c r="D2582" s="4">
        <v>46010</v>
      </c>
      <c r="E2582" s="11">
        <f t="shared" si="160"/>
        <v>2025</v>
      </c>
      <c r="F2582" s="11">
        <f t="shared" si="161"/>
        <v>12</v>
      </c>
      <c r="G2582" s="11" t="str">
        <f t="shared" si="162"/>
        <v>202512</v>
      </c>
      <c r="H2582" s="4">
        <v>46143</v>
      </c>
      <c r="I2582" s="5">
        <v>133</v>
      </c>
      <c r="J2582" s="5">
        <v>4.4333333333333336</v>
      </c>
      <c r="K2582" s="5">
        <f t="shared" si="163"/>
        <v>0</v>
      </c>
      <c r="L2582" s="5">
        <v>0</v>
      </c>
      <c r="M2582" s="5">
        <v>1</v>
      </c>
      <c r="N2582" t="s">
        <v>12</v>
      </c>
      <c r="O2582" s="8">
        <v>18.805479452054794</v>
      </c>
      <c r="P2582" t="s">
        <v>32</v>
      </c>
      <c r="Q2582">
        <v>1</v>
      </c>
      <c r="R2582" s="2">
        <v>39146</v>
      </c>
    </row>
    <row r="2583" spans="1:18" x14ac:dyDescent="0.3">
      <c r="A2583" t="s">
        <v>7</v>
      </c>
      <c r="B2583">
        <v>18990130</v>
      </c>
      <c r="C2583" t="s">
        <v>8</v>
      </c>
      <c r="D2583" s="4">
        <v>46010</v>
      </c>
      <c r="E2583" s="11">
        <f t="shared" si="160"/>
        <v>2025</v>
      </c>
      <c r="F2583" s="11">
        <f t="shared" si="161"/>
        <v>12</v>
      </c>
      <c r="G2583" s="11" t="str">
        <f t="shared" si="162"/>
        <v>202512</v>
      </c>
      <c r="H2583" s="4">
        <v>46068</v>
      </c>
      <c r="I2583" s="5">
        <v>58</v>
      </c>
      <c r="J2583" s="5">
        <v>1.9333333333333333</v>
      </c>
      <c r="K2583" s="5">
        <f t="shared" si="163"/>
        <v>0</v>
      </c>
      <c r="L2583" s="5">
        <v>1</v>
      </c>
      <c r="M2583" s="5">
        <v>1</v>
      </c>
      <c r="N2583" t="s">
        <v>12</v>
      </c>
      <c r="O2583" s="8">
        <v>21.747945205479454</v>
      </c>
      <c r="P2583" t="s">
        <v>33</v>
      </c>
      <c r="Q2583">
        <v>2</v>
      </c>
      <c r="R2583" s="2">
        <v>38072</v>
      </c>
    </row>
    <row r="2584" spans="1:18" x14ac:dyDescent="0.3">
      <c r="A2584" t="s">
        <v>7</v>
      </c>
      <c r="B2584">
        <v>18990191</v>
      </c>
      <c r="C2584" t="s">
        <v>8</v>
      </c>
      <c r="D2584" s="4">
        <v>46011</v>
      </c>
      <c r="E2584" s="11">
        <f t="shared" si="160"/>
        <v>2025</v>
      </c>
      <c r="F2584" s="11">
        <f t="shared" si="161"/>
        <v>12</v>
      </c>
      <c r="G2584" s="11" t="str">
        <f t="shared" si="162"/>
        <v>202512</v>
      </c>
      <c r="I2584" s="5">
        <v>9999</v>
      </c>
      <c r="J2584" s="5">
        <v>333.3</v>
      </c>
      <c r="K2584" s="5">
        <f t="shared" si="163"/>
        <v>0</v>
      </c>
      <c r="L2584" s="5">
        <v>0</v>
      </c>
      <c r="M2584" s="5">
        <v>0</v>
      </c>
      <c r="N2584" t="s">
        <v>12</v>
      </c>
      <c r="O2584" s="8">
        <v>20.82191780821918</v>
      </c>
      <c r="P2584" t="s">
        <v>32</v>
      </c>
      <c r="Q2584">
        <v>1</v>
      </c>
      <c r="R2584" s="2">
        <v>38411</v>
      </c>
    </row>
    <row r="2585" spans="1:18" x14ac:dyDescent="0.3">
      <c r="A2585" t="s">
        <v>7</v>
      </c>
      <c r="B2585">
        <v>18990192</v>
      </c>
      <c r="C2585" t="s">
        <v>8</v>
      </c>
      <c r="D2585" s="4">
        <v>46011</v>
      </c>
      <c r="E2585" s="11">
        <f t="shared" si="160"/>
        <v>2025</v>
      </c>
      <c r="F2585" s="11">
        <f t="shared" si="161"/>
        <v>12</v>
      </c>
      <c r="G2585" s="11" t="str">
        <f t="shared" si="162"/>
        <v>202512</v>
      </c>
      <c r="I2585" s="5">
        <v>9999</v>
      </c>
      <c r="J2585" s="5">
        <v>333.3</v>
      </c>
      <c r="K2585" s="5">
        <f t="shared" si="163"/>
        <v>0</v>
      </c>
      <c r="L2585" s="5">
        <v>0</v>
      </c>
      <c r="M2585" s="5">
        <v>0</v>
      </c>
      <c r="N2585" t="s">
        <v>12</v>
      </c>
      <c r="O2585" s="8">
        <v>19.221917808219178</v>
      </c>
      <c r="P2585" t="s">
        <v>32</v>
      </c>
      <c r="Q2585">
        <v>1</v>
      </c>
      <c r="R2585" s="2">
        <v>38995</v>
      </c>
    </row>
    <row r="2586" spans="1:18" x14ac:dyDescent="0.3">
      <c r="A2586" t="s">
        <v>7</v>
      </c>
      <c r="B2586">
        <v>18990202</v>
      </c>
      <c r="C2586" t="s">
        <v>8</v>
      </c>
      <c r="D2586" s="4">
        <v>46011</v>
      </c>
      <c r="E2586" s="11">
        <f t="shared" si="160"/>
        <v>2025</v>
      </c>
      <c r="F2586" s="11">
        <f t="shared" si="161"/>
        <v>12</v>
      </c>
      <c r="G2586" s="11" t="str">
        <f t="shared" si="162"/>
        <v>202512</v>
      </c>
      <c r="I2586" s="5">
        <v>9999</v>
      </c>
      <c r="J2586" s="5">
        <v>333.3</v>
      </c>
      <c r="K2586" s="5">
        <f t="shared" si="163"/>
        <v>0</v>
      </c>
      <c r="L2586" s="5">
        <v>0</v>
      </c>
      <c r="M2586" s="5">
        <v>0</v>
      </c>
      <c r="N2586" t="s">
        <v>9</v>
      </c>
      <c r="O2586" s="8">
        <v>18.534246575342465</v>
      </c>
      <c r="P2586" t="s">
        <v>32</v>
      </c>
      <c r="Q2586">
        <v>1</v>
      </c>
      <c r="R2586" s="2">
        <v>39246</v>
      </c>
    </row>
    <row r="2587" spans="1:18" x14ac:dyDescent="0.3">
      <c r="A2587" t="s">
        <v>7</v>
      </c>
      <c r="B2587">
        <v>18990215</v>
      </c>
      <c r="C2587" t="s">
        <v>8</v>
      </c>
      <c r="D2587" s="4">
        <v>46011</v>
      </c>
      <c r="E2587" s="11">
        <f t="shared" si="160"/>
        <v>2025</v>
      </c>
      <c r="F2587" s="11">
        <f t="shared" si="161"/>
        <v>12</v>
      </c>
      <c r="G2587" s="11" t="str">
        <f t="shared" si="162"/>
        <v>202512</v>
      </c>
      <c r="H2587" s="4">
        <v>46082</v>
      </c>
      <c r="I2587" s="5">
        <v>71</v>
      </c>
      <c r="J2587" s="5">
        <v>2.3666666666666667</v>
      </c>
      <c r="K2587" s="5">
        <f t="shared" si="163"/>
        <v>0</v>
      </c>
      <c r="L2587" s="5">
        <v>1</v>
      </c>
      <c r="M2587" s="5">
        <v>1</v>
      </c>
      <c r="N2587" t="s">
        <v>9</v>
      </c>
      <c r="O2587" s="8">
        <v>18.142465753424659</v>
      </c>
      <c r="P2587" t="s">
        <v>32</v>
      </c>
      <c r="Q2587">
        <v>1</v>
      </c>
      <c r="R2587" s="2">
        <v>39389</v>
      </c>
    </row>
    <row r="2588" spans="1:18" x14ac:dyDescent="0.3">
      <c r="A2588" t="s">
        <v>7</v>
      </c>
      <c r="B2588">
        <v>18990217</v>
      </c>
      <c r="C2588" t="s">
        <v>8</v>
      </c>
      <c r="D2588" s="4">
        <v>46011</v>
      </c>
      <c r="E2588" s="11">
        <f t="shared" si="160"/>
        <v>2025</v>
      </c>
      <c r="F2588" s="11">
        <f t="shared" si="161"/>
        <v>12</v>
      </c>
      <c r="G2588" s="11" t="str">
        <f t="shared" si="162"/>
        <v>202512</v>
      </c>
      <c r="H2588" s="4">
        <v>46173</v>
      </c>
      <c r="I2588" s="5">
        <v>162</v>
      </c>
      <c r="J2588" s="5">
        <v>5.4</v>
      </c>
      <c r="K2588" s="5">
        <f t="shared" si="163"/>
        <v>0</v>
      </c>
      <c r="L2588" s="5">
        <v>0</v>
      </c>
      <c r="M2588" s="5">
        <v>1</v>
      </c>
      <c r="N2588" t="s">
        <v>9</v>
      </c>
      <c r="O2588" s="8">
        <v>23.084931506849315</v>
      </c>
      <c r="P2588" t="s">
        <v>33</v>
      </c>
      <c r="Q2588">
        <v>2</v>
      </c>
      <c r="R2588" s="2">
        <v>37585</v>
      </c>
    </row>
    <row r="2589" spans="1:18" x14ac:dyDescent="0.3">
      <c r="A2589" t="s">
        <v>7</v>
      </c>
      <c r="B2589">
        <v>18990223</v>
      </c>
      <c r="C2589" t="s">
        <v>8</v>
      </c>
      <c r="D2589" s="4">
        <v>46011</v>
      </c>
      <c r="E2589" s="11">
        <f t="shared" si="160"/>
        <v>2025</v>
      </c>
      <c r="F2589" s="11">
        <f t="shared" si="161"/>
        <v>12</v>
      </c>
      <c r="G2589" s="11" t="str">
        <f t="shared" si="162"/>
        <v>202512</v>
      </c>
      <c r="H2589" s="4">
        <v>46057</v>
      </c>
      <c r="I2589" s="5">
        <v>46</v>
      </c>
      <c r="J2589" s="5">
        <v>1.5333333333333334</v>
      </c>
      <c r="K2589" s="5">
        <f t="shared" si="163"/>
        <v>0</v>
      </c>
      <c r="L2589" s="5">
        <v>1</v>
      </c>
      <c r="M2589" s="5">
        <v>1</v>
      </c>
      <c r="N2589" t="s">
        <v>9</v>
      </c>
      <c r="O2589" s="8">
        <v>20.254794520547946</v>
      </c>
      <c r="P2589" t="s">
        <v>32</v>
      </c>
      <c r="Q2589">
        <v>1</v>
      </c>
      <c r="R2589" s="2">
        <v>38618</v>
      </c>
    </row>
    <row r="2590" spans="1:18" x14ac:dyDescent="0.3">
      <c r="A2590" t="s">
        <v>7</v>
      </c>
      <c r="B2590">
        <v>18990311</v>
      </c>
      <c r="C2590" t="s">
        <v>8</v>
      </c>
      <c r="D2590" s="4">
        <v>46010</v>
      </c>
      <c r="E2590" s="11">
        <f t="shared" si="160"/>
        <v>2025</v>
      </c>
      <c r="F2590" s="11">
        <f t="shared" si="161"/>
        <v>12</v>
      </c>
      <c r="G2590" s="11" t="str">
        <f t="shared" si="162"/>
        <v>202512</v>
      </c>
      <c r="I2590" s="5">
        <v>9999</v>
      </c>
      <c r="J2590" s="5">
        <v>333.3</v>
      </c>
      <c r="K2590" s="5">
        <f t="shared" si="163"/>
        <v>0</v>
      </c>
      <c r="L2590" s="5">
        <v>0</v>
      </c>
      <c r="M2590" s="5">
        <v>0</v>
      </c>
      <c r="N2590" t="s">
        <v>9</v>
      </c>
      <c r="O2590" s="8">
        <v>30.013698630136986</v>
      </c>
      <c r="P2590" t="s">
        <v>34</v>
      </c>
      <c r="Q2590">
        <v>3</v>
      </c>
      <c r="R2590" s="2">
        <v>35055</v>
      </c>
    </row>
    <row r="2591" spans="1:18" x14ac:dyDescent="0.3">
      <c r="A2591" t="s">
        <v>7</v>
      </c>
      <c r="B2591">
        <v>18990333</v>
      </c>
      <c r="C2591" t="s">
        <v>10</v>
      </c>
      <c r="D2591" s="4">
        <v>46013</v>
      </c>
      <c r="E2591" s="11">
        <f t="shared" si="160"/>
        <v>2025</v>
      </c>
      <c r="F2591" s="11">
        <f t="shared" si="161"/>
        <v>12</v>
      </c>
      <c r="G2591" s="11" t="str">
        <f t="shared" si="162"/>
        <v>202512</v>
      </c>
      <c r="H2591" s="4">
        <v>46024</v>
      </c>
      <c r="I2591" s="5">
        <v>11</v>
      </c>
      <c r="J2591" s="5">
        <v>0.36666666666666664</v>
      </c>
      <c r="K2591" s="5">
        <f t="shared" si="163"/>
        <v>1</v>
      </c>
      <c r="L2591" s="5">
        <v>1</v>
      </c>
      <c r="M2591" s="5">
        <v>1</v>
      </c>
      <c r="N2591" t="s">
        <v>9</v>
      </c>
      <c r="O2591" s="8">
        <v>23.142465753424659</v>
      </c>
      <c r="P2591" t="s">
        <v>33</v>
      </c>
      <c r="Q2591">
        <v>2</v>
      </c>
      <c r="R2591" s="2">
        <v>37566</v>
      </c>
    </row>
    <row r="2592" spans="1:18" x14ac:dyDescent="0.3">
      <c r="A2592" t="s">
        <v>7</v>
      </c>
      <c r="B2592">
        <v>18990358</v>
      </c>
      <c r="C2592" t="s">
        <v>10</v>
      </c>
      <c r="D2592" s="4">
        <v>46013</v>
      </c>
      <c r="E2592" s="11">
        <f t="shared" si="160"/>
        <v>2025</v>
      </c>
      <c r="F2592" s="11">
        <f t="shared" si="161"/>
        <v>12</v>
      </c>
      <c r="G2592" s="11" t="str">
        <f t="shared" si="162"/>
        <v>202512</v>
      </c>
      <c r="I2592" s="5">
        <v>9999</v>
      </c>
      <c r="J2592" s="5">
        <v>333.3</v>
      </c>
      <c r="K2592" s="5">
        <f t="shared" si="163"/>
        <v>0</v>
      </c>
      <c r="L2592" s="5">
        <v>0</v>
      </c>
      <c r="M2592" s="5">
        <v>0</v>
      </c>
      <c r="N2592" t="s">
        <v>9</v>
      </c>
      <c r="O2592" s="8">
        <v>23.271232876712329</v>
      </c>
      <c r="P2592" t="s">
        <v>33</v>
      </c>
      <c r="Q2592">
        <v>2</v>
      </c>
      <c r="R2592" s="2">
        <v>37519</v>
      </c>
    </row>
    <row r="2593" spans="1:18" x14ac:dyDescent="0.3">
      <c r="A2593" t="s">
        <v>7</v>
      </c>
      <c r="B2593">
        <v>18990359</v>
      </c>
      <c r="C2593" t="s">
        <v>10</v>
      </c>
      <c r="D2593" s="4">
        <v>46013</v>
      </c>
      <c r="E2593" s="11">
        <f t="shared" si="160"/>
        <v>2025</v>
      </c>
      <c r="F2593" s="11">
        <f t="shared" si="161"/>
        <v>12</v>
      </c>
      <c r="G2593" s="11" t="str">
        <f t="shared" si="162"/>
        <v>202512</v>
      </c>
      <c r="H2593" s="4">
        <v>46055</v>
      </c>
      <c r="I2593" s="5">
        <v>42</v>
      </c>
      <c r="J2593" s="5">
        <v>1.4</v>
      </c>
      <c r="K2593" s="5">
        <f t="shared" si="163"/>
        <v>0</v>
      </c>
      <c r="L2593" s="5">
        <v>1</v>
      </c>
      <c r="M2593" s="5">
        <v>1</v>
      </c>
      <c r="N2593" t="s">
        <v>9</v>
      </c>
      <c r="O2593" s="8">
        <v>31.213698630136985</v>
      </c>
      <c r="P2593" t="s">
        <v>35</v>
      </c>
      <c r="Q2593">
        <v>4</v>
      </c>
      <c r="R2593" s="2">
        <v>34620</v>
      </c>
    </row>
    <row r="2594" spans="1:18" x14ac:dyDescent="0.3">
      <c r="A2594" t="s">
        <v>7</v>
      </c>
      <c r="B2594">
        <v>18990362</v>
      </c>
      <c r="C2594" t="s">
        <v>8</v>
      </c>
      <c r="D2594" s="4">
        <v>46013</v>
      </c>
      <c r="E2594" s="11">
        <f t="shared" si="160"/>
        <v>2025</v>
      </c>
      <c r="F2594" s="11">
        <f t="shared" si="161"/>
        <v>12</v>
      </c>
      <c r="G2594" s="11" t="str">
        <f t="shared" si="162"/>
        <v>202512</v>
      </c>
      <c r="H2594" s="4">
        <v>46054</v>
      </c>
      <c r="I2594" s="5">
        <v>41</v>
      </c>
      <c r="J2594" s="5">
        <v>1.3666666666666667</v>
      </c>
      <c r="K2594" s="5">
        <f t="shared" si="163"/>
        <v>0</v>
      </c>
      <c r="L2594" s="5">
        <v>1</v>
      </c>
      <c r="M2594" s="5">
        <v>1</v>
      </c>
      <c r="N2594" t="s">
        <v>9</v>
      </c>
      <c r="O2594" s="8">
        <v>19.394520547945206</v>
      </c>
      <c r="P2594" t="s">
        <v>32</v>
      </c>
      <c r="Q2594">
        <v>1</v>
      </c>
      <c r="R2594" s="2">
        <v>38934</v>
      </c>
    </row>
    <row r="2595" spans="1:18" x14ac:dyDescent="0.3">
      <c r="A2595" t="s">
        <v>7</v>
      </c>
      <c r="B2595">
        <v>18990364</v>
      </c>
      <c r="C2595" t="s">
        <v>10</v>
      </c>
      <c r="D2595" s="4">
        <v>46013</v>
      </c>
      <c r="E2595" s="11">
        <f t="shared" si="160"/>
        <v>2025</v>
      </c>
      <c r="F2595" s="11">
        <f t="shared" si="161"/>
        <v>12</v>
      </c>
      <c r="G2595" s="11" t="str">
        <f t="shared" si="162"/>
        <v>202512</v>
      </c>
      <c r="I2595" s="5">
        <v>9999</v>
      </c>
      <c r="J2595" s="5">
        <v>333.3</v>
      </c>
      <c r="K2595" s="5">
        <f t="shared" si="163"/>
        <v>0</v>
      </c>
      <c r="L2595" s="5">
        <v>0</v>
      </c>
      <c r="M2595" s="5">
        <v>0</v>
      </c>
      <c r="N2595" t="s">
        <v>9</v>
      </c>
      <c r="O2595" s="8">
        <v>18.487671232876714</v>
      </c>
      <c r="P2595" t="s">
        <v>32</v>
      </c>
      <c r="Q2595">
        <v>1</v>
      </c>
      <c r="R2595" s="2">
        <v>39265</v>
      </c>
    </row>
    <row r="2596" spans="1:18" x14ac:dyDescent="0.3">
      <c r="A2596" t="s">
        <v>7</v>
      </c>
      <c r="B2596">
        <v>18990365</v>
      </c>
      <c r="C2596" t="s">
        <v>8</v>
      </c>
      <c r="D2596" s="4">
        <v>46013</v>
      </c>
      <c r="E2596" s="11">
        <f t="shared" si="160"/>
        <v>2025</v>
      </c>
      <c r="F2596" s="11">
        <f t="shared" si="161"/>
        <v>12</v>
      </c>
      <c r="G2596" s="11" t="str">
        <f t="shared" si="162"/>
        <v>202512</v>
      </c>
      <c r="H2596" s="4">
        <v>46037</v>
      </c>
      <c r="I2596" s="5">
        <v>24</v>
      </c>
      <c r="J2596" s="5">
        <v>0.8</v>
      </c>
      <c r="K2596" s="5">
        <f t="shared" si="163"/>
        <v>1</v>
      </c>
      <c r="L2596" s="5">
        <v>1</v>
      </c>
      <c r="M2596" s="5">
        <v>1</v>
      </c>
      <c r="N2596" t="s">
        <v>9</v>
      </c>
      <c r="O2596" s="8">
        <v>24.726027397260275</v>
      </c>
      <c r="P2596" t="s">
        <v>33</v>
      </c>
      <c r="Q2596">
        <v>2</v>
      </c>
      <c r="R2596" s="2">
        <v>36988</v>
      </c>
    </row>
    <row r="2597" spans="1:18" x14ac:dyDescent="0.3">
      <c r="A2597" t="s">
        <v>7</v>
      </c>
      <c r="B2597">
        <v>18990366</v>
      </c>
      <c r="C2597" t="s">
        <v>10</v>
      </c>
      <c r="D2597" s="4">
        <v>46013</v>
      </c>
      <c r="E2597" s="11">
        <f t="shared" si="160"/>
        <v>2025</v>
      </c>
      <c r="F2597" s="11">
        <f t="shared" si="161"/>
        <v>12</v>
      </c>
      <c r="G2597" s="11" t="str">
        <f t="shared" si="162"/>
        <v>202512</v>
      </c>
      <c r="H2597" s="4">
        <v>46081</v>
      </c>
      <c r="I2597" s="5">
        <v>68</v>
      </c>
      <c r="J2597" s="5">
        <v>2.2666666666666666</v>
      </c>
      <c r="K2597" s="5">
        <f t="shared" si="163"/>
        <v>0</v>
      </c>
      <c r="L2597" s="5">
        <v>1</v>
      </c>
      <c r="M2597" s="5">
        <v>1</v>
      </c>
      <c r="N2597" t="s">
        <v>9</v>
      </c>
      <c r="O2597" s="8">
        <v>19.115068493150684</v>
      </c>
      <c r="P2597" t="s">
        <v>32</v>
      </c>
      <c r="Q2597">
        <v>1</v>
      </c>
      <c r="R2597" s="2">
        <v>39036</v>
      </c>
    </row>
    <row r="2598" spans="1:18" x14ac:dyDescent="0.3">
      <c r="A2598" t="s">
        <v>7</v>
      </c>
      <c r="B2598">
        <v>18990367</v>
      </c>
      <c r="C2598" t="s">
        <v>8</v>
      </c>
      <c r="D2598" s="4">
        <v>46013</v>
      </c>
      <c r="E2598" s="11">
        <f t="shared" si="160"/>
        <v>2025</v>
      </c>
      <c r="F2598" s="11">
        <f t="shared" si="161"/>
        <v>12</v>
      </c>
      <c r="G2598" s="11" t="str">
        <f t="shared" si="162"/>
        <v>202512</v>
      </c>
      <c r="I2598" s="5">
        <v>9999</v>
      </c>
      <c r="J2598" s="5">
        <v>333.3</v>
      </c>
      <c r="K2598" s="5">
        <f t="shared" si="163"/>
        <v>0</v>
      </c>
      <c r="L2598" s="5">
        <v>0</v>
      </c>
      <c r="M2598" s="5">
        <v>0</v>
      </c>
      <c r="N2598" t="s">
        <v>9</v>
      </c>
      <c r="O2598" s="8">
        <v>18.205479452054796</v>
      </c>
      <c r="P2598" t="s">
        <v>32</v>
      </c>
      <c r="Q2598">
        <v>1</v>
      </c>
      <c r="R2598" s="2">
        <v>39368</v>
      </c>
    </row>
    <row r="2599" spans="1:18" x14ac:dyDescent="0.3">
      <c r="A2599" t="s">
        <v>7</v>
      </c>
      <c r="B2599">
        <v>18990386</v>
      </c>
      <c r="C2599" t="s">
        <v>10</v>
      </c>
      <c r="D2599" s="4">
        <v>46013</v>
      </c>
      <c r="E2599" s="11">
        <f t="shared" si="160"/>
        <v>2025</v>
      </c>
      <c r="F2599" s="11">
        <f t="shared" si="161"/>
        <v>12</v>
      </c>
      <c r="G2599" s="11" t="str">
        <f t="shared" si="162"/>
        <v>202512</v>
      </c>
      <c r="H2599" s="4">
        <v>46112</v>
      </c>
      <c r="I2599" s="5">
        <v>99</v>
      </c>
      <c r="J2599" s="5">
        <v>3.3</v>
      </c>
      <c r="K2599" s="5">
        <f t="shared" si="163"/>
        <v>0</v>
      </c>
      <c r="L2599" s="5">
        <v>0</v>
      </c>
      <c r="M2599" s="5">
        <v>1</v>
      </c>
      <c r="N2599" t="s">
        <v>12</v>
      </c>
      <c r="O2599" s="8">
        <v>18.717808219178082</v>
      </c>
      <c r="P2599" t="s">
        <v>32</v>
      </c>
      <c r="Q2599">
        <v>1</v>
      </c>
      <c r="R2599" s="2">
        <v>39181</v>
      </c>
    </row>
    <row r="2600" spans="1:18" x14ac:dyDescent="0.3">
      <c r="A2600" t="s">
        <v>7</v>
      </c>
      <c r="B2600">
        <v>18990388</v>
      </c>
      <c r="C2600" t="s">
        <v>8</v>
      </c>
      <c r="D2600" s="4">
        <v>46013</v>
      </c>
      <c r="E2600" s="11">
        <f t="shared" si="160"/>
        <v>2025</v>
      </c>
      <c r="F2600" s="11">
        <f t="shared" si="161"/>
        <v>12</v>
      </c>
      <c r="G2600" s="11" t="str">
        <f t="shared" si="162"/>
        <v>202512</v>
      </c>
      <c r="I2600" s="5">
        <v>9999</v>
      </c>
      <c r="J2600" s="5">
        <v>333.3</v>
      </c>
      <c r="K2600" s="5">
        <f t="shared" si="163"/>
        <v>0</v>
      </c>
      <c r="L2600" s="5">
        <v>0</v>
      </c>
      <c r="M2600" s="5">
        <v>0</v>
      </c>
      <c r="N2600" t="s">
        <v>9</v>
      </c>
      <c r="O2600" s="8">
        <v>33.56986301369863</v>
      </c>
      <c r="P2600" t="s">
        <v>35</v>
      </c>
      <c r="Q2600">
        <v>4</v>
      </c>
      <c r="R2600" s="2">
        <v>33760</v>
      </c>
    </row>
    <row r="2601" spans="1:18" x14ac:dyDescent="0.3">
      <c r="A2601" t="s">
        <v>7</v>
      </c>
      <c r="B2601">
        <v>18990395</v>
      </c>
      <c r="C2601" t="s">
        <v>8</v>
      </c>
      <c r="D2601" s="4">
        <v>46013</v>
      </c>
      <c r="E2601" s="11">
        <f t="shared" si="160"/>
        <v>2025</v>
      </c>
      <c r="F2601" s="11">
        <f t="shared" si="161"/>
        <v>12</v>
      </c>
      <c r="G2601" s="11" t="str">
        <f t="shared" si="162"/>
        <v>202512</v>
      </c>
      <c r="I2601" s="5">
        <v>9999</v>
      </c>
      <c r="J2601" s="5">
        <v>333.3</v>
      </c>
      <c r="K2601" s="5">
        <f t="shared" si="163"/>
        <v>0</v>
      </c>
      <c r="L2601" s="5">
        <v>0</v>
      </c>
      <c r="M2601" s="5">
        <v>0</v>
      </c>
      <c r="N2601" t="s">
        <v>9</v>
      </c>
      <c r="O2601" s="8">
        <v>20.978082191780821</v>
      </c>
      <c r="P2601" t="s">
        <v>32</v>
      </c>
      <c r="Q2601">
        <v>1</v>
      </c>
      <c r="R2601" s="2">
        <v>38356</v>
      </c>
    </row>
    <row r="2602" spans="1:18" x14ac:dyDescent="0.3">
      <c r="A2602" t="s">
        <v>7</v>
      </c>
      <c r="B2602">
        <v>18990406</v>
      </c>
      <c r="C2602" t="s">
        <v>8</v>
      </c>
      <c r="D2602" s="4">
        <v>46013</v>
      </c>
      <c r="E2602" s="11">
        <f t="shared" si="160"/>
        <v>2025</v>
      </c>
      <c r="F2602" s="11">
        <f t="shared" si="161"/>
        <v>12</v>
      </c>
      <c r="G2602" s="11" t="str">
        <f t="shared" si="162"/>
        <v>202512</v>
      </c>
      <c r="H2602" s="4">
        <v>46113</v>
      </c>
      <c r="I2602" s="5">
        <v>100</v>
      </c>
      <c r="J2602" s="5">
        <v>3.3333333333333335</v>
      </c>
      <c r="K2602" s="5">
        <f t="shared" si="163"/>
        <v>0</v>
      </c>
      <c r="L2602" s="5">
        <v>0</v>
      </c>
      <c r="M2602" s="5">
        <v>1</v>
      </c>
      <c r="N2602" t="s">
        <v>9</v>
      </c>
      <c r="O2602" s="8">
        <v>33.736986301369861</v>
      </c>
      <c r="P2602" t="s">
        <v>35</v>
      </c>
      <c r="Q2602">
        <v>4</v>
      </c>
      <c r="R2602" s="2">
        <v>33699</v>
      </c>
    </row>
    <row r="2603" spans="1:18" x14ac:dyDescent="0.3">
      <c r="A2603" t="s">
        <v>7</v>
      </c>
      <c r="B2603">
        <v>18990450</v>
      </c>
      <c r="C2603" t="s">
        <v>8</v>
      </c>
      <c r="D2603" s="4">
        <v>46013</v>
      </c>
      <c r="E2603" s="11">
        <f t="shared" si="160"/>
        <v>2025</v>
      </c>
      <c r="F2603" s="11">
        <f t="shared" si="161"/>
        <v>12</v>
      </c>
      <c r="G2603" s="11" t="str">
        <f t="shared" si="162"/>
        <v>202512</v>
      </c>
      <c r="H2603" s="4">
        <v>46083</v>
      </c>
      <c r="I2603" s="5">
        <v>70</v>
      </c>
      <c r="J2603" s="5">
        <v>2.3333333333333335</v>
      </c>
      <c r="K2603" s="5">
        <f t="shared" si="163"/>
        <v>0</v>
      </c>
      <c r="L2603" s="5">
        <v>1</v>
      </c>
      <c r="M2603" s="5">
        <v>1</v>
      </c>
      <c r="N2603" t="s">
        <v>12</v>
      </c>
      <c r="O2603" s="8">
        <v>21.098630136986301</v>
      </c>
      <c r="P2603" t="s">
        <v>33</v>
      </c>
      <c r="Q2603">
        <v>2</v>
      </c>
      <c r="R2603" s="2">
        <v>38312</v>
      </c>
    </row>
    <row r="2604" spans="1:18" x14ac:dyDescent="0.3">
      <c r="A2604" t="s">
        <v>11</v>
      </c>
      <c r="B2604">
        <v>18990655</v>
      </c>
      <c r="C2604" t="s">
        <v>8</v>
      </c>
      <c r="D2604" s="4">
        <v>46007</v>
      </c>
      <c r="E2604" s="11">
        <f t="shared" si="160"/>
        <v>2025</v>
      </c>
      <c r="F2604" s="11">
        <f t="shared" si="161"/>
        <v>12</v>
      </c>
      <c r="G2604" s="11" t="str">
        <f t="shared" si="162"/>
        <v>202512</v>
      </c>
      <c r="H2604" s="4">
        <v>46081</v>
      </c>
      <c r="I2604" s="5">
        <v>74</v>
      </c>
      <c r="J2604" s="5">
        <v>2.4666666666666668</v>
      </c>
      <c r="K2604" s="5">
        <f t="shared" si="163"/>
        <v>0</v>
      </c>
      <c r="L2604" s="5">
        <v>1</v>
      </c>
      <c r="M2604" s="5">
        <v>1</v>
      </c>
      <c r="N2604" t="s">
        <v>9</v>
      </c>
      <c r="O2604" s="8">
        <v>20.032876712328768</v>
      </c>
      <c r="P2604" t="s">
        <v>32</v>
      </c>
      <c r="Q2604">
        <v>1</v>
      </c>
      <c r="R2604" s="2">
        <v>38695</v>
      </c>
    </row>
    <row r="2605" spans="1:18" x14ac:dyDescent="0.3">
      <c r="A2605" t="s">
        <v>7</v>
      </c>
      <c r="B2605">
        <v>18990737</v>
      </c>
      <c r="C2605" t="s">
        <v>8</v>
      </c>
      <c r="D2605" s="4">
        <v>46106</v>
      </c>
      <c r="E2605" s="11">
        <f t="shared" si="160"/>
        <v>2026</v>
      </c>
      <c r="F2605" s="11">
        <f t="shared" si="161"/>
        <v>3</v>
      </c>
      <c r="G2605" s="11" t="str">
        <f t="shared" si="162"/>
        <v>202603</v>
      </c>
      <c r="I2605" s="5">
        <v>9999</v>
      </c>
      <c r="J2605" s="5">
        <v>333.3</v>
      </c>
      <c r="K2605" s="5">
        <f t="shared" si="163"/>
        <v>0</v>
      </c>
      <c r="L2605" s="5">
        <v>0</v>
      </c>
      <c r="M2605" s="5">
        <v>0</v>
      </c>
      <c r="N2605" t="s">
        <v>9</v>
      </c>
      <c r="O2605" s="8">
        <v>18.961643835616439</v>
      </c>
      <c r="P2605" t="s">
        <v>32</v>
      </c>
      <c r="Q2605">
        <v>1</v>
      </c>
      <c r="R2605" s="2">
        <v>39185</v>
      </c>
    </row>
    <row r="2606" spans="1:18" x14ac:dyDescent="0.3">
      <c r="A2606" t="s">
        <v>7</v>
      </c>
      <c r="B2606">
        <v>18990809</v>
      </c>
      <c r="C2606" t="s">
        <v>10</v>
      </c>
      <c r="D2606" s="4">
        <v>46014</v>
      </c>
      <c r="E2606" s="11">
        <f t="shared" si="160"/>
        <v>2025</v>
      </c>
      <c r="F2606" s="11">
        <f t="shared" si="161"/>
        <v>12</v>
      </c>
      <c r="G2606" s="11" t="str">
        <f t="shared" si="162"/>
        <v>202512</v>
      </c>
      <c r="I2606" s="5">
        <v>9999</v>
      </c>
      <c r="J2606" s="5">
        <v>333.3</v>
      </c>
      <c r="K2606" s="5">
        <f t="shared" si="163"/>
        <v>0</v>
      </c>
      <c r="L2606" s="5">
        <v>0</v>
      </c>
      <c r="M2606" s="5">
        <v>0</v>
      </c>
      <c r="N2606" t="s">
        <v>9</v>
      </c>
      <c r="O2606" s="8">
        <v>22.726027397260275</v>
      </c>
      <c r="P2606" t="s">
        <v>33</v>
      </c>
      <c r="Q2606">
        <v>2</v>
      </c>
      <c r="R2606" s="2">
        <v>37719</v>
      </c>
    </row>
    <row r="2607" spans="1:18" x14ac:dyDescent="0.3">
      <c r="A2607" t="s">
        <v>7</v>
      </c>
      <c r="B2607">
        <v>18990810</v>
      </c>
      <c r="C2607" t="s">
        <v>8</v>
      </c>
      <c r="D2607" s="4">
        <v>46014</v>
      </c>
      <c r="E2607" s="11">
        <f t="shared" si="160"/>
        <v>2025</v>
      </c>
      <c r="F2607" s="11">
        <f t="shared" si="161"/>
        <v>12</v>
      </c>
      <c r="G2607" s="11" t="str">
        <f t="shared" si="162"/>
        <v>202512</v>
      </c>
      <c r="H2607" s="4">
        <v>46069</v>
      </c>
      <c r="I2607" s="5">
        <v>55</v>
      </c>
      <c r="J2607" s="5">
        <v>1.8333333333333333</v>
      </c>
      <c r="K2607" s="5">
        <f t="shared" si="163"/>
        <v>0</v>
      </c>
      <c r="L2607" s="5">
        <v>1</v>
      </c>
      <c r="M2607" s="5">
        <v>1</v>
      </c>
      <c r="N2607" t="s">
        <v>9</v>
      </c>
      <c r="O2607" s="8">
        <v>21.476712328767125</v>
      </c>
      <c r="P2607" t="s">
        <v>33</v>
      </c>
      <c r="Q2607">
        <v>2</v>
      </c>
      <c r="R2607" s="2">
        <v>38175</v>
      </c>
    </row>
    <row r="2608" spans="1:18" x14ac:dyDescent="0.3">
      <c r="A2608" t="s">
        <v>7</v>
      </c>
      <c r="B2608">
        <v>18990811</v>
      </c>
      <c r="C2608" t="s">
        <v>8</v>
      </c>
      <c r="D2608" s="4">
        <v>46014</v>
      </c>
      <c r="E2608" s="11">
        <f t="shared" si="160"/>
        <v>2025</v>
      </c>
      <c r="F2608" s="11">
        <f t="shared" si="161"/>
        <v>12</v>
      </c>
      <c r="G2608" s="11" t="str">
        <f t="shared" si="162"/>
        <v>202512</v>
      </c>
      <c r="H2608" s="4">
        <v>46112</v>
      </c>
      <c r="I2608" s="5">
        <v>98</v>
      </c>
      <c r="J2608" s="5">
        <v>3.2666666666666666</v>
      </c>
      <c r="K2608" s="5">
        <f t="shared" si="163"/>
        <v>0</v>
      </c>
      <c r="L2608" s="5">
        <v>0</v>
      </c>
      <c r="M2608" s="5">
        <v>1</v>
      </c>
      <c r="N2608" t="s">
        <v>9</v>
      </c>
      <c r="O2608" s="8">
        <v>18.150684931506849</v>
      </c>
      <c r="P2608" t="s">
        <v>32</v>
      </c>
      <c r="Q2608">
        <v>1</v>
      </c>
      <c r="R2608" s="2">
        <v>39389</v>
      </c>
    </row>
    <row r="2609" spans="1:18" x14ac:dyDescent="0.3">
      <c r="A2609" t="s">
        <v>7</v>
      </c>
      <c r="B2609">
        <v>18990822</v>
      </c>
      <c r="C2609" t="s">
        <v>8</v>
      </c>
      <c r="D2609" s="4">
        <v>46014</v>
      </c>
      <c r="E2609" s="11">
        <f t="shared" si="160"/>
        <v>2025</v>
      </c>
      <c r="F2609" s="11">
        <f t="shared" si="161"/>
        <v>12</v>
      </c>
      <c r="G2609" s="11" t="str">
        <f t="shared" si="162"/>
        <v>202512</v>
      </c>
      <c r="I2609" s="5">
        <v>9999</v>
      </c>
      <c r="J2609" s="5">
        <v>333.3</v>
      </c>
      <c r="K2609" s="5">
        <f t="shared" si="163"/>
        <v>0</v>
      </c>
      <c r="L2609" s="5">
        <v>0</v>
      </c>
      <c r="M2609" s="5">
        <v>0</v>
      </c>
      <c r="N2609" t="s">
        <v>9</v>
      </c>
      <c r="O2609" s="8">
        <v>21.30958904109589</v>
      </c>
      <c r="P2609" t="s">
        <v>33</v>
      </c>
      <c r="Q2609">
        <v>2</v>
      </c>
      <c r="R2609" s="2">
        <v>38236</v>
      </c>
    </row>
    <row r="2610" spans="1:18" x14ac:dyDescent="0.3">
      <c r="A2610" t="s">
        <v>7</v>
      </c>
      <c r="B2610">
        <v>18990824</v>
      </c>
      <c r="C2610" t="s">
        <v>10</v>
      </c>
      <c r="D2610" s="4">
        <v>46014</v>
      </c>
      <c r="E2610" s="11">
        <f t="shared" si="160"/>
        <v>2025</v>
      </c>
      <c r="F2610" s="11">
        <f t="shared" si="161"/>
        <v>12</v>
      </c>
      <c r="G2610" s="11" t="str">
        <f t="shared" si="162"/>
        <v>202512</v>
      </c>
      <c r="H2610" s="4">
        <v>46097</v>
      </c>
      <c r="I2610" s="5">
        <v>83</v>
      </c>
      <c r="J2610" s="5">
        <v>2.7666666666666666</v>
      </c>
      <c r="K2610" s="5">
        <f t="shared" si="163"/>
        <v>0</v>
      </c>
      <c r="L2610" s="5">
        <v>1</v>
      </c>
      <c r="M2610" s="5">
        <v>1</v>
      </c>
      <c r="N2610" t="s">
        <v>9</v>
      </c>
      <c r="O2610" s="8">
        <v>23.109589041095891</v>
      </c>
      <c r="P2610" t="s">
        <v>33</v>
      </c>
      <c r="Q2610">
        <v>2</v>
      </c>
      <c r="R2610" s="2">
        <v>37579</v>
      </c>
    </row>
    <row r="2611" spans="1:18" x14ac:dyDescent="0.3">
      <c r="A2611" t="s">
        <v>7</v>
      </c>
      <c r="B2611">
        <v>18990836</v>
      </c>
      <c r="C2611" t="s">
        <v>8</v>
      </c>
      <c r="D2611" s="4">
        <v>46014</v>
      </c>
      <c r="E2611" s="11">
        <f t="shared" si="160"/>
        <v>2025</v>
      </c>
      <c r="F2611" s="11">
        <f t="shared" si="161"/>
        <v>12</v>
      </c>
      <c r="G2611" s="11" t="str">
        <f t="shared" si="162"/>
        <v>202512</v>
      </c>
      <c r="I2611" s="5">
        <v>9999</v>
      </c>
      <c r="J2611" s="5">
        <v>333.3</v>
      </c>
      <c r="K2611" s="5">
        <f t="shared" si="163"/>
        <v>0</v>
      </c>
      <c r="L2611" s="5">
        <v>0</v>
      </c>
      <c r="M2611" s="5">
        <v>0</v>
      </c>
      <c r="N2611" t="s">
        <v>9</v>
      </c>
      <c r="O2611" s="8">
        <v>22.416438356164385</v>
      </c>
      <c r="P2611" t="s">
        <v>33</v>
      </c>
      <c r="Q2611">
        <v>2</v>
      </c>
      <c r="R2611" s="2">
        <v>37832</v>
      </c>
    </row>
    <row r="2612" spans="1:18" x14ac:dyDescent="0.3">
      <c r="A2612" t="s">
        <v>7</v>
      </c>
      <c r="B2612">
        <v>18990841</v>
      </c>
      <c r="C2612" t="s">
        <v>8</v>
      </c>
      <c r="D2612" s="4">
        <v>46014</v>
      </c>
      <c r="E2612" s="11">
        <f t="shared" si="160"/>
        <v>2025</v>
      </c>
      <c r="F2612" s="11">
        <f t="shared" si="161"/>
        <v>12</v>
      </c>
      <c r="G2612" s="11" t="str">
        <f t="shared" si="162"/>
        <v>202512</v>
      </c>
      <c r="H2612" s="4">
        <v>46054</v>
      </c>
      <c r="I2612" s="5">
        <v>40</v>
      </c>
      <c r="J2612" s="5">
        <v>1.3333333333333333</v>
      </c>
      <c r="K2612" s="5">
        <f t="shared" si="163"/>
        <v>0</v>
      </c>
      <c r="L2612" s="5">
        <v>1</v>
      </c>
      <c r="M2612" s="5">
        <v>1</v>
      </c>
      <c r="N2612" t="s">
        <v>9</v>
      </c>
      <c r="O2612" s="8">
        <v>22.657534246575342</v>
      </c>
      <c r="P2612" t="s">
        <v>33</v>
      </c>
      <c r="Q2612">
        <v>2</v>
      </c>
      <c r="R2612" s="2">
        <v>37744</v>
      </c>
    </row>
    <row r="2613" spans="1:18" x14ac:dyDescent="0.3">
      <c r="A2613" t="s">
        <v>7</v>
      </c>
      <c r="B2613">
        <v>18990921</v>
      </c>
      <c r="C2613" t="s">
        <v>8</v>
      </c>
      <c r="D2613" s="4">
        <v>46014</v>
      </c>
      <c r="E2613" s="11">
        <f t="shared" si="160"/>
        <v>2025</v>
      </c>
      <c r="F2613" s="11">
        <f t="shared" si="161"/>
        <v>12</v>
      </c>
      <c r="G2613" s="11" t="str">
        <f t="shared" si="162"/>
        <v>202512</v>
      </c>
      <c r="I2613" s="5">
        <v>9999</v>
      </c>
      <c r="J2613" s="5">
        <v>333.3</v>
      </c>
      <c r="K2613" s="5">
        <f t="shared" si="163"/>
        <v>0</v>
      </c>
      <c r="L2613" s="5">
        <v>0</v>
      </c>
      <c r="M2613" s="5">
        <v>0</v>
      </c>
      <c r="N2613" t="s">
        <v>9</v>
      </c>
      <c r="O2613" s="8">
        <v>21.049315068493151</v>
      </c>
      <c r="P2613" t="s">
        <v>33</v>
      </c>
      <c r="Q2613">
        <v>2</v>
      </c>
      <c r="R2613" s="2">
        <v>38331</v>
      </c>
    </row>
    <row r="2614" spans="1:18" x14ac:dyDescent="0.3">
      <c r="A2614" t="s">
        <v>7</v>
      </c>
      <c r="B2614">
        <v>18990959</v>
      </c>
      <c r="C2614" t="s">
        <v>8</v>
      </c>
      <c r="D2614" s="4">
        <v>46015</v>
      </c>
      <c r="E2614" s="11">
        <f t="shared" si="160"/>
        <v>2025</v>
      </c>
      <c r="F2614" s="11">
        <f t="shared" si="161"/>
        <v>12</v>
      </c>
      <c r="G2614" s="11" t="str">
        <f t="shared" si="162"/>
        <v>202512</v>
      </c>
      <c r="H2614" s="4">
        <v>46113</v>
      </c>
      <c r="I2614" s="5">
        <v>98</v>
      </c>
      <c r="J2614" s="5">
        <v>3.2666666666666666</v>
      </c>
      <c r="K2614" s="5">
        <f t="shared" si="163"/>
        <v>0</v>
      </c>
      <c r="L2614" s="5">
        <v>0</v>
      </c>
      <c r="M2614" s="5">
        <v>1</v>
      </c>
      <c r="N2614" t="s">
        <v>9</v>
      </c>
      <c r="O2614" s="8">
        <v>18.832876712328765</v>
      </c>
      <c r="P2614" t="s">
        <v>32</v>
      </c>
      <c r="Q2614">
        <v>1</v>
      </c>
      <c r="R2614" s="2">
        <v>39141</v>
      </c>
    </row>
    <row r="2615" spans="1:18" x14ac:dyDescent="0.3">
      <c r="A2615" t="s">
        <v>7</v>
      </c>
      <c r="B2615">
        <v>18990960</v>
      </c>
      <c r="C2615" t="s">
        <v>10</v>
      </c>
      <c r="D2615" s="4">
        <v>46015</v>
      </c>
      <c r="E2615" s="11">
        <f t="shared" si="160"/>
        <v>2025</v>
      </c>
      <c r="F2615" s="11">
        <f t="shared" si="161"/>
        <v>12</v>
      </c>
      <c r="G2615" s="11" t="str">
        <f t="shared" si="162"/>
        <v>202512</v>
      </c>
      <c r="I2615" s="5">
        <v>9999</v>
      </c>
      <c r="J2615" s="5">
        <v>333.3</v>
      </c>
      <c r="K2615" s="5">
        <f t="shared" si="163"/>
        <v>0</v>
      </c>
      <c r="L2615" s="5">
        <v>0</v>
      </c>
      <c r="M2615" s="5">
        <v>0</v>
      </c>
      <c r="N2615" t="s">
        <v>9</v>
      </c>
      <c r="O2615" s="8">
        <v>24.109589041095891</v>
      </c>
      <c r="P2615" t="s">
        <v>33</v>
      </c>
      <c r="Q2615">
        <v>2</v>
      </c>
      <c r="R2615" s="2">
        <v>37215</v>
      </c>
    </row>
    <row r="2616" spans="1:18" x14ac:dyDescent="0.3">
      <c r="A2616" t="s">
        <v>7</v>
      </c>
      <c r="B2616">
        <v>18990961</v>
      </c>
      <c r="C2616" t="s">
        <v>8</v>
      </c>
      <c r="D2616" s="4">
        <v>46015</v>
      </c>
      <c r="E2616" s="11">
        <f t="shared" si="160"/>
        <v>2025</v>
      </c>
      <c r="F2616" s="11">
        <f t="shared" si="161"/>
        <v>12</v>
      </c>
      <c r="G2616" s="11" t="str">
        <f t="shared" si="162"/>
        <v>202512</v>
      </c>
      <c r="H2616" s="4">
        <v>46112</v>
      </c>
      <c r="I2616" s="5">
        <v>97</v>
      </c>
      <c r="J2616" s="5">
        <v>3.2333333333333334</v>
      </c>
      <c r="K2616" s="5">
        <f t="shared" si="163"/>
        <v>0</v>
      </c>
      <c r="L2616" s="5">
        <v>0</v>
      </c>
      <c r="M2616" s="5">
        <v>1</v>
      </c>
      <c r="N2616" t="s">
        <v>9</v>
      </c>
      <c r="O2616" s="8">
        <v>18.838356164383562</v>
      </c>
      <c r="P2616" t="s">
        <v>32</v>
      </c>
      <c r="Q2616">
        <v>1</v>
      </c>
      <c r="R2616" s="2">
        <v>39139</v>
      </c>
    </row>
    <row r="2617" spans="1:18" x14ac:dyDescent="0.3">
      <c r="A2617" t="s">
        <v>7</v>
      </c>
      <c r="B2617">
        <v>18991028</v>
      </c>
      <c r="C2617" t="s">
        <v>8</v>
      </c>
      <c r="D2617" s="4">
        <v>46015</v>
      </c>
      <c r="E2617" s="11">
        <f t="shared" si="160"/>
        <v>2025</v>
      </c>
      <c r="F2617" s="11">
        <f t="shared" si="161"/>
        <v>12</v>
      </c>
      <c r="G2617" s="11" t="str">
        <f t="shared" si="162"/>
        <v>202512</v>
      </c>
      <c r="H2617" s="4">
        <v>46117</v>
      </c>
      <c r="I2617" s="5">
        <v>102</v>
      </c>
      <c r="J2617" s="5">
        <v>3.4</v>
      </c>
      <c r="K2617" s="5">
        <f t="shared" si="163"/>
        <v>0</v>
      </c>
      <c r="L2617" s="5">
        <v>0</v>
      </c>
      <c r="M2617" s="5">
        <v>1</v>
      </c>
      <c r="N2617" t="s">
        <v>9</v>
      </c>
      <c r="O2617" s="8">
        <v>20.13150684931507</v>
      </c>
      <c r="P2617" t="s">
        <v>32</v>
      </c>
      <c r="Q2617">
        <v>1</v>
      </c>
      <c r="R2617" s="2">
        <v>38667</v>
      </c>
    </row>
    <row r="2618" spans="1:18" x14ac:dyDescent="0.3">
      <c r="A2618" t="s">
        <v>7</v>
      </c>
      <c r="B2618">
        <v>18991029</v>
      </c>
      <c r="C2618" t="s">
        <v>8</v>
      </c>
      <c r="D2618" s="4">
        <v>46015</v>
      </c>
      <c r="E2618" s="11">
        <f t="shared" si="160"/>
        <v>2025</v>
      </c>
      <c r="F2618" s="11">
        <f t="shared" si="161"/>
        <v>12</v>
      </c>
      <c r="G2618" s="11" t="str">
        <f t="shared" si="162"/>
        <v>202512</v>
      </c>
      <c r="H2618" s="4">
        <v>46096</v>
      </c>
      <c r="I2618" s="5">
        <v>81</v>
      </c>
      <c r="J2618" s="5">
        <v>2.7</v>
      </c>
      <c r="K2618" s="5">
        <f t="shared" si="163"/>
        <v>0</v>
      </c>
      <c r="L2618" s="5">
        <v>1</v>
      </c>
      <c r="M2618" s="5">
        <v>1</v>
      </c>
      <c r="N2618" t="s">
        <v>9</v>
      </c>
      <c r="O2618" s="8">
        <v>20.087671232876712</v>
      </c>
      <c r="P2618" t="s">
        <v>32</v>
      </c>
      <c r="Q2618">
        <v>1</v>
      </c>
      <c r="R2618" s="2">
        <v>38683</v>
      </c>
    </row>
    <row r="2619" spans="1:18" x14ac:dyDescent="0.3">
      <c r="A2619" t="s">
        <v>7</v>
      </c>
      <c r="B2619">
        <v>18991054</v>
      </c>
      <c r="C2619" t="s">
        <v>8</v>
      </c>
      <c r="D2619" s="4">
        <v>46015</v>
      </c>
      <c r="E2619" s="11">
        <f t="shared" si="160"/>
        <v>2025</v>
      </c>
      <c r="F2619" s="11">
        <f t="shared" si="161"/>
        <v>12</v>
      </c>
      <c r="G2619" s="11" t="str">
        <f t="shared" si="162"/>
        <v>202512</v>
      </c>
      <c r="H2619" s="4">
        <v>46061</v>
      </c>
      <c r="I2619" s="5">
        <v>46</v>
      </c>
      <c r="J2619" s="5">
        <v>1.5333333333333334</v>
      </c>
      <c r="K2619" s="5">
        <f t="shared" si="163"/>
        <v>0</v>
      </c>
      <c r="L2619" s="5">
        <v>1</v>
      </c>
      <c r="M2619" s="5">
        <v>1</v>
      </c>
      <c r="N2619" t="s">
        <v>9</v>
      </c>
      <c r="O2619" s="8">
        <v>20.438356164383563</v>
      </c>
      <c r="P2619" t="s">
        <v>32</v>
      </c>
      <c r="Q2619">
        <v>1</v>
      </c>
      <c r="R2619" s="2">
        <v>38555</v>
      </c>
    </row>
    <row r="2620" spans="1:18" x14ac:dyDescent="0.3">
      <c r="A2620" t="s">
        <v>7</v>
      </c>
      <c r="B2620">
        <v>18991063</v>
      </c>
      <c r="C2620" t="s">
        <v>8</v>
      </c>
      <c r="D2620" s="4">
        <v>46015</v>
      </c>
      <c r="E2620" s="11">
        <f t="shared" si="160"/>
        <v>2025</v>
      </c>
      <c r="F2620" s="11">
        <f t="shared" si="161"/>
        <v>12</v>
      </c>
      <c r="G2620" s="11" t="str">
        <f t="shared" si="162"/>
        <v>202512</v>
      </c>
      <c r="H2620" s="4">
        <v>46112</v>
      </c>
      <c r="I2620" s="5">
        <v>97</v>
      </c>
      <c r="J2620" s="5">
        <v>3.2333333333333334</v>
      </c>
      <c r="K2620" s="5">
        <f t="shared" si="163"/>
        <v>0</v>
      </c>
      <c r="L2620" s="5">
        <v>0</v>
      </c>
      <c r="M2620" s="5">
        <v>1</v>
      </c>
      <c r="N2620" t="s">
        <v>9</v>
      </c>
      <c r="O2620" s="8">
        <v>19.506849315068493</v>
      </c>
      <c r="P2620" t="s">
        <v>32</v>
      </c>
      <c r="Q2620">
        <v>1</v>
      </c>
      <c r="R2620" s="2">
        <v>38895</v>
      </c>
    </row>
    <row r="2621" spans="1:18" x14ac:dyDescent="0.3">
      <c r="A2621" t="s">
        <v>7</v>
      </c>
      <c r="B2621">
        <v>18991064</v>
      </c>
      <c r="C2621" t="s">
        <v>10</v>
      </c>
      <c r="D2621" s="4">
        <v>46015</v>
      </c>
      <c r="E2621" s="11">
        <f t="shared" si="160"/>
        <v>2025</v>
      </c>
      <c r="F2621" s="11">
        <f t="shared" si="161"/>
        <v>12</v>
      </c>
      <c r="G2621" s="11" t="str">
        <f t="shared" si="162"/>
        <v>202512</v>
      </c>
      <c r="H2621" s="4">
        <v>46023</v>
      </c>
      <c r="I2621" s="5">
        <v>8</v>
      </c>
      <c r="J2621" s="5">
        <v>0.26666666666666666</v>
      </c>
      <c r="K2621" s="5">
        <f t="shared" si="163"/>
        <v>1</v>
      </c>
      <c r="L2621" s="5">
        <v>1</v>
      </c>
      <c r="M2621" s="5">
        <v>1</v>
      </c>
      <c r="N2621" t="s">
        <v>9</v>
      </c>
      <c r="O2621" s="8">
        <v>21.638356164383563</v>
      </c>
      <c r="P2621" t="s">
        <v>33</v>
      </c>
      <c r="Q2621">
        <v>2</v>
      </c>
      <c r="R2621" s="2">
        <v>38117</v>
      </c>
    </row>
    <row r="2622" spans="1:18" x14ac:dyDescent="0.3">
      <c r="A2622" t="s">
        <v>7</v>
      </c>
      <c r="B2622">
        <v>18991220</v>
      </c>
      <c r="C2622" t="s">
        <v>8</v>
      </c>
      <c r="D2622" s="4">
        <v>46017</v>
      </c>
      <c r="E2622" s="11">
        <f t="shared" si="160"/>
        <v>2025</v>
      </c>
      <c r="F2622" s="11">
        <f t="shared" si="161"/>
        <v>12</v>
      </c>
      <c r="G2622" s="11" t="str">
        <f t="shared" si="162"/>
        <v>202512</v>
      </c>
      <c r="H2622" s="4">
        <v>46023</v>
      </c>
      <c r="I2622" s="5">
        <v>6</v>
      </c>
      <c r="J2622" s="5">
        <v>0.2</v>
      </c>
      <c r="K2622" s="5">
        <f t="shared" si="163"/>
        <v>1</v>
      </c>
      <c r="L2622" s="5">
        <v>1</v>
      </c>
      <c r="M2622" s="5">
        <v>1</v>
      </c>
      <c r="N2622" t="s">
        <v>9</v>
      </c>
      <c r="O2622" s="8">
        <v>20.646575342465752</v>
      </c>
      <c r="P2622" t="s">
        <v>32</v>
      </c>
      <c r="Q2622">
        <v>1</v>
      </c>
      <c r="R2622" s="2">
        <v>38481</v>
      </c>
    </row>
    <row r="2623" spans="1:18" x14ac:dyDescent="0.3">
      <c r="A2623" t="s">
        <v>7</v>
      </c>
      <c r="B2623">
        <v>18991221</v>
      </c>
      <c r="C2623" t="s">
        <v>8</v>
      </c>
      <c r="D2623" s="4">
        <v>46017</v>
      </c>
      <c r="E2623" s="11">
        <f t="shared" si="160"/>
        <v>2025</v>
      </c>
      <c r="F2623" s="11">
        <f t="shared" si="161"/>
        <v>12</v>
      </c>
      <c r="G2623" s="11" t="str">
        <f t="shared" si="162"/>
        <v>202512</v>
      </c>
      <c r="H2623" s="4">
        <v>46084</v>
      </c>
      <c r="I2623" s="5">
        <v>67</v>
      </c>
      <c r="J2623" s="5">
        <v>2.2333333333333334</v>
      </c>
      <c r="K2623" s="5">
        <f t="shared" si="163"/>
        <v>0</v>
      </c>
      <c r="L2623" s="5">
        <v>1</v>
      </c>
      <c r="M2623" s="5">
        <v>1</v>
      </c>
      <c r="N2623" t="s">
        <v>9</v>
      </c>
      <c r="O2623" s="8">
        <v>20.463013698630139</v>
      </c>
      <c r="P2623" t="s">
        <v>32</v>
      </c>
      <c r="Q2623">
        <v>1</v>
      </c>
      <c r="R2623" s="2">
        <v>38548</v>
      </c>
    </row>
    <row r="2624" spans="1:18" x14ac:dyDescent="0.3">
      <c r="A2624" t="s">
        <v>7</v>
      </c>
      <c r="B2624">
        <v>18991239</v>
      </c>
      <c r="C2624" t="s">
        <v>10</v>
      </c>
      <c r="D2624" s="4">
        <v>46017</v>
      </c>
      <c r="E2624" s="11">
        <f t="shared" si="160"/>
        <v>2025</v>
      </c>
      <c r="F2624" s="11">
        <f t="shared" si="161"/>
        <v>12</v>
      </c>
      <c r="G2624" s="11" t="str">
        <f t="shared" si="162"/>
        <v>202512</v>
      </c>
      <c r="H2624" s="4">
        <v>46112</v>
      </c>
      <c r="I2624" s="5">
        <v>95</v>
      </c>
      <c r="J2624" s="5">
        <v>3.1666666666666665</v>
      </c>
      <c r="K2624" s="5">
        <f t="shared" si="163"/>
        <v>0</v>
      </c>
      <c r="L2624" s="5">
        <v>0</v>
      </c>
      <c r="M2624" s="5">
        <v>1</v>
      </c>
      <c r="N2624" t="s">
        <v>9</v>
      </c>
      <c r="O2624" s="8">
        <v>18.358904109589041</v>
      </c>
      <c r="P2624" t="s">
        <v>32</v>
      </c>
      <c r="Q2624">
        <v>1</v>
      </c>
      <c r="R2624" s="2">
        <v>39316</v>
      </c>
    </row>
    <row r="2625" spans="1:18" x14ac:dyDescent="0.3">
      <c r="A2625" t="s">
        <v>7</v>
      </c>
      <c r="B2625">
        <v>18991259</v>
      </c>
      <c r="C2625" t="s">
        <v>8</v>
      </c>
      <c r="D2625" s="4">
        <v>46017</v>
      </c>
      <c r="E2625" s="11">
        <f t="shared" si="160"/>
        <v>2025</v>
      </c>
      <c r="F2625" s="11">
        <f t="shared" si="161"/>
        <v>12</v>
      </c>
      <c r="G2625" s="11" t="str">
        <f t="shared" si="162"/>
        <v>202512</v>
      </c>
      <c r="H2625" s="4">
        <v>46054</v>
      </c>
      <c r="I2625" s="5">
        <v>37</v>
      </c>
      <c r="J2625" s="5">
        <v>1.2333333333333334</v>
      </c>
      <c r="K2625" s="5">
        <f t="shared" si="163"/>
        <v>0</v>
      </c>
      <c r="L2625" s="5">
        <v>1</v>
      </c>
      <c r="M2625" s="5">
        <v>1</v>
      </c>
      <c r="N2625" t="s">
        <v>9</v>
      </c>
      <c r="O2625" s="8">
        <v>18.109589041095891</v>
      </c>
      <c r="P2625" t="s">
        <v>32</v>
      </c>
      <c r="Q2625">
        <v>1</v>
      </c>
      <c r="R2625" s="2">
        <v>39407</v>
      </c>
    </row>
    <row r="2626" spans="1:18" x14ac:dyDescent="0.3">
      <c r="A2626" t="s">
        <v>7</v>
      </c>
      <c r="B2626">
        <v>18991281</v>
      </c>
      <c r="C2626" t="s">
        <v>10</v>
      </c>
      <c r="D2626" s="4">
        <v>46017</v>
      </c>
      <c r="E2626" s="11">
        <f t="shared" si="160"/>
        <v>2025</v>
      </c>
      <c r="F2626" s="11">
        <f t="shared" si="161"/>
        <v>12</v>
      </c>
      <c r="G2626" s="11" t="str">
        <f t="shared" si="162"/>
        <v>202512</v>
      </c>
      <c r="H2626" s="4">
        <v>46101</v>
      </c>
      <c r="I2626" s="5">
        <v>84</v>
      </c>
      <c r="J2626" s="5">
        <v>2.8</v>
      </c>
      <c r="K2626" s="5">
        <f t="shared" si="163"/>
        <v>0</v>
      </c>
      <c r="L2626" s="5">
        <v>1</v>
      </c>
      <c r="M2626" s="5">
        <v>1</v>
      </c>
      <c r="N2626" t="s">
        <v>9</v>
      </c>
      <c r="O2626" s="8">
        <v>24.397260273972602</v>
      </c>
      <c r="P2626" t="s">
        <v>33</v>
      </c>
      <c r="Q2626">
        <v>2</v>
      </c>
      <c r="R2626" s="2">
        <v>37112</v>
      </c>
    </row>
    <row r="2627" spans="1:18" x14ac:dyDescent="0.3">
      <c r="A2627" t="s">
        <v>7</v>
      </c>
      <c r="B2627">
        <v>18991340</v>
      </c>
      <c r="C2627" t="s">
        <v>8</v>
      </c>
      <c r="D2627" s="4">
        <v>46017</v>
      </c>
      <c r="E2627" s="11">
        <f t="shared" ref="E2627:E2690" si="164">+YEAR(D2627)</f>
        <v>2025</v>
      </c>
      <c r="F2627" s="11">
        <f t="shared" ref="F2627:F2690" si="165">+MONTH(D2627)</f>
        <v>12</v>
      </c>
      <c r="G2627" s="11" t="str">
        <f t="shared" ref="G2627:G2690" si="166">+TEXT(D2627, "yyymm")</f>
        <v>202512</v>
      </c>
      <c r="I2627" s="5">
        <v>9999</v>
      </c>
      <c r="J2627" s="5">
        <v>333.3</v>
      </c>
      <c r="K2627" s="5">
        <f t="shared" ref="K2627:K2690" si="167">IF(J2627&lt;=1,1,0)</f>
        <v>0</v>
      </c>
      <c r="L2627" s="5">
        <v>0</v>
      </c>
      <c r="M2627" s="5">
        <v>0</v>
      </c>
      <c r="N2627" t="s">
        <v>9</v>
      </c>
      <c r="O2627" s="8">
        <v>18.06027397260274</v>
      </c>
      <c r="P2627" t="s">
        <v>32</v>
      </c>
      <c r="Q2627">
        <v>1</v>
      </c>
      <c r="R2627" s="2">
        <v>39425</v>
      </c>
    </row>
    <row r="2628" spans="1:18" x14ac:dyDescent="0.3">
      <c r="A2628" t="s">
        <v>7</v>
      </c>
      <c r="B2628">
        <v>18991456</v>
      </c>
      <c r="C2628" t="s">
        <v>8</v>
      </c>
      <c r="D2628" s="4">
        <v>46017</v>
      </c>
      <c r="E2628" s="11">
        <f t="shared" si="164"/>
        <v>2025</v>
      </c>
      <c r="F2628" s="11">
        <f t="shared" si="165"/>
        <v>12</v>
      </c>
      <c r="G2628" s="11" t="str">
        <f t="shared" si="166"/>
        <v>202512</v>
      </c>
      <c r="I2628" s="5">
        <v>9999</v>
      </c>
      <c r="J2628" s="5">
        <v>333.3</v>
      </c>
      <c r="K2628" s="5">
        <f t="shared" si="167"/>
        <v>0</v>
      </c>
      <c r="L2628" s="5">
        <v>0</v>
      </c>
      <c r="M2628" s="5">
        <v>0</v>
      </c>
      <c r="N2628" t="s">
        <v>9</v>
      </c>
      <c r="O2628" s="8">
        <v>18.208219178082192</v>
      </c>
      <c r="P2628" t="s">
        <v>32</v>
      </c>
      <c r="Q2628">
        <v>1</v>
      </c>
      <c r="R2628" s="2">
        <v>39371</v>
      </c>
    </row>
    <row r="2629" spans="1:18" x14ac:dyDescent="0.3">
      <c r="A2629" t="s">
        <v>7</v>
      </c>
      <c r="B2629">
        <v>18991457</v>
      </c>
      <c r="C2629" t="s">
        <v>10</v>
      </c>
      <c r="D2629" s="4">
        <v>46017</v>
      </c>
      <c r="E2629" s="11">
        <f t="shared" si="164"/>
        <v>2025</v>
      </c>
      <c r="F2629" s="11">
        <f t="shared" si="165"/>
        <v>12</v>
      </c>
      <c r="G2629" s="11" t="str">
        <f t="shared" si="166"/>
        <v>202512</v>
      </c>
      <c r="H2629" s="4">
        <v>46043</v>
      </c>
      <c r="I2629" s="5">
        <v>26</v>
      </c>
      <c r="J2629" s="5">
        <v>0.8666666666666667</v>
      </c>
      <c r="K2629" s="5">
        <f t="shared" si="167"/>
        <v>1</v>
      </c>
      <c r="L2629" s="5">
        <v>1</v>
      </c>
      <c r="M2629" s="5">
        <v>1</v>
      </c>
      <c r="N2629" t="s">
        <v>9</v>
      </c>
      <c r="O2629" s="8">
        <v>26.372602739726027</v>
      </c>
      <c r="P2629" t="s">
        <v>34</v>
      </c>
      <c r="Q2629">
        <v>3</v>
      </c>
      <c r="R2629" s="2">
        <v>36391</v>
      </c>
    </row>
    <row r="2630" spans="1:18" x14ac:dyDescent="0.3">
      <c r="A2630" t="s">
        <v>7</v>
      </c>
      <c r="B2630">
        <v>18991671</v>
      </c>
      <c r="C2630" t="s">
        <v>8</v>
      </c>
      <c r="D2630" s="4">
        <v>46020</v>
      </c>
      <c r="E2630" s="11">
        <f t="shared" si="164"/>
        <v>2025</v>
      </c>
      <c r="F2630" s="11">
        <f t="shared" si="165"/>
        <v>12</v>
      </c>
      <c r="G2630" s="11" t="str">
        <f t="shared" si="166"/>
        <v>202512</v>
      </c>
      <c r="H2630" s="4">
        <v>46037</v>
      </c>
      <c r="I2630" s="5">
        <v>17</v>
      </c>
      <c r="J2630" s="5">
        <v>0.56666666666666665</v>
      </c>
      <c r="K2630" s="5">
        <f t="shared" si="167"/>
        <v>1</v>
      </c>
      <c r="L2630" s="5">
        <v>1</v>
      </c>
      <c r="M2630" s="5">
        <v>1</v>
      </c>
      <c r="N2630" t="s">
        <v>9</v>
      </c>
      <c r="O2630" s="8">
        <v>19.24931506849315</v>
      </c>
      <c r="P2630" t="s">
        <v>32</v>
      </c>
      <c r="Q2630">
        <v>1</v>
      </c>
      <c r="R2630" s="2">
        <v>38994</v>
      </c>
    </row>
    <row r="2631" spans="1:18" x14ac:dyDescent="0.3">
      <c r="A2631" t="s">
        <v>7</v>
      </c>
      <c r="B2631">
        <v>18991683</v>
      </c>
      <c r="C2631" t="s">
        <v>8</v>
      </c>
      <c r="D2631" s="4">
        <v>46020</v>
      </c>
      <c r="E2631" s="11">
        <f t="shared" si="164"/>
        <v>2025</v>
      </c>
      <c r="F2631" s="11">
        <f t="shared" si="165"/>
        <v>12</v>
      </c>
      <c r="G2631" s="11" t="str">
        <f t="shared" si="166"/>
        <v>202512</v>
      </c>
      <c r="I2631" s="5">
        <v>9999</v>
      </c>
      <c r="J2631" s="5">
        <v>333.3</v>
      </c>
      <c r="K2631" s="5">
        <f t="shared" si="167"/>
        <v>0</v>
      </c>
      <c r="L2631" s="5">
        <v>0</v>
      </c>
      <c r="M2631" s="5">
        <v>0</v>
      </c>
      <c r="N2631" t="s">
        <v>9</v>
      </c>
      <c r="O2631" s="8">
        <v>18.542465753424658</v>
      </c>
      <c r="P2631" t="s">
        <v>32</v>
      </c>
      <c r="Q2631">
        <v>1</v>
      </c>
      <c r="R2631" s="2">
        <v>39252</v>
      </c>
    </row>
    <row r="2632" spans="1:18" x14ac:dyDescent="0.3">
      <c r="A2632" t="s">
        <v>7</v>
      </c>
      <c r="B2632">
        <v>18991687</v>
      </c>
      <c r="C2632" t="s">
        <v>8</v>
      </c>
      <c r="D2632" s="4">
        <v>46020</v>
      </c>
      <c r="E2632" s="11">
        <f t="shared" si="164"/>
        <v>2025</v>
      </c>
      <c r="F2632" s="11">
        <f t="shared" si="165"/>
        <v>12</v>
      </c>
      <c r="G2632" s="11" t="str">
        <f t="shared" si="166"/>
        <v>202512</v>
      </c>
      <c r="H2632" s="4">
        <v>46082</v>
      </c>
      <c r="I2632" s="5">
        <v>62</v>
      </c>
      <c r="J2632" s="5">
        <v>2.0666666666666669</v>
      </c>
      <c r="K2632" s="5">
        <f t="shared" si="167"/>
        <v>0</v>
      </c>
      <c r="L2632" s="5">
        <v>1</v>
      </c>
      <c r="M2632" s="5">
        <v>1</v>
      </c>
      <c r="N2632" t="s">
        <v>9</v>
      </c>
      <c r="O2632" s="8">
        <v>19.931506849315067</v>
      </c>
      <c r="P2632" t="s">
        <v>32</v>
      </c>
      <c r="Q2632">
        <v>1</v>
      </c>
      <c r="R2632" s="2">
        <v>38745</v>
      </c>
    </row>
    <row r="2633" spans="1:18" x14ac:dyDescent="0.3">
      <c r="A2633" t="s">
        <v>7</v>
      </c>
      <c r="B2633">
        <v>18991688</v>
      </c>
      <c r="C2633" t="s">
        <v>8</v>
      </c>
      <c r="D2633" s="4">
        <v>46020</v>
      </c>
      <c r="E2633" s="11">
        <f t="shared" si="164"/>
        <v>2025</v>
      </c>
      <c r="F2633" s="11">
        <f t="shared" si="165"/>
        <v>12</v>
      </c>
      <c r="G2633" s="11" t="str">
        <f t="shared" si="166"/>
        <v>202512</v>
      </c>
      <c r="H2633" s="4">
        <v>46083</v>
      </c>
      <c r="I2633" s="5">
        <v>63</v>
      </c>
      <c r="J2633" s="5">
        <v>2.1</v>
      </c>
      <c r="K2633" s="5">
        <f t="shared" si="167"/>
        <v>0</v>
      </c>
      <c r="L2633" s="5">
        <v>1</v>
      </c>
      <c r="M2633" s="5">
        <v>1</v>
      </c>
      <c r="N2633" t="s">
        <v>9</v>
      </c>
      <c r="O2633" s="8">
        <v>20.4986301369863</v>
      </c>
      <c r="P2633" t="s">
        <v>32</v>
      </c>
      <c r="Q2633">
        <v>1</v>
      </c>
      <c r="R2633" s="2">
        <v>38538</v>
      </c>
    </row>
    <row r="2634" spans="1:18" x14ac:dyDescent="0.3">
      <c r="A2634" t="s">
        <v>7</v>
      </c>
      <c r="B2634">
        <v>18991689</v>
      </c>
      <c r="C2634" t="s">
        <v>10</v>
      </c>
      <c r="D2634" s="4">
        <v>46020</v>
      </c>
      <c r="E2634" s="11">
        <f t="shared" si="164"/>
        <v>2025</v>
      </c>
      <c r="F2634" s="11">
        <f t="shared" si="165"/>
        <v>12</v>
      </c>
      <c r="G2634" s="11" t="str">
        <f t="shared" si="166"/>
        <v>202512</v>
      </c>
      <c r="I2634" s="5">
        <v>9999</v>
      </c>
      <c r="J2634" s="5">
        <v>333.3</v>
      </c>
      <c r="K2634" s="5">
        <f t="shared" si="167"/>
        <v>0</v>
      </c>
      <c r="L2634" s="5">
        <v>0</v>
      </c>
      <c r="M2634" s="5">
        <v>0</v>
      </c>
      <c r="N2634" t="s">
        <v>9</v>
      </c>
      <c r="O2634" s="8">
        <v>24.254794520547946</v>
      </c>
      <c r="P2634" t="s">
        <v>33</v>
      </c>
      <c r="Q2634">
        <v>2</v>
      </c>
      <c r="R2634" s="2">
        <v>37167</v>
      </c>
    </row>
    <row r="2635" spans="1:18" x14ac:dyDescent="0.3">
      <c r="A2635" t="s">
        <v>7</v>
      </c>
      <c r="B2635">
        <v>18991690</v>
      </c>
      <c r="C2635" t="s">
        <v>8</v>
      </c>
      <c r="D2635" s="4">
        <v>46020</v>
      </c>
      <c r="E2635" s="11">
        <f t="shared" si="164"/>
        <v>2025</v>
      </c>
      <c r="F2635" s="11">
        <f t="shared" si="165"/>
        <v>12</v>
      </c>
      <c r="G2635" s="11" t="str">
        <f t="shared" si="166"/>
        <v>202512</v>
      </c>
      <c r="H2635" s="4">
        <v>46028</v>
      </c>
      <c r="I2635" s="5">
        <v>8</v>
      </c>
      <c r="J2635" s="5">
        <v>0.26666666666666666</v>
      </c>
      <c r="K2635" s="5">
        <f t="shared" si="167"/>
        <v>1</v>
      </c>
      <c r="L2635" s="5">
        <v>1</v>
      </c>
      <c r="M2635" s="5">
        <v>1</v>
      </c>
      <c r="N2635" t="s">
        <v>9</v>
      </c>
      <c r="O2635" s="8">
        <v>18.632876712328766</v>
      </c>
      <c r="P2635" t="s">
        <v>32</v>
      </c>
      <c r="Q2635">
        <v>1</v>
      </c>
      <c r="R2635" s="2">
        <v>39219</v>
      </c>
    </row>
    <row r="2636" spans="1:18" x14ac:dyDescent="0.3">
      <c r="A2636" t="s">
        <v>7</v>
      </c>
      <c r="B2636">
        <v>18991694</v>
      </c>
      <c r="C2636" t="s">
        <v>8</v>
      </c>
      <c r="D2636" s="4">
        <v>46020</v>
      </c>
      <c r="E2636" s="11">
        <f t="shared" si="164"/>
        <v>2025</v>
      </c>
      <c r="F2636" s="11">
        <f t="shared" si="165"/>
        <v>12</v>
      </c>
      <c r="G2636" s="11" t="str">
        <f t="shared" si="166"/>
        <v>202512</v>
      </c>
      <c r="H2636" s="4">
        <v>46056</v>
      </c>
      <c r="I2636" s="5">
        <v>36</v>
      </c>
      <c r="J2636" s="5">
        <v>1.2</v>
      </c>
      <c r="K2636" s="5">
        <f t="shared" si="167"/>
        <v>0</v>
      </c>
      <c r="L2636" s="5">
        <v>1</v>
      </c>
      <c r="M2636" s="5">
        <v>1</v>
      </c>
      <c r="N2636" t="s">
        <v>9</v>
      </c>
      <c r="O2636" s="8">
        <v>18.454794520547946</v>
      </c>
      <c r="P2636" t="s">
        <v>32</v>
      </c>
      <c r="Q2636">
        <v>1</v>
      </c>
      <c r="R2636" s="2">
        <v>39284</v>
      </c>
    </row>
    <row r="2637" spans="1:18" x14ac:dyDescent="0.3">
      <c r="A2637" t="s">
        <v>7</v>
      </c>
      <c r="B2637">
        <v>18991704</v>
      </c>
      <c r="C2637" t="s">
        <v>8</v>
      </c>
      <c r="D2637" s="4">
        <v>46020</v>
      </c>
      <c r="E2637" s="11">
        <f t="shared" si="164"/>
        <v>2025</v>
      </c>
      <c r="F2637" s="11">
        <f t="shared" si="165"/>
        <v>12</v>
      </c>
      <c r="G2637" s="11" t="str">
        <f t="shared" si="166"/>
        <v>202512</v>
      </c>
      <c r="H2637" s="4">
        <v>46096</v>
      </c>
      <c r="I2637" s="5">
        <v>76</v>
      </c>
      <c r="J2637" s="5">
        <v>2.5333333333333332</v>
      </c>
      <c r="K2637" s="5">
        <f t="shared" si="167"/>
        <v>0</v>
      </c>
      <c r="L2637" s="5">
        <v>1</v>
      </c>
      <c r="M2637" s="5">
        <v>1</v>
      </c>
      <c r="N2637" t="s">
        <v>9</v>
      </c>
      <c r="O2637" s="8">
        <v>18.358904109589041</v>
      </c>
      <c r="P2637" t="s">
        <v>32</v>
      </c>
      <c r="Q2637">
        <v>1</v>
      </c>
      <c r="R2637" s="2">
        <v>39319</v>
      </c>
    </row>
    <row r="2638" spans="1:18" x14ac:dyDescent="0.3">
      <c r="A2638" t="s">
        <v>7</v>
      </c>
      <c r="B2638">
        <v>18991899</v>
      </c>
      <c r="C2638" t="s">
        <v>10</v>
      </c>
      <c r="D2638" s="4">
        <v>46020</v>
      </c>
      <c r="E2638" s="11">
        <f t="shared" si="164"/>
        <v>2025</v>
      </c>
      <c r="F2638" s="11">
        <f t="shared" si="165"/>
        <v>12</v>
      </c>
      <c r="G2638" s="11" t="str">
        <f t="shared" si="166"/>
        <v>202512</v>
      </c>
      <c r="H2638" s="4">
        <v>46071</v>
      </c>
      <c r="I2638" s="5">
        <v>51</v>
      </c>
      <c r="J2638" s="5">
        <v>1.7</v>
      </c>
      <c r="K2638" s="5">
        <f t="shared" si="167"/>
        <v>0</v>
      </c>
      <c r="L2638" s="5">
        <v>1</v>
      </c>
      <c r="M2638" s="5">
        <v>1</v>
      </c>
      <c r="N2638" t="s">
        <v>12</v>
      </c>
      <c r="O2638" s="8">
        <v>20.917808219178081</v>
      </c>
      <c r="P2638" t="s">
        <v>32</v>
      </c>
      <c r="Q2638">
        <v>1</v>
      </c>
      <c r="R2638" s="2">
        <v>38385</v>
      </c>
    </row>
    <row r="2639" spans="1:18" x14ac:dyDescent="0.3">
      <c r="A2639" t="s">
        <v>7</v>
      </c>
      <c r="B2639">
        <v>18991945</v>
      </c>
      <c r="C2639" t="s">
        <v>8</v>
      </c>
      <c r="D2639" s="4">
        <v>46021</v>
      </c>
      <c r="E2639" s="11">
        <f t="shared" si="164"/>
        <v>2025</v>
      </c>
      <c r="F2639" s="11">
        <f t="shared" si="165"/>
        <v>12</v>
      </c>
      <c r="G2639" s="11" t="str">
        <f t="shared" si="166"/>
        <v>202512</v>
      </c>
      <c r="I2639" s="5">
        <v>9999</v>
      </c>
      <c r="J2639" s="5">
        <v>333.3</v>
      </c>
      <c r="K2639" s="5">
        <f t="shared" si="167"/>
        <v>0</v>
      </c>
      <c r="L2639" s="5">
        <v>0</v>
      </c>
      <c r="M2639" s="5">
        <v>0</v>
      </c>
      <c r="N2639" t="s">
        <v>12</v>
      </c>
      <c r="O2639" s="8">
        <v>19.81917808219178</v>
      </c>
      <c r="P2639" t="s">
        <v>32</v>
      </c>
      <c r="Q2639">
        <v>1</v>
      </c>
      <c r="R2639" s="2">
        <v>38787</v>
      </c>
    </row>
    <row r="2640" spans="1:18" x14ac:dyDescent="0.3">
      <c r="A2640" t="s">
        <v>7</v>
      </c>
      <c r="B2640">
        <v>18991946</v>
      </c>
      <c r="C2640" t="s">
        <v>10</v>
      </c>
      <c r="D2640" s="4">
        <v>46021</v>
      </c>
      <c r="E2640" s="11">
        <f t="shared" si="164"/>
        <v>2025</v>
      </c>
      <c r="F2640" s="11">
        <f t="shared" si="165"/>
        <v>12</v>
      </c>
      <c r="G2640" s="11" t="str">
        <f t="shared" si="166"/>
        <v>202512</v>
      </c>
      <c r="H2640" s="4">
        <v>46082</v>
      </c>
      <c r="I2640" s="5">
        <v>61</v>
      </c>
      <c r="J2640" s="5">
        <v>2.0333333333333332</v>
      </c>
      <c r="K2640" s="5">
        <f t="shared" si="167"/>
        <v>0</v>
      </c>
      <c r="L2640" s="5">
        <v>1</v>
      </c>
      <c r="M2640" s="5">
        <v>1</v>
      </c>
      <c r="N2640" t="s">
        <v>12</v>
      </c>
      <c r="O2640" s="8">
        <v>20.301369863013697</v>
      </c>
      <c r="P2640" t="s">
        <v>32</v>
      </c>
      <c r="Q2640">
        <v>1</v>
      </c>
      <c r="R2640" s="2">
        <v>38611</v>
      </c>
    </row>
    <row r="2641" spans="1:18" x14ac:dyDescent="0.3">
      <c r="A2641" t="s">
        <v>7</v>
      </c>
      <c r="B2641">
        <v>18992132</v>
      </c>
      <c r="C2641" t="s">
        <v>10</v>
      </c>
      <c r="D2641" s="4">
        <v>46024</v>
      </c>
      <c r="E2641" s="11">
        <f t="shared" si="164"/>
        <v>2026</v>
      </c>
      <c r="F2641" s="11">
        <f t="shared" si="165"/>
        <v>1</v>
      </c>
      <c r="G2641" s="11" t="str">
        <f t="shared" si="166"/>
        <v>202601</v>
      </c>
      <c r="I2641" s="5">
        <v>9999</v>
      </c>
      <c r="J2641" s="5">
        <v>333.3</v>
      </c>
      <c r="K2641" s="5">
        <f t="shared" si="167"/>
        <v>0</v>
      </c>
      <c r="L2641" s="5">
        <v>0</v>
      </c>
      <c r="M2641" s="5">
        <v>0</v>
      </c>
      <c r="N2641" t="s">
        <v>9</v>
      </c>
      <c r="O2641" s="8">
        <v>22.6</v>
      </c>
      <c r="P2641" t="s">
        <v>33</v>
      </c>
      <c r="Q2641">
        <v>2</v>
      </c>
      <c r="R2641" s="2">
        <v>37775</v>
      </c>
    </row>
    <row r="2642" spans="1:18" x14ac:dyDescent="0.3">
      <c r="A2642" t="s">
        <v>7</v>
      </c>
      <c r="B2642">
        <v>18992140</v>
      </c>
      <c r="C2642" t="s">
        <v>8</v>
      </c>
      <c r="D2642" s="4">
        <v>46024</v>
      </c>
      <c r="E2642" s="11">
        <f t="shared" si="164"/>
        <v>2026</v>
      </c>
      <c r="F2642" s="11">
        <f t="shared" si="165"/>
        <v>1</v>
      </c>
      <c r="G2642" s="11" t="str">
        <f t="shared" si="166"/>
        <v>202601</v>
      </c>
      <c r="H2642" s="4">
        <v>46091</v>
      </c>
      <c r="I2642" s="5">
        <v>67</v>
      </c>
      <c r="J2642" s="5">
        <v>2.2333333333333334</v>
      </c>
      <c r="K2642" s="5">
        <f t="shared" si="167"/>
        <v>0</v>
      </c>
      <c r="L2642" s="5">
        <v>1</v>
      </c>
      <c r="M2642" s="5">
        <v>1</v>
      </c>
      <c r="N2642" t="s">
        <v>9</v>
      </c>
      <c r="O2642" s="8">
        <v>24.624657534246577</v>
      </c>
      <c r="P2642" t="s">
        <v>33</v>
      </c>
      <c r="Q2642">
        <v>2</v>
      </c>
      <c r="R2642" s="2">
        <v>37036</v>
      </c>
    </row>
    <row r="2643" spans="1:18" x14ac:dyDescent="0.3">
      <c r="A2643" t="s">
        <v>7</v>
      </c>
      <c r="B2643">
        <v>18992147</v>
      </c>
      <c r="C2643" t="s">
        <v>8</v>
      </c>
      <c r="D2643" s="4">
        <v>46024</v>
      </c>
      <c r="E2643" s="11">
        <f t="shared" si="164"/>
        <v>2026</v>
      </c>
      <c r="F2643" s="11">
        <f t="shared" si="165"/>
        <v>1</v>
      </c>
      <c r="G2643" s="11" t="str">
        <f t="shared" si="166"/>
        <v>202601</v>
      </c>
      <c r="H2643" s="4">
        <v>46128</v>
      </c>
      <c r="I2643" s="5">
        <v>104</v>
      </c>
      <c r="J2643" s="5">
        <v>3.4666666666666668</v>
      </c>
      <c r="K2643" s="5">
        <f t="shared" si="167"/>
        <v>0</v>
      </c>
      <c r="L2643" s="5">
        <v>0</v>
      </c>
      <c r="M2643" s="5">
        <v>1</v>
      </c>
      <c r="N2643" t="s">
        <v>9</v>
      </c>
      <c r="O2643" s="8">
        <v>18.734246575342464</v>
      </c>
      <c r="P2643" t="s">
        <v>32</v>
      </c>
      <c r="Q2643">
        <v>1</v>
      </c>
      <c r="R2643" s="2">
        <v>39186</v>
      </c>
    </row>
    <row r="2644" spans="1:18" x14ac:dyDescent="0.3">
      <c r="A2644" t="s">
        <v>7</v>
      </c>
      <c r="B2644">
        <v>18992152</v>
      </c>
      <c r="C2644" t="s">
        <v>10</v>
      </c>
      <c r="D2644" s="4">
        <v>46024</v>
      </c>
      <c r="E2644" s="11">
        <f t="shared" si="164"/>
        <v>2026</v>
      </c>
      <c r="F2644" s="11">
        <f t="shared" si="165"/>
        <v>1</v>
      </c>
      <c r="G2644" s="11" t="str">
        <f t="shared" si="166"/>
        <v>202601</v>
      </c>
      <c r="H2644" s="4">
        <v>46114</v>
      </c>
      <c r="I2644" s="5">
        <v>90</v>
      </c>
      <c r="J2644" s="5">
        <v>3</v>
      </c>
      <c r="K2644" s="5">
        <f t="shared" si="167"/>
        <v>0</v>
      </c>
      <c r="L2644" s="5">
        <v>1</v>
      </c>
      <c r="M2644" s="5">
        <v>1</v>
      </c>
      <c r="N2644" t="s">
        <v>9</v>
      </c>
      <c r="O2644" s="8">
        <v>20.416438356164385</v>
      </c>
      <c r="P2644" t="s">
        <v>32</v>
      </c>
      <c r="Q2644">
        <v>1</v>
      </c>
      <c r="R2644" s="2">
        <v>38572</v>
      </c>
    </row>
    <row r="2645" spans="1:18" x14ac:dyDescent="0.3">
      <c r="A2645" t="s">
        <v>7</v>
      </c>
      <c r="B2645">
        <v>18992153</v>
      </c>
      <c r="C2645" t="s">
        <v>8</v>
      </c>
      <c r="D2645" s="4">
        <v>46024</v>
      </c>
      <c r="E2645" s="11">
        <f t="shared" si="164"/>
        <v>2026</v>
      </c>
      <c r="F2645" s="11">
        <f t="shared" si="165"/>
        <v>1</v>
      </c>
      <c r="G2645" s="11" t="str">
        <f t="shared" si="166"/>
        <v>202601</v>
      </c>
      <c r="H2645" s="4">
        <v>46036</v>
      </c>
      <c r="I2645" s="5">
        <v>12</v>
      </c>
      <c r="J2645" s="5">
        <v>0.4</v>
      </c>
      <c r="K2645" s="5">
        <f t="shared" si="167"/>
        <v>1</v>
      </c>
      <c r="L2645" s="5">
        <v>1</v>
      </c>
      <c r="M2645" s="5">
        <v>1</v>
      </c>
      <c r="N2645" t="s">
        <v>9</v>
      </c>
      <c r="O2645" s="8">
        <v>40.31232876712329</v>
      </c>
      <c r="P2645" t="s">
        <v>35</v>
      </c>
      <c r="Q2645">
        <v>4</v>
      </c>
      <c r="R2645" s="2">
        <v>31310</v>
      </c>
    </row>
    <row r="2646" spans="1:18" x14ac:dyDescent="0.3">
      <c r="A2646" t="s">
        <v>7</v>
      </c>
      <c r="B2646">
        <v>18992154</v>
      </c>
      <c r="C2646" t="s">
        <v>8</v>
      </c>
      <c r="D2646" s="4">
        <v>46024</v>
      </c>
      <c r="E2646" s="11">
        <f t="shared" si="164"/>
        <v>2026</v>
      </c>
      <c r="F2646" s="11">
        <f t="shared" si="165"/>
        <v>1</v>
      </c>
      <c r="G2646" s="11" t="str">
        <f t="shared" si="166"/>
        <v>202601</v>
      </c>
      <c r="H2646" s="4">
        <v>46112</v>
      </c>
      <c r="I2646" s="5">
        <v>88</v>
      </c>
      <c r="J2646" s="5">
        <v>2.9333333333333331</v>
      </c>
      <c r="K2646" s="5">
        <f t="shared" si="167"/>
        <v>0</v>
      </c>
      <c r="L2646" s="5">
        <v>1</v>
      </c>
      <c r="M2646" s="5">
        <v>1</v>
      </c>
      <c r="N2646" t="s">
        <v>9</v>
      </c>
      <c r="O2646" s="8">
        <v>18.693150684931506</v>
      </c>
      <c r="P2646" t="s">
        <v>32</v>
      </c>
      <c r="Q2646">
        <v>1</v>
      </c>
      <c r="R2646" s="2">
        <v>39201</v>
      </c>
    </row>
    <row r="2647" spans="1:18" x14ac:dyDescent="0.3">
      <c r="A2647" t="s">
        <v>7</v>
      </c>
      <c r="B2647">
        <v>18992168</v>
      </c>
      <c r="C2647" t="s">
        <v>8</v>
      </c>
      <c r="D2647" s="4">
        <v>46024</v>
      </c>
      <c r="E2647" s="11">
        <f t="shared" si="164"/>
        <v>2026</v>
      </c>
      <c r="F2647" s="11">
        <f t="shared" si="165"/>
        <v>1</v>
      </c>
      <c r="G2647" s="11" t="str">
        <f t="shared" si="166"/>
        <v>202601</v>
      </c>
      <c r="I2647" s="5">
        <v>9999</v>
      </c>
      <c r="J2647" s="5">
        <v>333.3</v>
      </c>
      <c r="K2647" s="5">
        <f t="shared" si="167"/>
        <v>0</v>
      </c>
      <c r="L2647" s="5">
        <v>0</v>
      </c>
      <c r="M2647" s="5">
        <v>0</v>
      </c>
      <c r="N2647" t="s">
        <v>9</v>
      </c>
      <c r="O2647" s="8">
        <v>20.468493150684932</v>
      </c>
      <c r="P2647" t="s">
        <v>32</v>
      </c>
      <c r="Q2647">
        <v>1</v>
      </c>
      <c r="R2647" s="2">
        <v>38553</v>
      </c>
    </row>
    <row r="2648" spans="1:18" x14ac:dyDescent="0.3">
      <c r="A2648" t="s">
        <v>7</v>
      </c>
      <c r="B2648">
        <v>18992169</v>
      </c>
      <c r="C2648" t="s">
        <v>10</v>
      </c>
      <c r="D2648" s="4">
        <v>46024</v>
      </c>
      <c r="E2648" s="11">
        <f t="shared" si="164"/>
        <v>2026</v>
      </c>
      <c r="F2648" s="11">
        <f t="shared" si="165"/>
        <v>1</v>
      </c>
      <c r="G2648" s="11" t="str">
        <f t="shared" si="166"/>
        <v>202601</v>
      </c>
      <c r="I2648" s="5">
        <v>9999</v>
      </c>
      <c r="J2648" s="5">
        <v>333.3</v>
      </c>
      <c r="K2648" s="5">
        <f t="shared" si="167"/>
        <v>0</v>
      </c>
      <c r="L2648" s="5">
        <v>0</v>
      </c>
      <c r="M2648" s="5">
        <v>0</v>
      </c>
      <c r="N2648" t="s">
        <v>9</v>
      </c>
      <c r="O2648" s="8">
        <v>21.915068493150685</v>
      </c>
      <c r="P2648" t="s">
        <v>33</v>
      </c>
      <c r="Q2648">
        <v>2</v>
      </c>
      <c r="R2648" s="2">
        <v>38025</v>
      </c>
    </row>
    <row r="2649" spans="1:18" x14ac:dyDescent="0.3">
      <c r="A2649" t="s">
        <v>7</v>
      </c>
      <c r="B2649">
        <v>18992170</v>
      </c>
      <c r="C2649" t="s">
        <v>8</v>
      </c>
      <c r="D2649" s="4">
        <v>46024</v>
      </c>
      <c r="E2649" s="11">
        <f t="shared" si="164"/>
        <v>2026</v>
      </c>
      <c r="F2649" s="11">
        <f t="shared" si="165"/>
        <v>1</v>
      </c>
      <c r="G2649" s="11" t="str">
        <f t="shared" si="166"/>
        <v>202601</v>
      </c>
      <c r="I2649" s="5">
        <v>9999</v>
      </c>
      <c r="J2649" s="5">
        <v>333.3</v>
      </c>
      <c r="K2649" s="5">
        <f t="shared" si="167"/>
        <v>0</v>
      </c>
      <c r="L2649" s="5">
        <v>0</v>
      </c>
      <c r="M2649" s="5">
        <v>0</v>
      </c>
      <c r="N2649" t="s">
        <v>9</v>
      </c>
      <c r="O2649" s="8">
        <v>19.624657534246577</v>
      </c>
      <c r="P2649" t="s">
        <v>32</v>
      </c>
      <c r="Q2649">
        <v>1</v>
      </c>
      <c r="R2649" s="2">
        <v>38861</v>
      </c>
    </row>
    <row r="2650" spans="1:18" x14ac:dyDescent="0.3">
      <c r="A2650" t="s">
        <v>7</v>
      </c>
      <c r="B2650">
        <v>18992171</v>
      </c>
      <c r="C2650" t="s">
        <v>8</v>
      </c>
      <c r="D2650" s="4">
        <v>46024</v>
      </c>
      <c r="E2650" s="11">
        <f t="shared" si="164"/>
        <v>2026</v>
      </c>
      <c r="F2650" s="11">
        <f t="shared" si="165"/>
        <v>1</v>
      </c>
      <c r="G2650" s="11" t="str">
        <f t="shared" si="166"/>
        <v>202601</v>
      </c>
      <c r="H2650" s="4">
        <v>46028</v>
      </c>
      <c r="I2650" s="5">
        <v>4</v>
      </c>
      <c r="J2650" s="5">
        <v>0.13333333333333333</v>
      </c>
      <c r="K2650" s="5">
        <f t="shared" si="167"/>
        <v>1</v>
      </c>
      <c r="L2650" s="5">
        <v>1</v>
      </c>
      <c r="M2650" s="5">
        <v>1</v>
      </c>
      <c r="N2650" t="s">
        <v>9</v>
      </c>
      <c r="O2650" s="8">
        <v>19.347945205479451</v>
      </c>
      <c r="P2650" t="s">
        <v>32</v>
      </c>
      <c r="Q2650">
        <v>1</v>
      </c>
      <c r="R2650" s="2">
        <v>38962</v>
      </c>
    </row>
    <row r="2651" spans="1:18" x14ac:dyDescent="0.3">
      <c r="A2651" t="s">
        <v>7</v>
      </c>
      <c r="B2651">
        <v>18992172</v>
      </c>
      <c r="C2651" t="s">
        <v>8</v>
      </c>
      <c r="D2651" s="4">
        <v>46024</v>
      </c>
      <c r="E2651" s="11">
        <f t="shared" si="164"/>
        <v>2026</v>
      </c>
      <c r="F2651" s="11">
        <f t="shared" si="165"/>
        <v>1</v>
      </c>
      <c r="G2651" s="11" t="str">
        <f t="shared" si="166"/>
        <v>202601</v>
      </c>
      <c r="H2651" s="4">
        <v>46081</v>
      </c>
      <c r="I2651" s="5">
        <v>57</v>
      </c>
      <c r="J2651" s="5">
        <v>1.9</v>
      </c>
      <c r="K2651" s="5">
        <f t="shared" si="167"/>
        <v>0</v>
      </c>
      <c r="L2651" s="5">
        <v>1</v>
      </c>
      <c r="M2651" s="5">
        <v>1</v>
      </c>
      <c r="N2651" t="s">
        <v>9</v>
      </c>
      <c r="O2651" s="8">
        <v>20.849315068493151</v>
      </c>
      <c r="P2651" t="s">
        <v>32</v>
      </c>
      <c r="Q2651">
        <v>1</v>
      </c>
      <c r="R2651" s="2">
        <v>38414</v>
      </c>
    </row>
    <row r="2652" spans="1:18" x14ac:dyDescent="0.3">
      <c r="A2652" t="s">
        <v>7</v>
      </c>
      <c r="B2652">
        <v>18992174</v>
      </c>
      <c r="C2652" t="s">
        <v>10</v>
      </c>
      <c r="D2652" s="4">
        <v>46024</v>
      </c>
      <c r="E2652" s="11">
        <f t="shared" si="164"/>
        <v>2026</v>
      </c>
      <c r="F2652" s="11">
        <f t="shared" si="165"/>
        <v>1</v>
      </c>
      <c r="G2652" s="11" t="str">
        <f t="shared" si="166"/>
        <v>202601</v>
      </c>
      <c r="H2652" s="4">
        <v>46054</v>
      </c>
      <c r="I2652" s="5">
        <v>30</v>
      </c>
      <c r="J2652" s="5">
        <v>1</v>
      </c>
      <c r="K2652" s="5">
        <f t="shared" si="167"/>
        <v>1</v>
      </c>
      <c r="L2652" s="5">
        <v>1</v>
      </c>
      <c r="M2652" s="5">
        <v>1</v>
      </c>
      <c r="N2652" t="s">
        <v>9</v>
      </c>
      <c r="O2652" s="8">
        <v>20.624657534246577</v>
      </c>
      <c r="P2652" t="s">
        <v>32</v>
      </c>
      <c r="Q2652">
        <v>1</v>
      </c>
      <c r="R2652" s="2">
        <v>38496</v>
      </c>
    </row>
    <row r="2653" spans="1:18" x14ac:dyDescent="0.3">
      <c r="A2653" t="s">
        <v>7</v>
      </c>
      <c r="B2653">
        <v>18992177</v>
      </c>
      <c r="C2653" t="s">
        <v>8</v>
      </c>
      <c r="D2653" s="4">
        <v>46024</v>
      </c>
      <c r="E2653" s="11">
        <f t="shared" si="164"/>
        <v>2026</v>
      </c>
      <c r="F2653" s="11">
        <f t="shared" si="165"/>
        <v>1</v>
      </c>
      <c r="G2653" s="11" t="str">
        <f t="shared" si="166"/>
        <v>202601</v>
      </c>
      <c r="I2653" s="5">
        <v>9999</v>
      </c>
      <c r="J2653" s="5">
        <v>333.3</v>
      </c>
      <c r="K2653" s="5">
        <f t="shared" si="167"/>
        <v>0</v>
      </c>
      <c r="L2653" s="5">
        <v>0</v>
      </c>
      <c r="M2653" s="5">
        <v>0</v>
      </c>
      <c r="N2653" t="s">
        <v>9</v>
      </c>
      <c r="O2653" s="8">
        <v>21.221917808219178</v>
      </c>
      <c r="P2653" t="s">
        <v>33</v>
      </c>
      <c r="Q2653">
        <v>2</v>
      </c>
      <c r="R2653" s="2">
        <v>38278</v>
      </c>
    </row>
    <row r="2654" spans="1:18" x14ac:dyDescent="0.3">
      <c r="A2654" t="s">
        <v>7</v>
      </c>
      <c r="B2654">
        <v>18992178</v>
      </c>
      <c r="C2654" t="s">
        <v>8</v>
      </c>
      <c r="D2654" s="4">
        <v>46024</v>
      </c>
      <c r="E2654" s="11">
        <f t="shared" si="164"/>
        <v>2026</v>
      </c>
      <c r="F2654" s="11">
        <f t="shared" si="165"/>
        <v>1</v>
      </c>
      <c r="G2654" s="11" t="str">
        <f t="shared" si="166"/>
        <v>202601</v>
      </c>
      <c r="H2654" s="4">
        <v>46142</v>
      </c>
      <c r="I2654" s="5">
        <v>118</v>
      </c>
      <c r="J2654" s="5">
        <v>3.9333333333333331</v>
      </c>
      <c r="K2654" s="5">
        <f t="shared" si="167"/>
        <v>0</v>
      </c>
      <c r="L2654" s="5">
        <v>0</v>
      </c>
      <c r="M2654" s="5">
        <v>1</v>
      </c>
      <c r="N2654" t="s">
        <v>9</v>
      </c>
      <c r="O2654" s="8">
        <v>18.339726027397262</v>
      </c>
      <c r="P2654" t="s">
        <v>32</v>
      </c>
      <c r="Q2654">
        <v>1</v>
      </c>
      <c r="R2654" s="2">
        <v>39330</v>
      </c>
    </row>
    <row r="2655" spans="1:18" x14ac:dyDescent="0.3">
      <c r="A2655" t="s">
        <v>7</v>
      </c>
      <c r="B2655">
        <v>18992237</v>
      </c>
      <c r="C2655" t="s">
        <v>8</v>
      </c>
      <c r="D2655" s="4">
        <v>46024</v>
      </c>
      <c r="E2655" s="11">
        <f t="shared" si="164"/>
        <v>2026</v>
      </c>
      <c r="F2655" s="11">
        <f t="shared" si="165"/>
        <v>1</v>
      </c>
      <c r="G2655" s="11" t="str">
        <f t="shared" si="166"/>
        <v>202601</v>
      </c>
      <c r="I2655" s="5">
        <v>9999</v>
      </c>
      <c r="J2655" s="5">
        <v>333.3</v>
      </c>
      <c r="K2655" s="5">
        <f t="shared" si="167"/>
        <v>0</v>
      </c>
      <c r="L2655" s="5">
        <v>0</v>
      </c>
      <c r="M2655" s="5">
        <v>0</v>
      </c>
      <c r="N2655" t="s">
        <v>9</v>
      </c>
      <c r="O2655" s="8">
        <v>18.75068493150685</v>
      </c>
      <c r="P2655" t="s">
        <v>32</v>
      </c>
      <c r="Q2655">
        <v>1</v>
      </c>
      <c r="R2655" s="2">
        <v>39180</v>
      </c>
    </row>
    <row r="2656" spans="1:18" x14ac:dyDescent="0.3">
      <c r="A2656" t="s">
        <v>7</v>
      </c>
      <c r="B2656">
        <v>18992242</v>
      </c>
      <c r="C2656" t="s">
        <v>10</v>
      </c>
      <c r="D2656" s="4">
        <v>46024</v>
      </c>
      <c r="E2656" s="11">
        <f t="shared" si="164"/>
        <v>2026</v>
      </c>
      <c r="F2656" s="11">
        <f t="shared" si="165"/>
        <v>1</v>
      </c>
      <c r="G2656" s="11" t="str">
        <f t="shared" si="166"/>
        <v>202601</v>
      </c>
      <c r="H2656" s="4">
        <v>46096</v>
      </c>
      <c r="I2656" s="5">
        <v>72</v>
      </c>
      <c r="J2656" s="5">
        <v>2.4</v>
      </c>
      <c r="K2656" s="5">
        <f t="shared" si="167"/>
        <v>0</v>
      </c>
      <c r="L2656" s="5">
        <v>1</v>
      </c>
      <c r="M2656" s="5">
        <v>1</v>
      </c>
      <c r="N2656" t="s">
        <v>9</v>
      </c>
      <c r="O2656" s="8">
        <v>19.136986301369863</v>
      </c>
      <c r="P2656" t="s">
        <v>32</v>
      </c>
      <c r="Q2656">
        <v>1</v>
      </c>
      <c r="R2656" s="2">
        <v>39039</v>
      </c>
    </row>
    <row r="2657" spans="1:18" x14ac:dyDescent="0.3">
      <c r="A2657" t="s">
        <v>7</v>
      </c>
      <c r="B2657">
        <v>18992316</v>
      </c>
      <c r="C2657" t="s">
        <v>8</v>
      </c>
      <c r="D2657" s="4">
        <v>46024</v>
      </c>
      <c r="E2657" s="11">
        <f t="shared" si="164"/>
        <v>2026</v>
      </c>
      <c r="F2657" s="11">
        <f t="shared" si="165"/>
        <v>1</v>
      </c>
      <c r="G2657" s="11" t="str">
        <f t="shared" si="166"/>
        <v>202601</v>
      </c>
      <c r="H2657" s="4">
        <v>46113</v>
      </c>
      <c r="I2657" s="5">
        <v>89</v>
      </c>
      <c r="J2657" s="5">
        <v>2.9666666666666668</v>
      </c>
      <c r="K2657" s="5">
        <f t="shared" si="167"/>
        <v>0</v>
      </c>
      <c r="L2657" s="5">
        <v>1</v>
      </c>
      <c r="M2657" s="5">
        <v>1</v>
      </c>
      <c r="N2657" t="s">
        <v>12</v>
      </c>
      <c r="O2657" s="8">
        <v>21.813698630136987</v>
      </c>
      <c r="P2657" t="s">
        <v>33</v>
      </c>
      <c r="Q2657">
        <v>2</v>
      </c>
      <c r="R2657" s="2">
        <v>38062</v>
      </c>
    </row>
    <row r="2658" spans="1:18" x14ac:dyDescent="0.3">
      <c r="A2658" t="s">
        <v>7</v>
      </c>
      <c r="B2658">
        <v>18992369</v>
      </c>
      <c r="C2658" t="s">
        <v>10</v>
      </c>
      <c r="D2658" s="4">
        <v>46024</v>
      </c>
      <c r="E2658" s="11">
        <f t="shared" si="164"/>
        <v>2026</v>
      </c>
      <c r="F2658" s="11">
        <f t="shared" si="165"/>
        <v>1</v>
      </c>
      <c r="G2658" s="11" t="str">
        <f t="shared" si="166"/>
        <v>202601</v>
      </c>
      <c r="H2658" s="4">
        <v>46142</v>
      </c>
      <c r="I2658" s="5">
        <v>118</v>
      </c>
      <c r="J2658" s="5">
        <v>3.9333333333333331</v>
      </c>
      <c r="K2658" s="5">
        <f t="shared" si="167"/>
        <v>0</v>
      </c>
      <c r="L2658" s="5">
        <v>0</v>
      </c>
      <c r="M2658" s="5">
        <v>1</v>
      </c>
      <c r="N2658" t="s">
        <v>9</v>
      </c>
      <c r="O2658" s="8">
        <v>20.857534246575341</v>
      </c>
      <c r="P2658" t="s">
        <v>32</v>
      </c>
      <c r="Q2658">
        <v>1</v>
      </c>
      <c r="R2658" s="2">
        <v>38411</v>
      </c>
    </row>
    <row r="2659" spans="1:18" x14ac:dyDescent="0.3">
      <c r="A2659" t="s">
        <v>7</v>
      </c>
      <c r="B2659">
        <v>18992374</v>
      </c>
      <c r="C2659" t="s">
        <v>8</v>
      </c>
      <c r="D2659" s="4">
        <v>46024</v>
      </c>
      <c r="E2659" s="11">
        <f t="shared" si="164"/>
        <v>2026</v>
      </c>
      <c r="F2659" s="11">
        <f t="shared" si="165"/>
        <v>1</v>
      </c>
      <c r="G2659" s="11" t="str">
        <f t="shared" si="166"/>
        <v>202601</v>
      </c>
      <c r="I2659" s="5">
        <v>9999</v>
      </c>
      <c r="J2659" s="5">
        <v>333.3</v>
      </c>
      <c r="K2659" s="5">
        <f t="shared" si="167"/>
        <v>0</v>
      </c>
      <c r="L2659" s="5">
        <v>0</v>
      </c>
      <c r="M2659" s="5">
        <v>0</v>
      </c>
      <c r="N2659" t="s">
        <v>9</v>
      </c>
      <c r="O2659" s="8">
        <v>19.227397260273971</v>
      </c>
      <c r="P2659" t="s">
        <v>32</v>
      </c>
      <c r="Q2659">
        <v>1</v>
      </c>
      <c r="R2659" s="2">
        <v>39006</v>
      </c>
    </row>
    <row r="2660" spans="1:18" x14ac:dyDescent="0.3">
      <c r="A2660" t="s">
        <v>7</v>
      </c>
      <c r="B2660">
        <v>18992402</v>
      </c>
      <c r="C2660" t="s">
        <v>8</v>
      </c>
      <c r="D2660" s="4">
        <v>46024</v>
      </c>
      <c r="E2660" s="11">
        <f t="shared" si="164"/>
        <v>2026</v>
      </c>
      <c r="F2660" s="11">
        <f t="shared" si="165"/>
        <v>1</v>
      </c>
      <c r="G2660" s="11" t="str">
        <f t="shared" si="166"/>
        <v>202601</v>
      </c>
      <c r="I2660" s="5">
        <v>9999</v>
      </c>
      <c r="J2660" s="5">
        <v>333.3</v>
      </c>
      <c r="K2660" s="5">
        <f t="shared" si="167"/>
        <v>0</v>
      </c>
      <c r="L2660" s="5">
        <v>0</v>
      </c>
      <c r="M2660" s="5">
        <v>0</v>
      </c>
      <c r="N2660" t="s">
        <v>9</v>
      </c>
      <c r="O2660" s="8">
        <v>58.802739726027397</v>
      </c>
      <c r="P2660" t="s">
        <v>35</v>
      </c>
      <c r="Q2660">
        <v>4</v>
      </c>
      <c r="R2660" s="2">
        <v>24561</v>
      </c>
    </row>
    <row r="2661" spans="1:18" x14ac:dyDescent="0.3">
      <c r="A2661" t="s">
        <v>7</v>
      </c>
      <c r="B2661">
        <v>18993521</v>
      </c>
      <c r="C2661" t="s">
        <v>10</v>
      </c>
      <c r="D2661" s="4">
        <v>46030</v>
      </c>
      <c r="E2661" s="11">
        <f t="shared" si="164"/>
        <v>2026</v>
      </c>
      <c r="F2661" s="11">
        <f t="shared" si="165"/>
        <v>1</v>
      </c>
      <c r="G2661" s="11" t="str">
        <f t="shared" si="166"/>
        <v>202601</v>
      </c>
      <c r="H2661" s="4">
        <v>46112</v>
      </c>
      <c r="I2661" s="5">
        <v>82</v>
      </c>
      <c r="J2661" s="5">
        <v>2.7333333333333334</v>
      </c>
      <c r="K2661" s="5">
        <f t="shared" si="167"/>
        <v>0</v>
      </c>
      <c r="L2661" s="5">
        <v>1</v>
      </c>
      <c r="M2661" s="5">
        <v>1</v>
      </c>
      <c r="N2661" t="s">
        <v>12</v>
      </c>
      <c r="O2661" s="8">
        <v>19.301369863013697</v>
      </c>
      <c r="P2661" t="s">
        <v>32</v>
      </c>
      <c r="Q2661">
        <v>1</v>
      </c>
      <c r="R2661" s="2">
        <v>38985</v>
      </c>
    </row>
    <row r="2662" spans="1:18" x14ac:dyDescent="0.3">
      <c r="A2662" t="s">
        <v>7</v>
      </c>
      <c r="B2662">
        <v>18993526</v>
      </c>
      <c r="C2662" t="s">
        <v>8</v>
      </c>
      <c r="D2662" s="4">
        <v>46030</v>
      </c>
      <c r="E2662" s="11">
        <f t="shared" si="164"/>
        <v>2026</v>
      </c>
      <c r="F2662" s="11">
        <f t="shared" si="165"/>
        <v>1</v>
      </c>
      <c r="G2662" s="11" t="str">
        <f t="shared" si="166"/>
        <v>202601</v>
      </c>
      <c r="H2662" s="4">
        <v>46173</v>
      </c>
      <c r="I2662" s="5">
        <v>143</v>
      </c>
      <c r="J2662" s="5">
        <v>4.7666666666666666</v>
      </c>
      <c r="K2662" s="5">
        <f t="shared" si="167"/>
        <v>0</v>
      </c>
      <c r="L2662" s="5">
        <v>0</v>
      </c>
      <c r="M2662" s="5">
        <v>1</v>
      </c>
      <c r="N2662" t="s">
        <v>12</v>
      </c>
      <c r="O2662" s="8">
        <v>19.43013698630137</v>
      </c>
      <c r="P2662" t="s">
        <v>32</v>
      </c>
      <c r="Q2662">
        <v>1</v>
      </c>
      <c r="R2662" s="2">
        <v>38938</v>
      </c>
    </row>
    <row r="2663" spans="1:18" x14ac:dyDescent="0.3">
      <c r="A2663" t="s">
        <v>7</v>
      </c>
      <c r="B2663">
        <v>18993712</v>
      </c>
      <c r="C2663" t="s">
        <v>10</v>
      </c>
      <c r="D2663" s="4">
        <v>46031</v>
      </c>
      <c r="E2663" s="11">
        <f t="shared" si="164"/>
        <v>2026</v>
      </c>
      <c r="F2663" s="11">
        <f t="shared" si="165"/>
        <v>1</v>
      </c>
      <c r="G2663" s="11" t="str">
        <f t="shared" si="166"/>
        <v>202601</v>
      </c>
      <c r="H2663" s="4">
        <v>46142</v>
      </c>
      <c r="I2663" s="5">
        <v>111</v>
      </c>
      <c r="J2663" s="5">
        <v>3.7</v>
      </c>
      <c r="K2663" s="5">
        <f t="shared" si="167"/>
        <v>0</v>
      </c>
      <c r="L2663" s="5">
        <v>0</v>
      </c>
      <c r="M2663" s="5">
        <v>1</v>
      </c>
      <c r="N2663" t="s">
        <v>9</v>
      </c>
      <c r="O2663" s="8">
        <v>19.232876712328768</v>
      </c>
      <c r="P2663" t="s">
        <v>32</v>
      </c>
      <c r="Q2663">
        <v>1</v>
      </c>
      <c r="R2663" s="2">
        <v>39011</v>
      </c>
    </row>
    <row r="2664" spans="1:18" x14ac:dyDescent="0.3">
      <c r="A2664" t="s">
        <v>7</v>
      </c>
      <c r="B2664">
        <v>18993713</v>
      </c>
      <c r="C2664" t="s">
        <v>10</v>
      </c>
      <c r="D2664" s="4">
        <v>46031</v>
      </c>
      <c r="E2664" s="11">
        <f t="shared" si="164"/>
        <v>2026</v>
      </c>
      <c r="F2664" s="11">
        <f t="shared" si="165"/>
        <v>1</v>
      </c>
      <c r="G2664" s="11" t="str">
        <f t="shared" si="166"/>
        <v>202601</v>
      </c>
      <c r="I2664" s="5">
        <v>9999</v>
      </c>
      <c r="J2664" s="5">
        <v>333.3</v>
      </c>
      <c r="K2664" s="5">
        <f t="shared" si="167"/>
        <v>0</v>
      </c>
      <c r="L2664" s="5">
        <v>0</v>
      </c>
      <c r="M2664" s="5">
        <v>0</v>
      </c>
      <c r="N2664" t="s">
        <v>9</v>
      </c>
      <c r="O2664" s="8">
        <v>20.230136986301371</v>
      </c>
      <c r="P2664" t="s">
        <v>32</v>
      </c>
      <c r="Q2664">
        <v>1</v>
      </c>
      <c r="R2664" s="2">
        <v>38647</v>
      </c>
    </row>
    <row r="2665" spans="1:18" x14ac:dyDescent="0.3">
      <c r="A2665" t="s">
        <v>7</v>
      </c>
      <c r="B2665">
        <v>18993714</v>
      </c>
      <c r="C2665" t="s">
        <v>8</v>
      </c>
      <c r="D2665" s="4">
        <v>46031</v>
      </c>
      <c r="E2665" s="11">
        <f t="shared" si="164"/>
        <v>2026</v>
      </c>
      <c r="F2665" s="11">
        <f t="shared" si="165"/>
        <v>1</v>
      </c>
      <c r="G2665" s="11" t="str">
        <f t="shared" si="166"/>
        <v>202601</v>
      </c>
      <c r="H2665" s="4">
        <v>46122</v>
      </c>
      <c r="I2665" s="5">
        <v>91</v>
      </c>
      <c r="J2665" s="5">
        <v>3.0333333333333332</v>
      </c>
      <c r="K2665" s="5">
        <f t="shared" si="167"/>
        <v>0</v>
      </c>
      <c r="L2665" s="5">
        <v>0</v>
      </c>
      <c r="M2665" s="5">
        <v>1</v>
      </c>
      <c r="N2665" t="s">
        <v>9</v>
      </c>
      <c r="O2665" s="8">
        <v>19.608219178082191</v>
      </c>
      <c r="P2665" t="s">
        <v>32</v>
      </c>
      <c r="Q2665">
        <v>1</v>
      </c>
      <c r="R2665" s="2">
        <v>38874</v>
      </c>
    </row>
    <row r="2666" spans="1:18" x14ac:dyDescent="0.3">
      <c r="A2666" t="s">
        <v>7</v>
      </c>
      <c r="B2666">
        <v>18993742</v>
      </c>
      <c r="C2666" t="s">
        <v>8</v>
      </c>
      <c r="D2666" s="4">
        <v>46031</v>
      </c>
      <c r="E2666" s="11">
        <f t="shared" si="164"/>
        <v>2026</v>
      </c>
      <c r="F2666" s="11">
        <f t="shared" si="165"/>
        <v>1</v>
      </c>
      <c r="G2666" s="11" t="str">
        <f t="shared" si="166"/>
        <v>202601</v>
      </c>
      <c r="H2666" s="4">
        <v>46112</v>
      </c>
      <c r="I2666" s="5">
        <v>81</v>
      </c>
      <c r="J2666" s="5">
        <v>2.7</v>
      </c>
      <c r="K2666" s="5">
        <f t="shared" si="167"/>
        <v>0</v>
      </c>
      <c r="L2666" s="5">
        <v>1</v>
      </c>
      <c r="M2666" s="5">
        <v>1</v>
      </c>
      <c r="N2666" t="s">
        <v>9</v>
      </c>
      <c r="O2666" s="8">
        <v>19.93972602739726</v>
      </c>
      <c r="P2666" t="s">
        <v>32</v>
      </c>
      <c r="Q2666">
        <v>1</v>
      </c>
      <c r="R2666" s="2">
        <v>38753</v>
      </c>
    </row>
    <row r="2667" spans="1:18" x14ac:dyDescent="0.3">
      <c r="A2667" t="s">
        <v>7</v>
      </c>
      <c r="B2667">
        <v>18993745</v>
      </c>
      <c r="C2667" t="s">
        <v>10</v>
      </c>
      <c r="D2667" s="4">
        <v>46031</v>
      </c>
      <c r="E2667" s="11">
        <f t="shared" si="164"/>
        <v>2026</v>
      </c>
      <c r="F2667" s="11">
        <f t="shared" si="165"/>
        <v>1</v>
      </c>
      <c r="G2667" s="11" t="str">
        <f t="shared" si="166"/>
        <v>202601</v>
      </c>
      <c r="I2667" s="5">
        <v>9999</v>
      </c>
      <c r="J2667" s="5">
        <v>333.3</v>
      </c>
      <c r="K2667" s="5">
        <f t="shared" si="167"/>
        <v>0</v>
      </c>
      <c r="L2667" s="5">
        <v>0</v>
      </c>
      <c r="M2667" s="5">
        <v>0</v>
      </c>
      <c r="N2667" t="s">
        <v>9</v>
      </c>
      <c r="O2667" s="8">
        <v>18.306849315068494</v>
      </c>
      <c r="P2667" t="s">
        <v>32</v>
      </c>
      <c r="Q2667">
        <v>1</v>
      </c>
      <c r="R2667" s="2">
        <v>39349</v>
      </c>
    </row>
    <row r="2668" spans="1:18" x14ac:dyDescent="0.3">
      <c r="A2668" t="s">
        <v>7</v>
      </c>
      <c r="B2668">
        <v>18993747</v>
      </c>
      <c r="C2668" t="s">
        <v>8</v>
      </c>
      <c r="D2668" s="4">
        <v>46031</v>
      </c>
      <c r="E2668" s="11">
        <f t="shared" si="164"/>
        <v>2026</v>
      </c>
      <c r="F2668" s="11">
        <f t="shared" si="165"/>
        <v>1</v>
      </c>
      <c r="G2668" s="11" t="str">
        <f t="shared" si="166"/>
        <v>202601</v>
      </c>
      <c r="H2668" s="4">
        <v>46121</v>
      </c>
      <c r="I2668" s="5">
        <v>90</v>
      </c>
      <c r="J2668" s="5">
        <v>3</v>
      </c>
      <c r="K2668" s="5">
        <f t="shared" si="167"/>
        <v>0</v>
      </c>
      <c r="L2668" s="5">
        <v>1</v>
      </c>
      <c r="M2668" s="5">
        <v>1</v>
      </c>
      <c r="N2668" t="s">
        <v>9</v>
      </c>
      <c r="O2668" s="8">
        <v>18.961643835616439</v>
      </c>
      <c r="P2668" t="s">
        <v>32</v>
      </c>
      <c r="Q2668">
        <v>1</v>
      </c>
      <c r="R2668" s="2">
        <v>39110</v>
      </c>
    </row>
    <row r="2669" spans="1:18" x14ac:dyDescent="0.3">
      <c r="A2669" t="s">
        <v>7</v>
      </c>
      <c r="B2669">
        <v>18993748</v>
      </c>
      <c r="C2669" t="s">
        <v>8</v>
      </c>
      <c r="D2669" s="4">
        <v>46031</v>
      </c>
      <c r="E2669" s="11">
        <f t="shared" si="164"/>
        <v>2026</v>
      </c>
      <c r="F2669" s="11">
        <f t="shared" si="165"/>
        <v>1</v>
      </c>
      <c r="G2669" s="11" t="str">
        <f t="shared" si="166"/>
        <v>202601</v>
      </c>
      <c r="H2669" s="4">
        <v>46146</v>
      </c>
      <c r="I2669" s="5">
        <v>115</v>
      </c>
      <c r="J2669" s="5">
        <v>3.8333333333333335</v>
      </c>
      <c r="K2669" s="5">
        <f t="shared" si="167"/>
        <v>0</v>
      </c>
      <c r="L2669" s="5">
        <v>0</v>
      </c>
      <c r="M2669" s="5">
        <v>1</v>
      </c>
      <c r="N2669" t="s">
        <v>9</v>
      </c>
      <c r="O2669" s="8">
        <v>21.232876712328768</v>
      </c>
      <c r="P2669" t="s">
        <v>33</v>
      </c>
      <c r="Q2669">
        <v>2</v>
      </c>
      <c r="R2669" s="2">
        <v>38281</v>
      </c>
    </row>
    <row r="2670" spans="1:18" x14ac:dyDescent="0.3">
      <c r="A2670" t="s">
        <v>7</v>
      </c>
      <c r="B2670">
        <v>18993750</v>
      </c>
      <c r="C2670" t="s">
        <v>10</v>
      </c>
      <c r="D2670" s="4">
        <v>46031</v>
      </c>
      <c r="E2670" s="11">
        <f t="shared" si="164"/>
        <v>2026</v>
      </c>
      <c r="F2670" s="11">
        <f t="shared" si="165"/>
        <v>1</v>
      </c>
      <c r="G2670" s="11" t="str">
        <f t="shared" si="166"/>
        <v>202601</v>
      </c>
      <c r="I2670" s="5">
        <v>9999</v>
      </c>
      <c r="J2670" s="5">
        <v>333.3</v>
      </c>
      <c r="K2670" s="5">
        <f t="shared" si="167"/>
        <v>0</v>
      </c>
      <c r="L2670" s="5">
        <v>0</v>
      </c>
      <c r="M2670" s="5">
        <v>0</v>
      </c>
      <c r="N2670" t="s">
        <v>9</v>
      </c>
      <c r="O2670" s="8">
        <v>19.484931506849314</v>
      </c>
      <c r="P2670" t="s">
        <v>32</v>
      </c>
      <c r="Q2670">
        <v>1</v>
      </c>
      <c r="R2670" s="2">
        <v>38919</v>
      </c>
    </row>
    <row r="2671" spans="1:18" x14ac:dyDescent="0.3">
      <c r="A2671" t="s">
        <v>7</v>
      </c>
      <c r="B2671">
        <v>18993754</v>
      </c>
      <c r="C2671" t="s">
        <v>8</v>
      </c>
      <c r="D2671" s="4">
        <v>46031</v>
      </c>
      <c r="E2671" s="11">
        <f t="shared" si="164"/>
        <v>2026</v>
      </c>
      <c r="F2671" s="11">
        <f t="shared" si="165"/>
        <v>1</v>
      </c>
      <c r="G2671" s="11" t="str">
        <f t="shared" si="166"/>
        <v>202601</v>
      </c>
      <c r="H2671" s="4">
        <v>46172</v>
      </c>
      <c r="I2671" s="5">
        <v>141</v>
      </c>
      <c r="J2671" s="5">
        <v>4.7</v>
      </c>
      <c r="K2671" s="5">
        <f t="shared" si="167"/>
        <v>0</v>
      </c>
      <c r="L2671" s="5">
        <v>0</v>
      </c>
      <c r="M2671" s="5">
        <v>1</v>
      </c>
      <c r="N2671" t="s">
        <v>12</v>
      </c>
      <c r="O2671" s="8">
        <v>21.515068493150686</v>
      </c>
      <c r="P2671" t="s">
        <v>33</v>
      </c>
      <c r="Q2671">
        <v>2</v>
      </c>
      <c r="R2671" s="2">
        <v>38178</v>
      </c>
    </row>
    <row r="2672" spans="1:18" x14ac:dyDescent="0.3">
      <c r="A2672" t="s">
        <v>7</v>
      </c>
      <c r="B2672">
        <v>18993784</v>
      </c>
      <c r="C2672" t="s">
        <v>10</v>
      </c>
      <c r="D2672" s="4">
        <v>46031</v>
      </c>
      <c r="E2672" s="11">
        <f t="shared" si="164"/>
        <v>2026</v>
      </c>
      <c r="F2672" s="11">
        <f t="shared" si="165"/>
        <v>1</v>
      </c>
      <c r="G2672" s="11" t="str">
        <f t="shared" si="166"/>
        <v>202601</v>
      </c>
      <c r="H2672" s="4">
        <v>46113</v>
      </c>
      <c r="I2672" s="5">
        <v>82</v>
      </c>
      <c r="J2672" s="5">
        <v>2.7333333333333334</v>
      </c>
      <c r="K2672" s="5">
        <f t="shared" si="167"/>
        <v>0</v>
      </c>
      <c r="L2672" s="5">
        <v>1</v>
      </c>
      <c r="M2672" s="5">
        <v>1</v>
      </c>
      <c r="N2672" t="s">
        <v>9</v>
      </c>
      <c r="O2672" s="8">
        <v>21.06027397260274</v>
      </c>
      <c r="P2672" t="s">
        <v>33</v>
      </c>
      <c r="Q2672">
        <v>2</v>
      </c>
      <c r="R2672" s="2">
        <v>38344</v>
      </c>
    </row>
    <row r="2673" spans="1:18" x14ac:dyDescent="0.3">
      <c r="A2673" t="s">
        <v>7</v>
      </c>
      <c r="B2673">
        <v>18993786</v>
      </c>
      <c r="C2673" t="s">
        <v>10</v>
      </c>
      <c r="D2673" s="4">
        <v>46031</v>
      </c>
      <c r="E2673" s="11">
        <f t="shared" si="164"/>
        <v>2026</v>
      </c>
      <c r="F2673" s="11">
        <f t="shared" si="165"/>
        <v>1</v>
      </c>
      <c r="G2673" s="11" t="str">
        <f t="shared" si="166"/>
        <v>202601</v>
      </c>
      <c r="I2673" s="5">
        <v>9999</v>
      </c>
      <c r="J2673" s="5">
        <v>333.3</v>
      </c>
      <c r="K2673" s="5">
        <f t="shared" si="167"/>
        <v>0</v>
      </c>
      <c r="L2673" s="5">
        <v>0</v>
      </c>
      <c r="M2673" s="5">
        <v>0</v>
      </c>
      <c r="N2673" t="s">
        <v>9</v>
      </c>
      <c r="O2673" s="8">
        <v>21.205479452054796</v>
      </c>
      <c r="P2673" t="s">
        <v>33</v>
      </c>
      <c r="Q2673">
        <v>2</v>
      </c>
      <c r="R2673" s="2">
        <v>38291</v>
      </c>
    </row>
    <row r="2674" spans="1:18" x14ac:dyDescent="0.3">
      <c r="A2674" t="s">
        <v>7</v>
      </c>
      <c r="B2674">
        <v>18993789</v>
      </c>
      <c r="C2674" t="s">
        <v>8</v>
      </c>
      <c r="D2674" s="4">
        <v>46031</v>
      </c>
      <c r="E2674" s="11">
        <f t="shared" si="164"/>
        <v>2026</v>
      </c>
      <c r="F2674" s="11">
        <f t="shared" si="165"/>
        <v>1</v>
      </c>
      <c r="G2674" s="11" t="str">
        <f t="shared" si="166"/>
        <v>202601</v>
      </c>
      <c r="H2674" s="4">
        <v>46082</v>
      </c>
      <c r="I2674" s="5">
        <v>51</v>
      </c>
      <c r="J2674" s="5">
        <v>1.7</v>
      </c>
      <c r="K2674" s="5">
        <f t="shared" si="167"/>
        <v>0</v>
      </c>
      <c r="L2674" s="5">
        <v>1</v>
      </c>
      <c r="M2674" s="5">
        <v>1</v>
      </c>
      <c r="N2674" t="s">
        <v>9</v>
      </c>
      <c r="O2674" s="8">
        <v>22.224657534246575</v>
      </c>
      <c r="P2674" t="s">
        <v>33</v>
      </c>
      <c r="Q2674">
        <v>2</v>
      </c>
      <c r="R2674" s="2">
        <v>37919</v>
      </c>
    </row>
    <row r="2675" spans="1:18" x14ac:dyDescent="0.3">
      <c r="A2675" t="s">
        <v>7</v>
      </c>
      <c r="B2675">
        <v>18993798</v>
      </c>
      <c r="C2675" t="s">
        <v>10</v>
      </c>
      <c r="D2675" s="4">
        <v>46031</v>
      </c>
      <c r="E2675" s="11">
        <f t="shared" si="164"/>
        <v>2026</v>
      </c>
      <c r="F2675" s="11">
        <f t="shared" si="165"/>
        <v>1</v>
      </c>
      <c r="G2675" s="11" t="str">
        <f t="shared" si="166"/>
        <v>202601</v>
      </c>
      <c r="H2675" s="4">
        <v>46058</v>
      </c>
      <c r="I2675" s="5">
        <v>27</v>
      </c>
      <c r="J2675" s="5">
        <v>0.9</v>
      </c>
      <c r="K2675" s="5">
        <f t="shared" si="167"/>
        <v>1</v>
      </c>
      <c r="L2675" s="5">
        <v>1</v>
      </c>
      <c r="M2675" s="5">
        <v>1</v>
      </c>
      <c r="N2675" t="s">
        <v>9</v>
      </c>
      <c r="O2675" s="8">
        <v>22.512328767123286</v>
      </c>
      <c r="P2675" t="s">
        <v>33</v>
      </c>
      <c r="Q2675">
        <v>2</v>
      </c>
      <c r="R2675" s="2">
        <v>37814</v>
      </c>
    </row>
    <row r="2676" spans="1:18" x14ac:dyDescent="0.3">
      <c r="A2676" t="s">
        <v>7</v>
      </c>
      <c r="B2676">
        <v>18993805</v>
      </c>
      <c r="C2676" t="s">
        <v>8</v>
      </c>
      <c r="D2676" s="4">
        <v>46031</v>
      </c>
      <c r="E2676" s="11">
        <f t="shared" si="164"/>
        <v>2026</v>
      </c>
      <c r="F2676" s="11">
        <f t="shared" si="165"/>
        <v>1</v>
      </c>
      <c r="G2676" s="11" t="str">
        <f t="shared" si="166"/>
        <v>202601</v>
      </c>
      <c r="H2676" s="4">
        <v>46145</v>
      </c>
      <c r="I2676" s="5">
        <v>114</v>
      </c>
      <c r="J2676" s="5">
        <v>3.8</v>
      </c>
      <c r="K2676" s="5">
        <f t="shared" si="167"/>
        <v>0</v>
      </c>
      <c r="L2676" s="5">
        <v>0</v>
      </c>
      <c r="M2676" s="5">
        <v>1</v>
      </c>
      <c r="N2676" t="s">
        <v>9</v>
      </c>
      <c r="O2676" s="8">
        <v>19.531506849315068</v>
      </c>
      <c r="P2676" t="s">
        <v>32</v>
      </c>
      <c r="Q2676">
        <v>1</v>
      </c>
      <c r="R2676" s="2">
        <v>38902</v>
      </c>
    </row>
    <row r="2677" spans="1:18" x14ac:dyDescent="0.3">
      <c r="A2677" t="s">
        <v>7</v>
      </c>
      <c r="B2677">
        <v>18993807</v>
      </c>
      <c r="C2677" t="s">
        <v>8</v>
      </c>
      <c r="D2677" s="4">
        <v>46031</v>
      </c>
      <c r="E2677" s="11">
        <f t="shared" si="164"/>
        <v>2026</v>
      </c>
      <c r="F2677" s="11">
        <f t="shared" si="165"/>
        <v>1</v>
      </c>
      <c r="G2677" s="11" t="str">
        <f t="shared" si="166"/>
        <v>202601</v>
      </c>
      <c r="I2677" s="5">
        <v>9999</v>
      </c>
      <c r="J2677" s="5">
        <v>333.3</v>
      </c>
      <c r="K2677" s="5">
        <f t="shared" si="167"/>
        <v>0</v>
      </c>
      <c r="L2677" s="5">
        <v>0</v>
      </c>
      <c r="M2677" s="5">
        <v>0</v>
      </c>
      <c r="N2677" t="s">
        <v>12</v>
      </c>
      <c r="O2677" s="8">
        <v>34.205479452054796</v>
      </c>
      <c r="P2677" t="s">
        <v>35</v>
      </c>
      <c r="Q2677">
        <v>4</v>
      </c>
      <c r="R2677" s="2">
        <v>33546</v>
      </c>
    </row>
    <row r="2678" spans="1:18" x14ac:dyDescent="0.3">
      <c r="A2678" t="s">
        <v>7</v>
      </c>
      <c r="B2678">
        <v>18993808</v>
      </c>
      <c r="C2678" t="s">
        <v>8</v>
      </c>
      <c r="D2678" s="4">
        <v>46031</v>
      </c>
      <c r="E2678" s="11">
        <f t="shared" si="164"/>
        <v>2026</v>
      </c>
      <c r="F2678" s="11">
        <f t="shared" si="165"/>
        <v>1</v>
      </c>
      <c r="G2678" s="11" t="str">
        <f t="shared" si="166"/>
        <v>202601</v>
      </c>
      <c r="I2678" s="5">
        <v>9999</v>
      </c>
      <c r="J2678" s="5">
        <v>333.3</v>
      </c>
      <c r="K2678" s="5">
        <f t="shared" si="167"/>
        <v>0</v>
      </c>
      <c r="L2678" s="5">
        <v>0</v>
      </c>
      <c r="M2678" s="5">
        <v>0</v>
      </c>
      <c r="N2678" t="s">
        <v>12</v>
      </c>
      <c r="O2678" s="8">
        <v>23.082191780821919</v>
      </c>
      <c r="P2678" t="s">
        <v>33</v>
      </c>
      <c r="Q2678">
        <v>2</v>
      </c>
      <c r="R2678" s="2">
        <v>37606</v>
      </c>
    </row>
    <row r="2679" spans="1:18" x14ac:dyDescent="0.3">
      <c r="A2679" t="s">
        <v>7</v>
      </c>
      <c r="B2679">
        <v>18993817</v>
      </c>
      <c r="C2679" t="s">
        <v>8</v>
      </c>
      <c r="D2679" s="4">
        <v>46031</v>
      </c>
      <c r="E2679" s="11">
        <f t="shared" si="164"/>
        <v>2026</v>
      </c>
      <c r="F2679" s="11">
        <f t="shared" si="165"/>
        <v>1</v>
      </c>
      <c r="G2679" s="11" t="str">
        <f t="shared" si="166"/>
        <v>202601</v>
      </c>
      <c r="H2679" s="4">
        <v>46157</v>
      </c>
      <c r="I2679" s="5">
        <v>126</v>
      </c>
      <c r="J2679" s="5">
        <v>4.2</v>
      </c>
      <c r="K2679" s="5">
        <f t="shared" si="167"/>
        <v>0</v>
      </c>
      <c r="L2679" s="5">
        <v>0</v>
      </c>
      <c r="M2679" s="5">
        <v>1</v>
      </c>
      <c r="N2679" t="s">
        <v>9</v>
      </c>
      <c r="O2679" s="8">
        <v>19.282191780821918</v>
      </c>
      <c r="P2679" t="s">
        <v>32</v>
      </c>
      <c r="Q2679">
        <v>1</v>
      </c>
      <c r="R2679" s="2">
        <v>38993</v>
      </c>
    </row>
    <row r="2680" spans="1:18" x14ac:dyDescent="0.3">
      <c r="A2680" t="s">
        <v>7</v>
      </c>
      <c r="B2680">
        <v>18993818</v>
      </c>
      <c r="C2680" t="s">
        <v>10</v>
      </c>
      <c r="D2680" s="4">
        <v>46031</v>
      </c>
      <c r="E2680" s="11">
        <f t="shared" si="164"/>
        <v>2026</v>
      </c>
      <c r="F2680" s="11">
        <f t="shared" si="165"/>
        <v>1</v>
      </c>
      <c r="G2680" s="11" t="str">
        <f t="shared" si="166"/>
        <v>202601</v>
      </c>
      <c r="H2680" s="4">
        <v>46111</v>
      </c>
      <c r="I2680" s="5">
        <v>80</v>
      </c>
      <c r="J2680" s="5">
        <v>2.6666666666666665</v>
      </c>
      <c r="K2680" s="5">
        <f t="shared" si="167"/>
        <v>0</v>
      </c>
      <c r="L2680" s="5">
        <v>1</v>
      </c>
      <c r="M2680" s="5">
        <v>1</v>
      </c>
      <c r="N2680" t="s">
        <v>9</v>
      </c>
      <c r="O2680" s="8">
        <v>18.898630136986302</v>
      </c>
      <c r="P2680" t="s">
        <v>32</v>
      </c>
      <c r="Q2680">
        <v>1</v>
      </c>
      <c r="R2680" s="2">
        <v>39133</v>
      </c>
    </row>
    <row r="2681" spans="1:18" x14ac:dyDescent="0.3">
      <c r="A2681" t="s">
        <v>7</v>
      </c>
      <c r="B2681">
        <v>18993849</v>
      </c>
      <c r="C2681" t="s">
        <v>8</v>
      </c>
      <c r="D2681" s="4">
        <v>46031</v>
      </c>
      <c r="E2681" s="11">
        <f t="shared" si="164"/>
        <v>2026</v>
      </c>
      <c r="F2681" s="11">
        <f t="shared" si="165"/>
        <v>1</v>
      </c>
      <c r="G2681" s="11" t="str">
        <f t="shared" si="166"/>
        <v>202601</v>
      </c>
      <c r="H2681" s="4">
        <v>46084</v>
      </c>
      <c r="I2681" s="5">
        <v>53</v>
      </c>
      <c r="J2681" s="5">
        <v>1.7666666666666666</v>
      </c>
      <c r="K2681" s="5">
        <f t="shared" si="167"/>
        <v>0</v>
      </c>
      <c r="L2681" s="5">
        <v>1</v>
      </c>
      <c r="M2681" s="5">
        <v>1</v>
      </c>
      <c r="N2681" t="s">
        <v>9</v>
      </c>
      <c r="O2681" s="8">
        <v>22.687671232876713</v>
      </c>
      <c r="P2681" t="s">
        <v>33</v>
      </c>
      <c r="Q2681">
        <v>2</v>
      </c>
      <c r="R2681" s="2">
        <v>37750</v>
      </c>
    </row>
    <row r="2682" spans="1:18" x14ac:dyDescent="0.3">
      <c r="A2682" t="s">
        <v>7</v>
      </c>
      <c r="B2682">
        <v>18993858</v>
      </c>
      <c r="C2682" t="s">
        <v>8</v>
      </c>
      <c r="D2682" s="4">
        <v>46031</v>
      </c>
      <c r="E2682" s="11">
        <f t="shared" si="164"/>
        <v>2026</v>
      </c>
      <c r="F2682" s="11">
        <f t="shared" si="165"/>
        <v>1</v>
      </c>
      <c r="G2682" s="11" t="str">
        <f t="shared" si="166"/>
        <v>202601</v>
      </c>
      <c r="H2682" s="4">
        <v>46081</v>
      </c>
      <c r="I2682" s="5">
        <v>50</v>
      </c>
      <c r="J2682" s="5">
        <v>1.6666666666666667</v>
      </c>
      <c r="K2682" s="5">
        <f t="shared" si="167"/>
        <v>0</v>
      </c>
      <c r="L2682" s="5">
        <v>1</v>
      </c>
      <c r="M2682" s="5">
        <v>1</v>
      </c>
      <c r="N2682" t="s">
        <v>9</v>
      </c>
      <c r="O2682" s="8">
        <v>19.589041095890412</v>
      </c>
      <c r="P2682" t="s">
        <v>32</v>
      </c>
      <c r="Q2682">
        <v>1</v>
      </c>
      <c r="R2682" s="2">
        <v>38881</v>
      </c>
    </row>
    <row r="2683" spans="1:18" x14ac:dyDescent="0.3">
      <c r="A2683" t="s">
        <v>7</v>
      </c>
      <c r="B2683">
        <v>18993863</v>
      </c>
      <c r="C2683" t="s">
        <v>10</v>
      </c>
      <c r="D2683" s="4">
        <v>46031</v>
      </c>
      <c r="E2683" s="11">
        <f t="shared" si="164"/>
        <v>2026</v>
      </c>
      <c r="F2683" s="11">
        <f t="shared" si="165"/>
        <v>1</v>
      </c>
      <c r="G2683" s="11" t="str">
        <f t="shared" si="166"/>
        <v>202601</v>
      </c>
      <c r="H2683" s="4">
        <v>46096</v>
      </c>
      <c r="I2683" s="5">
        <v>65</v>
      </c>
      <c r="J2683" s="5">
        <v>2.1666666666666665</v>
      </c>
      <c r="K2683" s="5">
        <f t="shared" si="167"/>
        <v>0</v>
      </c>
      <c r="L2683" s="5">
        <v>1</v>
      </c>
      <c r="M2683" s="5">
        <v>1</v>
      </c>
      <c r="N2683" t="s">
        <v>12</v>
      </c>
      <c r="O2683" s="8">
        <v>20.375342465753423</v>
      </c>
      <c r="P2683" t="s">
        <v>32</v>
      </c>
      <c r="Q2683">
        <v>1</v>
      </c>
      <c r="R2683" s="2">
        <v>38594</v>
      </c>
    </row>
    <row r="2684" spans="1:18" x14ac:dyDescent="0.3">
      <c r="A2684" t="s">
        <v>7</v>
      </c>
      <c r="B2684">
        <v>18993878</v>
      </c>
      <c r="C2684" t="s">
        <v>10</v>
      </c>
      <c r="D2684" s="4">
        <v>46031</v>
      </c>
      <c r="E2684" s="11">
        <f t="shared" si="164"/>
        <v>2026</v>
      </c>
      <c r="F2684" s="11">
        <f t="shared" si="165"/>
        <v>1</v>
      </c>
      <c r="G2684" s="11" t="str">
        <f t="shared" si="166"/>
        <v>202601</v>
      </c>
      <c r="H2684" s="4">
        <v>46173</v>
      </c>
      <c r="I2684" s="5">
        <v>142</v>
      </c>
      <c r="J2684" s="5">
        <v>4.7333333333333334</v>
      </c>
      <c r="K2684" s="5">
        <f t="shared" si="167"/>
        <v>0</v>
      </c>
      <c r="L2684" s="5">
        <v>0</v>
      </c>
      <c r="M2684" s="5">
        <v>1</v>
      </c>
      <c r="N2684" t="s">
        <v>9</v>
      </c>
      <c r="O2684" s="8">
        <v>19.276712328767122</v>
      </c>
      <c r="P2684" t="s">
        <v>32</v>
      </c>
      <c r="Q2684">
        <v>1</v>
      </c>
      <c r="R2684" s="2">
        <v>38995</v>
      </c>
    </row>
    <row r="2685" spans="1:18" x14ac:dyDescent="0.3">
      <c r="A2685" t="s">
        <v>7</v>
      </c>
      <c r="B2685">
        <v>18993999</v>
      </c>
      <c r="C2685" t="s">
        <v>10</v>
      </c>
      <c r="D2685" s="4">
        <v>46031</v>
      </c>
      <c r="E2685" s="11">
        <f t="shared" si="164"/>
        <v>2026</v>
      </c>
      <c r="F2685" s="11">
        <f t="shared" si="165"/>
        <v>1</v>
      </c>
      <c r="G2685" s="11" t="str">
        <f t="shared" si="166"/>
        <v>202601</v>
      </c>
      <c r="I2685" s="5">
        <v>9999</v>
      </c>
      <c r="J2685" s="5">
        <v>333.3</v>
      </c>
      <c r="K2685" s="5">
        <f t="shared" si="167"/>
        <v>0</v>
      </c>
      <c r="L2685" s="5">
        <v>0</v>
      </c>
      <c r="M2685" s="5">
        <v>0</v>
      </c>
      <c r="N2685" t="s">
        <v>9</v>
      </c>
      <c r="O2685" s="8">
        <v>20.101369863013698</v>
      </c>
      <c r="P2685" t="s">
        <v>32</v>
      </c>
      <c r="Q2685">
        <v>1</v>
      </c>
      <c r="R2685" s="2">
        <v>38694</v>
      </c>
    </row>
    <row r="2686" spans="1:18" x14ac:dyDescent="0.3">
      <c r="A2686" t="s">
        <v>7</v>
      </c>
      <c r="B2686">
        <v>18994001</v>
      </c>
      <c r="C2686" t="s">
        <v>8</v>
      </c>
      <c r="D2686" s="4">
        <v>46031</v>
      </c>
      <c r="E2686" s="11">
        <f t="shared" si="164"/>
        <v>2026</v>
      </c>
      <c r="F2686" s="11">
        <f t="shared" si="165"/>
        <v>1</v>
      </c>
      <c r="G2686" s="11" t="str">
        <f t="shared" si="166"/>
        <v>202601</v>
      </c>
      <c r="I2686" s="5">
        <v>9999</v>
      </c>
      <c r="J2686" s="5">
        <v>333.3</v>
      </c>
      <c r="K2686" s="5">
        <f t="shared" si="167"/>
        <v>0</v>
      </c>
      <c r="L2686" s="5">
        <v>0</v>
      </c>
      <c r="M2686" s="5">
        <v>0</v>
      </c>
      <c r="N2686" t="s">
        <v>9</v>
      </c>
      <c r="O2686" s="8">
        <v>19.134246575342466</v>
      </c>
      <c r="P2686" t="s">
        <v>32</v>
      </c>
      <c r="Q2686">
        <v>1</v>
      </c>
      <c r="R2686" s="2">
        <v>39047</v>
      </c>
    </row>
    <row r="2687" spans="1:18" x14ac:dyDescent="0.3">
      <c r="A2687" t="s">
        <v>7</v>
      </c>
      <c r="B2687">
        <v>18994393</v>
      </c>
      <c r="C2687" t="s">
        <v>10</v>
      </c>
      <c r="D2687" s="4">
        <v>46034</v>
      </c>
      <c r="E2687" s="11">
        <f t="shared" si="164"/>
        <v>2026</v>
      </c>
      <c r="F2687" s="11">
        <f t="shared" si="165"/>
        <v>1</v>
      </c>
      <c r="G2687" s="11" t="str">
        <f t="shared" si="166"/>
        <v>202601</v>
      </c>
      <c r="I2687" s="5">
        <v>9999</v>
      </c>
      <c r="J2687" s="5">
        <v>333.3</v>
      </c>
      <c r="K2687" s="5">
        <f t="shared" si="167"/>
        <v>0</v>
      </c>
      <c r="L2687" s="5">
        <v>0</v>
      </c>
      <c r="M2687" s="5">
        <v>0</v>
      </c>
      <c r="N2687" t="s">
        <v>9</v>
      </c>
      <c r="O2687" s="8">
        <v>19.295890410958904</v>
      </c>
      <c r="P2687" t="s">
        <v>32</v>
      </c>
      <c r="Q2687">
        <v>1</v>
      </c>
      <c r="R2687" s="2">
        <v>38991</v>
      </c>
    </row>
    <row r="2688" spans="1:18" x14ac:dyDescent="0.3">
      <c r="A2688" t="s">
        <v>7</v>
      </c>
      <c r="B2688">
        <v>18994394</v>
      </c>
      <c r="C2688" t="s">
        <v>8</v>
      </c>
      <c r="D2688" s="4">
        <v>46034</v>
      </c>
      <c r="E2688" s="11">
        <f t="shared" si="164"/>
        <v>2026</v>
      </c>
      <c r="F2688" s="11">
        <f t="shared" si="165"/>
        <v>1</v>
      </c>
      <c r="G2688" s="11" t="str">
        <f t="shared" si="166"/>
        <v>202601</v>
      </c>
      <c r="I2688" s="5">
        <v>9999</v>
      </c>
      <c r="J2688" s="5">
        <v>333.3</v>
      </c>
      <c r="K2688" s="5">
        <f t="shared" si="167"/>
        <v>0</v>
      </c>
      <c r="L2688" s="5">
        <v>0</v>
      </c>
      <c r="M2688" s="5">
        <v>0</v>
      </c>
      <c r="N2688" t="s">
        <v>9</v>
      </c>
      <c r="O2688" s="8">
        <v>23.953424657534246</v>
      </c>
      <c r="P2688" t="s">
        <v>33</v>
      </c>
      <c r="Q2688">
        <v>2</v>
      </c>
      <c r="R2688" s="2">
        <v>37291</v>
      </c>
    </row>
    <row r="2689" spans="1:18" x14ac:dyDescent="0.3">
      <c r="A2689" t="s">
        <v>7</v>
      </c>
      <c r="B2689">
        <v>18994870</v>
      </c>
      <c r="C2689" t="s">
        <v>8</v>
      </c>
      <c r="D2689" s="4">
        <v>46035</v>
      </c>
      <c r="E2689" s="11">
        <f t="shared" si="164"/>
        <v>2026</v>
      </c>
      <c r="F2689" s="11">
        <f t="shared" si="165"/>
        <v>1</v>
      </c>
      <c r="G2689" s="11" t="str">
        <f t="shared" si="166"/>
        <v>202601</v>
      </c>
      <c r="H2689" s="4">
        <v>46036</v>
      </c>
      <c r="I2689" s="5">
        <v>1</v>
      </c>
      <c r="J2689" s="5">
        <v>3.3333333333333333E-2</v>
      </c>
      <c r="K2689" s="5">
        <f t="shared" si="167"/>
        <v>1</v>
      </c>
      <c r="L2689" s="5">
        <v>1</v>
      </c>
      <c r="M2689" s="5">
        <v>1</v>
      </c>
      <c r="N2689" t="s">
        <v>12</v>
      </c>
      <c r="O2689" s="8">
        <v>19.161643835616438</v>
      </c>
      <c r="P2689" t="s">
        <v>32</v>
      </c>
      <c r="Q2689">
        <v>1</v>
      </c>
      <c r="R2689" s="2">
        <v>39041</v>
      </c>
    </row>
    <row r="2690" spans="1:18" x14ac:dyDescent="0.3">
      <c r="A2690" t="s">
        <v>7</v>
      </c>
      <c r="B2690">
        <v>18995116</v>
      </c>
      <c r="C2690" t="s">
        <v>10</v>
      </c>
      <c r="D2690" s="4">
        <v>46036</v>
      </c>
      <c r="E2690" s="11">
        <f t="shared" si="164"/>
        <v>2026</v>
      </c>
      <c r="F2690" s="11">
        <f t="shared" si="165"/>
        <v>1</v>
      </c>
      <c r="G2690" s="11" t="str">
        <f t="shared" si="166"/>
        <v>202601</v>
      </c>
      <c r="I2690" s="5">
        <v>9999</v>
      </c>
      <c r="J2690" s="5">
        <v>333.3</v>
      </c>
      <c r="K2690" s="5">
        <f t="shared" si="167"/>
        <v>0</v>
      </c>
      <c r="L2690" s="5">
        <v>0</v>
      </c>
      <c r="M2690" s="5">
        <v>0</v>
      </c>
      <c r="N2690" t="s">
        <v>12</v>
      </c>
      <c r="O2690" s="8">
        <v>18.421917808219177</v>
      </c>
      <c r="P2690" t="s">
        <v>32</v>
      </c>
      <c r="Q2690">
        <v>1</v>
      </c>
      <c r="R2690" s="2">
        <v>39312</v>
      </c>
    </row>
    <row r="2691" spans="1:18" x14ac:dyDescent="0.3">
      <c r="A2691" t="s">
        <v>7</v>
      </c>
      <c r="B2691">
        <v>18995117</v>
      </c>
      <c r="C2691" t="s">
        <v>10</v>
      </c>
      <c r="D2691" s="4">
        <v>46036</v>
      </c>
      <c r="E2691" s="11">
        <f t="shared" ref="E2691:E2754" si="168">+YEAR(D2691)</f>
        <v>2026</v>
      </c>
      <c r="F2691" s="11">
        <f t="shared" ref="F2691:F2754" si="169">+MONTH(D2691)</f>
        <v>1</v>
      </c>
      <c r="G2691" s="11" t="str">
        <f t="shared" ref="G2691:G2754" si="170">+TEXT(D2691, "yyymm")</f>
        <v>202601</v>
      </c>
      <c r="H2691" s="4">
        <v>46127</v>
      </c>
      <c r="I2691" s="5">
        <v>91</v>
      </c>
      <c r="J2691" s="5">
        <v>3.0333333333333332</v>
      </c>
      <c r="K2691" s="5">
        <f t="shared" ref="K2691:K2754" si="171">IF(J2691&lt;=1,1,0)</f>
        <v>0</v>
      </c>
      <c r="L2691" s="5">
        <v>0</v>
      </c>
      <c r="M2691" s="5">
        <v>1</v>
      </c>
      <c r="N2691" t="s">
        <v>12</v>
      </c>
      <c r="O2691" s="8">
        <v>20.082191780821919</v>
      </c>
      <c r="P2691" t="s">
        <v>32</v>
      </c>
      <c r="Q2691">
        <v>1</v>
      </c>
      <c r="R2691" s="2">
        <v>38706</v>
      </c>
    </row>
    <row r="2692" spans="1:18" x14ac:dyDescent="0.3">
      <c r="A2692" t="s">
        <v>7</v>
      </c>
      <c r="B2692">
        <v>18995118</v>
      </c>
      <c r="C2692" t="s">
        <v>8</v>
      </c>
      <c r="D2692" s="4">
        <v>46036</v>
      </c>
      <c r="E2692" s="11">
        <f t="shared" si="168"/>
        <v>2026</v>
      </c>
      <c r="F2692" s="11">
        <f t="shared" si="169"/>
        <v>1</v>
      </c>
      <c r="G2692" s="11" t="str">
        <f t="shared" si="170"/>
        <v>202601</v>
      </c>
      <c r="H2692" s="4">
        <v>46173</v>
      </c>
      <c r="I2692" s="5">
        <v>137</v>
      </c>
      <c r="J2692" s="5">
        <v>4.5666666666666664</v>
      </c>
      <c r="K2692" s="5">
        <f t="shared" si="171"/>
        <v>0</v>
      </c>
      <c r="L2692" s="5">
        <v>0</v>
      </c>
      <c r="M2692" s="5">
        <v>1</v>
      </c>
      <c r="N2692" t="s">
        <v>12</v>
      </c>
      <c r="O2692" s="8">
        <v>18.175342465753424</v>
      </c>
      <c r="P2692" t="s">
        <v>32</v>
      </c>
      <c r="Q2692">
        <v>1</v>
      </c>
      <c r="R2692" s="2">
        <v>39402</v>
      </c>
    </row>
    <row r="2693" spans="1:18" x14ac:dyDescent="0.3">
      <c r="A2693" t="s">
        <v>7</v>
      </c>
      <c r="B2693">
        <v>18995162</v>
      </c>
      <c r="C2693" t="s">
        <v>8</v>
      </c>
      <c r="D2693" s="4">
        <v>46036</v>
      </c>
      <c r="E2693" s="11">
        <f t="shared" si="168"/>
        <v>2026</v>
      </c>
      <c r="F2693" s="11">
        <f t="shared" si="169"/>
        <v>1</v>
      </c>
      <c r="G2693" s="11" t="str">
        <f t="shared" si="170"/>
        <v>202601</v>
      </c>
      <c r="I2693" s="5">
        <v>9999</v>
      </c>
      <c r="J2693" s="5">
        <v>333.3</v>
      </c>
      <c r="K2693" s="5">
        <f t="shared" si="171"/>
        <v>0</v>
      </c>
      <c r="L2693" s="5">
        <v>0</v>
      </c>
      <c r="M2693" s="5">
        <v>0</v>
      </c>
      <c r="N2693" t="s">
        <v>12</v>
      </c>
      <c r="O2693" s="8">
        <v>28.997260273972604</v>
      </c>
      <c r="P2693" t="s">
        <v>34</v>
      </c>
      <c r="Q2693">
        <v>3</v>
      </c>
      <c r="R2693" s="2">
        <v>35452</v>
      </c>
    </row>
    <row r="2694" spans="1:18" x14ac:dyDescent="0.3">
      <c r="A2694" t="s">
        <v>7</v>
      </c>
      <c r="B2694">
        <v>18995571</v>
      </c>
      <c r="C2694" t="s">
        <v>10</v>
      </c>
      <c r="D2694" s="4">
        <v>46037</v>
      </c>
      <c r="E2694" s="11">
        <f t="shared" si="168"/>
        <v>2026</v>
      </c>
      <c r="F2694" s="11">
        <f t="shared" si="169"/>
        <v>1</v>
      </c>
      <c r="G2694" s="11" t="str">
        <f t="shared" si="170"/>
        <v>202601</v>
      </c>
      <c r="H2694" s="4">
        <v>46085</v>
      </c>
      <c r="I2694" s="5">
        <v>48</v>
      </c>
      <c r="J2694" s="5">
        <v>1.6</v>
      </c>
      <c r="K2694" s="5">
        <f t="shared" si="171"/>
        <v>0</v>
      </c>
      <c r="L2694" s="5">
        <v>1</v>
      </c>
      <c r="M2694" s="5">
        <v>1</v>
      </c>
      <c r="N2694" t="s">
        <v>12</v>
      </c>
      <c r="O2694" s="8">
        <v>20.942465753424656</v>
      </c>
      <c r="P2694" t="s">
        <v>32</v>
      </c>
      <c r="Q2694">
        <v>1</v>
      </c>
      <c r="R2694" s="2">
        <v>38393</v>
      </c>
    </row>
    <row r="2695" spans="1:18" x14ac:dyDescent="0.3">
      <c r="A2695" t="s">
        <v>7</v>
      </c>
      <c r="B2695">
        <v>18995581</v>
      </c>
      <c r="C2695" t="s">
        <v>8</v>
      </c>
      <c r="D2695" s="4">
        <v>46037</v>
      </c>
      <c r="E2695" s="11">
        <f t="shared" si="168"/>
        <v>2026</v>
      </c>
      <c r="F2695" s="11">
        <f t="shared" si="169"/>
        <v>1</v>
      </c>
      <c r="G2695" s="11" t="str">
        <f t="shared" si="170"/>
        <v>202601</v>
      </c>
      <c r="H2695" s="4">
        <v>46064</v>
      </c>
      <c r="I2695" s="5">
        <v>27</v>
      </c>
      <c r="J2695" s="5">
        <v>0.9</v>
      </c>
      <c r="K2695" s="5">
        <f t="shared" si="171"/>
        <v>1</v>
      </c>
      <c r="L2695" s="5">
        <v>1</v>
      </c>
      <c r="M2695" s="5">
        <v>1</v>
      </c>
      <c r="N2695" t="s">
        <v>12</v>
      </c>
      <c r="O2695" s="8">
        <v>21.975342465753425</v>
      </c>
      <c r="P2695" t="s">
        <v>33</v>
      </c>
      <c r="Q2695">
        <v>2</v>
      </c>
      <c r="R2695" s="2">
        <v>38016</v>
      </c>
    </row>
    <row r="2696" spans="1:18" x14ac:dyDescent="0.3">
      <c r="A2696" t="s">
        <v>7</v>
      </c>
      <c r="B2696">
        <v>18995651</v>
      </c>
      <c r="C2696" t="s">
        <v>8</v>
      </c>
      <c r="D2696" s="4">
        <v>46037</v>
      </c>
      <c r="E2696" s="11">
        <f t="shared" si="168"/>
        <v>2026</v>
      </c>
      <c r="F2696" s="11">
        <f t="shared" si="169"/>
        <v>1</v>
      </c>
      <c r="G2696" s="11" t="str">
        <f t="shared" si="170"/>
        <v>202601</v>
      </c>
      <c r="H2696" s="4">
        <v>46085</v>
      </c>
      <c r="I2696" s="5">
        <v>48</v>
      </c>
      <c r="J2696" s="5">
        <v>1.6</v>
      </c>
      <c r="K2696" s="5">
        <f t="shared" si="171"/>
        <v>0</v>
      </c>
      <c r="L2696" s="5">
        <v>1</v>
      </c>
      <c r="M2696" s="5">
        <v>1</v>
      </c>
      <c r="N2696" t="s">
        <v>12</v>
      </c>
      <c r="O2696" s="8">
        <v>21.857534246575341</v>
      </c>
      <c r="P2696" t="s">
        <v>33</v>
      </c>
      <c r="Q2696">
        <v>2</v>
      </c>
      <c r="R2696" s="2">
        <v>38059</v>
      </c>
    </row>
    <row r="2697" spans="1:18" x14ac:dyDescent="0.3">
      <c r="A2697" t="s">
        <v>7</v>
      </c>
      <c r="B2697">
        <v>18995799</v>
      </c>
      <c r="C2697" t="s">
        <v>8</v>
      </c>
      <c r="D2697" s="4">
        <v>46038</v>
      </c>
      <c r="E2697" s="11">
        <f t="shared" si="168"/>
        <v>2026</v>
      </c>
      <c r="F2697" s="11">
        <f t="shared" si="169"/>
        <v>1</v>
      </c>
      <c r="G2697" s="11" t="str">
        <f t="shared" si="170"/>
        <v>202601</v>
      </c>
      <c r="H2697" s="4">
        <v>46126</v>
      </c>
      <c r="I2697" s="5">
        <v>88</v>
      </c>
      <c r="J2697" s="5">
        <v>2.9333333333333331</v>
      </c>
      <c r="K2697" s="5">
        <f t="shared" si="171"/>
        <v>0</v>
      </c>
      <c r="L2697" s="5">
        <v>1</v>
      </c>
      <c r="M2697" s="5">
        <v>1</v>
      </c>
      <c r="N2697" t="s">
        <v>9</v>
      </c>
      <c r="O2697" s="8">
        <v>19.013698630136986</v>
      </c>
      <c r="P2697" t="s">
        <v>32</v>
      </c>
      <c r="Q2697">
        <v>1</v>
      </c>
      <c r="R2697" s="2">
        <v>39098</v>
      </c>
    </row>
    <row r="2698" spans="1:18" x14ac:dyDescent="0.3">
      <c r="A2698" t="s">
        <v>7</v>
      </c>
      <c r="B2698">
        <v>18995812</v>
      </c>
      <c r="C2698" t="s">
        <v>8</v>
      </c>
      <c r="D2698" s="4">
        <v>46038</v>
      </c>
      <c r="E2698" s="11">
        <f t="shared" si="168"/>
        <v>2026</v>
      </c>
      <c r="F2698" s="11">
        <f t="shared" si="169"/>
        <v>1</v>
      </c>
      <c r="G2698" s="11" t="str">
        <f t="shared" si="170"/>
        <v>202601</v>
      </c>
      <c r="I2698" s="5">
        <v>9999</v>
      </c>
      <c r="J2698" s="5">
        <v>333.3</v>
      </c>
      <c r="K2698" s="5">
        <f t="shared" si="171"/>
        <v>0</v>
      </c>
      <c r="L2698" s="5">
        <v>0</v>
      </c>
      <c r="M2698" s="5">
        <v>0</v>
      </c>
      <c r="N2698" t="s">
        <v>9</v>
      </c>
      <c r="O2698" s="8">
        <v>19.761643835616439</v>
      </c>
      <c r="P2698" t="s">
        <v>32</v>
      </c>
      <c r="Q2698">
        <v>1</v>
      </c>
      <c r="R2698" s="2">
        <v>38825</v>
      </c>
    </row>
    <row r="2699" spans="1:18" x14ac:dyDescent="0.3">
      <c r="A2699" t="s">
        <v>7</v>
      </c>
      <c r="B2699">
        <v>18995813</v>
      </c>
      <c r="C2699" t="s">
        <v>8</v>
      </c>
      <c r="D2699" s="4">
        <v>46038</v>
      </c>
      <c r="E2699" s="11">
        <f t="shared" si="168"/>
        <v>2026</v>
      </c>
      <c r="F2699" s="11">
        <f t="shared" si="169"/>
        <v>1</v>
      </c>
      <c r="G2699" s="11" t="str">
        <f t="shared" si="170"/>
        <v>202601</v>
      </c>
      <c r="H2699" s="4">
        <v>46095</v>
      </c>
      <c r="I2699" s="5">
        <v>57</v>
      </c>
      <c r="J2699" s="5">
        <v>1.9</v>
      </c>
      <c r="K2699" s="5">
        <f t="shared" si="171"/>
        <v>0</v>
      </c>
      <c r="L2699" s="5">
        <v>1</v>
      </c>
      <c r="M2699" s="5">
        <v>1</v>
      </c>
      <c r="N2699" t="s">
        <v>9</v>
      </c>
      <c r="O2699" s="8">
        <v>21.446575342465753</v>
      </c>
      <c r="P2699" t="s">
        <v>33</v>
      </c>
      <c r="Q2699">
        <v>2</v>
      </c>
      <c r="R2699" s="2">
        <v>38210</v>
      </c>
    </row>
    <row r="2700" spans="1:18" x14ac:dyDescent="0.3">
      <c r="A2700" t="s">
        <v>7</v>
      </c>
      <c r="B2700">
        <v>18995817</v>
      </c>
      <c r="C2700" t="s">
        <v>8</v>
      </c>
      <c r="D2700" s="4">
        <v>46044</v>
      </c>
      <c r="E2700" s="11">
        <f t="shared" si="168"/>
        <v>2026</v>
      </c>
      <c r="F2700" s="11">
        <f t="shared" si="169"/>
        <v>1</v>
      </c>
      <c r="G2700" s="11" t="str">
        <f t="shared" si="170"/>
        <v>202601</v>
      </c>
      <c r="H2700" s="4">
        <v>46127</v>
      </c>
      <c r="I2700" s="5">
        <v>83</v>
      </c>
      <c r="J2700" s="5">
        <v>2.7666666666666666</v>
      </c>
      <c r="K2700" s="5">
        <f t="shared" si="171"/>
        <v>0</v>
      </c>
      <c r="L2700" s="5">
        <v>1</v>
      </c>
      <c r="M2700" s="5">
        <v>1</v>
      </c>
      <c r="N2700" t="s">
        <v>9</v>
      </c>
      <c r="O2700" s="8">
        <v>21.17808219178082</v>
      </c>
      <c r="P2700" t="s">
        <v>33</v>
      </c>
      <c r="Q2700">
        <v>2</v>
      </c>
      <c r="R2700" s="2">
        <v>38314</v>
      </c>
    </row>
    <row r="2701" spans="1:18" x14ac:dyDescent="0.3">
      <c r="A2701" t="s">
        <v>7</v>
      </c>
      <c r="B2701">
        <v>18995830</v>
      </c>
      <c r="C2701" t="s">
        <v>8</v>
      </c>
      <c r="D2701" s="4">
        <v>46038</v>
      </c>
      <c r="E2701" s="11">
        <f t="shared" si="168"/>
        <v>2026</v>
      </c>
      <c r="F2701" s="11">
        <f t="shared" si="169"/>
        <v>1</v>
      </c>
      <c r="G2701" s="11" t="str">
        <f t="shared" si="170"/>
        <v>202601</v>
      </c>
      <c r="H2701" s="4">
        <v>46082</v>
      </c>
      <c r="I2701" s="5">
        <v>44</v>
      </c>
      <c r="J2701" s="5">
        <v>1.4666666666666666</v>
      </c>
      <c r="K2701" s="5">
        <f t="shared" si="171"/>
        <v>0</v>
      </c>
      <c r="L2701" s="5">
        <v>1</v>
      </c>
      <c r="M2701" s="5">
        <v>1</v>
      </c>
      <c r="N2701" t="s">
        <v>9</v>
      </c>
      <c r="O2701" s="8">
        <v>23.575342465753426</v>
      </c>
      <c r="P2701" t="s">
        <v>33</v>
      </c>
      <c r="Q2701">
        <v>2</v>
      </c>
      <c r="R2701" s="2">
        <v>37433</v>
      </c>
    </row>
    <row r="2702" spans="1:18" x14ac:dyDescent="0.3">
      <c r="A2702" t="s">
        <v>7</v>
      </c>
      <c r="B2702">
        <v>18995847</v>
      </c>
      <c r="C2702" t="s">
        <v>8</v>
      </c>
      <c r="D2702" s="4">
        <v>46038</v>
      </c>
      <c r="E2702" s="11">
        <f t="shared" si="168"/>
        <v>2026</v>
      </c>
      <c r="F2702" s="11">
        <f t="shared" si="169"/>
        <v>1</v>
      </c>
      <c r="G2702" s="11" t="str">
        <f t="shared" si="170"/>
        <v>202601</v>
      </c>
      <c r="H2702" s="4">
        <v>46089</v>
      </c>
      <c r="I2702" s="5">
        <v>51</v>
      </c>
      <c r="J2702" s="5">
        <v>1.7</v>
      </c>
      <c r="K2702" s="5">
        <f t="shared" si="171"/>
        <v>0</v>
      </c>
      <c r="L2702" s="5">
        <v>1</v>
      </c>
      <c r="M2702" s="5">
        <v>1</v>
      </c>
      <c r="N2702" t="s">
        <v>9</v>
      </c>
      <c r="O2702" s="8">
        <v>23.863013698630137</v>
      </c>
      <c r="P2702" t="s">
        <v>33</v>
      </c>
      <c r="Q2702">
        <v>2</v>
      </c>
      <c r="R2702" s="2">
        <v>37328</v>
      </c>
    </row>
    <row r="2703" spans="1:18" x14ac:dyDescent="0.3">
      <c r="A2703" t="s">
        <v>7</v>
      </c>
      <c r="B2703">
        <v>18995890</v>
      </c>
      <c r="C2703" t="s">
        <v>8</v>
      </c>
      <c r="D2703" s="4">
        <v>46038</v>
      </c>
      <c r="E2703" s="11">
        <f t="shared" si="168"/>
        <v>2026</v>
      </c>
      <c r="F2703" s="11">
        <f t="shared" si="169"/>
        <v>1</v>
      </c>
      <c r="G2703" s="11" t="str">
        <f t="shared" si="170"/>
        <v>202601</v>
      </c>
      <c r="H2703" s="4">
        <v>46054</v>
      </c>
      <c r="I2703" s="5">
        <v>16</v>
      </c>
      <c r="J2703" s="5">
        <v>0.53333333333333333</v>
      </c>
      <c r="K2703" s="5">
        <f t="shared" si="171"/>
        <v>1</v>
      </c>
      <c r="L2703" s="5">
        <v>1</v>
      </c>
      <c r="M2703" s="5">
        <v>1</v>
      </c>
      <c r="N2703" t="s">
        <v>9</v>
      </c>
      <c r="O2703" s="8">
        <v>22.123287671232877</v>
      </c>
      <c r="P2703" t="s">
        <v>33</v>
      </c>
      <c r="Q2703">
        <v>2</v>
      </c>
      <c r="R2703" s="2">
        <v>37963</v>
      </c>
    </row>
    <row r="2704" spans="1:18" x14ac:dyDescent="0.3">
      <c r="A2704" t="s">
        <v>7</v>
      </c>
      <c r="B2704">
        <v>18995893</v>
      </c>
      <c r="C2704" t="s">
        <v>8</v>
      </c>
      <c r="D2704" s="4">
        <v>46038</v>
      </c>
      <c r="E2704" s="11">
        <f t="shared" si="168"/>
        <v>2026</v>
      </c>
      <c r="F2704" s="11">
        <f t="shared" si="169"/>
        <v>1</v>
      </c>
      <c r="G2704" s="11" t="str">
        <f t="shared" si="170"/>
        <v>202601</v>
      </c>
      <c r="I2704" s="5">
        <v>9999</v>
      </c>
      <c r="J2704" s="5">
        <v>333.3</v>
      </c>
      <c r="K2704" s="5">
        <f t="shared" si="171"/>
        <v>0</v>
      </c>
      <c r="L2704" s="5">
        <v>0</v>
      </c>
      <c r="M2704" s="5">
        <v>0</v>
      </c>
      <c r="N2704" t="s">
        <v>9</v>
      </c>
      <c r="O2704" s="8">
        <v>19.701369863013699</v>
      </c>
      <c r="P2704" t="s">
        <v>32</v>
      </c>
      <c r="Q2704">
        <v>1</v>
      </c>
      <c r="R2704" s="2">
        <v>38847</v>
      </c>
    </row>
    <row r="2705" spans="1:18" x14ac:dyDescent="0.3">
      <c r="A2705" t="s">
        <v>7</v>
      </c>
      <c r="B2705">
        <v>18995949</v>
      </c>
      <c r="C2705" t="s">
        <v>8</v>
      </c>
      <c r="D2705" s="4">
        <v>46038</v>
      </c>
      <c r="E2705" s="11">
        <f t="shared" si="168"/>
        <v>2026</v>
      </c>
      <c r="F2705" s="11">
        <f t="shared" si="169"/>
        <v>1</v>
      </c>
      <c r="G2705" s="11" t="str">
        <f t="shared" si="170"/>
        <v>202601</v>
      </c>
      <c r="H2705" s="4">
        <v>46053</v>
      </c>
      <c r="I2705" s="5">
        <v>15</v>
      </c>
      <c r="J2705" s="5">
        <v>0.5</v>
      </c>
      <c r="K2705" s="5">
        <f t="shared" si="171"/>
        <v>1</v>
      </c>
      <c r="L2705" s="5">
        <v>1</v>
      </c>
      <c r="M2705" s="5">
        <v>1</v>
      </c>
      <c r="N2705" t="s">
        <v>9</v>
      </c>
      <c r="O2705" s="8">
        <v>34.019178082191779</v>
      </c>
      <c r="P2705" t="s">
        <v>35</v>
      </c>
      <c r="Q2705">
        <v>4</v>
      </c>
      <c r="R2705" s="2">
        <v>33621</v>
      </c>
    </row>
    <row r="2706" spans="1:18" x14ac:dyDescent="0.3">
      <c r="A2706" t="s">
        <v>7</v>
      </c>
      <c r="B2706">
        <v>18995997</v>
      </c>
      <c r="C2706" t="s">
        <v>10</v>
      </c>
      <c r="D2706" s="4">
        <v>46038</v>
      </c>
      <c r="E2706" s="11">
        <f t="shared" si="168"/>
        <v>2026</v>
      </c>
      <c r="F2706" s="11">
        <f t="shared" si="169"/>
        <v>1</v>
      </c>
      <c r="G2706" s="11" t="str">
        <f t="shared" si="170"/>
        <v>202601</v>
      </c>
      <c r="H2706" s="4">
        <v>46096</v>
      </c>
      <c r="I2706" s="5">
        <v>58</v>
      </c>
      <c r="J2706" s="5">
        <v>1.9333333333333333</v>
      </c>
      <c r="K2706" s="5">
        <f t="shared" si="171"/>
        <v>0</v>
      </c>
      <c r="L2706" s="5">
        <v>1</v>
      </c>
      <c r="M2706" s="5">
        <v>1</v>
      </c>
      <c r="N2706" t="s">
        <v>9</v>
      </c>
      <c r="O2706" s="8">
        <v>20.194520547945206</v>
      </c>
      <c r="P2706" t="s">
        <v>32</v>
      </c>
      <c r="Q2706">
        <v>1</v>
      </c>
      <c r="R2706" s="2">
        <v>38667</v>
      </c>
    </row>
    <row r="2707" spans="1:18" x14ac:dyDescent="0.3">
      <c r="A2707" t="s">
        <v>7</v>
      </c>
      <c r="B2707">
        <v>18996072</v>
      </c>
      <c r="C2707" t="s">
        <v>8</v>
      </c>
      <c r="D2707" s="4">
        <v>46038</v>
      </c>
      <c r="E2707" s="11">
        <f t="shared" si="168"/>
        <v>2026</v>
      </c>
      <c r="F2707" s="11">
        <f t="shared" si="169"/>
        <v>1</v>
      </c>
      <c r="G2707" s="11" t="str">
        <f t="shared" si="170"/>
        <v>202601</v>
      </c>
      <c r="H2707" s="4">
        <v>46112</v>
      </c>
      <c r="I2707" s="5">
        <v>74</v>
      </c>
      <c r="J2707" s="5">
        <v>2.4666666666666668</v>
      </c>
      <c r="K2707" s="5">
        <f t="shared" si="171"/>
        <v>0</v>
      </c>
      <c r="L2707" s="5">
        <v>1</v>
      </c>
      <c r="M2707" s="5">
        <v>1</v>
      </c>
      <c r="N2707" t="s">
        <v>9</v>
      </c>
      <c r="O2707" s="8">
        <v>21.123287671232877</v>
      </c>
      <c r="P2707" t="s">
        <v>33</v>
      </c>
      <c r="Q2707">
        <v>2</v>
      </c>
      <c r="R2707" s="2">
        <v>38328</v>
      </c>
    </row>
    <row r="2708" spans="1:18" x14ac:dyDescent="0.3">
      <c r="A2708" t="s">
        <v>7</v>
      </c>
      <c r="B2708">
        <v>18996174</v>
      </c>
      <c r="C2708" t="s">
        <v>8</v>
      </c>
      <c r="D2708" s="4">
        <v>46038</v>
      </c>
      <c r="E2708" s="11">
        <f t="shared" si="168"/>
        <v>2026</v>
      </c>
      <c r="F2708" s="11">
        <f t="shared" si="169"/>
        <v>1</v>
      </c>
      <c r="G2708" s="11" t="str">
        <f t="shared" si="170"/>
        <v>202601</v>
      </c>
      <c r="H2708" s="4">
        <v>46110</v>
      </c>
      <c r="I2708" s="5">
        <v>72</v>
      </c>
      <c r="J2708" s="5">
        <v>2.4</v>
      </c>
      <c r="K2708" s="5">
        <f t="shared" si="171"/>
        <v>0</v>
      </c>
      <c r="L2708" s="5">
        <v>1</v>
      </c>
      <c r="M2708" s="5">
        <v>1</v>
      </c>
      <c r="N2708" t="s">
        <v>9</v>
      </c>
      <c r="O2708" s="8">
        <v>19.104109589041094</v>
      </c>
      <c r="P2708" t="s">
        <v>32</v>
      </c>
      <c r="Q2708">
        <v>1</v>
      </c>
      <c r="R2708" s="2">
        <v>39065</v>
      </c>
    </row>
    <row r="2709" spans="1:18" x14ac:dyDescent="0.3">
      <c r="A2709" t="s">
        <v>7</v>
      </c>
      <c r="B2709">
        <v>18996334</v>
      </c>
      <c r="C2709" t="s">
        <v>10</v>
      </c>
      <c r="D2709" s="4">
        <v>46041</v>
      </c>
      <c r="E2709" s="11">
        <f t="shared" si="168"/>
        <v>2026</v>
      </c>
      <c r="F2709" s="11">
        <f t="shared" si="169"/>
        <v>1</v>
      </c>
      <c r="G2709" s="11" t="str">
        <f t="shared" si="170"/>
        <v>202601</v>
      </c>
      <c r="I2709" s="5">
        <v>9999</v>
      </c>
      <c r="J2709" s="5">
        <v>333.3</v>
      </c>
      <c r="K2709" s="5">
        <f t="shared" si="171"/>
        <v>0</v>
      </c>
      <c r="L2709" s="5">
        <v>0</v>
      </c>
      <c r="M2709" s="5">
        <v>0</v>
      </c>
      <c r="N2709" t="s">
        <v>12</v>
      </c>
      <c r="O2709" s="8">
        <v>18.205479452054796</v>
      </c>
      <c r="P2709" t="s">
        <v>32</v>
      </c>
      <c r="Q2709">
        <v>1</v>
      </c>
      <c r="R2709" s="2">
        <v>39396</v>
      </c>
    </row>
    <row r="2710" spans="1:18" x14ac:dyDescent="0.3">
      <c r="A2710" t="s">
        <v>7</v>
      </c>
      <c r="B2710">
        <v>18996335</v>
      </c>
      <c r="C2710" t="s">
        <v>10</v>
      </c>
      <c r="D2710" s="4">
        <v>46041</v>
      </c>
      <c r="E2710" s="11">
        <f t="shared" si="168"/>
        <v>2026</v>
      </c>
      <c r="F2710" s="11">
        <f t="shared" si="169"/>
        <v>1</v>
      </c>
      <c r="G2710" s="11" t="str">
        <f t="shared" si="170"/>
        <v>202601</v>
      </c>
      <c r="H2710" s="4">
        <v>46097</v>
      </c>
      <c r="I2710" s="5">
        <v>56</v>
      </c>
      <c r="J2710" s="5">
        <v>1.8666666666666667</v>
      </c>
      <c r="K2710" s="5">
        <f t="shared" si="171"/>
        <v>0</v>
      </c>
      <c r="L2710" s="5">
        <v>1</v>
      </c>
      <c r="M2710" s="5">
        <v>1</v>
      </c>
      <c r="N2710" t="s">
        <v>12</v>
      </c>
      <c r="O2710" s="8">
        <v>20.427397260273974</v>
      </c>
      <c r="P2710" t="s">
        <v>32</v>
      </c>
      <c r="Q2710">
        <v>1</v>
      </c>
      <c r="R2710" s="2">
        <v>38585</v>
      </c>
    </row>
    <row r="2711" spans="1:18" x14ac:dyDescent="0.3">
      <c r="A2711" t="s">
        <v>7</v>
      </c>
      <c r="B2711">
        <v>18996337</v>
      </c>
      <c r="C2711" t="s">
        <v>8</v>
      </c>
      <c r="D2711" s="4">
        <v>46041</v>
      </c>
      <c r="E2711" s="11">
        <f t="shared" si="168"/>
        <v>2026</v>
      </c>
      <c r="F2711" s="11">
        <f t="shared" si="169"/>
        <v>1</v>
      </c>
      <c r="G2711" s="11" t="str">
        <f t="shared" si="170"/>
        <v>202601</v>
      </c>
      <c r="H2711" s="4">
        <v>46083</v>
      </c>
      <c r="I2711" s="5">
        <v>42</v>
      </c>
      <c r="J2711" s="5">
        <v>1.4</v>
      </c>
      <c r="K2711" s="5">
        <f t="shared" si="171"/>
        <v>0</v>
      </c>
      <c r="L2711" s="5">
        <v>1</v>
      </c>
      <c r="M2711" s="5">
        <v>1</v>
      </c>
      <c r="N2711" t="s">
        <v>12</v>
      </c>
      <c r="O2711" s="8">
        <v>21.835616438356166</v>
      </c>
      <c r="P2711" t="s">
        <v>33</v>
      </c>
      <c r="Q2711">
        <v>2</v>
      </c>
      <c r="R2711" s="2">
        <v>38071</v>
      </c>
    </row>
    <row r="2712" spans="1:18" x14ac:dyDescent="0.3">
      <c r="A2712" t="s">
        <v>7</v>
      </c>
      <c r="B2712">
        <v>18996338</v>
      </c>
      <c r="C2712" t="s">
        <v>8</v>
      </c>
      <c r="D2712" s="4">
        <v>46041</v>
      </c>
      <c r="E2712" s="11">
        <f t="shared" si="168"/>
        <v>2026</v>
      </c>
      <c r="F2712" s="11">
        <f t="shared" si="169"/>
        <v>1</v>
      </c>
      <c r="G2712" s="11" t="str">
        <f t="shared" si="170"/>
        <v>202601</v>
      </c>
      <c r="H2712" s="4">
        <v>46061</v>
      </c>
      <c r="I2712" s="5">
        <v>20</v>
      </c>
      <c r="J2712" s="5">
        <v>0.66666666666666663</v>
      </c>
      <c r="K2712" s="5">
        <f t="shared" si="171"/>
        <v>1</v>
      </c>
      <c r="L2712" s="5">
        <v>1</v>
      </c>
      <c r="M2712" s="5">
        <v>1</v>
      </c>
      <c r="N2712" t="s">
        <v>12</v>
      </c>
      <c r="O2712" s="8">
        <v>20.145205479452056</v>
      </c>
      <c r="P2712" t="s">
        <v>32</v>
      </c>
      <c r="Q2712">
        <v>1</v>
      </c>
      <c r="R2712" s="2">
        <v>38688</v>
      </c>
    </row>
    <row r="2713" spans="1:18" x14ac:dyDescent="0.3">
      <c r="A2713" t="s">
        <v>7</v>
      </c>
      <c r="B2713">
        <v>18996365</v>
      </c>
      <c r="C2713" t="s">
        <v>8</v>
      </c>
      <c r="D2713" s="4">
        <v>46041</v>
      </c>
      <c r="E2713" s="11">
        <f t="shared" si="168"/>
        <v>2026</v>
      </c>
      <c r="F2713" s="11">
        <f t="shared" si="169"/>
        <v>1</v>
      </c>
      <c r="G2713" s="11" t="str">
        <f t="shared" si="170"/>
        <v>202601</v>
      </c>
      <c r="H2713" s="4">
        <v>46055</v>
      </c>
      <c r="I2713" s="5">
        <v>14</v>
      </c>
      <c r="J2713" s="5">
        <v>0.46666666666666667</v>
      </c>
      <c r="K2713" s="5">
        <f t="shared" si="171"/>
        <v>1</v>
      </c>
      <c r="L2713" s="5">
        <v>1</v>
      </c>
      <c r="M2713" s="5">
        <v>1</v>
      </c>
      <c r="N2713" t="s">
        <v>12</v>
      </c>
      <c r="O2713" s="8">
        <v>19.547945205479451</v>
      </c>
      <c r="P2713" t="s">
        <v>32</v>
      </c>
      <c r="Q2713">
        <v>1</v>
      </c>
      <c r="R2713" s="2">
        <v>38906</v>
      </c>
    </row>
    <row r="2714" spans="1:18" x14ac:dyDescent="0.3">
      <c r="A2714" t="s">
        <v>7</v>
      </c>
      <c r="B2714">
        <v>18996725</v>
      </c>
      <c r="C2714" t="s">
        <v>8</v>
      </c>
      <c r="D2714" s="4">
        <v>46042</v>
      </c>
      <c r="E2714" s="11">
        <f t="shared" si="168"/>
        <v>2026</v>
      </c>
      <c r="F2714" s="11">
        <f t="shared" si="169"/>
        <v>1</v>
      </c>
      <c r="G2714" s="11" t="str">
        <f t="shared" si="170"/>
        <v>202601</v>
      </c>
      <c r="H2714" s="4">
        <v>46154</v>
      </c>
      <c r="I2714" s="5">
        <v>112</v>
      </c>
      <c r="J2714" s="5">
        <v>3.7333333333333334</v>
      </c>
      <c r="K2714" s="5">
        <f t="shared" si="171"/>
        <v>0</v>
      </c>
      <c r="L2714" s="5">
        <v>0</v>
      </c>
      <c r="M2714" s="5">
        <v>1</v>
      </c>
      <c r="N2714" t="s">
        <v>9</v>
      </c>
      <c r="O2714" s="8">
        <v>21.123287671232877</v>
      </c>
      <c r="P2714" t="s">
        <v>33</v>
      </c>
      <c r="Q2714">
        <v>2</v>
      </c>
      <c r="R2714" s="2">
        <v>38332</v>
      </c>
    </row>
    <row r="2715" spans="1:18" x14ac:dyDescent="0.3">
      <c r="A2715" t="s">
        <v>7</v>
      </c>
      <c r="B2715">
        <v>18996744</v>
      </c>
      <c r="C2715" t="s">
        <v>8</v>
      </c>
      <c r="D2715" s="4">
        <v>46042</v>
      </c>
      <c r="E2715" s="11">
        <f t="shared" si="168"/>
        <v>2026</v>
      </c>
      <c r="F2715" s="11">
        <f t="shared" si="169"/>
        <v>1</v>
      </c>
      <c r="G2715" s="11" t="str">
        <f t="shared" si="170"/>
        <v>202601</v>
      </c>
      <c r="I2715" s="5">
        <v>9999</v>
      </c>
      <c r="J2715" s="5">
        <v>333.3</v>
      </c>
      <c r="K2715" s="5">
        <f t="shared" si="171"/>
        <v>0</v>
      </c>
      <c r="L2715" s="5">
        <v>0</v>
      </c>
      <c r="M2715" s="5">
        <v>0</v>
      </c>
      <c r="N2715" t="s">
        <v>9</v>
      </c>
      <c r="O2715" s="8">
        <v>19.076712328767123</v>
      </c>
      <c r="P2715" t="s">
        <v>32</v>
      </c>
      <c r="Q2715">
        <v>1</v>
      </c>
      <c r="R2715" s="2">
        <v>39079</v>
      </c>
    </row>
    <row r="2716" spans="1:18" x14ac:dyDescent="0.3">
      <c r="A2716" t="s">
        <v>7</v>
      </c>
      <c r="B2716">
        <v>18996945</v>
      </c>
      <c r="C2716" t="s">
        <v>8</v>
      </c>
      <c r="D2716" s="4">
        <v>46043</v>
      </c>
      <c r="E2716" s="11">
        <f t="shared" si="168"/>
        <v>2026</v>
      </c>
      <c r="F2716" s="11">
        <f t="shared" si="169"/>
        <v>1</v>
      </c>
      <c r="G2716" s="11" t="str">
        <f t="shared" si="170"/>
        <v>202601</v>
      </c>
      <c r="I2716" s="5">
        <v>9999</v>
      </c>
      <c r="J2716" s="5">
        <v>333.3</v>
      </c>
      <c r="K2716" s="5">
        <f t="shared" si="171"/>
        <v>0</v>
      </c>
      <c r="L2716" s="5">
        <v>0</v>
      </c>
      <c r="M2716" s="5">
        <v>0</v>
      </c>
      <c r="N2716" t="s">
        <v>9</v>
      </c>
      <c r="O2716" s="8">
        <v>19.24931506849315</v>
      </c>
      <c r="P2716" t="s">
        <v>32</v>
      </c>
      <c r="Q2716">
        <v>1</v>
      </c>
      <c r="R2716" s="2">
        <v>39017</v>
      </c>
    </row>
    <row r="2717" spans="1:18" x14ac:dyDescent="0.3">
      <c r="A2717" t="s">
        <v>7</v>
      </c>
      <c r="B2717">
        <v>18996961</v>
      </c>
      <c r="C2717" t="s">
        <v>8</v>
      </c>
      <c r="D2717" s="4">
        <v>46043</v>
      </c>
      <c r="E2717" s="11">
        <f t="shared" si="168"/>
        <v>2026</v>
      </c>
      <c r="F2717" s="11">
        <f t="shared" si="169"/>
        <v>1</v>
      </c>
      <c r="G2717" s="11" t="str">
        <f t="shared" si="170"/>
        <v>202601</v>
      </c>
      <c r="I2717" s="5">
        <v>9999</v>
      </c>
      <c r="J2717" s="5">
        <v>333.3</v>
      </c>
      <c r="K2717" s="5">
        <f t="shared" si="171"/>
        <v>0</v>
      </c>
      <c r="L2717" s="5">
        <v>0</v>
      </c>
      <c r="M2717" s="5">
        <v>0</v>
      </c>
      <c r="N2717" t="s">
        <v>9</v>
      </c>
      <c r="O2717" s="8">
        <v>20.293150684931508</v>
      </c>
      <c r="P2717" t="s">
        <v>32</v>
      </c>
      <c r="Q2717">
        <v>1</v>
      </c>
      <c r="R2717" s="2">
        <v>38636</v>
      </c>
    </row>
    <row r="2718" spans="1:18" x14ac:dyDescent="0.3">
      <c r="A2718" t="s">
        <v>7</v>
      </c>
      <c r="B2718">
        <v>18996967</v>
      </c>
      <c r="C2718" t="s">
        <v>8</v>
      </c>
      <c r="D2718" s="4">
        <v>46043</v>
      </c>
      <c r="E2718" s="11">
        <f t="shared" si="168"/>
        <v>2026</v>
      </c>
      <c r="F2718" s="11">
        <f t="shared" si="169"/>
        <v>1</v>
      </c>
      <c r="G2718" s="11" t="str">
        <f t="shared" si="170"/>
        <v>202601</v>
      </c>
      <c r="I2718" s="5">
        <v>9999</v>
      </c>
      <c r="J2718" s="5">
        <v>333.3</v>
      </c>
      <c r="K2718" s="5">
        <f t="shared" si="171"/>
        <v>0</v>
      </c>
      <c r="L2718" s="5">
        <v>0</v>
      </c>
      <c r="M2718" s="5">
        <v>0</v>
      </c>
      <c r="N2718" t="s">
        <v>9</v>
      </c>
      <c r="O2718" s="8">
        <v>21.347945205479451</v>
      </c>
      <c r="P2718" t="s">
        <v>33</v>
      </c>
      <c r="Q2718">
        <v>2</v>
      </c>
      <c r="R2718" s="2">
        <v>38251</v>
      </c>
    </row>
    <row r="2719" spans="1:18" x14ac:dyDescent="0.3">
      <c r="A2719" t="s">
        <v>7</v>
      </c>
      <c r="B2719">
        <v>18997001</v>
      </c>
      <c r="C2719" t="s">
        <v>8</v>
      </c>
      <c r="D2719" s="4">
        <v>46043</v>
      </c>
      <c r="E2719" s="11">
        <f t="shared" si="168"/>
        <v>2026</v>
      </c>
      <c r="F2719" s="11">
        <f t="shared" si="169"/>
        <v>1</v>
      </c>
      <c r="G2719" s="11" t="str">
        <f t="shared" si="170"/>
        <v>202601</v>
      </c>
      <c r="I2719" s="5">
        <v>9999</v>
      </c>
      <c r="J2719" s="5">
        <v>333.3</v>
      </c>
      <c r="K2719" s="5">
        <f t="shared" si="171"/>
        <v>0</v>
      </c>
      <c r="L2719" s="5">
        <v>0</v>
      </c>
      <c r="M2719" s="5">
        <v>0</v>
      </c>
      <c r="N2719" t="s">
        <v>9</v>
      </c>
      <c r="O2719" s="8">
        <v>20.945205479452056</v>
      </c>
      <c r="P2719" t="s">
        <v>32</v>
      </c>
      <c r="Q2719">
        <v>1</v>
      </c>
      <c r="R2719" s="2">
        <v>38398</v>
      </c>
    </row>
    <row r="2720" spans="1:18" x14ac:dyDescent="0.3">
      <c r="A2720" t="s">
        <v>7</v>
      </c>
      <c r="B2720">
        <v>18997017</v>
      </c>
      <c r="C2720" t="s">
        <v>8</v>
      </c>
      <c r="D2720" s="4">
        <v>46043</v>
      </c>
      <c r="E2720" s="11">
        <f t="shared" si="168"/>
        <v>2026</v>
      </c>
      <c r="F2720" s="11">
        <f t="shared" si="169"/>
        <v>1</v>
      </c>
      <c r="G2720" s="11" t="str">
        <f t="shared" si="170"/>
        <v>202601</v>
      </c>
      <c r="I2720" s="5">
        <v>9999</v>
      </c>
      <c r="J2720" s="5">
        <v>333.3</v>
      </c>
      <c r="K2720" s="5">
        <f t="shared" si="171"/>
        <v>0</v>
      </c>
      <c r="L2720" s="5">
        <v>0</v>
      </c>
      <c r="M2720" s="5">
        <v>0</v>
      </c>
      <c r="N2720" t="s">
        <v>9</v>
      </c>
      <c r="O2720" s="8">
        <v>23.706849315068492</v>
      </c>
      <c r="P2720" t="s">
        <v>33</v>
      </c>
      <c r="Q2720">
        <v>2</v>
      </c>
      <c r="R2720" s="2">
        <v>37390</v>
      </c>
    </row>
    <row r="2721" spans="1:18" x14ac:dyDescent="0.3">
      <c r="A2721" t="s">
        <v>7</v>
      </c>
      <c r="B2721">
        <v>18997042</v>
      </c>
      <c r="C2721" t="s">
        <v>8</v>
      </c>
      <c r="D2721" s="4">
        <v>46043</v>
      </c>
      <c r="E2721" s="11">
        <f t="shared" si="168"/>
        <v>2026</v>
      </c>
      <c r="F2721" s="11">
        <f t="shared" si="169"/>
        <v>1</v>
      </c>
      <c r="G2721" s="11" t="str">
        <f t="shared" si="170"/>
        <v>202601</v>
      </c>
      <c r="H2721" s="4">
        <v>46112</v>
      </c>
      <c r="I2721" s="5">
        <v>69</v>
      </c>
      <c r="J2721" s="5">
        <v>2.2999999999999998</v>
      </c>
      <c r="K2721" s="5">
        <f t="shared" si="171"/>
        <v>0</v>
      </c>
      <c r="L2721" s="5">
        <v>1</v>
      </c>
      <c r="M2721" s="5">
        <v>1</v>
      </c>
      <c r="N2721" t="s">
        <v>9</v>
      </c>
      <c r="O2721" s="8">
        <v>20.087671232876712</v>
      </c>
      <c r="P2721" t="s">
        <v>32</v>
      </c>
      <c r="Q2721">
        <v>1</v>
      </c>
      <c r="R2721" s="2">
        <v>38711</v>
      </c>
    </row>
    <row r="2722" spans="1:18" x14ac:dyDescent="0.3">
      <c r="A2722" t="s">
        <v>7</v>
      </c>
      <c r="B2722">
        <v>18997043</v>
      </c>
      <c r="C2722" t="s">
        <v>10</v>
      </c>
      <c r="D2722" s="4">
        <v>46043</v>
      </c>
      <c r="E2722" s="11">
        <f t="shared" si="168"/>
        <v>2026</v>
      </c>
      <c r="F2722" s="11">
        <f t="shared" si="169"/>
        <v>1</v>
      </c>
      <c r="G2722" s="11" t="str">
        <f t="shared" si="170"/>
        <v>202601</v>
      </c>
      <c r="H2722" s="4">
        <v>46113</v>
      </c>
      <c r="I2722" s="5">
        <v>70</v>
      </c>
      <c r="J2722" s="5">
        <v>2.3333333333333335</v>
      </c>
      <c r="K2722" s="5">
        <f t="shared" si="171"/>
        <v>0</v>
      </c>
      <c r="L2722" s="5">
        <v>1</v>
      </c>
      <c r="M2722" s="5">
        <v>1</v>
      </c>
      <c r="N2722" t="s">
        <v>9</v>
      </c>
      <c r="O2722" s="8">
        <v>18.797260273972604</v>
      </c>
      <c r="P2722" t="s">
        <v>32</v>
      </c>
      <c r="Q2722">
        <v>1</v>
      </c>
      <c r="R2722" s="2">
        <v>39182</v>
      </c>
    </row>
    <row r="2723" spans="1:18" x14ac:dyDescent="0.3">
      <c r="A2723" t="s">
        <v>11</v>
      </c>
      <c r="B2723">
        <v>18997112</v>
      </c>
      <c r="C2723" t="s">
        <v>8</v>
      </c>
      <c r="D2723" s="4">
        <v>46157</v>
      </c>
      <c r="E2723" s="11">
        <f t="shared" si="168"/>
        <v>2026</v>
      </c>
      <c r="F2723" s="11">
        <f t="shared" si="169"/>
        <v>5</v>
      </c>
      <c r="G2723" s="11" t="str">
        <f t="shared" si="170"/>
        <v>202605</v>
      </c>
      <c r="H2723" s="4">
        <v>46173</v>
      </c>
      <c r="I2723" s="5">
        <v>16</v>
      </c>
      <c r="J2723" s="5">
        <v>0.53333333333333333</v>
      </c>
      <c r="K2723" s="5">
        <f t="shared" si="171"/>
        <v>1</v>
      </c>
      <c r="L2723" s="5">
        <v>1</v>
      </c>
      <c r="M2723" s="5">
        <v>1</v>
      </c>
      <c r="N2723" t="s">
        <v>9</v>
      </c>
      <c r="O2723" s="8">
        <v>20.769863013698629</v>
      </c>
      <c r="P2723" t="s">
        <v>32</v>
      </c>
      <c r="Q2723">
        <v>1</v>
      </c>
      <c r="R2723" s="2">
        <v>38576</v>
      </c>
    </row>
    <row r="2724" spans="1:18" x14ac:dyDescent="0.3">
      <c r="A2724" t="s">
        <v>7</v>
      </c>
      <c r="B2724">
        <v>18997388</v>
      </c>
      <c r="C2724" t="s">
        <v>8</v>
      </c>
      <c r="D2724" s="4">
        <v>46044</v>
      </c>
      <c r="E2724" s="11">
        <f t="shared" si="168"/>
        <v>2026</v>
      </c>
      <c r="F2724" s="11">
        <f t="shared" si="169"/>
        <v>1</v>
      </c>
      <c r="G2724" s="11" t="str">
        <f t="shared" si="170"/>
        <v>202601</v>
      </c>
      <c r="I2724" s="5">
        <v>9999</v>
      </c>
      <c r="J2724" s="5">
        <v>333.3</v>
      </c>
      <c r="K2724" s="5">
        <f t="shared" si="171"/>
        <v>0</v>
      </c>
      <c r="L2724" s="5">
        <v>0</v>
      </c>
      <c r="M2724" s="5">
        <v>0</v>
      </c>
      <c r="N2724" t="s">
        <v>9</v>
      </c>
      <c r="O2724" s="8">
        <v>23.723287671232878</v>
      </c>
      <c r="P2724" t="s">
        <v>33</v>
      </c>
      <c r="Q2724">
        <v>2</v>
      </c>
      <c r="R2724" s="2">
        <v>37385</v>
      </c>
    </row>
    <row r="2725" spans="1:18" x14ac:dyDescent="0.3">
      <c r="A2725" t="s">
        <v>7</v>
      </c>
      <c r="B2725">
        <v>18997400</v>
      </c>
      <c r="C2725" t="s">
        <v>8</v>
      </c>
      <c r="D2725" s="4">
        <v>46044</v>
      </c>
      <c r="E2725" s="11">
        <f t="shared" si="168"/>
        <v>2026</v>
      </c>
      <c r="F2725" s="11">
        <f t="shared" si="169"/>
        <v>1</v>
      </c>
      <c r="G2725" s="11" t="str">
        <f t="shared" si="170"/>
        <v>202601</v>
      </c>
      <c r="H2725" s="4">
        <v>46096</v>
      </c>
      <c r="I2725" s="5">
        <v>52</v>
      </c>
      <c r="J2725" s="5">
        <v>1.7333333333333334</v>
      </c>
      <c r="K2725" s="5">
        <f t="shared" si="171"/>
        <v>0</v>
      </c>
      <c r="L2725" s="5">
        <v>1</v>
      </c>
      <c r="M2725" s="5">
        <v>1</v>
      </c>
      <c r="N2725" t="s">
        <v>12</v>
      </c>
      <c r="O2725" s="8">
        <v>19.857534246575341</v>
      </c>
      <c r="P2725" t="s">
        <v>32</v>
      </c>
      <c r="Q2725">
        <v>1</v>
      </c>
      <c r="R2725" s="2">
        <v>38796</v>
      </c>
    </row>
    <row r="2726" spans="1:18" x14ac:dyDescent="0.3">
      <c r="A2726" t="s">
        <v>7</v>
      </c>
      <c r="B2726">
        <v>18997427</v>
      </c>
      <c r="C2726" t="s">
        <v>8</v>
      </c>
      <c r="D2726" s="4">
        <v>46044</v>
      </c>
      <c r="E2726" s="11">
        <f t="shared" si="168"/>
        <v>2026</v>
      </c>
      <c r="F2726" s="11">
        <f t="shared" si="169"/>
        <v>1</v>
      </c>
      <c r="G2726" s="11" t="str">
        <f t="shared" si="170"/>
        <v>202601</v>
      </c>
      <c r="H2726" s="4">
        <v>46056</v>
      </c>
      <c r="I2726" s="5">
        <v>12</v>
      </c>
      <c r="J2726" s="5">
        <v>0.4</v>
      </c>
      <c r="K2726" s="5">
        <f t="shared" si="171"/>
        <v>1</v>
      </c>
      <c r="L2726" s="5">
        <v>1</v>
      </c>
      <c r="M2726" s="5">
        <v>1</v>
      </c>
      <c r="N2726" t="s">
        <v>12</v>
      </c>
      <c r="O2726" s="8">
        <v>22.049315068493151</v>
      </c>
      <c r="P2726" t="s">
        <v>33</v>
      </c>
      <c r="Q2726">
        <v>2</v>
      </c>
      <c r="R2726" s="2">
        <v>37996</v>
      </c>
    </row>
    <row r="2727" spans="1:18" x14ac:dyDescent="0.3">
      <c r="A2727" t="s">
        <v>7</v>
      </c>
      <c r="B2727">
        <v>18997428</v>
      </c>
      <c r="C2727" t="s">
        <v>8</v>
      </c>
      <c r="D2727" s="4">
        <v>46044</v>
      </c>
      <c r="E2727" s="11">
        <f t="shared" si="168"/>
        <v>2026</v>
      </c>
      <c r="F2727" s="11">
        <f t="shared" si="169"/>
        <v>1</v>
      </c>
      <c r="G2727" s="11" t="str">
        <f t="shared" si="170"/>
        <v>202601</v>
      </c>
      <c r="H2727" s="4">
        <v>46081</v>
      </c>
      <c r="I2727" s="5">
        <v>37</v>
      </c>
      <c r="J2727" s="5">
        <v>1.2333333333333334</v>
      </c>
      <c r="K2727" s="5">
        <f t="shared" si="171"/>
        <v>0</v>
      </c>
      <c r="L2727" s="5">
        <v>1</v>
      </c>
      <c r="M2727" s="5">
        <v>1</v>
      </c>
      <c r="N2727" t="s">
        <v>9</v>
      </c>
      <c r="O2727" s="8">
        <v>19.484931506849314</v>
      </c>
      <c r="P2727" t="s">
        <v>32</v>
      </c>
      <c r="Q2727">
        <v>1</v>
      </c>
      <c r="R2727" s="2">
        <v>38932</v>
      </c>
    </row>
    <row r="2728" spans="1:18" x14ac:dyDescent="0.3">
      <c r="A2728" t="s">
        <v>7</v>
      </c>
      <c r="B2728">
        <v>18997436</v>
      </c>
      <c r="C2728" t="s">
        <v>8</v>
      </c>
      <c r="D2728" s="4">
        <v>46044</v>
      </c>
      <c r="E2728" s="11">
        <f t="shared" si="168"/>
        <v>2026</v>
      </c>
      <c r="F2728" s="11">
        <f t="shared" si="169"/>
        <v>1</v>
      </c>
      <c r="G2728" s="11" t="str">
        <f t="shared" si="170"/>
        <v>202601</v>
      </c>
      <c r="H2728" s="4">
        <v>46113</v>
      </c>
      <c r="I2728" s="5">
        <v>69</v>
      </c>
      <c r="J2728" s="5">
        <v>2.2999999999999998</v>
      </c>
      <c r="K2728" s="5">
        <f t="shared" si="171"/>
        <v>0</v>
      </c>
      <c r="L2728" s="5">
        <v>1</v>
      </c>
      <c r="M2728" s="5">
        <v>1</v>
      </c>
      <c r="N2728" t="s">
        <v>12</v>
      </c>
      <c r="O2728" s="8">
        <v>18.301369863013697</v>
      </c>
      <c r="P2728" t="s">
        <v>32</v>
      </c>
      <c r="Q2728">
        <v>1</v>
      </c>
      <c r="R2728" s="2">
        <v>39364</v>
      </c>
    </row>
    <row r="2729" spans="1:18" x14ac:dyDescent="0.3">
      <c r="A2729" t="s">
        <v>7</v>
      </c>
      <c r="B2729">
        <v>18997440</v>
      </c>
      <c r="C2729" t="s">
        <v>8</v>
      </c>
      <c r="D2729" s="4">
        <v>46044</v>
      </c>
      <c r="E2729" s="11">
        <f t="shared" si="168"/>
        <v>2026</v>
      </c>
      <c r="F2729" s="11">
        <f t="shared" si="169"/>
        <v>1</v>
      </c>
      <c r="G2729" s="11" t="str">
        <f t="shared" si="170"/>
        <v>202601</v>
      </c>
      <c r="H2729" s="4">
        <v>46109</v>
      </c>
      <c r="I2729" s="5">
        <v>65</v>
      </c>
      <c r="J2729" s="5">
        <v>2.1666666666666665</v>
      </c>
      <c r="K2729" s="5">
        <f t="shared" si="171"/>
        <v>0</v>
      </c>
      <c r="L2729" s="5">
        <v>1</v>
      </c>
      <c r="M2729" s="5">
        <v>1</v>
      </c>
      <c r="N2729" t="s">
        <v>12</v>
      </c>
      <c r="O2729" s="8">
        <v>20.465753424657535</v>
      </c>
      <c r="P2729" t="s">
        <v>32</v>
      </c>
      <c r="Q2729">
        <v>1</v>
      </c>
      <c r="R2729" s="2">
        <v>38574</v>
      </c>
    </row>
    <row r="2730" spans="1:18" x14ac:dyDescent="0.3">
      <c r="A2730" t="s">
        <v>7</v>
      </c>
      <c r="B2730">
        <v>18997448</v>
      </c>
      <c r="C2730" t="s">
        <v>10</v>
      </c>
      <c r="D2730" s="4">
        <v>46044</v>
      </c>
      <c r="E2730" s="11">
        <f t="shared" si="168"/>
        <v>2026</v>
      </c>
      <c r="F2730" s="11">
        <f t="shared" si="169"/>
        <v>1</v>
      </c>
      <c r="G2730" s="11" t="str">
        <f t="shared" si="170"/>
        <v>202601</v>
      </c>
      <c r="I2730" s="5">
        <v>9999</v>
      </c>
      <c r="J2730" s="5">
        <v>333.3</v>
      </c>
      <c r="K2730" s="5">
        <f t="shared" si="171"/>
        <v>0</v>
      </c>
      <c r="L2730" s="5">
        <v>0</v>
      </c>
      <c r="M2730" s="5">
        <v>0</v>
      </c>
      <c r="N2730" t="s">
        <v>9</v>
      </c>
      <c r="O2730" s="8">
        <v>18.991780821917807</v>
      </c>
      <c r="P2730" t="s">
        <v>32</v>
      </c>
      <c r="Q2730">
        <v>1</v>
      </c>
      <c r="R2730" s="2">
        <v>39112</v>
      </c>
    </row>
    <row r="2731" spans="1:18" x14ac:dyDescent="0.3">
      <c r="A2731" t="s">
        <v>7</v>
      </c>
      <c r="B2731">
        <v>18997466</v>
      </c>
      <c r="C2731" t="s">
        <v>10</v>
      </c>
      <c r="D2731" s="4">
        <v>46044</v>
      </c>
      <c r="E2731" s="11">
        <f t="shared" si="168"/>
        <v>2026</v>
      </c>
      <c r="F2731" s="11">
        <f t="shared" si="169"/>
        <v>1</v>
      </c>
      <c r="G2731" s="11" t="str">
        <f t="shared" si="170"/>
        <v>202601</v>
      </c>
      <c r="H2731" s="4">
        <v>46112</v>
      </c>
      <c r="I2731" s="5">
        <v>68</v>
      </c>
      <c r="J2731" s="5">
        <v>2.2666666666666666</v>
      </c>
      <c r="K2731" s="5">
        <f t="shared" si="171"/>
        <v>0</v>
      </c>
      <c r="L2731" s="5">
        <v>1</v>
      </c>
      <c r="M2731" s="5">
        <v>1</v>
      </c>
      <c r="N2731" t="s">
        <v>9</v>
      </c>
      <c r="O2731" s="8">
        <v>20.509589041095889</v>
      </c>
      <c r="P2731" t="s">
        <v>32</v>
      </c>
      <c r="Q2731">
        <v>1</v>
      </c>
      <c r="R2731" s="2">
        <v>38558</v>
      </c>
    </row>
    <row r="2732" spans="1:18" x14ac:dyDescent="0.3">
      <c r="A2732" t="s">
        <v>7</v>
      </c>
      <c r="B2732">
        <v>18997692</v>
      </c>
      <c r="C2732" t="s">
        <v>10</v>
      </c>
      <c r="D2732" s="4">
        <v>46045</v>
      </c>
      <c r="E2732" s="11">
        <f t="shared" si="168"/>
        <v>2026</v>
      </c>
      <c r="F2732" s="11">
        <f t="shared" si="169"/>
        <v>1</v>
      </c>
      <c r="G2732" s="11" t="str">
        <f t="shared" si="170"/>
        <v>202601</v>
      </c>
      <c r="I2732" s="5">
        <v>9999</v>
      </c>
      <c r="J2732" s="5">
        <v>333.3</v>
      </c>
      <c r="K2732" s="5">
        <f t="shared" si="171"/>
        <v>0</v>
      </c>
      <c r="L2732" s="5">
        <v>0</v>
      </c>
      <c r="M2732" s="5">
        <v>0</v>
      </c>
      <c r="N2732" t="s">
        <v>9</v>
      </c>
      <c r="O2732" s="8">
        <v>21.257534246575343</v>
      </c>
      <c r="P2732" t="s">
        <v>33</v>
      </c>
      <c r="Q2732">
        <v>2</v>
      </c>
      <c r="R2732" s="2">
        <v>38286</v>
      </c>
    </row>
    <row r="2733" spans="1:18" x14ac:dyDescent="0.3">
      <c r="A2733" t="s">
        <v>7</v>
      </c>
      <c r="B2733">
        <v>18997708</v>
      </c>
      <c r="C2733" t="s">
        <v>8</v>
      </c>
      <c r="D2733" s="4">
        <v>46045</v>
      </c>
      <c r="E2733" s="11">
        <f t="shared" si="168"/>
        <v>2026</v>
      </c>
      <c r="F2733" s="11">
        <f t="shared" si="169"/>
        <v>1</v>
      </c>
      <c r="G2733" s="11" t="str">
        <f t="shared" si="170"/>
        <v>202601</v>
      </c>
      <c r="H2733" s="4">
        <v>46110</v>
      </c>
      <c r="I2733" s="5">
        <v>65</v>
      </c>
      <c r="J2733" s="5">
        <v>2.1666666666666665</v>
      </c>
      <c r="K2733" s="5">
        <f t="shared" si="171"/>
        <v>0</v>
      </c>
      <c r="L2733" s="5">
        <v>1</v>
      </c>
      <c r="M2733" s="5">
        <v>1</v>
      </c>
      <c r="N2733" t="s">
        <v>9</v>
      </c>
      <c r="O2733" s="8">
        <v>22.232876712328768</v>
      </c>
      <c r="P2733" t="s">
        <v>33</v>
      </c>
      <c r="Q2733">
        <v>2</v>
      </c>
      <c r="R2733" s="2">
        <v>37930</v>
      </c>
    </row>
    <row r="2734" spans="1:18" x14ac:dyDescent="0.3">
      <c r="A2734" t="s">
        <v>7</v>
      </c>
      <c r="B2734">
        <v>18997709</v>
      </c>
      <c r="C2734" t="s">
        <v>8</v>
      </c>
      <c r="D2734" s="4">
        <v>46045</v>
      </c>
      <c r="E2734" s="11">
        <f t="shared" si="168"/>
        <v>2026</v>
      </c>
      <c r="F2734" s="11">
        <f t="shared" si="169"/>
        <v>1</v>
      </c>
      <c r="G2734" s="11" t="str">
        <f t="shared" si="170"/>
        <v>202601</v>
      </c>
      <c r="H2734" s="4">
        <v>46059</v>
      </c>
      <c r="I2734" s="5">
        <v>14</v>
      </c>
      <c r="J2734" s="5">
        <v>0.46666666666666667</v>
      </c>
      <c r="K2734" s="5">
        <f t="shared" si="171"/>
        <v>1</v>
      </c>
      <c r="L2734" s="5">
        <v>1</v>
      </c>
      <c r="M2734" s="5">
        <v>1</v>
      </c>
      <c r="N2734" t="s">
        <v>9</v>
      </c>
      <c r="O2734" s="8">
        <v>22.983561643835618</v>
      </c>
      <c r="P2734" t="s">
        <v>33</v>
      </c>
      <c r="Q2734">
        <v>2</v>
      </c>
      <c r="R2734" s="2">
        <v>37656</v>
      </c>
    </row>
    <row r="2735" spans="1:18" x14ac:dyDescent="0.3">
      <c r="A2735" t="s">
        <v>7</v>
      </c>
      <c r="B2735">
        <v>18997711</v>
      </c>
      <c r="C2735" t="s">
        <v>10</v>
      </c>
      <c r="D2735" s="4">
        <v>46045</v>
      </c>
      <c r="E2735" s="11">
        <f t="shared" si="168"/>
        <v>2026</v>
      </c>
      <c r="F2735" s="11">
        <f t="shared" si="169"/>
        <v>1</v>
      </c>
      <c r="G2735" s="11" t="str">
        <f t="shared" si="170"/>
        <v>202601</v>
      </c>
      <c r="I2735" s="5">
        <v>9999</v>
      </c>
      <c r="J2735" s="5">
        <v>333.3</v>
      </c>
      <c r="K2735" s="5">
        <f t="shared" si="171"/>
        <v>0</v>
      </c>
      <c r="L2735" s="5">
        <v>0</v>
      </c>
      <c r="M2735" s="5">
        <v>0</v>
      </c>
      <c r="N2735" t="s">
        <v>9</v>
      </c>
      <c r="O2735" s="8">
        <v>18.479452054794521</v>
      </c>
      <c r="P2735" t="s">
        <v>32</v>
      </c>
      <c r="Q2735">
        <v>1</v>
      </c>
      <c r="R2735" s="2">
        <v>39300</v>
      </c>
    </row>
    <row r="2736" spans="1:18" x14ac:dyDescent="0.3">
      <c r="A2736" t="s">
        <v>7</v>
      </c>
      <c r="B2736">
        <v>18997716</v>
      </c>
      <c r="C2736" t="s">
        <v>8</v>
      </c>
      <c r="D2736" s="4">
        <v>46045</v>
      </c>
      <c r="E2736" s="11">
        <f t="shared" si="168"/>
        <v>2026</v>
      </c>
      <c r="F2736" s="11">
        <f t="shared" si="169"/>
        <v>1</v>
      </c>
      <c r="G2736" s="11" t="str">
        <f t="shared" si="170"/>
        <v>202601</v>
      </c>
      <c r="H2736" s="4">
        <v>46104</v>
      </c>
      <c r="I2736" s="5">
        <v>59</v>
      </c>
      <c r="J2736" s="5">
        <v>1.9666666666666666</v>
      </c>
      <c r="K2736" s="5">
        <f t="shared" si="171"/>
        <v>0</v>
      </c>
      <c r="L2736" s="5">
        <v>1</v>
      </c>
      <c r="M2736" s="5">
        <v>1</v>
      </c>
      <c r="N2736" t="s">
        <v>9</v>
      </c>
      <c r="O2736" s="8">
        <v>20.304109589041097</v>
      </c>
      <c r="P2736" t="s">
        <v>32</v>
      </c>
      <c r="Q2736">
        <v>1</v>
      </c>
      <c r="R2736" s="2">
        <v>38634</v>
      </c>
    </row>
    <row r="2737" spans="1:18" x14ac:dyDescent="0.3">
      <c r="A2737" t="s">
        <v>7</v>
      </c>
      <c r="B2737">
        <v>18997728</v>
      </c>
      <c r="C2737" t="s">
        <v>8</v>
      </c>
      <c r="D2737" s="4">
        <v>46045</v>
      </c>
      <c r="E2737" s="11">
        <f t="shared" si="168"/>
        <v>2026</v>
      </c>
      <c r="F2737" s="11">
        <f t="shared" si="169"/>
        <v>1</v>
      </c>
      <c r="G2737" s="11" t="str">
        <f t="shared" si="170"/>
        <v>202601</v>
      </c>
      <c r="I2737" s="5">
        <v>9999</v>
      </c>
      <c r="J2737" s="5">
        <v>333.3</v>
      </c>
      <c r="K2737" s="5">
        <f t="shared" si="171"/>
        <v>0</v>
      </c>
      <c r="L2737" s="5">
        <v>0</v>
      </c>
      <c r="M2737" s="5">
        <v>0</v>
      </c>
      <c r="N2737" t="s">
        <v>9</v>
      </c>
      <c r="O2737" s="8">
        <v>20.564383561643837</v>
      </c>
      <c r="P2737" t="s">
        <v>32</v>
      </c>
      <c r="Q2737">
        <v>1</v>
      </c>
      <c r="R2737" s="2">
        <v>38539</v>
      </c>
    </row>
    <row r="2738" spans="1:18" x14ac:dyDescent="0.3">
      <c r="A2738" t="s">
        <v>7</v>
      </c>
      <c r="B2738">
        <v>18997729</v>
      </c>
      <c r="C2738" t="s">
        <v>8</v>
      </c>
      <c r="D2738" s="4">
        <v>46045</v>
      </c>
      <c r="E2738" s="11">
        <f t="shared" si="168"/>
        <v>2026</v>
      </c>
      <c r="F2738" s="11">
        <f t="shared" si="169"/>
        <v>1</v>
      </c>
      <c r="G2738" s="11" t="str">
        <f t="shared" si="170"/>
        <v>202601</v>
      </c>
      <c r="I2738" s="5">
        <v>9999</v>
      </c>
      <c r="J2738" s="5">
        <v>333.3</v>
      </c>
      <c r="K2738" s="5">
        <f t="shared" si="171"/>
        <v>0</v>
      </c>
      <c r="L2738" s="5">
        <v>0</v>
      </c>
      <c r="M2738" s="5">
        <v>0</v>
      </c>
      <c r="N2738" t="s">
        <v>9</v>
      </c>
      <c r="O2738" s="8">
        <v>22.402739726027399</v>
      </c>
      <c r="P2738" t="s">
        <v>33</v>
      </c>
      <c r="Q2738">
        <v>2</v>
      </c>
      <c r="R2738" s="2">
        <v>37868</v>
      </c>
    </row>
    <row r="2739" spans="1:18" x14ac:dyDescent="0.3">
      <c r="A2739" t="s">
        <v>7</v>
      </c>
      <c r="B2739">
        <v>18997994</v>
      </c>
      <c r="C2739" t="s">
        <v>8</v>
      </c>
      <c r="D2739" s="4">
        <v>46048</v>
      </c>
      <c r="E2739" s="11">
        <f t="shared" si="168"/>
        <v>2026</v>
      </c>
      <c r="F2739" s="11">
        <f t="shared" si="169"/>
        <v>1</v>
      </c>
      <c r="G2739" s="11" t="str">
        <f t="shared" si="170"/>
        <v>202601</v>
      </c>
      <c r="H2739" s="4">
        <v>46054</v>
      </c>
      <c r="I2739" s="5">
        <v>6</v>
      </c>
      <c r="J2739" s="5">
        <v>0.2</v>
      </c>
      <c r="K2739" s="5">
        <f t="shared" si="171"/>
        <v>1</v>
      </c>
      <c r="L2739" s="5">
        <v>1</v>
      </c>
      <c r="M2739" s="5">
        <v>1</v>
      </c>
      <c r="N2739" t="s">
        <v>9</v>
      </c>
      <c r="O2739" s="8">
        <v>21.032876712328768</v>
      </c>
      <c r="P2739" t="s">
        <v>33</v>
      </c>
      <c r="Q2739">
        <v>2</v>
      </c>
      <c r="R2739" s="2">
        <v>38371</v>
      </c>
    </row>
    <row r="2740" spans="1:18" x14ac:dyDescent="0.3">
      <c r="A2740" t="s">
        <v>7</v>
      </c>
      <c r="B2740">
        <v>18997995</v>
      </c>
      <c r="C2740" t="s">
        <v>10</v>
      </c>
      <c r="D2740" s="4">
        <v>46048</v>
      </c>
      <c r="E2740" s="11">
        <f t="shared" si="168"/>
        <v>2026</v>
      </c>
      <c r="F2740" s="11">
        <f t="shared" si="169"/>
        <v>1</v>
      </c>
      <c r="G2740" s="11" t="str">
        <f t="shared" si="170"/>
        <v>202601</v>
      </c>
      <c r="I2740" s="5">
        <v>9999</v>
      </c>
      <c r="J2740" s="5">
        <v>333.3</v>
      </c>
      <c r="K2740" s="5">
        <f t="shared" si="171"/>
        <v>0</v>
      </c>
      <c r="L2740" s="5">
        <v>0</v>
      </c>
      <c r="M2740" s="5">
        <v>0</v>
      </c>
      <c r="N2740" t="s">
        <v>9</v>
      </c>
      <c r="O2740" s="8">
        <v>18.142465753424659</v>
      </c>
      <c r="P2740" t="s">
        <v>32</v>
      </c>
      <c r="Q2740">
        <v>1</v>
      </c>
      <c r="R2740" s="2">
        <v>39426</v>
      </c>
    </row>
    <row r="2741" spans="1:18" x14ac:dyDescent="0.3">
      <c r="A2741" t="s">
        <v>7</v>
      </c>
      <c r="B2741">
        <v>18997997</v>
      </c>
      <c r="C2741" t="s">
        <v>10</v>
      </c>
      <c r="D2741" s="4">
        <v>46048</v>
      </c>
      <c r="E2741" s="11">
        <f t="shared" si="168"/>
        <v>2026</v>
      </c>
      <c r="F2741" s="11">
        <f t="shared" si="169"/>
        <v>1</v>
      </c>
      <c r="G2741" s="11" t="str">
        <f t="shared" si="170"/>
        <v>202601</v>
      </c>
      <c r="H2741" s="4">
        <v>46054</v>
      </c>
      <c r="I2741" s="5">
        <v>6</v>
      </c>
      <c r="J2741" s="5">
        <v>0.2</v>
      </c>
      <c r="K2741" s="5">
        <f t="shared" si="171"/>
        <v>1</v>
      </c>
      <c r="L2741" s="5">
        <v>1</v>
      </c>
      <c r="M2741" s="5">
        <v>1</v>
      </c>
      <c r="N2741" t="s">
        <v>9</v>
      </c>
      <c r="O2741" s="8">
        <v>23.786301369863015</v>
      </c>
      <c r="P2741" t="s">
        <v>33</v>
      </c>
      <c r="Q2741">
        <v>2</v>
      </c>
      <c r="R2741" s="2">
        <v>37366</v>
      </c>
    </row>
    <row r="2742" spans="1:18" x14ac:dyDescent="0.3">
      <c r="A2742" t="s">
        <v>7</v>
      </c>
      <c r="B2742">
        <v>18998003</v>
      </c>
      <c r="C2742" t="s">
        <v>8</v>
      </c>
      <c r="D2742" s="4">
        <v>46048</v>
      </c>
      <c r="E2742" s="11">
        <f t="shared" si="168"/>
        <v>2026</v>
      </c>
      <c r="F2742" s="11">
        <f t="shared" si="169"/>
        <v>1</v>
      </c>
      <c r="G2742" s="11" t="str">
        <f t="shared" si="170"/>
        <v>202601</v>
      </c>
      <c r="I2742" s="5">
        <v>9999</v>
      </c>
      <c r="J2742" s="5">
        <v>333.3</v>
      </c>
      <c r="K2742" s="5">
        <f t="shared" si="171"/>
        <v>0</v>
      </c>
      <c r="L2742" s="5">
        <v>0</v>
      </c>
      <c r="M2742" s="5">
        <v>0</v>
      </c>
      <c r="N2742" t="s">
        <v>9</v>
      </c>
      <c r="O2742" s="8">
        <v>18.649315068493152</v>
      </c>
      <c r="P2742" t="s">
        <v>32</v>
      </c>
      <c r="Q2742">
        <v>1</v>
      </c>
      <c r="R2742" s="2">
        <v>39241</v>
      </c>
    </row>
    <row r="2743" spans="1:18" x14ac:dyDescent="0.3">
      <c r="A2743" t="s">
        <v>7</v>
      </c>
      <c r="B2743">
        <v>18998004</v>
      </c>
      <c r="C2743" t="s">
        <v>8</v>
      </c>
      <c r="D2743" s="4">
        <v>46048</v>
      </c>
      <c r="E2743" s="11">
        <f t="shared" si="168"/>
        <v>2026</v>
      </c>
      <c r="F2743" s="11">
        <f t="shared" si="169"/>
        <v>1</v>
      </c>
      <c r="G2743" s="11" t="str">
        <f t="shared" si="170"/>
        <v>202601</v>
      </c>
      <c r="I2743" s="5">
        <v>9999</v>
      </c>
      <c r="J2743" s="5">
        <v>333.3</v>
      </c>
      <c r="K2743" s="5">
        <f t="shared" si="171"/>
        <v>0</v>
      </c>
      <c r="L2743" s="5">
        <v>0</v>
      </c>
      <c r="M2743" s="5">
        <v>0</v>
      </c>
      <c r="N2743" t="s">
        <v>12</v>
      </c>
      <c r="O2743" s="8">
        <v>35.0027397260274</v>
      </c>
      <c r="P2743" t="s">
        <v>35</v>
      </c>
      <c r="Q2743">
        <v>4</v>
      </c>
      <c r="R2743" s="2">
        <v>33272</v>
      </c>
    </row>
    <row r="2744" spans="1:18" x14ac:dyDescent="0.3">
      <c r="A2744" t="s">
        <v>7</v>
      </c>
      <c r="B2744">
        <v>18998530</v>
      </c>
      <c r="C2744" t="s">
        <v>10</v>
      </c>
      <c r="D2744" s="4">
        <v>46049</v>
      </c>
      <c r="E2744" s="11">
        <f t="shared" si="168"/>
        <v>2026</v>
      </c>
      <c r="F2744" s="11">
        <f t="shared" si="169"/>
        <v>1</v>
      </c>
      <c r="G2744" s="11" t="str">
        <f t="shared" si="170"/>
        <v>202601</v>
      </c>
      <c r="I2744" s="5">
        <v>9999</v>
      </c>
      <c r="J2744" s="5">
        <v>333.3</v>
      </c>
      <c r="K2744" s="5">
        <f t="shared" si="171"/>
        <v>0</v>
      </c>
      <c r="L2744" s="5">
        <v>0</v>
      </c>
      <c r="M2744" s="5">
        <v>0</v>
      </c>
      <c r="N2744" t="s">
        <v>12</v>
      </c>
      <c r="O2744" s="8">
        <v>24.241095890410961</v>
      </c>
      <c r="P2744" t="s">
        <v>33</v>
      </c>
      <c r="Q2744">
        <v>2</v>
      </c>
      <c r="R2744" s="2">
        <v>37201</v>
      </c>
    </row>
    <row r="2745" spans="1:18" x14ac:dyDescent="0.3">
      <c r="A2745" t="s">
        <v>7</v>
      </c>
      <c r="B2745">
        <v>18998535</v>
      </c>
      <c r="C2745" t="s">
        <v>10</v>
      </c>
      <c r="D2745" s="4">
        <v>46049</v>
      </c>
      <c r="E2745" s="11">
        <f t="shared" si="168"/>
        <v>2026</v>
      </c>
      <c r="F2745" s="11">
        <f t="shared" si="169"/>
        <v>1</v>
      </c>
      <c r="G2745" s="11" t="str">
        <f t="shared" si="170"/>
        <v>202601</v>
      </c>
      <c r="H2745" s="4">
        <v>46064</v>
      </c>
      <c r="I2745" s="5">
        <v>15</v>
      </c>
      <c r="J2745" s="5">
        <v>0.5</v>
      </c>
      <c r="K2745" s="5">
        <f t="shared" si="171"/>
        <v>1</v>
      </c>
      <c r="L2745" s="5">
        <v>1</v>
      </c>
      <c r="M2745" s="5">
        <v>1</v>
      </c>
      <c r="N2745" t="s">
        <v>12</v>
      </c>
      <c r="O2745" s="8">
        <v>18.682191780821917</v>
      </c>
      <c r="P2745" t="s">
        <v>32</v>
      </c>
      <c r="Q2745">
        <v>1</v>
      </c>
      <c r="R2745" s="2">
        <v>39230</v>
      </c>
    </row>
    <row r="2746" spans="1:18" x14ac:dyDescent="0.3">
      <c r="A2746" t="s">
        <v>7</v>
      </c>
      <c r="B2746">
        <v>18998538</v>
      </c>
      <c r="C2746" t="s">
        <v>8</v>
      </c>
      <c r="D2746" s="4">
        <v>46049</v>
      </c>
      <c r="E2746" s="11">
        <f t="shared" si="168"/>
        <v>2026</v>
      </c>
      <c r="F2746" s="11">
        <f t="shared" si="169"/>
        <v>1</v>
      </c>
      <c r="G2746" s="11" t="str">
        <f t="shared" si="170"/>
        <v>202601</v>
      </c>
      <c r="H2746" s="4">
        <v>46157</v>
      </c>
      <c r="I2746" s="5">
        <v>108</v>
      </c>
      <c r="J2746" s="5">
        <v>3.6</v>
      </c>
      <c r="K2746" s="5">
        <f t="shared" si="171"/>
        <v>0</v>
      </c>
      <c r="L2746" s="5">
        <v>0</v>
      </c>
      <c r="M2746" s="5">
        <v>1</v>
      </c>
      <c r="N2746" t="s">
        <v>9</v>
      </c>
      <c r="O2746" s="8">
        <v>20.931506849315067</v>
      </c>
      <c r="P2746" t="s">
        <v>32</v>
      </c>
      <c r="Q2746">
        <v>1</v>
      </c>
      <c r="R2746" s="2">
        <v>38409</v>
      </c>
    </row>
    <row r="2747" spans="1:18" x14ac:dyDescent="0.3">
      <c r="A2747" t="s">
        <v>7</v>
      </c>
      <c r="B2747">
        <v>18998540</v>
      </c>
      <c r="C2747" t="s">
        <v>8</v>
      </c>
      <c r="D2747" s="4">
        <v>46049</v>
      </c>
      <c r="E2747" s="11">
        <f t="shared" si="168"/>
        <v>2026</v>
      </c>
      <c r="F2747" s="11">
        <f t="shared" si="169"/>
        <v>1</v>
      </c>
      <c r="G2747" s="11" t="str">
        <f t="shared" si="170"/>
        <v>202601</v>
      </c>
      <c r="H2747" s="4">
        <v>46086</v>
      </c>
      <c r="I2747" s="5">
        <v>37</v>
      </c>
      <c r="J2747" s="5">
        <v>1.2333333333333334</v>
      </c>
      <c r="K2747" s="5">
        <f t="shared" si="171"/>
        <v>0</v>
      </c>
      <c r="L2747" s="5">
        <v>1</v>
      </c>
      <c r="M2747" s="5">
        <v>1</v>
      </c>
      <c r="N2747" t="s">
        <v>9</v>
      </c>
      <c r="O2747" s="8">
        <v>20.279452054794522</v>
      </c>
      <c r="P2747" t="s">
        <v>32</v>
      </c>
      <c r="Q2747">
        <v>1</v>
      </c>
      <c r="R2747" s="2">
        <v>38647</v>
      </c>
    </row>
    <row r="2748" spans="1:18" x14ac:dyDescent="0.3">
      <c r="A2748" t="s">
        <v>7</v>
      </c>
      <c r="B2748">
        <v>18998541</v>
      </c>
      <c r="C2748" t="s">
        <v>10</v>
      </c>
      <c r="D2748" s="4">
        <v>46049</v>
      </c>
      <c r="E2748" s="11">
        <f t="shared" si="168"/>
        <v>2026</v>
      </c>
      <c r="F2748" s="11">
        <f t="shared" si="169"/>
        <v>1</v>
      </c>
      <c r="G2748" s="11" t="str">
        <f t="shared" si="170"/>
        <v>202601</v>
      </c>
      <c r="H2748" s="4">
        <v>46113</v>
      </c>
      <c r="I2748" s="5">
        <v>64</v>
      </c>
      <c r="J2748" s="5">
        <v>2.1333333333333333</v>
      </c>
      <c r="K2748" s="5">
        <f t="shared" si="171"/>
        <v>0</v>
      </c>
      <c r="L2748" s="5">
        <v>1</v>
      </c>
      <c r="M2748" s="5">
        <v>1</v>
      </c>
      <c r="N2748" t="s">
        <v>9</v>
      </c>
      <c r="O2748" s="8">
        <v>20.934246575342467</v>
      </c>
      <c r="P2748" t="s">
        <v>32</v>
      </c>
      <c r="Q2748">
        <v>1</v>
      </c>
      <c r="R2748" s="2">
        <v>38408</v>
      </c>
    </row>
    <row r="2749" spans="1:18" x14ac:dyDescent="0.3">
      <c r="A2749" t="s">
        <v>7</v>
      </c>
      <c r="B2749">
        <v>18998561</v>
      </c>
      <c r="C2749" t="s">
        <v>8</v>
      </c>
      <c r="D2749" s="4">
        <v>46049</v>
      </c>
      <c r="E2749" s="11">
        <f t="shared" si="168"/>
        <v>2026</v>
      </c>
      <c r="F2749" s="11">
        <f t="shared" si="169"/>
        <v>1</v>
      </c>
      <c r="G2749" s="11" t="str">
        <f t="shared" si="170"/>
        <v>202601</v>
      </c>
      <c r="H2749" s="4">
        <v>46127</v>
      </c>
      <c r="I2749" s="5">
        <v>78</v>
      </c>
      <c r="J2749" s="5">
        <v>2.6</v>
      </c>
      <c r="K2749" s="5">
        <f t="shared" si="171"/>
        <v>0</v>
      </c>
      <c r="L2749" s="5">
        <v>1</v>
      </c>
      <c r="M2749" s="5">
        <v>1</v>
      </c>
      <c r="N2749" t="s">
        <v>9</v>
      </c>
      <c r="O2749" s="8">
        <v>19.805479452054794</v>
      </c>
      <c r="P2749" t="s">
        <v>32</v>
      </c>
      <c r="Q2749">
        <v>1</v>
      </c>
      <c r="R2749" s="2">
        <v>38820</v>
      </c>
    </row>
    <row r="2750" spans="1:18" x14ac:dyDescent="0.3">
      <c r="A2750" t="s">
        <v>7</v>
      </c>
      <c r="B2750">
        <v>18998564</v>
      </c>
      <c r="C2750" t="s">
        <v>8</v>
      </c>
      <c r="D2750" s="4">
        <v>46049</v>
      </c>
      <c r="E2750" s="11">
        <f t="shared" si="168"/>
        <v>2026</v>
      </c>
      <c r="F2750" s="11">
        <f t="shared" si="169"/>
        <v>1</v>
      </c>
      <c r="G2750" s="11" t="str">
        <f t="shared" si="170"/>
        <v>202601</v>
      </c>
      <c r="H2750" s="4">
        <v>46112</v>
      </c>
      <c r="I2750" s="5">
        <v>63</v>
      </c>
      <c r="J2750" s="5">
        <v>2.1</v>
      </c>
      <c r="K2750" s="5">
        <f t="shared" si="171"/>
        <v>0</v>
      </c>
      <c r="L2750" s="5">
        <v>1</v>
      </c>
      <c r="M2750" s="5">
        <v>1</v>
      </c>
      <c r="N2750" t="s">
        <v>9</v>
      </c>
      <c r="O2750" s="8">
        <v>25.328767123287673</v>
      </c>
      <c r="P2750" t="s">
        <v>33</v>
      </c>
      <c r="Q2750">
        <v>2</v>
      </c>
      <c r="R2750" s="2">
        <v>36804</v>
      </c>
    </row>
    <row r="2751" spans="1:18" x14ac:dyDescent="0.3">
      <c r="A2751" t="s">
        <v>7</v>
      </c>
      <c r="B2751">
        <v>18998584</v>
      </c>
      <c r="C2751" t="s">
        <v>8</v>
      </c>
      <c r="D2751" s="4">
        <v>46049</v>
      </c>
      <c r="E2751" s="11">
        <f t="shared" si="168"/>
        <v>2026</v>
      </c>
      <c r="F2751" s="11">
        <f t="shared" si="169"/>
        <v>1</v>
      </c>
      <c r="G2751" s="11" t="str">
        <f t="shared" si="170"/>
        <v>202601</v>
      </c>
      <c r="H2751" s="4">
        <v>46086</v>
      </c>
      <c r="I2751" s="5">
        <v>37</v>
      </c>
      <c r="J2751" s="5">
        <v>1.2333333333333334</v>
      </c>
      <c r="K2751" s="5">
        <f t="shared" si="171"/>
        <v>0</v>
      </c>
      <c r="L2751" s="5">
        <v>1</v>
      </c>
      <c r="M2751" s="5">
        <v>1</v>
      </c>
      <c r="N2751" t="s">
        <v>9</v>
      </c>
      <c r="O2751" s="8">
        <v>19.399999999999999</v>
      </c>
      <c r="P2751" t="s">
        <v>32</v>
      </c>
      <c r="Q2751">
        <v>1</v>
      </c>
      <c r="R2751" s="2">
        <v>38968</v>
      </c>
    </row>
    <row r="2752" spans="1:18" x14ac:dyDescent="0.3">
      <c r="A2752" t="s">
        <v>7</v>
      </c>
      <c r="B2752">
        <v>18998587</v>
      </c>
      <c r="C2752" t="s">
        <v>8</v>
      </c>
      <c r="D2752" s="4">
        <v>46049</v>
      </c>
      <c r="E2752" s="11">
        <f t="shared" si="168"/>
        <v>2026</v>
      </c>
      <c r="F2752" s="11">
        <f t="shared" si="169"/>
        <v>1</v>
      </c>
      <c r="G2752" s="11" t="str">
        <f t="shared" si="170"/>
        <v>202601</v>
      </c>
      <c r="H2752" s="4">
        <v>46112</v>
      </c>
      <c r="I2752" s="5">
        <v>63</v>
      </c>
      <c r="J2752" s="5">
        <v>2.1</v>
      </c>
      <c r="K2752" s="5">
        <f t="shared" si="171"/>
        <v>0</v>
      </c>
      <c r="L2752" s="5">
        <v>1</v>
      </c>
      <c r="M2752" s="5">
        <v>1</v>
      </c>
      <c r="N2752" t="s">
        <v>9</v>
      </c>
      <c r="O2752" s="8">
        <v>24.468493150684932</v>
      </c>
      <c r="P2752" t="s">
        <v>33</v>
      </c>
      <c r="Q2752">
        <v>2</v>
      </c>
      <c r="R2752" s="2">
        <v>37118</v>
      </c>
    </row>
    <row r="2753" spans="1:18" x14ac:dyDescent="0.3">
      <c r="A2753" t="s">
        <v>7</v>
      </c>
      <c r="B2753">
        <v>18998613</v>
      </c>
      <c r="C2753" t="s">
        <v>10</v>
      </c>
      <c r="D2753" s="4">
        <v>46049</v>
      </c>
      <c r="E2753" s="11">
        <f t="shared" si="168"/>
        <v>2026</v>
      </c>
      <c r="F2753" s="11">
        <f t="shared" si="169"/>
        <v>1</v>
      </c>
      <c r="G2753" s="11" t="str">
        <f t="shared" si="170"/>
        <v>202601</v>
      </c>
      <c r="I2753" s="5">
        <v>9999</v>
      </c>
      <c r="J2753" s="5">
        <v>333.3</v>
      </c>
      <c r="K2753" s="5">
        <f t="shared" si="171"/>
        <v>0</v>
      </c>
      <c r="L2753" s="5">
        <v>0</v>
      </c>
      <c r="M2753" s="5">
        <v>0</v>
      </c>
      <c r="N2753" t="s">
        <v>9</v>
      </c>
      <c r="O2753" s="8">
        <v>24.857534246575341</v>
      </c>
      <c r="P2753" t="s">
        <v>33</v>
      </c>
      <c r="Q2753">
        <v>2</v>
      </c>
      <c r="R2753" s="2">
        <v>36976</v>
      </c>
    </row>
    <row r="2754" spans="1:18" x14ac:dyDescent="0.3">
      <c r="A2754" t="s">
        <v>11</v>
      </c>
      <c r="B2754">
        <v>18998635</v>
      </c>
      <c r="C2754" t="s">
        <v>10</v>
      </c>
      <c r="D2754" s="4">
        <v>46049</v>
      </c>
      <c r="E2754" s="11">
        <f t="shared" si="168"/>
        <v>2026</v>
      </c>
      <c r="F2754" s="11">
        <f t="shared" si="169"/>
        <v>1</v>
      </c>
      <c r="G2754" s="11" t="str">
        <f t="shared" si="170"/>
        <v>202601</v>
      </c>
      <c r="I2754" s="5">
        <v>9999</v>
      </c>
      <c r="J2754" s="5">
        <v>333.3</v>
      </c>
      <c r="K2754" s="5">
        <f t="shared" si="171"/>
        <v>0</v>
      </c>
      <c r="L2754" s="5">
        <v>0</v>
      </c>
      <c r="M2754" s="5">
        <v>0</v>
      </c>
      <c r="N2754" t="s">
        <v>9</v>
      </c>
      <c r="O2754" s="8">
        <v>22.967123287671232</v>
      </c>
      <c r="P2754" t="s">
        <v>33</v>
      </c>
      <c r="Q2754">
        <v>2</v>
      </c>
      <c r="R2754" s="2">
        <v>37666</v>
      </c>
    </row>
    <row r="2755" spans="1:18" x14ac:dyDescent="0.3">
      <c r="A2755" t="s">
        <v>7</v>
      </c>
      <c r="B2755">
        <v>18998636</v>
      </c>
      <c r="C2755" t="s">
        <v>8</v>
      </c>
      <c r="D2755" s="4">
        <v>46049</v>
      </c>
      <c r="E2755" s="11">
        <f t="shared" ref="E2755:E2818" si="172">+YEAR(D2755)</f>
        <v>2026</v>
      </c>
      <c r="F2755" s="11">
        <f t="shared" ref="F2755:F2818" si="173">+MONTH(D2755)</f>
        <v>1</v>
      </c>
      <c r="G2755" s="11" t="str">
        <f t="shared" ref="G2755:G2818" si="174">+TEXT(D2755, "yyymm")</f>
        <v>202601</v>
      </c>
      <c r="H2755" s="4">
        <v>46152</v>
      </c>
      <c r="I2755" s="5">
        <v>103</v>
      </c>
      <c r="J2755" s="5">
        <v>3.4333333333333331</v>
      </c>
      <c r="K2755" s="5">
        <f t="shared" ref="K2755:K2818" si="175">IF(J2755&lt;=1,1,0)</f>
        <v>0</v>
      </c>
      <c r="L2755" s="5">
        <v>0</v>
      </c>
      <c r="M2755" s="5">
        <v>1</v>
      </c>
      <c r="N2755" t="s">
        <v>12</v>
      </c>
      <c r="O2755" s="8">
        <v>24.893150684931506</v>
      </c>
      <c r="P2755" t="s">
        <v>33</v>
      </c>
      <c r="Q2755">
        <v>2</v>
      </c>
      <c r="R2755" s="2">
        <v>36963</v>
      </c>
    </row>
    <row r="2756" spans="1:18" x14ac:dyDescent="0.3">
      <c r="A2756" t="s">
        <v>7</v>
      </c>
      <c r="B2756">
        <v>18998642</v>
      </c>
      <c r="C2756" t="s">
        <v>8</v>
      </c>
      <c r="D2756" s="4">
        <v>46049</v>
      </c>
      <c r="E2756" s="11">
        <f t="shared" si="172"/>
        <v>2026</v>
      </c>
      <c r="F2756" s="11">
        <f t="shared" si="173"/>
        <v>1</v>
      </c>
      <c r="G2756" s="11" t="str">
        <f t="shared" si="174"/>
        <v>202601</v>
      </c>
      <c r="H2756" s="4">
        <v>46111</v>
      </c>
      <c r="I2756" s="5">
        <v>62</v>
      </c>
      <c r="J2756" s="5">
        <v>2.0666666666666669</v>
      </c>
      <c r="K2756" s="5">
        <f t="shared" si="175"/>
        <v>0</v>
      </c>
      <c r="L2756" s="5">
        <v>1</v>
      </c>
      <c r="M2756" s="5">
        <v>1</v>
      </c>
      <c r="N2756" t="s">
        <v>9</v>
      </c>
      <c r="O2756" s="8">
        <v>18.841095890410958</v>
      </c>
      <c r="P2756" t="s">
        <v>32</v>
      </c>
      <c r="Q2756">
        <v>1</v>
      </c>
      <c r="R2756" s="2">
        <v>39172</v>
      </c>
    </row>
    <row r="2757" spans="1:18" x14ac:dyDescent="0.3">
      <c r="A2757" t="s">
        <v>7</v>
      </c>
      <c r="B2757">
        <v>18998665</v>
      </c>
      <c r="C2757" t="s">
        <v>8</v>
      </c>
      <c r="D2757" s="4">
        <v>46049</v>
      </c>
      <c r="E2757" s="11">
        <f t="shared" si="172"/>
        <v>2026</v>
      </c>
      <c r="F2757" s="11">
        <f t="shared" si="173"/>
        <v>1</v>
      </c>
      <c r="G2757" s="11" t="str">
        <f t="shared" si="174"/>
        <v>202601</v>
      </c>
      <c r="H2757" s="4">
        <v>46082</v>
      </c>
      <c r="I2757" s="5">
        <v>33</v>
      </c>
      <c r="J2757" s="5">
        <v>1.1000000000000001</v>
      </c>
      <c r="K2757" s="5">
        <f t="shared" si="175"/>
        <v>0</v>
      </c>
      <c r="L2757" s="5">
        <v>1</v>
      </c>
      <c r="M2757" s="5">
        <v>1</v>
      </c>
      <c r="N2757" t="s">
        <v>9</v>
      </c>
      <c r="O2757" s="8">
        <v>18.046575342465754</v>
      </c>
      <c r="P2757" t="s">
        <v>32</v>
      </c>
      <c r="Q2757">
        <v>1</v>
      </c>
      <c r="R2757" s="2">
        <v>39462</v>
      </c>
    </row>
    <row r="2758" spans="1:18" x14ac:dyDescent="0.3">
      <c r="A2758" t="s">
        <v>7</v>
      </c>
      <c r="B2758">
        <v>18998668</v>
      </c>
      <c r="C2758" t="s">
        <v>8</v>
      </c>
      <c r="D2758" s="4">
        <v>46049</v>
      </c>
      <c r="E2758" s="11">
        <f t="shared" si="172"/>
        <v>2026</v>
      </c>
      <c r="F2758" s="11">
        <f t="shared" si="173"/>
        <v>1</v>
      </c>
      <c r="G2758" s="11" t="str">
        <f t="shared" si="174"/>
        <v>202601</v>
      </c>
      <c r="H2758" s="4">
        <v>46119</v>
      </c>
      <c r="I2758" s="5">
        <v>70</v>
      </c>
      <c r="J2758" s="5">
        <v>2.3333333333333335</v>
      </c>
      <c r="K2758" s="5">
        <f t="shared" si="175"/>
        <v>0</v>
      </c>
      <c r="L2758" s="5">
        <v>1</v>
      </c>
      <c r="M2758" s="5">
        <v>1</v>
      </c>
      <c r="N2758" t="s">
        <v>12</v>
      </c>
      <c r="O2758" s="8">
        <v>23.068493150684933</v>
      </c>
      <c r="P2758" t="s">
        <v>33</v>
      </c>
      <c r="Q2758">
        <v>2</v>
      </c>
      <c r="R2758" s="2">
        <v>37629</v>
      </c>
    </row>
    <row r="2759" spans="1:18" x14ac:dyDescent="0.3">
      <c r="A2759" t="s">
        <v>7</v>
      </c>
      <c r="B2759">
        <v>18998676</v>
      </c>
      <c r="C2759" t="s">
        <v>10</v>
      </c>
      <c r="D2759" s="4">
        <v>46049</v>
      </c>
      <c r="E2759" s="11">
        <f t="shared" si="172"/>
        <v>2026</v>
      </c>
      <c r="F2759" s="11">
        <f t="shared" si="173"/>
        <v>1</v>
      </c>
      <c r="G2759" s="11" t="str">
        <f t="shared" si="174"/>
        <v>202601</v>
      </c>
      <c r="H2759" s="4">
        <v>46113</v>
      </c>
      <c r="I2759" s="5">
        <v>64</v>
      </c>
      <c r="J2759" s="5">
        <v>2.1333333333333333</v>
      </c>
      <c r="K2759" s="5">
        <f t="shared" si="175"/>
        <v>0</v>
      </c>
      <c r="L2759" s="5">
        <v>1</v>
      </c>
      <c r="M2759" s="5">
        <v>1</v>
      </c>
      <c r="N2759" t="s">
        <v>12</v>
      </c>
      <c r="O2759" s="8">
        <v>22.068493150684933</v>
      </c>
      <c r="P2759" t="s">
        <v>33</v>
      </c>
      <c r="Q2759">
        <v>2</v>
      </c>
      <c r="R2759" s="2">
        <v>37994</v>
      </c>
    </row>
    <row r="2760" spans="1:18" x14ac:dyDescent="0.3">
      <c r="A2760" t="s">
        <v>7</v>
      </c>
      <c r="B2760">
        <v>18998689</v>
      </c>
      <c r="C2760" t="s">
        <v>8</v>
      </c>
      <c r="D2760" s="4">
        <v>46049</v>
      </c>
      <c r="E2760" s="11">
        <f t="shared" si="172"/>
        <v>2026</v>
      </c>
      <c r="F2760" s="11">
        <f t="shared" si="173"/>
        <v>1</v>
      </c>
      <c r="G2760" s="11" t="str">
        <f t="shared" si="174"/>
        <v>202601</v>
      </c>
      <c r="I2760" s="5">
        <v>9999</v>
      </c>
      <c r="J2760" s="5">
        <v>333.3</v>
      </c>
      <c r="K2760" s="5">
        <f t="shared" si="175"/>
        <v>0</v>
      </c>
      <c r="L2760" s="5">
        <v>0</v>
      </c>
      <c r="M2760" s="5">
        <v>0</v>
      </c>
      <c r="N2760" t="s">
        <v>12</v>
      </c>
      <c r="O2760" s="8">
        <v>18.846575342465755</v>
      </c>
      <c r="P2760" t="s">
        <v>32</v>
      </c>
      <c r="Q2760">
        <v>1</v>
      </c>
      <c r="R2760" s="2">
        <v>39170</v>
      </c>
    </row>
    <row r="2761" spans="1:18" x14ac:dyDescent="0.3">
      <c r="A2761" t="s">
        <v>7</v>
      </c>
      <c r="B2761">
        <v>18998891</v>
      </c>
      <c r="C2761" t="s">
        <v>8</v>
      </c>
      <c r="D2761" s="4">
        <v>46050</v>
      </c>
      <c r="E2761" s="11">
        <f t="shared" si="172"/>
        <v>2026</v>
      </c>
      <c r="F2761" s="11">
        <f t="shared" si="173"/>
        <v>1</v>
      </c>
      <c r="G2761" s="11" t="str">
        <f t="shared" si="174"/>
        <v>202601</v>
      </c>
      <c r="I2761" s="5">
        <v>9999</v>
      </c>
      <c r="J2761" s="5">
        <v>333.3</v>
      </c>
      <c r="K2761" s="5">
        <f t="shared" si="175"/>
        <v>0</v>
      </c>
      <c r="L2761" s="5">
        <v>0</v>
      </c>
      <c r="M2761" s="5">
        <v>0</v>
      </c>
      <c r="N2761" t="s">
        <v>9</v>
      </c>
      <c r="O2761" s="8">
        <v>23</v>
      </c>
      <c r="P2761" t="s">
        <v>33</v>
      </c>
      <c r="Q2761">
        <v>2</v>
      </c>
      <c r="R2761" s="2">
        <v>37655</v>
      </c>
    </row>
    <row r="2762" spans="1:18" x14ac:dyDescent="0.3">
      <c r="A2762" t="s">
        <v>7</v>
      </c>
      <c r="B2762">
        <v>18998905</v>
      </c>
      <c r="C2762" t="s">
        <v>8</v>
      </c>
      <c r="D2762" s="4">
        <v>46050</v>
      </c>
      <c r="E2762" s="11">
        <f t="shared" si="172"/>
        <v>2026</v>
      </c>
      <c r="F2762" s="11">
        <f t="shared" si="173"/>
        <v>1</v>
      </c>
      <c r="G2762" s="11" t="str">
        <f t="shared" si="174"/>
        <v>202601</v>
      </c>
      <c r="H2762" s="4">
        <v>46142</v>
      </c>
      <c r="I2762" s="5">
        <v>92</v>
      </c>
      <c r="J2762" s="5">
        <v>3.0666666666666669</v>
      </c>
      <c r="K2762" s="5">
        <f t="shared" si="175"/>
        <v>0</v>
      </c>
      <c r="L2762" s="5">
        <v>0</v>
      </c>
      <c r="M2762" s="5">
        <v>1</v>
      </c>
      <c r="N2762" t="s">
        <v>12</v>
      </c>
      <c r="O2762" s="8">
        <v>19.19178082191781</v>
      </c>
      <c r="P2762" t="s">
        <v>32</v>
      </c>
      <c r="Q2762">
        <v>1</v>
      </c>
      <c r="R2762" s="2">
        <v>39045</v>
      </c>
    </row>
    <row r="2763" spans="1:18" x14ac:dyDescent="0.3">
      <c r="A2763" t="s">
        <v>7</v>
      </c>
      <c r="B2763">
        <v>18998910</v>
      </c>
      <c r="C2763" t="s">
        <v>8</v>
      </c>
      <c r="D2763" s="4">
        <v>46050</v>
      </c>
      <c r="E2763" s="11">
        <f t="shared" si="172"/>
        <v>2026</v>
      </c>
      <c r="F2763" s="11">
        <f t="shared" si="173"/>
        <v>1</v>
      </c>
      <c r="G2763" s="11" t="str">
        <f t="shared" si="174"/>
        <v>202601</v>
      </c>
      <c r="I2763" s="5">
        <v>9999</v>
      </c>
      <c r="J2763" s="5">
        <v>333.3</v>
      </c>
      <c r="K2763" s="5">
        <f t="shared" si="175"/>
        <v>0</v>
      </c>
      <c r="L2763" s="5">
        <v>0</v>
      </c>
      <c r="M2763" s="5">
        <v>0</v>
      </c>
      <c r="N2763" t="s">
        <v>9</v>
      </c>
      <c r="O2763" s="8">
        <v>18.67945205479452</v>
      </c>
      <c r="P2763" t="s">
        <v>32</v>
      </c>
      <c r="Q2763">
        <v>1</v>
      </c>
      <c r="R2763" s="2">
        <v>39232</v>
      </c>
    </row>
    <row r="2764" spans="1:18" x14ac:dyDescent="0.3">
      <c r="A2764" t="s">
        <v>7</v>
      </c>
      <c r="B2764">
        <v>18998911</v>
      </c>
      <c r="C2764" t="s">
        <v>10</v>
      </c>
      <c r="D2764" s="4">
        <v>46050</v>
      </c>
      <c r="E2764" s="11">
        <f t="shared" si="172"/>
        <v>2026</v>
      </c>
      <c r="F2764" s="11">
        <f t="shared" si="173"/>
        <v>1</v>
      </c>
      <c r="G2764" s="11" t="str">
        <f t="shared" si="174"/>
        <v>202601</v>
      </c>
      <c r="I2764" s="5">
        <v>9999</v>
      </c>
      <c r="J2764" s="5">
        <v>333.3</v>
      </c>
      <c r="K2764" s="5">
        <f t="shared" si="175"/>
        <v>0</v>
      </c>
      <c r="L2764" s="5">
        <v>0</v>
      </c>
      <c r="M2764" s="5">
        <v>0</v>
      </c>
      <c r="N2764" t="s">
        <v>9</v>
      </c>
      <c r="O2764" s="8">
        <v>22.18904109589041</v>
      </c>
      <c r="P2764" t="s">
        <v>33</v>
      </c>
      <c r="Q2764">
        <v>2</v>
      </c>
      <c r="R2764" s="2">
        <v>37951</v>
      </c>
    </row>
    <row r="2765" spans="1:18" x14ac:dyDescent="0.3">
      <c r="A2765" t="s">
        <v>7</v>
      </c>
      <c r="B2765">
        <v>18998936</v>
      </c>
      <c r="C2765" t="s">
        <v>10</v>
      </c>
      <c r="D2765" s="4">
        <v>46050</v>
      </c>
      <c r="E2765" s="11">
        <f t="shared" si="172"/>
        <v>2026</v>
      </c>
      <c r="F2765" s="11">
        <f t="shared" si="173"/>
        <v>1</v>
      </c>
      <c r="G2765" s="11" t="str">
        <f t="shared" si="174"/>
        <v>202601</v>
      </c>
      <c r="H2765" s="4">
        <v>46112</v>
      </c>
      <c r="I2765" s="5">
        <v>62</v>
      </c>
      <c r="J2765" s="5">
        <v>2.0666666666666669</v>
      </c>
      <c r="K2765" s="5">
        <f t="shared" si="175"/>
        <v>0</v>
      </c>
      <c r="L2765" s="5">
        <v>1</v>
      </c>
      <c r="M2765" s="5">
        <v>1</v>
      </c>
      <c r="N2765" t="s">
        <v>12</v>
      </c>
      <c r="O2765" s="8">
        <v>22.18904109589041</v>
      </c>
      <c r="P2765" t="s">
        <v>33</v>
      </c>
      <c r="Q2765">
        <v>2</v>
      </c>
      <c r="R2765" s="2">
        <v>37951</v>
      </c>
    </row>
    <row r="2766" spans="1:18" x14ac:dyDescent="0.3">
      <c r="A2766" t="s">
        <v>7</v>
      </c>
      <c r="B2766">
        <v>18998937</v>
      </c>
      <c r="C2766" t="s">
        <v>10</v>
      </c>
      <c r="D2766" s="4">
        <v>46050</v>
      </c>
      <c r="E2766" s="11">
        <f t="shared" si="172"/>
        <v>2026</v>
      </c>
      <c r="F2766" s="11">
        <f t="shared" si="173"/>
        <v>1</v>
      </c>
      <c r="G2766" s="11" t="str">
        <f t="shared" si="174"/>
        <v>202601</v>
      </c>
      <c r="I2766" s="5">
        <v>9999</v>
      </c>
      <c r="J2766" s="5">
        <v>333.3</v>
      </c>
      <c r="K2766" s="5">
        <f t="shared" si="175"/>
        <v>0</v>
      </c>
      <c r="L2766" s="5">
        <v>0</v>
      </c>
      <c r="M2766" s="5">
        <v>0</v>
      </c>
      <c r="N2766" t="s">
        <v>12</v>
      </c>
      <c r="O2766" s="8">
        <v>21.797260273972604</v>
      </c>
      <c r="P2766" t="s">
        <v>33</v>
      </c>
      <c r="Q2766">
        <v>2</v>
      </c>
      <c r="R2766" s="2">
        <v>38094</v>
      </c>
    </row>
    <row r="2767" spans="1:18" x14ac:dyDescent="0.3">
      <c r="A2767" t="s">
        <v>11</v>
      </c>
      <c r="B2767">
        <v>18999000</v>
      </c>
      <c r="C2767" t="s">
        <v>8</v>
      </c>
      <c r="D2767" s="4">
        <v>46050</v>
      </c>
      <c r="E2767" s="11">
        <f t="shared" si="172"/>
        <v>2026</v>
      </c>
      <c r="F2767" s="11">
        <f t="shared" si="173"/>
        <v>1</v>
      </c>
      <c r="G2767" s="11" t="str">
        <f t="shared" si="174"/>
        <v>202601</v>
      </c>
      <c r="H2767" s="4">
        <v>46174</v>
      </c>
      <c r="I2767" s="5">
        <v>124</v>
      </c>
      <c r="J2767" s="5">
        <v>4.1333333333333337</v>
      </c>
      <c r="K2767" s="5">
        <f t="shared" si="175"/>
        <v>0</v>
      </c>
      <c r="L2767" s="5">
        <v>0</v>
      </c>
      <c r="M2767" s="5">
        <v>1</v>
      </c>
      <c r="N2767" t="s">
        <v>9</v>
      </c>
      <c r="O2767" s="8">
        <v>30.745205479452054</v>
      </c>
      <c r="P2767" t="s">
        <v>34</v>
      </c>
      <c r="Q2767">
        <v>3</v>
      </c>
      <c r="R2767" s="2">
        <v>34828</v>
      </c>
    </row>
    <row r="2768" spans="1:18" x14ac:dyDescent="0.3">
      <c r="A2768" t="s">
        <v>11</v>
      </c>
      <c r="B2768">
        <v>18999002</v>
      </c>
      <c r="C2768" t="s">
        <v>8</v>
      </c>
      <c r="D2768" s="4">
        <v>46050</v>
      </c>
      <c r="E2768" s="11">
        <f t="shared" si="172"/>
        <v>2026</v>
      </c>
      <c r="F2768" s="11">
        <f t="shared" si="173"/>
        <v>1</v>
      </c>
      <c r="G2768" s="11" t="str">
        <f t="shared" si="174"/>
        <v>202601</v>
      </c>
      <c r="I2768" s="5">
        <v>9999</v>
      </c>
      <c r="J2768" s="5">
        <v>333.3</v>
      </c>
      <c r="K2768" s="5">
        <f t="shared" si="175"/>
        <v>0</v>
      </c>
      <c r="L2768" s="5">
        <v>0</v>
      </c>
      <c r="M2768" s="5">
        <v>0</v>
      </c>
      <c r="N2768" t="s">
        <v>9</v>
      </c>
      <c r="O2768" s="8">
        <v>18.534246575342465</v>
      </c>
      <c r="P2768" t="s">
        <v>32</v>
      </c>
      <c r="Q2768">
        <v>1</v>
      </c>
      <c r="R2768" s="2">
        <v>39285</v>
      </c>
    </row>
    <row r="2769" spans="1:18" x14ac:dyDescent="0.3">
      <c r="A2769" t="s">
        <v>7</v>
      </c>
      <c r="B2769">
        <v>18999003</v>
      </c>
      <c r="C2769" t="s">
        <v>8</v>
      </c>
      <c r="D2769" s="4">
        <v>46050</v>
      </c>
      <c r="E2769" s="11">
        <f t="shared" si="172"/>
        <v>2026</v>
      </c>
      <c r="F2769" s="11">
        <f t="shared" si="173"/>
        <v>1</v>
      </c>
      <c r="G2769" s="11" t="str">
        <f t="shared" si="174"/>
        <v>202601</v>
      </c>
      <c r="I2769" s="5">
        <v>9999</v>
      </c>
      <c r="J2769" s="5">
        <v>333.3</v>
      </c>
      <c r="K2769" s="5">
        <f t="shared" si="175"/>
        <v>0</v>
      </c>
      <c r="L2769" s="5">
        <v>0</v>
      </c>
      <c r="M2769" s="5">
        <v>0</v>
      </c>
      <c r="N2769" t="s">
        <v>12</v>
      </c>
      <c r="O2769" s="8">
        <v>20.150684931506849</v>
      </c>
      <c r="P2769" t="s">
        <v>32</v>
      </c>
      <c r="Q2769">
        <v>1</v>
      </c>
      <c r="R2769" s="2">
        <v>38695</v>
      </c>
    </row>
    <row r="2770" spans="1:18" x14ac:dyDescent="0.3">
      <c r="A2770" t="s">
        <v>7</v>
      </c>
      <c r="B2770">
        <v>18999056</v>
      </c>
      <c r="C2770" t="s">
        <v>8</v>
      </c>
      <c r="D2770" s="4">
        <v>46050</v>
      </c>
      <c r="E2770" s="11">
        <f t="shared" si="172"/>
        <v>2026</v>
      </c>
      <c r="F2770" s="11">
        <f t="shared" si="173"/>
        <v>1</v>
      </c>
      <c r="G2770" s="11" t="str">
        <f t="shared" si="174"/>
        <v>202601</v>
      </c>
      <c r="I2770" s="5">
        <v>9999</v>
      </c>
      <c r="J2770" s="5">
        <v>333.3</v>
      </c>
      <c r="K2770" s="5">
        <f t="shared" si="175"/>
        <v>0</v>
      </c>
      <c r="L2770" s="5">
        <v>0</v>
      </c>
      <c r="M2770" s="5">
        <v>0</v>
      </c>
      <c r="N2770" t="s">
        <v>9</v>
      </c>
      <c r="O2770" s="8">
        <v>23.030136986301368</v>
      </c>
      <c r="P2770" t="s">
        <v>33</v>
      </c>
      <c r="Q2770">
        <v>2</v>
      </c>
      <c r="R2770" s="2">
        <v>37644</v>
      </c>
    </row>
    <row r="2771" spans="1:18" x14ac:dyDescent="0.3">
      <c r="A2771" t="s">
        <v>7</v>
      </c>
      <c r="B2771">
        <v>18999092</v>
      </c>
      <c r="C2771" t="s">
        <v>8</v>
      </c>
      <c r="D2771" s="4">
        <v>46050</v>
      </c>
      <c r="E2771" s="11">
        <f t="shared" si="172"/>
        <v>2026</v>
      </c>
      <c r="F2771" s="11">
        <f t="shared" si="173"/>
        <v>1</v>
      </c>
      <c r="G2771" s="11" t="str">
        <f t="shared" si="174"/>
        <v>202601</v>
      </c>
      <c r="I2771" s="5">
        <v>9999</v>
      </c>
      <c r="J2771" s="5">
        <v>333.3</v>
      </c>
      <c r="K2771" s="5">
        <f t="shared" si="175"/>
        <v>0</v>
      </c>
      <c r="L2771" s="5">
        <v>0</v>
      </c>
      <c r="M2771" s="5">
        <v>0</v>
      </c>
      <c r="N2771" t="s">
        <v>12</v>
      </c>
      <c r="O2771" s="8">
        <v>21.084931506849315</v>
      </c>
      <c r="P2771" t="s">
        <v>33</v>
      </c>
      <c r="Q2771">
        <v>2</v>
      </c>
      <c r="R2771" s="2">
        <v>38354</v>
      </c>
    </row>
    <row r="2772" spans="1:18" x14ac:dyDescent="0.3">
      <c r="A2772" t="s">
        <v>7</v>
      </c>
      <c r="B2772">
        <v>18999114</v>
      </c>
      <c r="C2772" t="s">
        <v>10</v>
      </c>
      <c r="D2772" s="4">
        <v>46050</v>
      </c>
      <c r="E2772" s="11">
        <f t="shared" si="172"/>
        <v>2026</v>
      </c>
      <c r="F2772" s="11">
        <f t="shared" si="173"/>
        <v>1</v>
      </c>
      <c r="G2772" s="11" t="str">
        <f t="shared" si="174"/>
        <v>202601</v>
      </c>
      <c r="H2772" s="4">
        <v>46112</v>
      </c>
      <c r="I2772" s="5">
        <v>62</v>
      </c>
      <c r="J2772" s="5">
        <v>2.0666666666666669</v>
      </c>
      <c r="K2772" s="5">
        <f t="shared" si="175"/>
        <v>0</v>
      </c>
      <c r="L2772" s="5">
        <v>1</v>
      </c>
      <c r="M2772" s="5">
        <v>1</v>
      </c>
      <c r="N2772" t="s">
        <v>9</v>
      </c>
      <c r="O2772" s="8">
        <v>20.526027397260275</v>
      </c>
      <c r="P2772" t="s">
        <v>32</v>
      </c>
      <c r="Q2772">
        <v>1</v>
      </c>
      <c r="R2772" s="2">
        <v>38558</v>
      </c>
    </row>
    <row r="2773" spans="1:18" x14ac:dyDescent="0.3">
      <c r="A2773" t="s">
        <v>7</v>
      </c>
      <c r="B2773">
        <v>18999136</v>
      </c>
      <c r="C2773" t="s">
        <v>10</v>
      </c>
      <c r="D2773" s="4">
        <v>46050</v>
      </c>
      <c r="E2773" s="11">
        <f t="shared" si="172"/>
        <v>2026</v>
      </c>
      <c r="F2773" s="11">
        <f t="shared" si="173"/>
        <v>1</v>
      </c>
      <c r="G2773" s="11" t="str">
        <f t="shared" si="174"/>
        <v>202601</v>
      </c>
      <c r="H2773" s="4">
        <v>46085</v>
      </c>
      <c r="I2773" s="5">
        <v>35</v>
      </c>
      <c r="J2773" s="5">
        <v>1.1666666666666667</v>
      </c>
      <c r="K2773" s="5">
        <f t="shared" si="175"/>
        <v>0</v>
      </c>
      <c r="L2773" s="5">
        <v>1</v>
      </c>
      <c r="M2773" s="5">
        <v>1</v>
      </c>
      <c r="N2773" t="s">
        <v>12</v>
      </c>
      <c r="O2773" s="8">
        <v>23.383561643835616</v>
      </c>
      <c r="P2773" t="s">
        <v>33</v>
      </c>
      <c r="Q2773">
        <v>2</v>
      </c>
      <c r="R2773" s="2">
        <v>37515</v>
      </c>
    </row>
    <row r="2774" spans="1:18" x14ac:dyDescent="0.3">
      <c r="A2774" t="s">
        <v>7</v>
      </c>
      <c r="B2774">
        <v>18999228</v>
      </c>
      <c r="C2774" t="s">
        <v>8</v>
      </c>
      <c r="D2774" s="4">
        <v>46051</v>
      </c>
      <c r="E2774" s="11">
        <f t="shared" si="172"/>
        <v>2026</v>
      </c>
      <c r="F2774" s="11">
        <f t="shared" si="173"/>
        <v>1</v>
      </c>
      <c r="G2774" s="11" t="str">
        <f t="shared" si="174"/>
        <v>202601</v>
      </c>
      <c r="H2774" s="4">
        <v>46062</v>
      </c>
      <c r="I2774" s="5">
        <v>11</v>
      </c>
      <c r="J2774" s="5">
        <v>0.36666666666666664</v>
      </c>
      <c r="K2774" s="5">
        <f t="shared" si="175"/>
        <v>1</v>
      </c>
      <c r="L2774" s="5">
        <v>1</v>
      </c>
      <c r="M2774" s="5">
        <v>1</v>
      </c>
      <c r="N2774" t="s">
        <v>9</v>
      </c>
      <c r="O2774" s="8">
        <v>20.443835616438356</v>
      </c>
      <c r="P2774" t="s">
        <v>32</v>
      </c>
      <c r="Q2774">
        <v>1</v>
      </c>
      <c r="R2774" s="2">
        <v>38589</v>
      </c>
    </row>
    <row r="2775" spans="1:18" x14ac:dyDescent="0.3">
      <c r="A2775" t="s">
        <v>7</v>
      </c>
      <c r="B2775">
        <v>18999247</v>
      </c>
      <c r="C2775" t="s">
        <v>10</v>
      </c>
      <c r="D2775" s="4">
        <v>46051</v>
      </c>
      <c r="E2775" s="11">
        <f t="shared" si="172"/>
        <v>2026</v>
      </c>
      <c r="F2775" s="11">
        <f t="shared" si="173"/>
        <v>1</v>
      </c>
      <c r="G2775" s="11" t="str">
        <f t="shared" si="174"/>
        <v>202601</v>
      </c>
      <c r="H2775" s="4">
        <v>46111</v>
      </c>
      <c r="I2775" s="5">
        <v>60</v>
      </c>
      <c r="J2775" s="5">
        <v>2</v>
      </c>
      <c r="K2775" s="5">
        <f t="shared" si="175"/>
        <v>0</v>
      </c>
      <c r="L2775" s="5">
        <v>1</v>
      </c>
      <c r="M2775" s="5">
        <v>1</v>
      </c>
      <c r="N2775" t="s">
        <v>9</v>
      </c>
      <c r="O2775" s="8">
        <v>18.841095890410958</v>
      </c>
      <c r="P2775" t="s">
        <v>32</v>
      </c>
      <c r="Q2775">
        <v>1</v>
      </c>
      <c r="R2775" s="2">
        <v>39174</v>
      </c>
    </row>
    <row r="2776" spans="1:18" x14ac:dyDescent="0.3">
      <c r="A2776" t="s">
        <v>7</v>
      </c>
      <c r="B2776">
        <v>18999290</v>
      </c>
      <c r="C2776" t="s">
        <v>10</v>
      </c>
      <c r="D2776" s="4">
        <v>46051</v>
      </c>
      <c r="E2776" s="11">
        <f t="shared" si="172"/>
        <v>2026</v>
      </c>
      <c r="F2776" s="11">
        <f t="shared" si="173"/>
        <v>1</v>
      </c>
      <c r="G2776" s="11" t="str">
        <f t="shared" si="174"/>
        <v>202601</v>
      </c>
      <c r="I2776" s="5">
        <v>9999</v>
      </c>
      <c r="J2776" s="5">
        <v>333.3</v>
      </c>
      <c r="K2776" s="5">
        <f t="shared" si="175"/>
        <v>0</v>
      </c>
      <c r="L2776" s="5">
        <v>0</v>
      </c>
      <c r="M2776" s="5">
        <v>0</v>
      </c>
      <c r="N2776" t="s">
        <v>9</v>
      </c>
      <c r="O2776" s="8">
        <v>19.252054794520546</v>
      </c>
      <c r="P2776" t="s">
        <v>32</v>
      </c>
      <c r="Q2776">
        <v>1</v>
      </c>
      <c r="R2776" s="2">
        <v>39024</v>
      </c>
    </row>
    <row r="2777" spans="1:18" x14ac:dyDescent="0.3">
      <c r="A2777" t="s">
        <v>7</v>
      </c>
      <c r="B2777">
        <v>18999311</v>
      </c>
      <c r="C2777" t="s">
        <v>10</v>
      </c>
      <c r="D2777" s="4">
        <v>46051</v>
      </c>
      <c r="E2777" s="11">
        <f t="shared" si="172"/>
        <v>2026</v>
      </c>
      <c r="F2777" s="11">
        <f t="shared" si="173"/>
        <v>1</v>
      </c>
      <c r="G2777" s="11" t="str">
        <f t="shared" si="174"/>
        <v>202601</v>
      </c>
      <c r="H2777" s="4">
        <v>46103</v>
      </c>
      <c r="I2777" s="5">
        <v>52</v>
      </c>
      <c r="J2777" s="5">
        <v>1.7333333333333334</v>
      </c>
      <c r="K2777" s="5">
        <f t="shared" si="175"/>
        <v>0</v>
      </c>
      <c r="L2777" s="5">
        <v>1</v>
      </c>
      <c r="M2777" s="5">
        <v>1</v>
      </c>
      <c r="N2777" t="s">
        <v>9</v>
      </c>
      <c r="O2777" s="8">
        <v>20.783561643835615</v>
      </c>
      <c r="P2777" t="s">
        <v>32</v>
      </c>
      <c r="Q2777">
        <v>1</v>
      </c>
      <c r="R2777" s="2">
        <v>38465</v>
      </c>
    </row>
    <row r="2778" spans="1:18" x14ac:dyDescent="0.3">
      <c r="A2778" t="s">
        <v>7</v>
      </c>
      <c r="B2778">
        <v>18999330</v>
      </c>
      <c r="C2778" t="s">
        <v>8</v>
      </c>
      <c r="D2778" s="4">
        <v>46051</v>
      </c>
      <c r="E2778" s="11">
        <f t="shared" si="172"/>
        <v>2026</v>
      </c>
      <c r="F2778" s="11">
        <f t="shared" si="173"/>
        <v>1</v>
      </c>
      <c r="G2778" s="11" t="str">
        <f t="shared" si="174"/>
        <v>202601</v>
      </c>
      <c r="H2778" s="4">
        <v>46112</v>
      </c>
      <c r="I2778" s="5">
        <v>61</v>
      </c>
      <c r="J2778" s="5">
        <v>2.0333333333333332</v>
      </c>
      <c r="K2778" s="5">
        <f t="shared" si="175"/>
        <v>0</v>
      </c>
      <c r="L2778" s="5">
        <v>1</v>
      </c>
      <c r="M2778" s="5">
        <v>1</v>
      </c>
      <c r="N2778" t="s">
        <v>9</v>
      </c>
      <c r="O2778" s="8">
        <v>19.169863013698631</v>
      </c>
      <c r="P2778" t="s">
        <v>32</v>
      </c>
      <c r="Q2778">
        <v>1</v>
      </c>
      <c r="R2778" s="2">
        <v>39054</v>
      </c>
    </row>
    <row r="2779" spans="1:18" x14ac:dyDescent="0.3">
      <c r="A2779" t="s">
        <v>7</v>
      </c>
      <c r="B2779">
        <v>18999331</v>
      </c>
      <c r="C2779" t="s">
        <v>10</v>
      </c>
      <c r="D2779" s="4">
        <v>46051</v>
      </c>
      <c r="E2779" s="11">
        <f t="shared" si="172"/>
        <v>2026</v>
      </c>
      <c r="F2779" s="11">
        <f t="shared" si="173"/>
        <v>1</v>
      </c>
      <c r="G2779" s="11" t="str">
        <f t="shared" si="174"/>
        <v>202601</v>
      </c>
      <c r="H2779" s="4">
        <v>46137</v>
      </c>
      <c r="I2779" s="5">
        <v>86</v>
      </c>
      <c r="J2779" s="5">
        <v>2.8666666666666667</v>
      </c>
      <c r="K2779" s="5">
        <f t="shared" si="175"/>
        <v>0</v>
      </c>
      <c r="L2779" s="5">
        <v>1</v>
      </c>
      <c r="M2779" s="5">
        <v>1</v>
      </c>
      <c r="N2779" t="s">
        <v>9</v>
      </c>
      <c r="O2779" s="8">
        <v>20.986301369863014</v>
      </c>
      <c r="P2779" t="s">
        <v>32</v>
      </c>
      <c r="Q2779">
        <v>1</v>
      </c>
      <c r="R2779" s="2">
        <v>38391</v>
      </c>
    </row>
    <row r="2780" spans="1:18" x14ac:dyDescent="0.3">
      <c r="A2780" t="s">
        <v>7</v>
      </c>
      <c r="B2780">
        <v>18999522</v>
      </c>
      <c r="C2780" t="s">
        <v>8</v>
      </c>
      <c r="D2780" s="4">
        <v>46052</v>
      </c>
      <c r="E2780" s="11">
        <f t="shared" si="172"/>
        <v>2026</v>
      </c>
      <c r="F2780" s="11">
        <f t="shared" si="173"/>
        <v>1</v>
      </c>
      <c r="G2780" s="11" t="str">
        <f t="shared" si="174"/>
        <v>202601</v>
      </c>
      <c r="I2780" s="5">
        <v>9999</v>
      </c>
      <c r="J2780" s="5">
        <v>333.3</v>
      </c>
      <c r="K2780" s="5">
        <f t="shared" si="175"/>
        <v>0</v>
      </c>
      <c r="L2780" s="5">
        <v>0</v>
      </c>
      <c r="M2780" s="5">
        <v>0</v>
      </c>
      <c r="N2780" t="s">
        <v>9</v>
      </c>
      <c r="O2780" s="8">
        <v>22.093150684931508</v>
      </c>
      <c r="P2780" t="s">
        <v>33</v>
      </c>
      <c r="Q2780">
        <v>2</v>
      </c>
      <c r="R2780" s="2">
        <v>37988</v>
      </c>
    </row>
    <row r="2781" spans="1:18" x14ac:dyDescent="0.3">
      <c r="A2781" t="s">
        <v>7</v>
      </c>
      <c r="B2781">
        <v>18999524</v>
      </c>
      <c r="C2781" t="s">
        <v>8</v>
      </c>
      <c r="D2781" s="4">
        <v>46052</v>
      </c>
      <c r="E2781" s="11">
        <f t="shared" si="172"/>
        <v>2026</v>
      </c>
      <c r="F2781" s="11">
        <f t="shared" si="173"/>
        <v>1</v>
      </c>
      <c r="G2781" s="11" t="str">
        <f t="shared" si="174"/>
        <v>202601</v>
      </c>
      <c r="I2781" s="5">
        <v>9999</v>
      </c>
      <c r="J2781" s="5">
        <v>333.3</v>
      </c>
      <c r="K2781" s="5">
        <f t="shared" si="175"/>
        <v>0</v>
      </c>
      <c r="L2781" s="5">
        <v>0</v>
      </c>
      <c r="M2781" s="5">
        <v>0</v>
      </c>
      <c r="N2781" t="s">
        <v>9</v>
      </c>
      <c r="O2781" s="8">
        <v>18.92876712328767</v>
      </c>
      <c r="P2781" t="s">
        <v>32</v>
      </c>
      <c r="Q2781">
        <v>1</v>
      </c>
      <c r="R2781" s="2">
        <v>39143</v>
      </c>
    </row>
    <row r="2782" spans="1:18" x14ac:dyDescent="0.3">
      <c r="A2782" t="s">
        <v>7</v>
      </c>
      <c r="B2782">
        <v>18999525</v>
      </c>
      <c r="C2782" t="s">
        <v>8</v>
      </c>
      <c r="D2782" s="4">
        <v>46052</v>
      </c>
      <c r="E2782" s="11">
        <f t="shared" si="172"/>
        <v>2026</v>
      </c>
      <c r="F2782" s="11">
        <f t="shared" si="173"/>
        <v>1</v>
      </c>
      <c r="G2782" s="11" t="str">
        <f t="shared" si="174"/>
        <v>202601</v>
      </c>
      <c r="H2782" s="4">
        <v>46173</v>
      </c>
      <c r="I2782" s="5">
        <v>121</v>
      </c>
      <c r="J2782" s="5">
        <v>4.0333333333333332</v>
      </c>
      <c r="K2782" s="5">
        <f t="shared" si="175"/>
        <v>0</v>
      </c>
      <c r="L2782" s="5">
        <v>0</v>
      </c>
      <c r="M2782" s="5">
        <v>1</v>
      </c>
      <c r="N2782" t="s">
        <v>9</v>
      </c>
      <c r="O2782" s="8">
        <v>22.052054794520547</v>
      </c>
      <c r="P2782" t="s">
        <v>33</v>
      </c>
      <c r="Q2782">
        <v>2</v>
      </c>
      <c r="R2782" s="2">
        <v>38003</v>
      </c>
    </row>
    <row r="2783" spans="1:18" x14ac:dyDescent="0.3">
      <c r="A2783" t="s">
        <v>7</v>
      </c>
      <c r="B2783">
        <v>18999526</v>
      </c>
      <c r="C2783" t="s">
        <v>8</v>
      </c>
      <c r="D2783" s="4">
        <v>46052</v>
      </c>
      <c r="E2783" s="11">
        <f t="shared" si="172"/>
        <v>2026</v>
      </c>
      <c r="F2783" s="11">
        <f t="shared" si="173"/>
        <v>1</v>
      </c>
      <c r="G2783" s="11" t="str">
        <f t="shared" si="174"/>
        <v>202601</v>
      </c>
      <c r="H2783" s="4">
        <v>46054</v>
      </c>
      <c r="I2783" s="5">
        <v>2</v>
      </c>
      <c r="J2783" s="5">
        <v>6.6666666666666666E-2</v>
      </c>
      <c r="K2783" s="5">
        <f t="shared" si="175"/>
        <v>1</v>
      </c>
      <c r="L2783" s="5">
        <v>1</v>
      </c>
      <c r="M2783" s="5">
        <v>1</v>
      </c>
      <c r="N2783" t="s">
        <v>9</v>
      </c>
      <c r="O2783" s="8">
        <v>20.252054794520546</v>
      </c>
      <c r="P2783" t="s">
        <v>32</v>
      </c>
      <c r="Q2783">
        <v>1</v>
      </c>
      <c r="R2783" s="2">
        <v>38660</v>
      </c>
    </row>
    <row r="2784" spans="1:18" x14ac:dyDescent="0.3">
      <c r="A2784" t="s">
        <v>7</v>
      </c>
      <c r="B2784">
        <v>18999527</v>
      </c>
      <c r="C2784" t="s">
        <v>8</v>
      </c>
      <c r="D2784" s="4">
        <v>46052</v>
      </c>
      <c r="E2784" s="11">
        <f t="shared" si="172"/>
        <v>2026</v>
      </c>
      <c r="F2784" s="11">
        <f t="shared" si="173"/>
        <v>1</v>
      </c>
      <c r="G2784" s="11" t="str">
        <f t="shared" si="174"/>
        <v>202601</v>
      </c>
      <c r="H2784" s="4">
        <v>46144</v>
      </c>
      <c r="I2784" s="5">
        <v>92</v>
      </c>
      <c r="J2784" s="5">
        <v>3.0666666666666669</v>
      </c>
      <c r="K2784" s="5">
        <f t="shared" si="175"/>
        <v>0</v>
      </c>
      <c r="L2784" s="5">
        <v>0</v>
      </c>
      <c r="M2784" s="5">
        <v>1</v>
      </c>
      <c r="N2784" t="s">
        <v>9</v>
      </c>
      <c r="O2784" s="8">
        <v>23.30958904109589</v>
      </c>
      <c r="P2784" t="s">
        <v>33</v>
      </c>
      <c r="Q2784">
        <v>2</v>
      </c>
      <c r="R2784" s="2">
        <v>37544</v>
      </c>
    </row>
    <row r="2785" spans="1:18" x14ac:dyDescent="0.3">
      <c r="A2785" t="s">
        <v>7</v>
      </c>
      <c r="B2785">
        <v>18999529</v>
      </c>
      <c r="C2785" t="s">
        <v>8</v>
      </c>
      <c r="D2785" s="4">
        <v>46052</v>
      </c>
      <c r="E2785" s="11">
        <f t="shared" si="172"/>
        <v>2026</v>
      </c>
      <c r="F2785" s="11">
        <f t="shared" si="173"/>
        <v>1</v>
      </c>
      <c r="G2785" s="11" t="str">
        <f t="shared" si="174"/>
        <v>202601</v>
      </c>
      <c r="I2785" s="5">
        <v>9999</v>
      </c>
      <c r="J2785" s="5">
        <v>333.3</v>
      </c>
      <c r="K2785" s="5">
        <f t="shared" si="175"/>
        <v>0</v>
      </c>
      <c r="L2785" s="5">
        <v>0</v>
      </c>
      <c r="M2785" s="5">
        <v>0</v>
      </c>
      <c r="N2785" t="s">
        <v>9</v>
      </c>
      <c r="O2785" s="8">
        <v>20.208219178082192</v>
      </c>
      <c r="P2785" t="s">
        <v>32</v>
      </c>
      <c r="Q2785">
        <v>1</v>
      </c>
      <c r="R2785" s="2">
        <v>38676</v>
      </c>
    </row>
    <row r="2786" spans="1:18" x14ac:dyDescent="0.3">
      <c r="A2786" t="s">
        <v>7</v>
      </c>
      <c r="B2786">
        <v>18999530</v>
      </c>
      <c r="C2786" t="s">
        <v>8</v>
      </c>
      <c r="D2786" s="4">
        <v>46052</v>
      </c>
      <c r="E2786" s="11">
        <f t="shared" si="172"/>
        <v>2026</v>
      </c>
      <c r="F2786" s="11">
        <f t="shared" si="173"/>
        <v>1</v>
      </c>
      <c r="G2786" s="11" t="str">
        <f t="shared" si="174"/>
        <v>202601</v>
      </c>
      <c r="H2786" s="4">
        <v>46127</v>
      </c>
      <c r="I2786" s="5">
        <v>75</v>
      </c>
      <c r="J2786" s="5">
        <v>2.5</v>
      </c>
      <c r="K2786" s="5">
        <f t="shared" si="175"/>
        <v>0</v>
      </c>
      <c r="L2786" s="5">
        <v>1</v>
      </c>
      <c r="M2786" s="5">
        <v>1</v>
      </c>
      <c r="N2786" t="s">
        <v>9</v>
      </c>
      <c r="O2786" s="8">
        <v>19.375342465753423</v>
      </c>
      <c r="P2786" t="s">
        <v>32</v>
      </c>
      <c r="Q2786">
        <v>1</v>
      </c>
      <c r="R2786" s="2">
        <v>38980</v>
      </c>
    </row>
    <row r="2787" spans="1:18" x14ac:dyDescent="0.3">
      <c r="A2787" t="s">
        <v>7</v>
      </c>
      <c r="B2787">
        <v>18999537</v>
      </c>
      <c r="C2787" t="s">
        <v>10</v>
      </c>
      <c r="D2787" s="4">
        <v>46052</v>
      </c>
      <c r="E2787" s="11">
        <f t="shared" si="172"/>
        <v>2026</v>
      </c>
      <c r="F2787" s="11">
        <f t="shared" si="173"/>
        <v>1</v>
      </c>
      <c r="G2787" s="11" t="str">
        <f t="shared" si="174"/>
        <v>202601</v>
      </c>
      <c r="I2787" s="5">
        <v>9999</v>
      </c>
      <c r="J2787" s="5">
        <v>333.3</v>
      </c>
      <c r="K2787" s="5">
        <f t="shared" si="175"/>
        <v>0</v>
      </c>
      <c r="L2787" s="5">
        <v>0</v>
      </c>
      <c r="M2787" s="5">
        <v>0</v>
      </c>
      <c r="N2787" t="s">
        <v>9</v>
      </c>
      <c r="O2787" s="8">
        <v>18.054794520547944</v>
      </c>
      <c r="P2787" t="s">
        <v>32</v>
      </c>
      <c r="Q2787">
        <v>1</v>
      </c>
      <c r="R2787" s="2">
        <v>39462</v>
      </c>
    </row>
    <row r="2788" spans="1:18" x14ac:dyDescent="0.3">
      <c r="A2788" t="s">
        <v>7</v>
      </c>
      <c r="B2788">
        <v>18999538</v>
      </c>
      <c r="C2788" t="s">
        <v>8</v>
      </c>
      <c r="D2788" s="4">
        <v>46052</v>
      </c>
      <c r="E2788" s="11">
        <f t="shared" si="172"/>
        <v>2026</v>
      </c>
      <c r="F2788" s="11">
        <f t="shared" si="173"/>
        <v>1</v>
      </c>
      <c r="G2788" s="11" t="str">
        <f t="shared" si="174"/>
        <v>202601</v>
      </c>
      <c r="I2788" s="5">
        <v>9999</v>
      </c>
      <c r="J2788" s="5">
        <v>333.3</v>
      </c>
      <c r="K2788" s="5">
        <f t="shared" si="175"/>
        <v>0</v>
      </c>
      <c r="L2788" s="5">
        <v>0</v>
      </c>
      <c r="M2788" s="5">
        <v>0</v>
      </c>
      <c r="N2788" t="s">
        <v>9</v>
      </c>
      <c r="O2788" s="8">
        <v>19.17808219178082</v>
      </c>
      <c r="P2788" t="s">
        <v>32</v>
      </c>
      <c r="Q2788">
        <v>1</v>
      </c>
      <c r="R2788" s="2">
        <v>39052</v>
      </c>
    </row>
    <row r="2789" spans="1:18" x14ac:dyDescent="0.3">
      <c r="A2789" t="s">
        <v>7</v>
      </c>
      <c r="B2789">
        <v>18999740</v>
      </c>
      <c r="C2789" t="s">
        <v>8</v>
      </c>
      <c r="D2789" s="4">
        <v>46055</v>
      </c>
      <c r="E2789" s="11">
        <f t="shared" si="172"/>
        <v>2026</v>
      </c>
      <c r="F2789" s="11">
        <f t="shared" si="173"/>
        <v>2</v>
      </c>
      <c r="G2789" s="11" t="str">
        <f t="shared" si="174"/>
        <v>202602</v>
      </c>
      <c r="H2789" s="4">
        <v>46113</v>
      </c>
      <c r="I2789" s="5">
        <v>58</v>
      </c>
      <c r="J2789" s="5">
        <v>1.9333333333333333</v>
      </c>
      <c r="K2789" s="5">
        <f t="shared" si="175"/>
        <v>0</v>
      </c>
      <c r="L2789" s="5">
        <v>1</v>
      </c>
      <c r="M2789" s="5">
        <v>1</v>
      </c>
      <c r="N2789" t="s">
        <v>12</v>
      </c>
      <c r="O2789" s="8">
        <v>22.758904109589039</v>
      </c>
      <c r="P2789" t="s">
        <v>33</v>
      </c>
      <c r="Q2789">
        <v>2</v>
      </c>
      <c r="R2789" s="2">
        <v>37748</v>
      </c>
    </row>
    <row r="2790" spans="1:18" x14ac:dyDescent="0.3">
      <c r="A2790" t="s">
        <v>7</v>
      </c>
      <c r="B2790">
        <v>18999789</v>
      </c>
      <c r="C2790" t="s">
        <v>10</v>
      </c>
      <c r="D2790" s="4">
        <v>46055</v>
      </c>
      <c r="E2790" s="11">
        <f t="shared" si="172"/>
        <v>2026</v>
      </c>
      <c r="F2790" s="11">
        <f t="shared" si="173"/>
        <v>2</v>
      </c>
      <c r="G2790" s="11" t="str">
        <f t="shared" si="174"/>
        <v>202602</v>
      </c>
      <c r="I2790" s="5">
        <v>9999</v>
      </c>
      <c r="J2790" s="5">
        <v>333.3</v>
      </c>
      <c r="K2790" s="5">
        <f t="shared" si="175"/>
        <v>0</v>
      </c>
      <c r="L2790" s="5">
        <v>0</v>
      </c>
      <c r="M2790" s="5">
        <v>0</v>
      </c>
      <c r="N2790" t="s">
        <v>9</v>
      </c>
      <c r="O2790" s="8">
        <v>19.523287671232875</v>
      </c>
      <c r="P2790" t="s">
        <v>32</v>
      </c>
      <c r="Q2790">
        <v>1</v>
      </c>
      <c r="R2790" s="2">
        <v>38929</v>
      </c>
    </row>
    <row r="2791" spans="1:18" x14ac:dyDescent="0.3">
      <c r="A2791" t="s">
        <v>11</v>
      </c>
      <c r="B2791">
        <v>18999799</v>
      </c>
      <c r="C2791" t="s">
        <v>8</v>
      </c>
      <c r="D2791" s="4">
        <v>46055</v>
      </c>
      <c r="E2791" s="11">
        <f t="shared" si="172"/>
        <v>2026</v>
      </c>
      <c r="F2791" s="11">
        <f t="shared" si="173"/>
        <v>2</v>
      </c>
      <c r="G2791" s="11" t="str">
        <f t="shared" si="174"/>
        <v>202602</v>
      </c>
      <c r="I2791" s="5">
        <v>9999</v>
      </c>
      <c r="J2791" s="5">
        <v>333.3</v>
      </c>
      <c r="K2791" s="5">
        <f t="shared" si="175"/>
        <v>0</v>
      </c>
      <c r="L2791" s="5">
        <v>0</v>
      </c>
      <c r="M2791" s="5">
        <v>0</v>
      </c>
      <c r="N2791" t="s">
        <v>9</v>
      </c>
      <c r="O2791" s="8">
        <v>39.704109589041096</v>
      </c>
      <c r="P2791" t="s">
        <v>35</v>
      </c>
      <c r="Q2791">
        <v>4</v>
      </c>
      <c r="R2791" s="2">
        <v>31563</v>
      </c>
    </row>
    <row r="2792" spans="1:18" x14ac:dyDescent="0.3">
      <c r="A2792" t="s">
        <v>7</v>
      </c>
      <c r="B2792">
        <v>18999801</v>
      </c>
      <c r="C2792" t="s">
        <v>8</v>
      </c>
      <c r="D2792" s="4">
        <v>46055</v>
      </c>
      <c r="E2792" s="11">
        <f t="shared" si="172"/>
        <v>2026</v>
      </c>
      <c r="F2792" s="11">
        <f t="shared" si="173"/>
        <v>2</v>
      </c>
      <c r="G2792" s="11" t="str">
        <f t="shared" si="174"/>
        <v>202602</v>
      </c>
      <c r="I2792" s="5">
        <v>9999</v>
      </c>
      <c r="J2792" s="5">
        <v>333.3</v>
      </c>
      <c r="K2792" s="5">
        <f t="shared" si="175"/>
        <v>0</v>
      </c>
      <c r="L2792" s="5">
        <v>0</v>
      </c>
      <c r="M2792" s="5">
        <v>0</v>
      </c>
      <c r="N2792" t="s">
        <v>12</v>
      </c>
      <c r="O2792" s="8">
        <v>20.673972602739727</v>
      </c>
      <c r="P2792" t="s">
        <v>32</v>
      </c>
      <c r="Q2792">
        <v>1</v>
      </c>
      <c r="R2792" s="2">
        <v>38509</v>
      </c>
    </row>
    <row r="2793" spans="1:18" x14ac:dyDescent="0.3">
      <c r="A2793" t="s">
        <v>7</v>
      </c>
      <c r="B2793">
        <v>18999813</v>
      </c>
      <c r="C2793" t="s">
        <v>8</v>
      </c>
      <c r="D2793" s="4">
        <v>46055</v>
      </c>
      <c r="E2793" s="11">
        <f t="shared" si="172"/>
        <v>2026</v>
      </c>
      <c r="F2793" s="11">
        <f t="shared" si="173"/>
        <v>2</v>
      </c>
      <c r="G2793" s="11" t="str">
        <f t="shared" si="174"/>
        <v>202602</v>
      </c>
      <c r="I2793" s="5">
        <v>9999</v>
      </c>
      <c r="J2793" s="5">
        <v>333.3</v>
      </c>
      <c r="K2793" s="5">
        <f t="shared" si="175"/>
        <v>0</v>
      </c>
      <c r="L2793" s="5">
        <v>0</v>
      </c>
      <c r="M2793" s="5">
        <v>0</v>
      </c>
      <c r="N2793" t="s">
        <v>9</v>
      </c>
      <c r="O2793" s="8">
        <v>19.895890410958906</v>
      </c>
      <c r="P2793" t="s">
        <v>32</v>
      </c>
      <c r="Q2793">
        <v>1</v>
      </c>
      <c r="R2793" s="2">
        <v>38793</v>
      </c>
    </row>
    <row r="2794" spans="1:18" x14ac:dyDescent="0.3">
      <c r="A2794" t="s">
        <v>7</v>
      </c>
      <c r="B2794">
        <v>18999816</v>
      </c>
      <c r="C2794" t="s">
        <v>10</v>
      </c>
      <c r="D2794" s="4">
        <v>46055</v>
      </c>
      <c r="E2794" s="11">
        <f t="shared" si="172"/>
        <v>2026</v>
      </c>
      <c r="F2794" s="11">
        <f t="shared" si="173"/>
        <v>2</v>
      </c>
      <c r="G2794" s="11" t="str">
        <f t="shared" si="174"/>
        <v>202602</v>
      </c>
      <c r="H2794" s="4">
        <v>46118</v>
      </c>
      <c r="I2794" s="5">
        <v>63</v>
      </c>
      <c r="J2794" s="5">
        <v>2.1</v>
      </c>
      <c r="K2794" s="5">
        <f t="shared" si="175"/>
        <v>0</v>
      </c>
      <c r="L2794" s="5">
        <v>1</v>
      </c>
      <c r="M2794" s="5">
        <v>1</v>
      </c>
      <c r="N2794" t="s">
        <v>9</v>
      </c>
      <c r="O2794" s="8">
        <v>22.583561643835615</v>
      </c>
      <c r="P2794" t="s">
        <v>33</v>
      </c>
      <c r="Q2794">
        <v>2</v>
      </c>
      <c r="R2794" s="2">
        <v>37812</v>
      </c>
    </row>
    <row r="2795" spans="1:18" x14ac:dyDescent="0.3">
      <c r="A2795" t="s">
        <v>7</v>
      </c>
      <c r="B2795">
        <v>18999883</v>
      </c>
      <c r="C2795" t="s">
        <v>10</v>
      </c>
      <c r="D2795" s="4">
        <v>46055</v>
      </c>
      <c r="E2795" s="11">
        <f t="shared" si="172"/>
        <v>2026</v>
      </c>
      <c r="F2795" s="11">
        <f t="shared" si="173"/>
        <v>2</v>
      </c>
      <c r="G2795" s="11" t="str">
        <f t="shared" si="174"/>
        <v>202602</v>
      </c>
      <c r="I2795" s="5">
        <v>9999</v>
      </c>
      <c r="J2795" s="5">
        <v>333.3</v>
      </c>
      <c r="K2795" s="5">
        <f t="shared" si="175"/>
        <v>0</v>
      </c>
      <c r="L2795" s="5">
        <v>0</v>
      </c>
      <c r="M2795" s="5">
        <v>0</v>
      </c>
      <c r="N2795" t="s">
        <v>12</v>
      </c>
      <c r="O2795" s="8">
        <v>28.339726027397262</v>
      </c>
      <c r="P2795" t="s">
        <v>34</v>
      </c>
      <c r="Q2795">
        <v>3</v>
      </c>
      <c r="R2795" s="2">
        <v>35711</v>
      </c>
    </row>
    <row r="2796" spans="1:18" x14ac:dyDescent="0.3">
      <c r="A2796" t="s">
        <v>7</v>
      </c>
      <c r="B2796">
        <v>18999886</v>
      </c>
      <c r="C2796" t="s">
        <v>8</v>
      </c>
      <c r="D2796" s="4">
        <v>46055</v>
      </c>
      <c r="E2796" s="11">
        <f t="shared" si="172"/>
        <v>2026</v>
      </c>
      <c r="F2796" s="11">
        <f t="shared" si="173"/>
        <v>2</v>
      </c>
      <c r="G2796" s="11" t="str">
        <f t="shared" si="174"/>
        <v>202602</v>
      </c>
      <c r="H2796" s="4">
        <v>46157</v>
      </c>
      <c r="I2796" s="5">
        <v>102</v>
      </c>
      <c r="J2796" s="5">
        <v>3.4</v>
      </c>
      <c r="K2796" s="5">
        <f t="shared" si="175"/>
        <v>0</v>
      </c>
      <c r="L2796" s="5">
        <v>0</v>
      </c>
      <c r="M2796" s="5">
        <v>1</v>
      </c>
      <c r="N2796" t="s">
        <v>9</v>
      </c>
      <c r="O2796" s="8">
        <v>19.687671232876713</v>
      </c>
      <c r="P2796" t="s">
        <v>32</v>
      </c>
      <c r="Q2796">
        <v>1</v>
      </c>
      <c r="R2796" s="2">
        <v>38869</v>
      </c>
    </row>
    <row r="2797" spans="1:18" x14ac:dyDescent="0.3">
      <c r="A2797" t="s">
        <v>7</v>
      </c>
      <c r="B2797">
        <v>18999887</v>
      </c>
      <c r="C2797" t="s">
        <v>8</v>
      </c>
      <c r="D2797" s="4">
        <v>46055</v>
      </c>
      <c r="E2797" s="11">
        <f t="shared" si="172"/>
        <v>2026</v>
      </c>
      <c r="F2797" s="11">
        <f t="shared" si="173"/>
        <v>2</v>
      </c>
      <c r="G2797" s="11" t="str">
        <f t="shared" si="174"/>
        <v>202602</v>
      </c>
      <c r="I2797" s="5">
        <v>9999</v>
      </c>
      <c r="J2797" s="5">
        <v>333.3</v>
      </c>
      <c r="K2797" s="5">
        <f t="shared" si="175"/>
        <v>0</v>
      </c>
      <c r="L2797" s="5">
        <v>0</v>
      </c>
      <c r="M2797" s="5">
        <v>0</v>
      </c>
      <c r="N2797" t="s">
        <v>9</v>
      </c>
      <c r="O2797" s="8">
        <v>19.36986301369863</v>
      </c>
      <c r="P2797" t="s">
        <v>32</v>
      </c>
      <c r="Q2797">
        <v>1</v>
      </c>
      <c r="R2797" s="2">
        <v>38985</v>
      </c>
    </row>
    <row r="2798" spans="1:18" x14ac:dyDescent="0.3">
      <c r="A2798" t="s">
        <v>7</v>
      </c>
      <c r="B2798">
        <v>18999888</v>
      </c>
      <c r="C2798" t="s">
        <v>8</v>
      </c>
      <c r="D2798" s="4">
        <v>46055</v>
      </c>
      <c r="E2798" s="11">
        <f t="shared" si="172"/>
        <v>2026</v>
      </c>
      <c r="F2798" s="11">
        <f t="shared" si="173"/>
        <v>2</v>
      </c>
      <c r="G2798" s="11" t="str">
        <f t="shared" si="174"/>
        <v>202602</v>
      </c>
      <c r="H2798" s="4">
        <v>46112</v>
      </c>
      <c r="I2798" s="5">
        <v>57</v>
      </c>
      <c r="J2798" s="5">
        <v>1.9</v>
      </c>
      <c r="K2798" s="5">
        <f t="shared" si="175"/>
        <v>0</v>
      </c>
      <c r="L2798" s="5">
        <v>1</v>
      </c>
      <c r="M2798" s="5">
        <v>1</v>
      </c>
      <c r="N2798" t="s">
        <v>9</v>
      </c>
      <c r="O2798" s="8">
        <v>20.013698630136986</v>
      </c>
      <c r="P2798" t="s">
        <v>32</v>
      </c>
      <c r="Q2798">
        <v>1</v>
      </c>
      <c r="R2798" s="2">
        <v>38750</v>
      </c>
    </row>
    <row r="2799" spans="1:18" x14ac:dyDescent="0.3">
      <c r="A2799" t="s">
        <v>7</v>
      </c>
      <c r="B2799">
        <v>18999890</v>
      </c>
      <c r="C2799" t="s">
        <v>10</v>
      </c>
      <c r="D2799" s="4">
        <v>46055</v>
      </c>
      <c r="E2799" s="11">
        <f t="shared" si="172"/>
        <v>2026</v>
      </c>
      <c r="F2799" s="11">
        <f t="shared" si="173"/>
        <v>2</v>
      </c>
      <c r="G2799" s="11" t="str">
        <f t="shared" si="174"/>
        <v>202602</v>
      </c>
      <c r="I2799" s="5">
        <v>9999</v>
      </c>
      <c r="J2799" s="5">
        <v>333.3</v>
      </c>
      <c r="K2799" s="5">
        <f t="shared" si="175"/>
        <v>0</v>
      </c>
      <c r="L2799" s="5">
        <v>0</v>
      </c>
      <c r="M2799" s="5">
        <v>0</v>
      </c>
      <c r="N2799" t="s">
        <v>9</v>
      </c>
      <c r="O2799" s="8">
        <v>19.663013698630138</v>
      </c>
      <c r="P2799" t="s">
        <v>32</v>
      </c>
      <c r="Q2799">
        <v>1</v>
      </c>
      <c r="R2799" s="2">
        <v>38878</v>
      </c>
    </row>
    <row r="2800" spans="1:18" x14ac:dyDescent="0.3">
      <c r="A2800" t="s">
        <v>7</v>
      </c>
      <c r="B2800">
        <v>18999891</v>
      </c>
      <c r="C2800" t="s">
        <v>10</v>
      </c>
      <c r="D2800" s="4">
        <v>46055</v>
      </c>
      <c r="E2800" s="11">
        <f t="shared" si="172"/>
        <v>2026</v>
      </c>
      <c r="F2800" s="11">
        <f t="shared" si="173"/>
        <v>2</v>
      </c>
      <c r="G2800" s="11" t="str">
        <f t="shared" si="174"/>
        <v>202602</v>
      </c>
      <c r="H2800" s="4">
        <v>46119</v>
      </c>
      <c r="I2800" s="5">
        <v>64</v>
      </c>
      <c r="J2800" s="5">
        <v>2.1333333333333333</v>
      </c>
      <c r="K2800" s="5">
        <f t="shared" si="175"/>
        <v>0</v>
      </c>
      <c r="L2800" s="5">
        <v>1</v>
      </c>
      <c r="M2800" s="5">
        <v>1</v>
      </c>
      <c r="N2800" t="s">
        <v>9</v>
      </c>
      <c r="O2800" s="8">
        <v>27.906849315068492</v>
      </c>
      <c r="P2800" t="s">
        <v>34</v>
      </c>
      <c r="Q2800">
        <v>3</v>
      </c>
      <c r="R2800" s="2">
        <v>35869</v>
      </c>
    </row>
    <row r="2801" spans="1:18" x14ac:dyDescent="0.3">
      <c r="A2801" t="s">
        <v>7</v>
      </c>
      <c r="B2801">
        <v>18999980</v>
      </c>
      <c r="C2801" t="s">
        <v>8</v>
      </c>
      <c r="D2801" s="4">
        <v>46055</v>
      </c>
      <c r="E2801" s="11">
        <f t="shared" si="172"/>
        <v>2026</v>
      </c>
      <c r="F2801" s="11">
        <f t="shared" si="173"/>
        <v>2</v>
      </c>
      <c r="G2801" s="11" t="str">
        <f t="shared" si="174"/>
        <v>202602</v>
      </c>
      <c r="I2801" s="5">
        <v>9999</v>
      </c>
      <c r="J2801" s="5">
        <v>333.3</v>
      </c>
      <c r="K2801" s="5">
        <f t="shared" si="175"/>
        <v>0</v>
      </c>
      <c r="L2801" s="5">
        <v>0</v>
      </c>
      <c r="M2801" s="5">
        <v>0</v>
      </c>
      <c r="N2801" t="s">
        <v>9</v>
      </c>
      <c r="O2801" s="8">
        <v>23.906849315068492</v>
      </c>
      <c r="P2801" t="s">
        <v>33</v>
      </c>
      <c r="Q2801">
        <v>2</v>
      </c>
      <c r="R2801" s="2">
        <v>37329</v>
      </c>
    </row>
    <row r="2802" spans="1:18" x14ac:dyDescent="0.3">
      <c r="A2802" t="s">
        <v>7</v>
      </c>
      <c r="B2802">
        <v>19000399</v>
      </c>
      <c r="C2802" t="s">
        <v>8</v>
      </c>
      <c r="D2802" s="4">
        <v>46056</v>
      </c>
      <c r="E2802" s="11">
        <f t="shared" si="172"/>
        <v>2026</v>
      </c>
      <c r="F2802" s="11">
        <f t="shared" si="173"/>
        <v>2</v>
      </c>
      <c r="G2802" s="11" t="str">
        <f t="shared" si="174"/>
        <v>202602</v>
      </c>
      <c r="I2802" s="5">
        <v>9999</v>
      </c>
      <c r="J2802" s="5">
        <v>333.3</v>
      </c>
      <c r="K2802" s="5">
        <f t="shared" si="175"/>
        <v>0</v>
      </c>
      <c r="L2802" s="5">
        <v>0</v>
      </c>
      <c r="M2802" s="5">
        <v>0</v>
      </c>
      <c r="N2802" t="s">
        <v>9</v>
      </c>
      <c r="O2802" s="8">
        <v>19.416438356164385</v>
      </c>
      <c r="P2802" t="s">
        <v>32</v>
      </c>
      <c r="Q2802">
        <v>1</v>
      </c>
      <c r="R2802" s="2">
        <v>38969</v>
      </c>
    </row>
    <row r="2803" spans="1:18" x14ac:dyDescent="0.3">
      <c r="A2803" t="s">
        <v>7</v>
      </c>
      <c r="B2803">
        <v>19000411</v>
      </c>
      <c r="C2803" t="s">
        <v>10</v>
      </c>
      <c r="D2803" s="4">
        <v>46056</v>
      </c>
      <c r="E2803" s="11">
        <f t="shared" si="172"/>
        <v>2026</v>
      </c>
      <c r="F2803" s="11">
        <f t="shared" si="173"/>
        <v>2</v>
      </c>
      <c r="G2803" s="11" t="str">
        <f t="shared" si="174"/>
        <v>202602</v>
      </c>
      <c r="H2803" s="4">
        <v>46112</v>
      </c>
      <c r="I2803" s="5">
        <v>56</v>
      </c>
      <c r="J2803" s="5">
        <v>1.8666666666666667</v>
      </c>
      <c r="K2803" s="5">
        <f t="shared" si="175"/>
        <v>0</v>
      </c>
      <c r="L2803" s="5">
        <v>1</v>
      </c>
      <c r="M2803" s="5">
        <v>1</v>
      </c>
      <c r="N2803" t="s">
        <v>9</v>
      </c>
      <c r="O2803" s="8">
        <v>19.024657534246575</v>
      </c>
      <c r="P2803" t="s">
        <v>32</v>
      </c>
      <c r="Q2803">
        <v>1</v>
      </c>
      <c r="R2803" s="2">
        <v>39112</v>
      </c>
    </row>
    <row r="2804" spans="1:18" x14ac:dyDescent="0.3">
      <c r="A2804" t="s">
        <v>7</v>
      </c>
      <c r="B2804">
        <v>19000412</v>
      </c>
      <c r="C2804" t="s">
        <v>8</v>
      </c>
      <c r="D2804" s="4">
        <v>46056</v>
      </c>
      <c r="E2804" s="11">
        <f t="shared" si="172"/>
        <v>2026</v>
      </c>
      <c r="F2804" s="11">
        <f t="shared" si="173"/>
        <v>2</v>
      </c>
      <c r="G2804" s="11" t="str">
        <f t="shared" si="174"/>
        <v>202602</v>
      </c>
      <c r="I2804" s="5">
        <v>9999</v>
      </c>
      <c r="J2804" s="5">
        <v>333.3</v>
      </c>
      <c r="K2804" s="5">
        <f t="shared" si="175"/>
        <v>0</v>
      </c>
      <c r="L2804" s="5">
        <v>0</v>
      </c>
      <c r="M2804" s="5">
        <v>0</v>
      </c>
      <c r="N2804" t="s">
        <v>9</v>
      </c>
      <c r="O2804" s="8">
        <v>20.43013698630137</v>
      </c>
      <c r="P2804" t="s">
        <v>32</v>
      </c>
      <c r="Q2804">
        <v>1</v>
      </c>
      <c r="R2804" s="2">
        <v>38599</v>
      </c>
    </row>
    <row r="2805" spans="1:18" x14ac:dyDescent="0.3">
      <c r="A2805" t="s">
        <v>7</v>
      </c>
      <c r="B2805">
        <v>19000447</v>
      </c>
      <c r="C2805" t="s">
        <v>8</v>
      </c>
      <c r="D2805" s="4">
        <v>46056</v>
      </c>
      <c r="E2805" s="11">
        <f t="shared" si="172"/>
        <v>2026</v>
      </c>
      <c r="F2805" s="11">
        <f t="shared" si="173"/>
        <v>2</v>
      </c>
      <c r="G2805" s="11" t="str">
        <f t="shared" si="174"/>
        <v>202602</v>
      </c>
      <c r="I2805" s="5">
        <v>9999</v>
      </c>
      <c r="J2805" s="5">
        <v>333.3</v>
      </c>
      <c r="K2805" s="5">
        <f t="shared" si="175"/>
        <v>0</v>
      </c>
      <c r="L2805" s="5">
        <v>0</v>
      </c>
      <c r="M2805" s="5">
        <v>0</v>
      </c>
      <c r="N2805" t="s">
        <v>12</v>
      </c>
      <c r="O2805" s="8">
        <v>21.87945205479452</v>
      </c>
      <c r="P2805" t="s">
        <v>33</v>
      </c>
      <c r="Q2805">
        <v>2</v>
      </c>
      <c r="R2805" s="2">
        <v>38070</v>
      </c>
    </row>
    <row r="2806" spans="1:18" x14ac:dyDescent="0.3">
      <c r="A2806" t="s">
        <v>7</v>
      </c>
      <c r="B2806">
        <v>19000448</v>
      </c>
      <c r="C2806" t="s">
        <v>10</v>
      </c>
      <c r="D2806" s="4">
        <v>46056</v>
      </c>
      <c r="E2806" s="11">
        <f t="shared" si="172"/>
        <v>2026</v>
      </c>
      <c r="F2806" s="11">
        <f t="shared" si="173"/>
        <v>2</v>
      </c>
      <c r="G2806" s="11" t="str">
        <f t="shared" si="174"/>
        <v>202602</v>
      </c>
      <c r="I2806" s="5">
        <v>9999</v>
      </c>
      <c r="J2806" s="5">
        <v>333.3</v>
      </c>
      <c r="K2806" s="5">
        <f t="shared" si="175"/>
        <v>0</v>
      </c>
      <c r="L2806" s="5">
        <v>0</v>
      </c>
      <c r="M2806" s="5">
        <v>0</v>
      </c>
      <c r="N2806" t="s">
        <v>9</v>
      </c>
      <c r="O2806" s="8">
        <v>19.923287671232877</v>
      </c>
      <c r="P2806" t="s">
        <v>32</v>
      </c>
      <c r="Q2806">
        <v>1</v>
      </c>
      <c r="R2806" s="2">
        <v>38784</v>
      </c>
    </row>
    <row r="2807" spans="1:18" x14ac:dyDescent="0.3">
      <c r="A2807" t="s">
        <v>7</v>
      </c>
      <c r="B2807">
        <v>19000449</v>
      </c>
      <c r="C2807" t="s">
        <v>8</v>
      </c>
      <c r="D2807" s="4">
        <v>46056</v>
      </c>
      <c r="E2807" s="11">
        <f t="shared" si="172"/>
        <v>2026</v>
      </c>
      <c r="F2807" s="11">
        <f t="shared" si="173"/>
        <v>2</v>
      </c>
      <c r="G2807" s="11" t="str">
        <f t="shared" si="174"/>
        <v>202602</v>
      </c>
      <c r="H2807" s="4">
        <v>46083</v>
      </c>
      <c r="I2807" s="5">
        <v>27</v>
      </c>
      <c r="J2807" s="5">
        <v>0.9</v>
      </c>
      <c r="K2807" s="5">
        <f t="shared" si="175"/>
        <v>1</v>
      </c>
      <c r="L2807" s="5">
        <v>1</v>
      </c>
      <c r="M2807" s="5">
        <v>1</v>
      </c>
      <c r="N2807" t="s">
        <v>9</v>
      </c>
      <c r="O2807" s="8">
        <v>19.841095890410958</v>
      </c>
      <c r="P2807" t="s">
        <v>32</v>
      </c>
      <c r="Q2807">
        <v>1</v>
      </c>
      <c r="R2807" s="2">
        <v>38814</v>
      </c>
    </row>
    <row r="2808" spans="1:18" x14ac:dyDescent="0.3">
      <c r="A2808" t="s">
        <v>7</v>
      </c>
      <c r="B2808">
        <v>19000450</v>
      </c>
      <c r="C2808" t="s">
        <v>8</v>
      </c>
      <c r="D2808" s="4">
        <v>46056</v>
      </c>
      <c r="E2808" s="11">
        <f t="shared" si="172"/>
        <v>2026</v>
      </c>
      <c r="F2808" s="11">
        <f t="shared" si="173"/>
        <v>2</v>
      </c>
      <c r="G2808" s="11" t="str">
        <f t="shared" si="174"/>
        <v>202602</v>
      </c>
      <c r="I2808" s="5">
        <v>9999</v>
      </c>
      <c r="J2808" s="5">
        <v>333.3</v>
      </c>
      <c r="K2808" s="5">
        <f t="shared" si="175"/>
        <v>0</v>
      </c>
      <c r="L2808" s="5">
        <v>0</v>
      </c>
      <c r="M2808" s="5">
        <v>0</v>
      </c>
      <c r="N2808" t="s">
        <v>12</v>
      </c>
      <c r="O2808" s="8">
        <v>23.975342465753425</v>
      </c>
      <c r="P2808" t="s">
        <v>33</v>
      </c>
      <c r="Q2808">
        <v>2</v>
      </c>
      <c r="R2808" s="2">
        <v>37305</v>
      </c>
    </row>
    <row r="2809" spans="1:18" x14ac:dyDescent="0.3">
      <c r="A2809" t="s">
        <v>7</v>
      </c>
      <c r="B2809">
        <v>19000478</v>
      </c>
      <c r="C2809" t="s">
        <v>10</v>
      </c>
      <c r="D2809" s="4">
        <v>46056</v>
      </c>
      <c r="E2809" s="11">
        <f t="shared" si="172"/>
        <v>2026</v>
      </c>
      <c r="F2809" s="11">
        <f t="shared" si="173"/>
        <v>2</v>
      </c>
      <c r="G2809" s="11" t="str">
        <f t="shared" si="174"/>
        <v>202602</v>
      </c>
      <c r="I2809" s="5">
        <v>9999</v>
      </c>
      <c r="J2809" s="5">
        <v>333.3</v>
      </c>
      <c r="K2809" s="5">
        <f t="shared" si="175"/>
        <v>0</v>
      </c>
      <c r="L2809" s="5">
        <v>0</v>
      </c>
      <c r="M2809" s="5">
        <v>0</v>
      </c>
      <c r="N2809" t="s">
        <v>9</v>
      </c>
      <c r="O2809" s="8">
        <v>19.052054794520547</v>
      </c>
      <c r="P2809" t="s">
        <v>32</v>
      </c>
      <c r="Q2809">
        <v>1</v>
      </c>
      <c r="R2809" s="2">
        <v>39102</v>
      </c>
    </row>
    <row r="2810" spans="1:18" x14ac:dyDescent="0.3">
      <c r="A2810" t="s">
        <v>7</v>
      </c>
      <c r="B2810">
        <v>19000487</v>
      </c>
      <c r="C2810" t="s">
        <v>10</v>
      </c>
      <c r="D2810" s="4">
        <v>46056</v>
      </c>
      <c r="E2810" s="11">
        <f t="shared" si="172"/>
        <v>2026</v>
      </c>
      <c r="F2810" s="11">
        <f t="shared" si="173"/>
        <v>2</v>
      </c>
      <c r="G2810" s="11" t="str">
        <f t="shared" si="174"/>
        <v>202602</v>
      </c>
      <c r="H2810" s="4">
        <v>46112</v>
      </c>
      <c r="I2810" s="5">
        <v>56</v>
      </c>
      <c r="J2810" s="5">
        <v>1.8666666666666667</v>
      </c>
      <c r="K2810" s="5">
        <f t="shared" si="175"/>
        <v>0</v>
      </c>
      <c r="L2810" s="5">
        <v>1</v>
      </c>
      <c r="M2810" s="5">
        <v>1</v>
      </c>
      <c r="N2810" t="s">
        <v>12</v>
      </c>
      <c r="O2810" s="8">
        <v>20.769863013698629</v>
      </c>
      <c r="P2810" t="s">
        <v>32</v>
      </c>
      <c r="Q2810">
        <v>1</v>
      </c>
      <c r="R2810" s="2">
        <v>38475</v>
      </c>
    </row>
    <row r="2811" spans="1:18" x14ac:dyDescent="0.3">
      <c r="A2811" t="s">
        <v>7</v>
      </c>
      <c r="B2811">
        <v>19000541</v>
      </c>
      <c r="C2811" t="s">
        <v>8</v>
      </c>
      <c r="D2811" s="4">
        <v>46056</v>
      </c>
      <c r="E2811" s="11">
        <f t="shared" si="172"/>
        <v>2026</v>
      </c>
      <c r="F2811" s="11">
        <f t="shared" si="173"/>
        <v>2</v>
      </c>
      <c r="G2811" s="11" t="str">
        <f t="shared" si="174"/>
        <v>202602</v>
      </c>
      <c r="H2811" s="4">
        <v>46058</v>
      </c>
      <c r="I2811" s="5">
        <v>2</v>
      </c>
      <c r="J2811" s="5">
        <v>6.6666666666666666E-2</v>
      </c>
      <c r="K2811" s="5">
        <f t="shared" si="175"/>
        <v>1</v>
      </c>
      <c r="L2811" s="5">
        <v>1</v>
      </c>
      <c r="M2811" s="5">
        <v>1</v>
      </c>
      <c r="N2811" t="s">
        <v>12</v>
      </c>
      <c r="O2811" s="8">
        <v>24.890410958904109</v>
      </c>
      <c r="P2811" t="s">
        <v>33</v>
      </c>
      <c r="Q2811">
        <v>2</v>
      </c>
      <c r="R2811" s="2">
        <v>36971</v>
      </c>
    </row>
    <row r="2812" spans="1:18" x14ac:dyDescent="0.3">
      <c r="A2812" t="s">
        <v>7</v>
      </c>
      <c r="B2812">
        <v>19000886</v>
      </c>
      <c r="C2812" t="s">
        <v>8</v>
      </c>
      <c r="D2812" s="4">
        <v>46058</v>
      </c>
      <c r="E2812" s="11">
        <f t="shared" si="172"/>
        <v>2026</v>
      </c>
      <c r="F2812" s="11">
        <f t="shared" si="173"/>
        <v>2</v>
      </c>
      <c r="G2812" s="11" t="str">
        <f t="shared" si="174"/>
        <v>202602</v>
      </c>
      <c r="I2812" s="5">
        <v>9999</v>
      </c>
      <c r="J2812" s="5">
        <v>333.3</v>
      </c>
      <c r="K2812" s="5">
        <f t="shared" si="175"/>
        <v>0</v>
      </c>
      <c r="L2812" s="5">
        <v>0</v>
      </c>
      <c r="M2812" s="5">
        <v>0</v>
      </c>
      <c r="N2812" t="s">
        <v>12</v>
      </c>
      <c r="O2812" s="8">
        <v>27.572602739726026</v>
      </c>
      <c r="P2812" t="s">
        <v>34</v>
      </c>
      <c r="Q2812">
        <v>3</v>
      </c>
      <c r="R2812" s="2">
        <v>35994</v>
      </c>
    </row>
    <row r="2813" spans="1:18" x14ac:dyDescent="0.3">
      <c r="A2813" t="s">
        <v>7</v>
      </c>
      <c r="B2813">
        <v>19000887</v>
      </c>
      <c r="C2813" t="s">
        <v>8</v>
      </c>
      <c r="D2813" s="4">
        <v>46058</v>
      </c>
      <c r="E2813" s="11">
        <f t="shared" si="172"/>
        <v>2026</v>
      </c>
      <c r="F2813" s="11">
        <f t="shared" si="173"/>
        <v>2</v>
      </c>
      <c r="G2813" s="11" t="str">
        <f t="shared" si="174"/>
        <v>202602</v>
      </c>
      <c r="I2813" s="5">
        <v>9999</v>
      </c>
      <c r="J2813" s="5">
        <v>333.3</v>
      </c>
      <c r="K2813" s="5">
        <f t="shared" si="175"/>
        <v>0</v>
      </c>
      <c r="L2813" s="5">
        <v>0</v>
      </c>
      <c r="M2813" s="5">
        <v>0</v>
      </c>
      <c r="N2813" t="s">
        <v>12</v>
      </c>
      <c r="O2813" s="8">
        <v>20.676712328767124</v>
      </c>
      <c r="P2813" t="s">
        <v>32</v>
      </c>
      <c r="Q2813">
        <v>1</v>
      </c>
      <c r="R2813" s="2">
        <v>38511</v>
      </c>
    </row>
    <row r="2814" spans="1:18" x14ac:dyDescent="0.3">
      <c r="A2814" t="s">
        <v>7</v>
      </c>
      <c r="B2814">
        <v>19000900</v>
      </c>
      <c r="C2814" t="s">
        <v>8</v>
      </c>
      <c r="D2814" s="4">
        <v>46058</v>
      </c>
      <c r="E2814" s="11">
        <f t="shared" si="172"/>
        <v>2026</v>
      </c>
      <c r="F2814" s="11">
        <f t="shared" si="173"/>
        <v>2</v>
      </c>
      <c r="G2814" s="11" t="str">
        <f t="shared" si="174"/>
        <v>202602</v>
      </c>
      <c r="I2814" s="5">
        <v>9999</v>
      </c>
      <c r="J2814" s="5">
        <v>333.3</v>
      </c>
      <c r="K2814" s="5">
        <f t="shared" si="175"/>
        <v>0</v>
      </c>
      <c r="L2814" s="5">
        <v>0</v>
      </c>
      <c r="M2814" s="5">
        <v>0</v>
      </c>
      <c r="N2814" t="s">
        <v>9</v>
      </c>
      <c r="O2814" s="8">
        <v>19.865753424657534</v>
      </c>
      <c r="P2814" t="s">
        <v>32</v>
      </c>
      <c r="Q2814">
        <v>1</v>
      </c>
      <c r="R2814" s="2">
        <v>38807</v>
      </c>
    </row>
    <row r="2815" spans="1:18" x14ac:dyDescent="0.3">
      <c r="A2815" t="s">
        <v>7</v>
      </c>
      <c r="B2815">
        <v>19000901</v>
      </c>
      <c r="C2815" t="s">
        <v>8</v>
      </c>
      <c r="D2815" s="4">
        <v>46058</v>
      </c>
      <c r="E2815" s="11">
        <f t="shared" si="172"/>
        <v>2026</v>
      </c>
      <c r="F2815" s="11">
        <f t="shared" si="173"/>
        <v>2</v>
      </c>
      <c r="G2815" s="11" t="str">
        <f t="shared" si="174"/>
        <v>202602</v>
      </c>
      <c r="H2815" s="4">
        <v>46113</v>
      </c>
      <c r="I2815" s="5">
        <v>55</v>
      </c>
      <c r="J2815" s="5">
        <v>1.8333333333333333</v>
      </c>
      <c r="K2815" s="5">
        <f t="shared" si="175"/>
        <v>0</v>
      </c>
      <c r="L2815" s="5">
        <v>1</v>
      </c>
      <c r="M2815" s="5">
        <v>1</v>
      </c>
      <c r="N2815" t="s">
        <v>9</v>
      </c>
      <c r="O2815" s="8">
        <v>22.553424657534247</v>
      </c>
      <c r="P2815" t="s">
        <v>33</v>
      </c>
      <c r="Q2815">
        <v>2</v>
      </c>
      <c r="R2815" s="2">
        <v>37826</v>
      </c>
    </row>
    <row r="2816" spans="1:18" x14ac:dyDescent="0.3">
      <c r="A2816" t="s">
        <v>7</v>
      </c>
      <c r="B2816">
        <v>19000902</v>
      </c>
      <c r="C2816" t="s">
        <v>10</v>
      </c>
      <c r="D2816" s="4">
        <v>46058</v>
      </c>
      <c r="E2816" s="11">
        <f t="shared" si="172"/>
        <v>2026</v>
      </c>
      <c r="F2816" s="11">
        <f t="shared" si="173"/>
        <v>2</v>
      </c>
      <c r="G2816" s="11" t="str">
        <f t="shared" si="174"/>
        <v>202602</v>
      </c>
      <c r="I2816" s="5">
        <v>9999</v>
      </c>
      <c r="J2816" s="5">
        <v>333.3</v>
      </c>
      <c r="K2816" s="5">
        <f t="shared" si="175"/>
        <v>0</v>
      </c>
      <c r="L2816" s="5">
        <v>0</v>
      </c>
      <c r="M2816" s="5">
        <v>0</v>
      </c>
      <c r="N2816" t="s">
        <v>9</v>
      </c>
      <c r="O2816" s="8">
        <v>20.846575342465755</v>
      </c>
      <c r="P2816" t="s">
        <v>32</v>
      </c>
      <c r="Q2816">
        <v>1</v>
      </c>
      <c r="R2816" s="2">
        <v>38449</v>
      </c>
    </row>
    <row r="2817" spans="1:18" x14ac:dyDescent="0.3">
      <c r="A2817" t="s">
        <v>7</v>
      </c>
      <c r="B2817">
        <v>19000905</v>
      </c>
      <c r="C2817" t="s">
        <v>8</v>
      </c>
      <c r="D2817" s="4">
        <v>46058</v>
      </c>
      <c r="E2817" s="11">
        <f t="shared" si="172"/>
        <v>2026</v>
      </c>
      <c r="F2817" s="11">
        <f t="shared" si="173"/>
        <v>2</v>
      </c>
      <c r="G2817" s="11" t="str">
        <f t="shared" si="174"/>
        <v>202602</v>
      </c>
      <c r="I2817" s="5">
        <v>9999</v>
      </c>
      <c r="J2817" s="5">
        <v>333.3</v>
      </c>
      <c r="K2817" s="5">
        <f t="shared" si="175"/>
        <v>0</v>
      </c>
      <c r="L2817" s="5">
        <v>0</v>
      </c>
      <c r="M2817" s="5">
        <v>0</v>
      </c>
      <c r="N2817" t="s">
        <v>9</v>
      </c>
      <c r="O2817" s="8">
        <v>19.517808219178082</v>
      </c>
      <c r="P2817" t="s">
        <v>32</v>
      </c>
      <c r="Q2817">
        <v>1</v>
      </c>
      <c r="R2817" s="2">
        <v>38934</v>
      </c>
    </row>
    <row r="2818" spans="1:18" x14ac:dyDescent="0.3">
      <c r="A2818" t="s">
        <v>7</v>
      </c>
      <c r="B2818">
        <v>19000906</v>
      </c>
      <c r="C2818" t="s">
        <v>10</v>
      </c>
      <c r="D2818" s="4">
        <v>46058</v>
      </c>
      <c r="E2818" s="11">
        <f t="shared" si="172"/>
        <v>2026</v>
      </c>
      <c r="F2818" s="11">
        <f t="shared" si="173"/>
        <v>2</v>
      </c>
      <c r="G2818" s="11" t="str">
        <f t="shared" si="174"/>
        <v>202602</v>
      </c>
      <c r="H2818" s="4">
        <v>46113</v>
      </c>
      <c r="I2818" s="5">
        <v>55</v>
      </c>
      <c r="J2818" s="5">
        <v>1.8333333333333333</v>
      </c>
      <c r="K2818" s="5">
        <f t="shared" si="175"/>
        <v>0</v>
      </c>
      <c r="L2818" s="5">
        <v>1</v>
      </c>
      <c r="M2818" s="5">
        <v>1</v>
      </c>
      <c r="N2818" t="s">
        <v>12</v>
      </c>
      <c r="O2818" s="8">
        <v>21.301369863013697</v>
      </c>
      <c r="P2818" t="s">
        <v>33</v>
      </c>
      <c r="Q2818">
        <v>2</v>
      </c>
      <c r="R2818" s="2">
        <v>38283</v>
      </c>
    </row>
    <row r="2819" spans="1:18" x14ac:dyDescent="0.3">
      <c r="A2819" t="s">
        <v>7</v>
      </c>
      <c r="B2819">
        <v>19000910</v>
      </c>
      <c r="C2819" t="s">
        <v>10</v>
      </c>
      <c r="D2819" s="4">
        <v>46058</v>
      </c>
      <c r="E2819" s="11">
        <f t="shared" ref="E2819:E2882" si="176">+YEAR(D2819)</f>
        <v>2026</v>
      </c>
      <c r="F2819" s="11">
        <f t="shared" ref="F2819:F2882" si="177">+MONTH(D2819)</f>
        <v>2</v>
      </c>
      <c r="G2819" s="11" t="str">
        <f t="shared" ref="G2819:G2882" si="178">+TEXT(D2819, "yyymm")</f>
        <v>202602</v>
      </c>
      <c r="H2819" s="4">
        <v>46085</v>
      </c>
      <c r="I2819" s="5">
        <v>27</v>
      </c>
      <c r="J2819" s="5">
        <v>0.9</v>
      </c>
      <c r="K2819" s="5">
        <f t="shared" ref="K2819:K2882" si="179">IF(J2819&lt;=1,1,0)</f>
        <v>1</v>
      </c>
      <c r="L2819" s="5">
        <v>1</v>
      </c>
      <c r="M2819" s="5">
        <v>1</v>
      </c>
      <c r="N2819" t="s">
        <v>12</v>
      </c>
      <c r="O2819" s="8">
        <v>20.947945205479453</v>
      </c>
      <c r="P2819" t="s">
        <v>32</v>
      </c>
      <c r="Q2819">
        <v>1</v>
      </c>
      <c r="R2819" s="2">
        <v>38412</v>
      </c>
    </row>
    <row r="2820" spans="1:18" x14ac:dyDescent="0.3">
      <c r="A2820" t="s">
        <v>7</v>
      </c>
      <c r="B2820">
        <v>19000943</v>
      </c>
      <c r="C2820" t="s">
        <v>8</v>
      </c>
      <c r="D2820" s="4">
        <v>46058</v>
      </c>
      <c r="E2820" s="11">
        <f t="shared" si="176"/>
        <v>2026</v>
      </c>
      <c r="F2820" s="11">
        <f t="shared" si="177"/>
        <v>2</v>
      </c>
      <c r="G2820" s="11" t="str">
        <f t="shared" si="178"/>
        <v>202602</v>
      </c>
      <c r="H2820" s="4">
        <v>46086</v>
      </c>
      <c r="I2820" s="5">
        <v>28</v>
      </c>
      <c r="J2820" s="5">
        <v>0.93333333333333335</v>
      </c>
      <c r="K2820" s="5">
        <f t="shared" si="179"/>
        <v>1</v>
      </c>
      <c r="L2820" s="5">
        <v>1</v>
      </c>
      <c r="M2820" s="5">
        <v>1</v>
      </c>
      <c r="N2820" t="s">
        <v>9</v>
      </c>
      <c r="O2820" s="8">
        <v>26.643835616438356</v>
      </c>
      <c r="P2820" t="s">
        <v>34</v>
      </c>
      <c r="Q2820">
        <v>3</v>
      </c>
      <c r="R2820" s="2">
        <v>36333</v>
      </c>
    </row>
    <row r="2821" spans="1:18" x14ac:dyDescent="0.3">
      <c r="A2821" t="s">
        <v>7</v>
      </c>
      <c r="B2821">
        <v>19000944</v>
      </c>
      <c r="C2821" t="s">
        <v>8</v>
      </c>
      <c r="D2821" s="4">
        <v>46058</v>
      </c>
      <c r="E2821" s="11">
        <f t="shared" si="176"/>
        <v>2026</v>
      </c>
      <c r="F2821" s="11">
        <f t="shared" si="177"/>
        <v>2</v>
      </c>
      <c r="G2821" s="11" t="str">
        <f t="shared" si="178"/>
        <v>202602</v>
      </c>
      <c r="H2821" s="4">
        <v>46173</v>
      </c>
      <c r="I2821" s="5">
        <v>115</v>
      </c>
      <c r="J2821" s="5">
        <v>3.8333333333333335</v>
      </c>
      <c r="K2821" s="5">
        <f t="shared" si="179"/>
        <v>0</v>
      </c>
      <c r="L2821" s="5">
        <v>0</v>
      </c>
      <c r="M2821" s="5">
        <v>1</v>
      </c>
      <c r="N2821" t="s">
        <v>9</v>
      </c>
      <c r="O2821" s="8">
        <v>29.701369863013699</v>
      </c>
      <c r="P2821" t="s">
        <v>34</v>
      </c>
      <c r="Q2821">
        <v>3</v>
      </c>
      <c r="R2821" s="2">
        <v>35217</v>
      </c>
    </row>
    <row r="2822" spans="1:18" x14ac:dyDescent="0.3">
      <c r="A2822" t="s">
        <v>7</v>
      </c>
      <c r="B2822">
        <v>19001136</v>
      </c>
      <c r="C2822" t="s">
        <v>8</v>
      </c>
      <c r="D2822" s="4">
        <v>46059</v>
      </c>
      <c r="E2822" s="11">
        <f t="shared" si="176"/>
        <v>2026</v>
      </c>
      <c r="F2822" s="11">
        <f t="shared" si="177"/>
        <v>2</v>
      </c>
      <c r="G2822" s="11" t="str">
        <f t="shared" si="178"/>
        <v>202602</v>
      </c>
      <c r="H2822" s="4">
        <v>46117</v>
      </c>
      <c r="I2822" s="5">
        <v>58</v>
      </c>
      <c r="J2822" s="5">
        <v>1.9333333333333333</v>
      </c>
      <c r="K2822" s="5">
        <f t="shared" si="179"/>
        <v>0</v>
      </c>
      <c r="L2822" s="5">
        <v>1</v>
      </c>
      <c r="M2822" s="5">
        <v>1</v>
      </c>
      <c r="N2822" t="s">
        <v>12</v>
      </c>
      <c r="O2822" s="8">
        <v>23.783561643835615</v>
      </c>
      <c r="P2822" t="s">
        <v>33</v>
      </c>
      <c r="Q2822">
        <v>2</v>
      </c>
      <c r="R2822" s="2">
        <v>37378</v>
      </c>
    </row>
    <row r="2823" spans="1:18" x14ac:dyDescent="0.3">
      <c r="A2823" t="s">
        <v>7</v>
      </c>
      <c r="B2823">
        <v>19001137</v>
      </c>
      <c r="C2823" t="s">
        <v>8</v>
      </c>
      <c r="D2823" s="4">
        <v>46059</v>
      </c>
      <c r="E2823" s="11">
        <f t="shared" si="176"/>
        <v>2026</v>
      </c>
      <c r="F2823" s="11">
        <f t="shared" si="177"/>
        <v>2</v>
      </c>
      <c r="G2823" s="11" t="str">
        <f t="shared" si="178"/>
        <v>202602</v>
      </c>
      <c r="I2823" s="5">
        <v>9999</v>
      </c>
      <c r="J2823" s="5">
        <v>333.3</v>
      </c>
      <c r="K2823" s="5">
        <f t="shared" si="179"/>
        <v>0</v>
      </c>
      <c r="L2823" s="5">
        <v>0</v>
      </c>
      <c r="M2823" s="5">
        <v>0</v>
      </c>
      <c r="N2823" t="s">
        <v>12</v>
      </c>
      <c r="O2823" s="8">
        <v>26.975342465753425</v>
      </c>
      <c r="P2823" t="s">
        <v>34</v>
      </c>
      <c r="Q2823">
        <v>3</v>
      </c>
      <c r="R2823" s="2">
        <v>36213</v>
      </c>
    </row>
    <row r="2824" spans="1:18" x14ac:dyDescent="0.3">
      <c r="A2824" t="s">
        <v>7</v>
      </c>
      <c r="B2824">
        <v>19001138</v>
      </c>
      <c r="C2824" t="s">
        <v>10</v>
      </c>
      <c r="D2824" s="4">
        <v>46059</v>
      </c>
      <c r="E2824" s="11">
        <f t="shared" si="176"/>
        <v>2026</v>
      </c>
      <c r="F2824" s="11">
        <f t="shared" si="177"/>
        <v>2</v>
      </c>
      <c r="G2824" s="11" t="str">
        <f t="shared" si="178"/>
        <v>202602</v>
      </c>
      <c r="H2824" s="4">
        <v>46113</v>
      </c>
      <c r="I2824" s="5">
        <v>54</v>
      </c>
      <c r="J2824" s="5">
        <v>1.8</v>
      </c>
      <c r="K2824" s="5">
        <f t="shared" si="179"/>
        <v>0</v>
      </c>
      <c r="L2824" s="5">
        <v>1</v>
      </c>
      <c r="M2824" s="5">
        <v>1</v>
      </c>
      <c r="N2824" t="s">
        <v>12</v>
      </c>
      <c r="O2824" s="8">
        <v>23.06027397260274</v>
      </c>
      <c r="P2824" t="s">
        <v>33</v>
      </c>
      <c r="Q2824">
        <v>2</v>
      </c>
      <c r="R2824" s="2">
        <v>37642</v>
      </c>
    </row>
    <row r="2825" spans="1:18" x14ac:dyDescent="0.3">
      <c r="A2825" t="s">
        <v>7</v>
      </c>
      <c r="B2825">
        <v>19001157</v>
      </c>
      <c r="C2825" t="s">
        <v>8</v>
      </c>
      <c r="D2825" s="4">
        <v>46059</v>
      </c>
      <c r="E2825" s="11">
        <f t="shared" si="176"/>
        <v>2026</v>
      </c>
      <c r="F2825" s="11">
        <f t="shared" si="177"/>
        <v>2</v>
      </c>
      <c r="G2825" s="11" t="str">
        <f t="shared" si="178"/>
        <v>202602</v>
      </c>
      <c r="I2825" s="5">
        <v>9999</v>
      </c>
      <c r="J2825" s="5">
        <v>333.3</v>
      </c>
      <c r="K2825" s="5">
        <f t="shared" si="179"/>
        <v>0</v>
      </c>
      <c r="L2825" s="5">
        <v>0</v>
      </c>
      <c r="M2825" s="5">
        <v>0</v>
      </c>
      <c r="N2825" t="s">
        <v>12</v>
      </c>
      <c r="O2825" s="8">
        <v>20.290410958904111</v>
      </c>
      <c r="P2825" t="s">
        <v>32</v>
      </c>
      <c r="Q2825">
        <v>1</v>
      </c>
      <c r="R2825" s="2">
        <v>38653</v>
      </c>
    </row>
    <row r="2826" spans="1:18" x14ac:dyDescent="0.3">
      <c r="A2826" t="s">
        <v>7</v>
      </c>
      <c r="B2826">
        <v>19001160</v>
      </c>
      <c r="C2826" t="s">
        <v>8</v>
      </c>
      <c r="D2826" s="4">
        <v>46059</v>
      </c>
      <c r="E2826" s="11">
        <f t="shared" si="176"/>
        <v>2026</v>
      </c>
      <c r="F2826" s="11">
        <f t="shared" si="177"/>
        <v>2</v>
      </c>
      <c r="G2826" s="11" t="str">
        <f t="shared" si="178"/>
        <v>202602</v>
      </c>
      <c r="I2826" s="5">
        <v>9999</v>
      </c>
      <c r="J2826" s="5">
        <v>333.3</v>
      </c>
      <c r="K2826" s="5">
        <f t="shared" si="179"/>
        <v>0</v>
      </c>
      <c r="L2826" s="5">
        <v>0</v>
      </c>
      <c r="M2826" s="5">
        <v>0</v>
      </c>
      <c r="N2826" t="s">
        <v>9</v>
      </c>
      <c r="O2826" s="8">
        <v>21.394520547945206</v>
      </c>
      <c r="P2826" t="s">
        <v>33</v>
      </c>
      <c r="Q2826">
        <v>2</v>
      </c>
      <c r="R2826" s="2">
        <v>38250</v>
      </c>
    </row>
    <row r="2827" spans="1:18" x14ac:dyDescent="0.3">
      <c r="A2827" t="s">
        <v>7</v>
      </c>
      <c r="B2827">
        <v>19001161</v>
      </c>
      <c r="C2827" t="s">
        <v>8</v>
      </c>
      <c r="D2827" s="4">
        <v>46059</v>
      </c>
      <c r="E2827" s="11">
        <f t="shared" si="176"/>
        <v>2026</v>
      </c>
      <c r="F2827" s="11">
        <f t="shared" si="177"/>
        <v>2</v>
      </c>
      <c r="G2827" s="11" t="str">
        <f t="shared" si="178"/>
        <v>202602</v>
      </c>
      <c r="I2827" s="5">
        <v>9999</v>
      </c>
      <c r="J2827" s="5">
        <v>333.3</v>
      </c>
      <c r="K2827" s="5">
        <f t="shared" si="179"/>
        <v>0</v>
      </c>
      <c r="L2827" s="5">
        <v>0</v>
      </c>
      <c r="M2827" s="5">
        <v>0</v>
      </c>
      <c r="N2827" t="s">
        <v>9</v>
      </c>
      <c r="O2827" s="8">
        <v>20.408219178082192</v>
      </c>
      <c r="P2827" t="s">
        <v>32</v>
      </c>
      <c r="Q2827">
        <v>1</v>
      </c>
      <c r="R2827" s="2">
        <v>38610</v>
      </c>
    </row>
    <row r="2828" spans="1:18" x14ac:dyDescent="0.3">
      <c r="A2828" t="s">
        <v>7</v>
      </c>
      <c r="B2828">
        <v>19001164</v>
      </c>
      <c r="C2828" t="s">
        <v>8</v>
      </c>
      <c r="D2828" s="4">
        <v>46059</v>
      </c>
      <c r="E2828" s="11">
        <f t="shared" si="176"/>
        <v>2026</v>
      </c>
      <c r="F2828" s="11">
        <f t="shared" si="177"/>
        <v>2</v>
      </c>
      <c r="G2828" s="11" t="str">
        <f t="shared" si="178"/>
        <v>202602</v>
      </c>
      <c r="I2828" s="5">
        <v>9999</v>
      </c>
      <c r="J2828" s="5">
        <v>333.3</v>
      </c>
      <c r="K2828" s="5">
        <f t="shared" si="179"/>
        <v>0</v>
      </c>
      <c r="L2828" s="5">
        <v>0</v>
      </c>
      <c r="M2828" s="5">
        <v>0</v>
      </c>
      <c r="N2828" t="s">
        <v>9</v>
      </c>
      <c r="O2828" s="8">
        <v>23.523287671232875</v>
      </c>
      <c r="P2828" t="s">
        <v>33</v>
      </c>
      <c r="Q2828">
        <v>2</v>
      </c>
      <c r="R2828" s="2">
        <v>37473</v>
      </c>
    </row>
    <row r="2829" spans="1:18" x14ac:dyDescent="0.3">
      <c r="A2829" t="s">
        <v>7</v>
      </c>
      <c r="B2829">
        <v>19001218</v>
      </c>
      <c r="C2829" t="s">
        <v>8</v>
      </c>
      <c r="D2829" s="4">
        <v>46059</v>
      </c>
      <c r="E2829" s="11">
        <f t="shared" si="176"/>
        <v>2026</v>
      </c>
      <c r="F2829" s="11">
        <f t="shared" si="177"/>
        <v>2</v>
      </c>
      <c r="G2829" s="11" t="str">
        <f t="shared" si="178"/>
        <v>202602</v>
      </c>
      <c r="I2829" s="5">
        <v>9999</v>
      </c>
      <c r="J2829" s="5">
        <v>333.3</v>
      </c>
      <c r="K2829" s="5">
        <f t="shared" si="179"/>
        <v>0</v>
      </c>
      <c r="L2829" s="5">
        <v>0</v>
      </c>
      <c r="M2829" s="5">
        <v>0</v>
      </c>
      <c r="N2829" t="s">
        <v>12</v>
      </c>
      <c r="O2829" s="8">
        <v>21.454794520547946</v>
      </c>
      <c r="P2829" t="s">
        <v>33</v>
      </c>
      <c r="Q2829">
        <v>2</v>
      </c>
      <c r="R2829" s="2">
        <v>38228</v>
      </c>
    </row>
    <row r="2830" spans="1:18" x14ac:dyDescent="0.3">
      <c r="A2830" t="s">
        <v>7</v>
      </c>
      <c r="B2830">
        <v>19001222</v>
      </c>
      <c r="C2830" t="s">
        <v>10</v>
      </c>
      <c r="D2830" s="4">
        <v>46059</v>
      </c>
      <c r="E2830" s="11">
        <f t="shared" si="176"/>
        <v>2026</v>
      </c>
      <c r="F2830" s="11">
        <f t="shared" si="177"/>
        <v>2</v>
      </c>
      <c r="G2830" s="11" t="str">
        <f t="shared" si="178"/>
        <v>202602</v>
      </c>
      <c r="H2830" s="4">
        <v>46091</v>
      </c>
      <c r="I2830" s="5">
        <v>32</v>
      </c>
      <c r="J2830" s="5">
        <v>1.0666666666666667</v>
      </c>
      <c r="K2830" s="5">
        <f t="shared" si="179"/>
        <v>0</v>
      </c>
      <c r="L2830" s="5">
        <v>1</v>
      </c>
      <c r="M2830" s="5">
        <v>1</v>
      </c>
      <c r="N2830" t="s">
        <v>12</v>
      </c>
      <c r="O2830" s="8">
        <v>19.953424657534246</v>
      </c>
      <c r="P2830" t="s">
        <v>32</v>
      </c>
      <c r="Q2830">
        <v>1</v>
      </c>
      <c r="R2830" s="2">
        <v>38776</v>
      </c>
    </row>
    <row r="2831" spans="1:18" x14ac:dyDescent="0.3">
      <c r="A2831" t="s">
        <v>7</v>
      </c>
      <c r="B2831">
        <v>19001331</v>
      </c>
      <c r="C2831" t="s">
        <v>8</v>
      </c>
      <c r="D2831" s="4">
        <v>46059</v>
      </c>
      <c r="E2831" s="11">
        <f t="shared" si="176"/>
        <v>2026</v>
      </c>
      <c r="F2831" s="11">
        <f t="shared" si="177"/>
        <v>2</v>
      </c>
      <c r="G2831" s="11" t="str">
        <f t="shared" si="178"/>
        <v>202602</v>
      </c>
      <c r="I2831" s="5">
        <v>9999</v>
      </c>
      <c r="J2831" s="5">
        <v>333.3</v>
      </c>
      <c r="K2831" s="5">
        <f t="shared" si="179"/>
        <v>0</v>
      </c>
      <c r="L2831" s="5">
        <v>0</v>
      </c>
      <c r="M2831" s="5">
        <v>0</v>
      </c>
      <c r="N2831" t="s">
        <v>12</v>
      </c>
      <c r="O2831" s="8">
        <v>20.764383561643836</v>
      </c>
      <c r="P2831" t="s">
        <v>32</v>
      </c>
      <c r="Q2831">
        <v>1</v>
      </c>
      <c r="R2831" s="2">
        <v>38480</v>
      </c>
    </row>
    <row r="2832" spans="1:18" x14ac:dyDescent="0.3">
      <c r="A2832" t="s">
        <v>7</v>
      </c>
      <c r="B2832">
        <v>19001519</v>
      </c>
      <c r="C2832" t="s">
        <v>10</v>
      </c>
      <c r="D2832" s="4">
        <v>46062</v>
      </c>
      <c r="E2832" s="11">
        <f t="shared" si="176"/>
        <v>2026</v>
      </c>
      <c r="F2832" s="11">
        <f t="shared" si="177"/>
        <v>2</v>
      </c>
      <c r="G2832" s="11" t="str">
        <f t="shared" si="178"/>
        <v>202602</v>
      </c>
      <c r="H2832" s="4">
        <v>46118</v>
      </c>
      <c r="I2832" s="5">
        <v>56</v>
      </c>
      <c r="J2832" s="5">
        <v>1.8666666666666667</v>
      </c>
      <c r="K2832" s="5">
        <f t="shared" si="179"/>
        <v>0</v>
      </c>
      <c r="L2832" s="5">
        <v>1</v>
      </c>
      <c r="M2832" s="5">
        <v>1</v>
      </c>
      <c r="N2832" t="s">
        <v>12</v>
      </c>
      <c r="O2832" s="8">
        <v>18.468493150684932</v>
      </c>
      <c r="P2832" t="s">
        <v>32</v>
      </c>
      <c r="Q2832">
        <v>1</v>
      </c>
      <c r="R2832" s="2">
        <v>39321</v>
      </c>
    </row>
    <row r="2833" spans="1:18" x14ac:dyDescent="0.3">
      <c r="A2833" t="s">
        <v>7</v>
      </c>
      <c r="B2833">
        <v>19001895</v>
      </c>
      <c r="C2833" t="s">
        <v>10</v>
      </c>
      <c r="D2833" s="4">
        <v>46063</v>
      </c>
      <c r="E2833" s="11">
        <f t="shared" si="176"/>
        <v>2026</v>
      </c>
      <c r="F2833" s="11">
        <f t="shared" si="177"/>
        <v>2</v>
      </c>
      <c r="G2833" s="11" t="str">
        <f t="shared" si="178"/>
        <v>202602</v>
      </c>
      <c r="H2833" s="4">
        <v>46112</v>
      </c>
      <c r="I2833" s="5">
        <v>49</v>
      </c>
      <c r="J2833" s="5">
        <v>1.6333333333333333</v>
      </c>
      <c r="K2833" s="5">
        <f t="shared" si="179"/>
        <v>0</v>
      </c>
      <c r="L2833" s="5">
        <v>1</v>
      </c>
      <c r="M2833" s="5">
        <v>1</v>
      </c>
      <c r="N2833" t="s">
        <v>9</v>
      </c>
      <c r="O2833" s="8">
        <v>18.12876712328767</v>
      </c>
      <c r="P2833" t="s">
        <v>32</v>
      </c>
      <c r="Q2833">
        <v>1</v>
      </c>
      <c r="R2833" s="2">
        <v>39446</v>
      </c>
    </row>
    <row r="2834" spans="1:18" x14ac:dyDescent="0.3">
      <c r="A2834" t="s">
        <v>7</v>
      </c>
      <c r="B2834">
        <v>19001931</v>
      </c>
      <c r="C2834" t="s">
        <v>10</v>
      </c>
      <c r="D2834" s="4">
        <v>46063</v>
      </c>
      <c r="E2834" s="11">
        <f t="shared" si="176"/>
        <v>2026</v>
      </c>
      <c r="F2834" s="11">
        <f t="shared" si="177"/>
        <v>2</v>
      </c>
      <c r="G2834" s="11" t="str">
        <f t="shared" si="178"/>
        <v>202602</v>
      </c>
      <c r="H2834" s="4">
        <v>46112</v>
      </c>
      <c r="I2834" s="5">
        <v>49</v>
      </c>
      <c r="J2834" s="5">
        <v>1.6333333333333333</v>
      </c>
      <c r="K2834" s="5">
        <f t="shared" si="179"/>
        <v>0</v>
      </c>
      <c r="L2834" s="5">
        <v>1</v>
      </c>
      <c r="M2834" s="5">
        <v>1</v>
      </c>
      <c r="N2834" t="s">
        <v>9</v>
      </c>
      <c r="O2834" s="8">
        <v>18.87945205479452</v>
      </c>
      <c r="P2834" t="s">
        <v>32</v>
      </c>
      <c r="Q2834">
        <v>1</v>
      </c>
      <c r="R2834" s="2">
        <v>39172</v>
      </c>
    </row>
    <row r="2835" spans="1:18" x14ac:dyDescent="0.3">
      <c r="A2835" t="s">
        <v>7</v>
      </c>
      <c r="B2835">
        <v>19001940</v>
      </c>
      <c r="C2835" t="s">
        <v>8</v>
      </c>
      <c r="D2835" s="4">
        <v>46063</v>
      </c>
      <c r="E2835" s="11">
        <f t="shared" si="176"/>
        <v>2026</v>
      </c>
      <c r="F2835" s="11">
        <f t="shared" si="177"/>
        <v>2</v>
      </c>
      <c r="G2835" s="11" t="str">
        <f t="shared" si="178"/>
        <v>202602</v>
      </c>
      <c r="H2835" s="4">
        <v>46091</v>
      </c>
      <c r="I2835" s="5">
        <v>28</v>
      </c>
      <c r="J2835" s="5">
        <v>0.93333333333333335</v>
      </c>
      <c r="K2835" s="5">
        <f t="shared" si="179"/>
        <v>1</v>
      </c>
      <c r="L2835" s="5">
        <v>1</v>
      </c>
      <c r="M2835" s="5">
        <v>1</v>
      </c>
      <c r="N2835" t="s">
        <v>9</v>
      </c>
      <c r="O2835" s="8">
        <v>27.547945205479451</v>
      </c>
      <c r="P2835" t="s">
        <v>34</v>
      </c>
      <c r="Q2835">
        <v>3</v>
      </c>
      <c r="R2835" s="2">
        <v>36008</v>
      </c>
    </row>
    <row r="2836" spans="1:18" x14ac:dyDescent="0.3">
      <c r="A2836" t="s">
        <v>11</v>
      </c>
      <c r="B2836">
        <v>19001947</v>
      </c>
      <c r="C2836" t="s">
        <v>8</v>
      </c>
      <c r="D2836" s="4">
        <v>46063</v>
      </c>
      <c r="E2836" s="11">
        <f t="shared" si="176"/>
        <v>2026</v>
      </c>
      <c r="F2836" s="11">
        <f t="shared" si="177"/>
        <v>2</v>
      </c>
      <c r="G2836" s="11" t="str">
        <f t="shared" si="178"/>
        <v>202602</v>
      </c>
      <c r="I2836" s="5">
        <v>9999</v>
      </c>
      <c r="J2836" s="5">
        <v>333.3</v>
      </c>
      <c r="K2836" s="5">
        <f t="shared" si="179"/>
        <v>0</v>
      </c>
      <c r="L2836" s="5">
        <v>0</v>
      </c>
      <c r="M2836" s="5">
        <v>0</v>
      </c>
      <c r="N2836" t="s">
        <v>9</v>
      </c>
      <c r="O2836" s="8">
        <v>23.476712328767125</v>
      </c>
      <c r="P2836" t="s">
        <v>33</v>
      </c>
      <c r="Q2836">
        <v>2</v>
      </c>
      <c r="R2836" s="2">
        <v>37494</v>
      </c>
    </row>
    <row r="2837" spans="1:18" x14ac:dyDescent="0.3">
      <c r="A2837" t="s">
        <v>7</v>
      </c>
      <c r="B2837">
        <v>19001965</v>
      </c>
      <c r="C2837" t="s">
        <v>8</v>
      </c>
      <c r="D2837" s="4">
        <v>46063</v>
      </c>
      <c r="E2837" s="11">
        <f t="shared" si="176"/>
        <v>2026</v>
      </c>
      <c r="F2837" s="11">
        <f t="shared" si="177"/>
        <v>2</v>
      </c>
      <c r="G2837" s="11" t="str">
        <f t="shared" si="178"/>
        <v>202602</v>
      </c>
      <c r="H2837" s="4">
        <v>46155</v>
      </c>
      <c r="I2837" s="5">
        <v>92</v>
      </c>
      <c r="J2837" s="5">
        <v>3.0666666666666669</v>
      </c>
      <c r="K2837" s="5">
        <f t="shared" si="179"/>
        <v>0</v>
      </c>
      <c r="L2837" s="5">
        <v>0</v>
      </c>
      <c r="M2837" s="5">
        <v>1</v>
      </c>
      <c r="N2837" t="s">
        <v>9</v>
      </c>
      <c r="O2837" s="8">
        <v>45.9972602739726</v>
      </c>
      <c r="P2837" t="s">
        <v>35</v>
      </c>
      <c r="Q2837">
        <v>4</v>
      </c>
      <c r="R2837" s="2">
        <v>29274</v>
      </c>
    </row>
    <row r="2838" spans="1:18" x14ac:dyDescent="0.3">
      <c r="A2838" t="s">
        <v>7</v>
      </c>
      <c r="B2838">
        <v>19002056</v>
      </c>
      <c r="C2838" t="s">
        <v>10</v>
      </c>
      <c r="D2838" s="4">
        <v>46063</v>
      </c>
      <c r="E2838" s="11">
        <f t="shared" si="176"/>
        <v>2026</v>
      </c>
      <c r="F2838" s="11">
        <f t="shared" si="177"/>
        <v>2</v>
      </c>
      <c r="G2838" s="11" t="str">
        <f t="shared" si="178"/>
        <v>202602</v>
      </c>
      <c r="H2838" s="4">
        <v>46081</v>
      </c>
      <c r="I2838" s="5">
        <v>18</v>
      </c>
      <c r="J2838" s="5">
        <v>0.6</v>
      </c>
      <c r="K2838" s="5">
        <f t="shared" si="179"/>
        <v>1</v>
      </c>
      <c r="L2838" s="5">
        <v>1</v>
      </c>
      <c r="M2838" s="5">
        <v>1</v>
      </c>
      <c r="N2838" t="s">
        <v>9</v>
      </c>
      <c r="O2838" s="8">
        <v>21.468493150684932</v>
      </c>
      <c r="P2838" t="s">
        <v>33</v>
      </c>
      <c r="Q2838">
        <v>2</v>
      </c>
      <c r="R2838" s="2">
        <v>38227</v>
      </c>
    </row>
    <row r="2839" spans="1:18" x14ac:dyDescent="0.3">
      <c r="A2839" t="s">
        <v>7</v>
      </c>
      <c r="B2839">
        <v>19002063</v>
      </c>
      <c r="C2839" t="s">
        <v>8</v>
      </c>
      <c r="D2839" s="4">
        <v>46063</v>
      </c>
      <c r="E2839" s="11">
        <f t="shared" si="176"/>
        <v>2026</v>
      </c>
      <c r="F2839" s="11">
        <f t="shared" si="177"/>
        <v>2</v>
      </c>
      <c r="G2839" s="11" t="str">
        <f t="shared" si="178"/>
        <v>202602</v>
      </c>
      <c r="H2839" s="4">
        <v>46081</v>
      </c>
      <c r="I2839" s="5">
        <v>18</v>
      </c>
      <c r="J2839" s="5">
        <v>0.6</v>
      </c>
      <c r="K2839" s="5">
        <f t="shared" si="179"/>
        <v>1</v>
      </c>
      <c r="L2839" s="5">
        <v>1</v>
      </c>
      <c r="M2839" s="5">
        <v>1</v>
      </c>
      <c r="N2839" t="s">
        <v>9</v>
      </c>
      <c r="O2839" s="8">
        <v>20.391780821917809</v>
      </c>
      <c r="P2839" t="s">
        <v>32</v>
      </c>
      <c r="Q2839">
        <v>1</v>
      </c>
      <c r="R2839" s="2">
        <v>38620</v>
      </c>
    </row>
    <row r="2840" spans="1:18" x14ac:dyDescent="0.3">
      <c r="A2840" t="s">
        <v>11</v>
      </c>
      <c r="B2840">
        <v>19002067</v>
      </c>
      <c r="C2840" t="s">
        <v>8</v>
      </c>
      <c r="D2840" s="4">
        <v>46063</v>
      </c>
      <c r="E2840" s="11">
        <f t="shared" si="176"/>
        <v>2026</v>
      </c>
      <c r="F2840" s="11">
        <f t="shared" si="177"/>
        <v>2</v>
      </c>
      <c r="G2840" s="11" t="str">
        <f t="shared" si="178"/>
        <v>202602</v>
      </c>
      <c r="H2840" s="4">
        <v>46089</v>
      </c>
      <c r="I2840" s="5">
        <v>26</v>
      </c>
      <c r="J2840" s="5">
        <v>0.8666666666666667</v>
      </c>
      <c r="K2840" s="5">
        <f t="shared" si="179"/>
        <v>1</v>
      </c>
      <c r="L2840" s="5">
        <v>1</v>
      </c>
      <c r="M2840" s="5">
        <v>1</v>
      </c>
      <c r="N2840" t="s">
        <v>9</v>
      </c>
      <c r="O2840" s="8">
        <v>34.520547945205479</v>
      </c>
      <c r="P2840" t="s">
        <v>35</v>
      </c>
      <c r="Q2840">
        <v>4</v>
      </c>
      <c r="R2840" s="2">
        <v>33463</v>
      </c>
    </row>
    <row r="2841" spans="1:18" x14ac:dyDescent="0.3">
      <c r="A2841" t="s">
        <v>7</v>
      </c>
      <c r="B2841">
        <v>19002265</v>
      </c>
      <c r="C2841" t="s">
        <v>8</v>
      </c>
      <c r="D2841" s="4">
        <v>46064</v>
      </c>
      <c r="E2841" s="11">
        <f t="shared" si="176"/>
        <v>2026</v>
      </c>
      <c r="F2841" s="11">
        <f t="shared" si="177"/>
        <v>2</v>
      </c>
      <c r="G2841" s="11" t="str">
        <f t="shared" si="178"/>
        <v>202602</v>
      </c>
      <c r="H2841" s="4">
        <v>46095</v>
      </c>
      <c r="I2841" s="5">
        <v>31</v>
      </c>
      <c r="J2841" s="5">
        <v>1.0333333333333334</v>
      </c>
      <c r="K2841" s="5">
        <f t="shared" si="179"/>
        <v>0</v>
      </c>
      <c r="L2841" s="5">
        <v>1</v>
      </c>
      <c r="M2841" s="5">
        <v>1</v>
      </c>
      <c r="N2841" t="s">
        <v>9</v>
      </c>
      <c r="O2841" s="8">
        <v>18.717808219178082</v>
      </c>
      <c r="P2841" t="s">
        <v>32</v>
      </c>
      <c r="Q2841">
        <v>1</v>
      </c>
      <c r="R2841" s="2">
        <v>39232</v>
      </c>
    </row>
    <row r="2842" spans="1:18" x14ac:dyDescent="0.3">
      <c r="A2842" t="s">
        <v>7</v>
      </c>
      <c r="B2842">
        <v>19002277</v>
      </c>
      <c r="C2842" t="s">
        <v>8</v>
      </c>
      <c r="D2842" s="4">
        <v>46064</v>
      </c>
      <c r="E2842" s="11">
        <f t="shared" si="176"/>
        <v>2026</v>
      </c>
      <c r="F2842" s="11">
        <f t="shared" si="177"/>
        <v>2</v>
      </c>
      <c r="G2842" s="11" t="str">
        <f t="shared" si="178"/>
        <v>202602</v>
      </c>
      <c r="I2842" s="5">
        <v>9999</v>
      </c>
      <c r="J2842" s="5">
        <v>333.3</v>
      </c>
      <c r="K2842" s="5">
        <f t="shared" si="179"/>
        <v>0</v>
      </c>
      <c r="L2842" s="5">
        <v>0</v>
      </c>
      <c r="M2842" s="5">
        <v>0</v>
      </c>
      <c r="N2842" t="s">
        <v>9</v>
      </c>
      <c r="O2842" s="8">
        <v>19.709589041095889</v>
      </c>
      <c r="P2842" t="s">
        <v>32</v>
      </c>
      <c r="Q2842">
        <v>1</v>
      </c>
      <c r="R2842" s="2">
        <v>38870</v>
      </c>
    </row>
    <row r="2843" spans="1:18" x14ac:dyDescent="0.3">
      <c r="A2843" t="s">
        <v>7</v>
      </c>
      <c r="B2843">
        <v>19002805</v>
      </c>
      <c r="C2843" t="s">
        <v>8</v>
      </c>
      <c r="D2843" s="4">
        <v>46066</v>
      </c>
      <c r="E2843" s="11">
        <f t="shared" si="176"/>
        <v>2026</v>
      </c>
      <c r="F2843" s="11">
        <f t="shared" si="177"/>
        <v>2</v>
      </c>
      <c r="G2843" s="11" t="str">
        <f t="shared" si="178"/>
        <v>202602</v>
      </c>
      <c r="I2843" s="5">
        <v>9999</v>
      </c>
      <c r="J2843" s="5">
        <v>333.3</v>
      </c>
      <c r="K2843" s="5">
        <f t="shared" si="179"/>
        <v>0</v>
      </c>
      <c r="L2843" s="5">
        <v>0</v>
      </c>
      <c r="M2843" s="5">
        <v>0</v>
      </c>
      <c r="N2843" t="s">
        <v>9</v>
      </c>
      <c r="O2843" s="8">
        <v>32.580821917808223</v>
      </c>
      <c r="P2843" t="s">
        <v>35</v>
      </c>
      <c r="Q2843">
        <v>4</v>
      </c>
      <c r="R2843" s="2">
        <v>34174</v>
      </c>
    </row>
    <row r="2844" spans="1:18" x14ac:dyDescent="0.3">
      <c r="A2844" t="s">
        <v>7</v>
      </c>
      <c r="B2844">
        <v>19002817</v>
      </c>
      <c r="C2844" t="s">
        <v>8</v>
      </c>
      <c r="D2844" s="4">
        <v>46066</v>
      </c>
      <c r="E2844" s="11">
        <f t="shared" si="176"/>
        <v>2026</v>
      </c>
      <c r="F2844" s="11">
        <f t="shared" si="177"/>
        <v>2</v>
      </c>
      <c r="G2844" s="11" t="str">
        <f t="shared" si="178"/>
        <v>202602</v>
      </c>
      <c r="H2844" s="4">
        <v>46112</v>
      </c>
      <c r="I2844" s="5">
        <v>46</v>
      </c>
      <c r="J2844" s="5">
        <v>1.5333333333333334</v>
      </c>
      <c r="K2844" s="5">
        <f t="shared" si="179"/>
        <v>0</v>
      </c>
      <c r="L2844" s="5">
        <v>1</v>
      </c>
      <c r="M2844" s="5">
        <v>1</v>
      </c>
      <c r="N2844" t="s">
        <v>9</v>
      </c>
      <c r="O2844" s="8">
        <v>20.323287671232876</v>
      </c>
      <c r="P2844" t="s">
        <v>32</v>
      </c>
      <c r="Q2844">
        <v>1</v>
      </c>
      <c r="R2844" s="2">
        <v>38648</v>
      </c>
    </row>
    <row r="2845" spans="1:18" x14ac:dyDescent="0.3">
      <c r="A2845" t="s">
        <v>7</v>
      </c>
      <c r="B2845">
        <v>19002858</v>
      </c>
      <c r="C2845" t="s">
        <v>8</v>
      </c>
      <c r="D2845" s="4">
        <v>46066</v>
      </c>
      <c r="E2845" s="11">
        <f t="shared" si="176"/>
        <v>2026</v>
      </c>
      <c r="F2845" s="11">
        <f t="shared" si="177"/>
        <v>2</v>
      </c>
      <c r="G2845" s="11" t="str">
        <f t="shared" si="178"/>
        <v>202602</v>
      </c>
      <c r="I2845" s="5">
        <v>9999</v>
      </c>
      <c r="J2845" s="5">
        <v>333.3</v>
      </c>
      <c r="K2845" s="5">
        <f t="shared" si="179"/>
        <v>0</v>
      </c>
      <c r="L2845" s="5">
        <v>0</v>
      </c>
      <c r="M2845" s="5">
        <v>0</v>
      </c>
      <c r="N2845" t="s">
        <v>9</v>
      </c>
      <c r="O2845" s="8">
        <v>21.030136986301368</v>
      </c>
      <c r="P2845" t="s">
        <v>33</v>
      </c>
      <c r="Q2845">
        <v>2</v>
      </c>
      <c r="R2845" s="2">
        <v>38390</v>
      </c>
    </row>
    <row r="2846" spans="1:18" x14ac:dyDescent="0.3">
      <c r="A2846" t="s">
        <v>7</v>
      </c>
      <c r="B2846">
        <v>19002928</v>
      </c>
      <c r="C2846" t="s">
        <v>10</v>
      </c>
      <c r="D2846" s="4">
        <v>46066</v>
      </c>
      <c r="E2846" s="11">
        <f t="shared" si="176"/>
        <v>2026</v>
      </c>
      <c r="F2846" s="11">
        <f t="shared" si="177"/>
        <v>2</v>
      </c>
      <c r="G2846" s="11" t="str">
        <f t="shared" si="178"/>
        <v>202602</v>
      </c>
      <c r="I2846" s="5">
        <v>9999</v>
      </c>
      <c r="J2846" s="5">
        <v>333.3</v>
      </c>
      <c r="K2846" s="5">
        <f t="shared" si="179"/>
        <v>0</v>
      </c>
      <c r="L2846" s="5">
        <v>0</v>
      </c>
      <c r="M2846" s="5">
        <v>0</v>
      </c>
      <c r="N2846" t="s">
        <v>12</v>
      </c>
      <c r="O2846" s="8">
        <v>21.243835616438357</v>
      </c>
      <c r="P2846" t="s">
        <v>33</v>
      </c>
      <c r="Q2846">
        <v>2</v>
      </c>
      <c r="R2846" s="2">
        <v>38312</v>
      </c>
    </row>
    <row r="2847" spans="1:18" x14ac:dyDescent="0.3">
      <c r="A2847" t="s">
        <v>7</v>
      </c>
      <c r="B2847">
        <v>19002997</v>
      </c>
      <c r="C2847" t="s">
        <v>8</v>
      </c>
      <c r="D2847" s="4">
        <v>46066</v>
      </c>
      <c r="E2847" s="11">
        <f t="shared" si="176"/>
        <v>2026</v>
      </c>
      <c r="F2847" s="11">
        <f t="shared" si="177"/>
        <v>2</v>
      </c>
      <c r="G2847" s="11" t="str">
        <f t="shared" si="178"/>
        <v>202602</v>
      </c>
      <c r="H2847" s="4">
        <v>46127</v>
      </c>
      <c r="I2847" s="5">
        <v>61</v>
      </c>
      <c r="J2847" s="5">
        <v>2.0333333333333332</v>
      </c>
      <c r="K2847" s="5">
        <f t="shared" si="179"/>
        <v>0</v>
      </c>
      <c r="L2847" s="5">
        <v>1</v>
      </c>
      <c r="M2847" s="5">
        <v>1</v>
      </c>
      <c r="N2847" t="s">
        <v>9</v>
      </c>
      <c r="O2847" s="8">
        <v>23.043835616438358</v>
      </c>
      <c r="P2847" t="s">
        <v>33</v>
      </c>
      <c r="Q2847">
        <v>2</v>
      </c>
      <c r="R2847" s="2">
        <v>37655</v>
      </c>
    </row>
    <row r="2848" spans="1:18" x14ac:dyDescent="0.3">
      <c r="A2848" t="s">
        <v>7</v>
      </c>
      <c r="B2848">
        <v>19003053</v>
      </c>
      <c r="C2848" t="s">
        <v>10</v>
      </c>
      <c r="D2848" s="4">
        <v>46066</v>
      </c>
      <c r="E2848" s="11">
        <f t="shared" si="176"/>
        <v>2026</v>
      </c>
      <c r="F2848" s="11">
        <f t="shared" si="177"/>
        <v>2</v>
      </c>
      <c r="G2848" s="11" t="str">
        <f t="shared" si="178"/>
        <v>202602</v>
      </c>
      <c r="H2848" s="4">
        <v>46142</v>
      </c>
      <c r="I2848" s="5">
        <v>76</v>
      </c>
      <c r="J2848" s="5">
        <v>2.5333333333333332</v>
      </c>
      <c r="K2848" s="5">
        <f t="shared" si="179"/>
        <v>0</v>
      </c>
      <c r="L2848" s="5">
        <v>1</v>
      </c>
      <c r="M2848" s="5">
        <v>1</v>
      </c>
      <c r="N2848" t="s">
        <v>9</v>
      </c>
      <c r="O2848" s="8">
        <v>18.786301369863015</v>
      </c>
      <c r="P2848" t="s">
        <v>32</v>
      </c>
      <c r="Q2848">
        <v>1</v>
      </c>
      <c r="R2848" s="2">
        <v>39209</v>
      </c>
    </row>
    <row r="2849" spans="1:18" x14ac:dyDescent="0.3">
      <c r="A2849" t="s">
        <v>7</v>
      </c>
      <c r="B2849">
        <v>19003054</v>
      </c>
      <c r="C2849" t="s">
        <v>8</v>
      </c>
      <c r="D2849" s="4">
        <v>46066</v>
      </c>
      <c r="E2849" s="11">
        <f t="shared" si="176"/>
        <v>2026</v>
      </c>
      <c r="F2849" s="11">
        <f t="shared" si="177"/>
        <v>2</v>
      </c>
      <c r="G2849" s="11" t="str">
        <f t="shared" si="178"/>
        <v>202602</v>
      </c>
      <c r="H2849" s="4">
        <v>46112</v>
      </c>
      <c r="I2849" s="5">
        <v>46</v>
      </c>
      <c r="J2849" s="5">
        <v>1.5333333333333334</v>
      </c>
      <c r="K2849" s="5">
        <f t="shared" si="179"/>
        <v>0</v>
      </c>
      <c r="L2849" s="5">
        <v>1</v>
      </c>
      <c r="M2849" s="5">
        <v>1</v>
      </c>
      <c r="N2849" t="s">
        <v>9</v>
      </c>
      <c r="O2849" s="8">
        <v>20.736986301369864</v>
      </c>
      <c r="P2849" t="s">
        <v>32</v>
      </c>
      <c r="Q2849">
        <v>1</v>
      </c>
      <c r="R2849" s="2">
        <v>38497</v>
      </c>
    </row>
    <row r="2850" spans="1:18" x14ac:dyDescent="0.3">
      <c r="A2850" t="s">
        <v>7</v>
      </c>
      <c r="B2850">
        <v>19003056</v>
      </c>
      <c r="C2850" t="s">
        <v>8</v>
      </c>
      <c r="D2850" s="4">
        <v>46066</v>
      </c>
      <c r="E2850" s="11">
        <f t="shared" si="176"/>
        <v>2026</v>
      </c>
      <c r="F2850" s="11">
        <f t="shared" si="177"/>
        <v>2</v>
      </c>
      <c r="G2850" s="11" t="str">
        <f t="shared" si="178"/>
        <v>202602</v>
      </c>
      <c r="I2850" s="5">
        <v>9999</v>
      </c>
      <c r="J2850" s="5">
        <v>333.3</v>
      </c>
      <c r="K2850" s="5">
        <f t="shared" si="179"/>
        <v>0</v>
      </c>
      <c r="L2850" s="5">
        <v>0</v>
      </c>
      <c r="M2850" s="5">
        <v>0</v>
      </c>
      <c r="N2850" t="s">
        <v>9</v>
      </c>
      <c r="O2850" s="8">
        <v>20.136986301369863</v>
      </c>
      <c r="P2850" t="s">
        <v>32</v>
      </c>
      <c r="Q2850">
        <v>1</v>
      </c>
      <c r="R2850" s="2">
        <v>38716</v>
      </c>
    </row>
    <row r="2851" spans="1:18" x14ac:dyDescent="0.3">
      <c r="A2851" t="s">
        <v>7</v>
      </c>
      <c r="B2851">
        <v>19003063</v>
      </c>
      <c r="C2851" t="s">
        <v>8</v>
      </c>
      <c r="D2851" s="4">
        <v>46066</v>
      </c>
      <c r="E2851" s="11">
        <f t="shared" si="176"/>
        <v>2026</v>
      </c>
      <c r="F2851" s="11">
        <f t="shared" si="177"/>
        <v>2</v>
      </c>
      <c r="G2851" s="11" t="str">
        <f t="shared" si="178"/>
        <v>202602</v>
      </c>
      <c r="H2851" s="4">
        <v>46096</v>
      </c>
      <c r="I2851" s="5">
        <v>30</v>
      </c>
      <c r="J2851" s="5">
        <v>1</v>
      </c>
      <c r="K2851" s="5">
        <f t="shared" si="179"/>
        <v>1</v>
      </c>
      <c r="L2851" s="5">
        <v>1</v>
      </c>
      <c r="M2851" s="5">
        <v>1</v>
      </c>
      <c r="N2851" t="s">
        <v>9</v>
      </c>
      <c r="O2851" s="8">
        <v>20.402739726027399</v>
      </c>
      <c r="P2851" t="s">
        <v>32</v>
      </c>
      <c r="Q2851">
        <v>1</v>
      </c>
      <c r="R2851" s="2">
        <v>38619</v>
      </c>
    </row>
    <row r="2852" spans="1:18" x14ac:dyDescent="0.3">
      <c r="A2852" t="s">
        <v>7</v>
      </c>
      <c r="B2852">
        <v>19003101</v>
      </c>
      <c r="C2852" t="s">
        <v>8</v>
      </c>
      <c r="D2852" s="4">
        <v>46066</v>
      </c>
      <c r="E2852" s="11">
        <f t="shared" si="176"/>
        <v>2026</v>
      </c>
      <c r="F2852" s="11">
        <f t="shared" si="177"/>
        <v>2</v>
      </c>
      <c r="G2852" s="11" t="str">
        <f t="shared" si="178"/>
        <v>202602</v>
      </c>
      <c r="H2852" s="4">
        <v>46112</v>
      </c>
      <c r="I2852" s="5">
        <v>46</v>
      </c>
      <c r="J2852" s="5">
        <v>1.5333333333333334</v>
      </c>
      <c r="K2852" s="5">
        <f t="shared" si="179"/>
        <v>0</v>
      </c>
      <c r="L2852" s="5">
        <v>1</v>
      </c>
      <c r="M2852" s="5">
        <v>1</v>
      </c>
      <c r="N2852" t="s">
        <v>9</v>
      </c>
      <c r="O2852" s="8">
        <v>22.602739726027398</v>
      </c>
      <c r="P2852" t="s">
        <v>33</v>
      </c>
      <c r="Q2852">
        <v>2</v>
      </c>
      <c r="R2852" s="2">
        <v>37816</v>
      </c>
    </row>
    <row r="2853" spans="1:18" x14ac:dyDescent="0.3">
      <c r="A2853" t="s">
        <v>7</v>
      </c>
      <c r="B2853">
        <v>19003102</v>
      </c>
      <c r="C2853" t="s">
        <v>10</v>
      </c>
      <c r="D2853" s="4">
        <v>46066</v>
      </c>
      <c r="E2853" s="11">
        <f t="shared" si="176"/>
        <v>2026</v>
      </c>
      <c r="F2853" s="11">
        <f t="shared" si="177"/>
        <v>2</v>
      </c>
      <c r="G2853" s="11" t="str">
        <f t="shared" si="178"/>
        <v>202602</v>
      </c>
      <c r="I2853" s="5">
        <v>9999</v>
      </c>
      <c r="J2853" s="5">
        <v>333.3</v>
      </c>
      <c r="K2853" s="5">
        <f t="shared" si="179"/>
        <v>0</v>
      </c>
      <c r="L2853" s="5">
        <v>0</v>
      </c>
      <c r="M2853" s="5">
        <v>0</v>
      </c>
      <c r="N2853" t="s">
        <v>9</v>
      </c>
      <c r="O2853" s="8">
        <v>19.621917808219177</v>
      </c>
      <c r="P2853" t="s">
        <v>32</v>
      </c>
      <c r="Q2853">
        <v>1</v>
      </c>
      <c r="R2853" s="2">
        <v>38904</v>
      </c>
    </row>
    <row r="2854" spans="1:18" x14ac:dyDescent="0.3">
      <c r="A2854" t="s">
        <v>7</v>
      </c>
      <c r="B2854">
        <v>19003104</v>
      </c>
      <c r="C2854" t="s">
        <v>8</v>
      </c>
      <c r="D2854" s="4">
        <v>46066</v>
      </c>
      <c r="E2854" s="11">
        <f t="shared" si="176"/>
        <v>2026</v>
      </c>
      <c r="F2854" s="11">
        <f t="shared" si="177"/>
        <v>2</v>
      </c>
      <c r="G2854" s="11" t="str">
        <f t="shared" si="178"/>
        <v>202602</v>
      </c>
      <c r="H2854" s="4">
        <v>46146</v>
      </c>
      <c r="I2854" s="5">
        <v>80</v>
      </c>
      <c r="J2854" s="5">
        <v>2.6666666666666665</v>
      </c>
      <c r="K2854" s="5">
        <f t="shared" si="179"/>
        <v>0</v>
      </c>
      <c r="L2854" s="5">
        <v>1</v>
      </c>
      <c r="M2854" s="5">
        <v>1</v>
      </c>
      <c r="N2854" t="s">
        <v>9</v>
      </c>
      <c r="O2854" s="8">
        <v>18.739726027397261</v>
      </c>
      <c r="P2854" t="s">
        <v>32</v>
      </c>
      <c r="Q2854">
        <v>1</v>
      </c>
      <c r="R2854" s="2">
        <v>39226</v>
      </c>
    </row>
    <row r="2855" spans="1:18" x14ac:dyDescent="0.3">
      <c r="A2855" t="s">
        <v>7</v>
      </c>
      <c r="B2855">
        <v>19003138</v>
      </c>
      <c r="C2855" t="s">
        <v>8</v>
      </c>
      <c r="D2855" s="4">
        <v>46066</v>
      </c>
      <c r="E2855" s="11">
        <f t="shared" si="176"/>
        <v>2026</v>
      </c>
      <c r="F2855" s="11">
        <f t="shared" si="177"/>
        <v>2</v>
      </c>
      <c r="G2855" s="11" t="str">
        <f t="shared" si="178"/>
        <v>202602</v>
      </c>
      <c r="I2855" s="5">
        <v>9999</v>
      </c>
      <c r="J2855" s="5">
        <v>333.3</v>
      </c>
      <c r="K2855" s="5">
        <f t="shared" si="179"/>
        <v>0</v>
      </c>
      <c r="L2855" s="5">
        <v>0</v>
      </c>
      <c r="M2855" s="5">
        <v>0</v>
      </c>
      <c r="N2855" t="s">
        <v>12</v>
      </c>
      <c r="O2855" s="8">
        <v>25.161643835616438</v>
      </c>
      <c r="P2855" t="s">
        <v>33</v>
      </c>
      <c r="Q2855">
        <v>2</v>
      </c>
      <c r="R2855" s="2">
        <v>36882</v>
      </c>
    </row>
    <row r="2856" spans="1:18" x14ac:dyDescent="0.3">
      <c r="A2856" t="s">
        <v>7</v>
      </c>
      <c r="B2856">
        <v>19003144</v>
      </c>
      <c r="C2856" t="s">
        <v>8</v>
      </c>
      <c r="D2856" s="4">
        <v>46066</v>
      </c>
      <c r="E2856" s="11">
        <f t="shared" si="176"/>
        <v>2026</v>
      </c>
      <c r="F2856" s="11">
        <f t="shared" si="177"/>
        <v>2</v>
      </c>
      <c r="G2856" s="11" t="str">
        <f t="shared" si="178"/>
        <v>202602</v>
      </c>
      <c r="I2856" s="5">
        <v>9999</v>
      </c>
      <c r="J2856" s="5">
        <v>333.3</v>
      </c>
      <c r="K2856" s="5">
        <f t="shared" si="179"/>
        <v>0</v>
      </c>
      <c r="L2856" s="5">
        <v>0</v>
      </c>
      <c r="M2856" s="5">
        <v>0</v>
      </c>
      <c r="N2856" t="s">
        <v>12</v>
      </c>
      <c r="O2856" s="8">
        <v>23.454794520547946</v>
      </c>
      <c r="P2856" t="s">
        <v>33</v>
      </c>
      <c r="Q2856">
        <v>2</v>
      </c>
      <c r="R2856" s="2">
        <v>37505</v>
      </c>
    </row>
    <row r="2857" spans="1:18" x14ac:dyDescent="0.3">
      <c r="A2857" t="s">
        <v>7</v>
      </c>
      <c r="B2857">
        <v>19003159</v>
      </c>
      <c r="C2857" t="s">
        <v>8</v>
      </c>
      <c r="D2857" s="4">
        <v>46066</v>
      </c>
      <c r="E2857" s="11">
        <f t="shared" si="176"/>
        <v>2026</v>
      </c>
      <c r="F2857" s="11">
        <f t="shared" si="177"/>
        <v>2</v>
      </c>
      <c r="G2857" s="11" t="str">
        <f t="shared" si="178"/>
        <v>202602</v>
      </c>
      <c r="I2857" s="5">
        <v>9999</v>
      </c>
      <c r="J2857" s="5">
        <v>333.3</v>
      </c>
      <c r="K2857" s="5">
        <f t="shared" si="179"/>
        <v>0</v>
      </c>
      <c r="L2857" s="5">
        <v>0</v>
      </c>
      <c r="M2857" s="5">
        <v>0</v>
      </c>
      <c r="N2857" t="s">
        <v>9</v>
      </c>
      <c r="O2857" s="8">
        <v>21.279452054794522</v>
      </c>
      <c r="P2857" t="s">
        <v>33</v>
      </c>
      <c r="Q2857">
        <v>2</v>
      </c>
      <c r="R2857" s="2">
        <v>38299</v>
      </c>
    </row>
    <row r="2858" spans="1:18" x14ac:dyDescent="0.3">
      <c r="A2858" t="s">
        <v>7</v>
      </c>
      <c r="B2858">
        <v>19003167</v>
      </c>
      <c r="C2858" t="s">
        <v>8</v>
      </c>
      <c r="D2858" s="4">
        <v>46066</v>
      </c>
      <c r="E2858" s="11">
        <f t="shared" si="176"/>
        <v>2026</v>
      </c>
      <c r="F2858" s="11">
        <f t="shared" si="177"/>
        <v>2</v>
      </c>
      <c r="G2858" s="11" t="str">
        <f t="shared" si="178"/>
        <v>202602</v>
      </c>
      <c r="I2858" s="5">
        <v>9999</v>
      </c>
      <c r="J2858" s="5">
        <v>333.3</v>
      </c>
      <c r="K2858" s="5">
        <f t="shared" si="179"/>
        <v>0</v>
      </c>
      <c r="L2858" s="5">
        <v>0</v>
      </c>
      <c r="M2858" s="5">
        <v>0</v>
      </c>
      <c r="N2858" t="s">
        <v>9</v>
      </c>
      <c r="O2858" s="8">
        <v>22.728767123287671</v>
      </c>
      <c r="P2858" t="s">
        <v>33</v>
      </c>
      <c r="Q2858">
        <v>2</v>
      </c>
      <c r="R2858" s="2">
        <v>37770</v>
      </c>
    </row>
    <row r="2859" spans="1:18" x14ac:dyDescent="0.3">
      <c r="A2859" t="s">
        <v>7</v>
      </c>
      <c r="B2859">
        <v>19003175</v>
      </c>
      <c r="C2859" t="s">
        <v>8</v>
      </c>
      <c r="D2859" s="4">
        <v>46066</v>
      </c>
      <c r="E2859" s="11">
        <f t="shared" si="176"/>
        <v>2026</v>
      </c>
      <c r="F2859" s="11">
        <f t="shared" si="177"/>
        <v>2</v>
      </c>
      <c r="G2859" s="11" t="str">
        <f t="shared" si="178"/>
        <v>202602</v>
      </c>
      <c r="H2859" s="4">
        <v>46161</v>
      </c>
      <c r="I2859" s="5">
        <v>95</v>
      </c>
      <c r="J2859" s="5">
        <v>3.1666666666666665</v>
      </c>
      <c r="K2859" s="5">
        <f t="shared" si="179"/>
        <v>0</v>
      </c>
      <c r="L2859" s="5">
        <v>0</v>
      </c>
      <c r="M2859" s="5">
        <v>1</v>
      </c>
      <c r="N2859" t="s">
        <v>12</v>
      </c>
      <c r="O2859" s="8">
        <v>24.134246575342466</v>
      </c>
      <c r="P2859" t="s">
        <v>33</v>
      </c>
      <c r="Q2859">
        <v>2</v>
      </c>
      <c r="R2859" s="2">
        <v>37257</v>
      </c>
    </row>
    <row r="2860" spans="1:18" x14ac:dyDescent="0.3">
      <c r="A2860" t="s">
        <v>7</v>
      </c>
      <c r="B2860">
        <v>19003224</v>
      </c>
      <c r="C2860" t="s">
        <v>8</v>
      </c>
      <c r="D2860" s="4">
        <v>46066</v>
      </c>
      <c r="E2860" s="11">
        <f t="shared" si="176"/>
        <v>2026</v>
      </c>
      <c r="F2860" s="11">
        <f t="shared" si="177"/>
        <v>2</v>
      </c>
      <c r="G2860" s="11" t="str">
        <f t="shared" si="178"/>
        <v>202602</v>
      </c>
      <c r="I2860" s="5">
        <v>9999</v>
      </c>
      <c r="J2860" s="5">
        <v>333.3</v>
      </c>
      <c r="K2860" s="5">
        <f t="shared" si="179"/>
        <v>0</v>
      </c>
      <c r="L2860" s="5">
        <v>0</v>
      </c>
      <c r="M2860" s="5">
        <v>0</v>
      </c>
      <c r="N2860" t="s">
        <v>9</v>
      </c>
      <c r="O2860" s="8">
        <v>20.610958904109587</v>
      </c>
      <c r="P2860" t="s">
        <v>32</v>
      </c>
      <c r="Q2860">
        <v>1</v>
      </c>
      <c r="R2860" s="2">
        <v>38543</v>
      </c>
    </row>
    <row r="2861" spans="1:18" x14ac:dyDescent="0.3">
      <c r="A2861" t="s">
        <v>11</v>
      </c>
      <c r="B2861">
        <v>19003229</v>
      </c>
      <c r="C2861" t="s">
        <v>8</v>
      </c>
      <c r="D2861" s="4">
        <v>46066</v>
      </c>
      <c r="E2861" s="11">
        <f t="shared" si="176"/>
        <v>2026</v>
      </c>
      <c r="F2861" s="11">
        <f t="shared" si="177"/>
        <v>2</v>
      </c>
      <c r="G2861" s="11" t="str">
        <f t="shared" si="178"/>
        <v>202602</v>
      </c>
      <c r="I2861" s="5">
        <v>9999</v>
      </c>
      <c r="J2861" s="5">
        <v>333.3</v>
      </c>
      <c r="K2861" s="5">
        <f t="shared" si="179"/>
        <v>0</v>
      </c>
      <c r="L2861" s="5">
        <v>0</v>
      </c>
      <c r="M2861" s="5">
        <v>0</v>
      </c>
      <c r="N2861" t="s">
        <v>9</v>
      </c>
      <c r="O2861" s="8">
        <v>18.473972602739725</v>
      </c>
      <c r="P2861" t="s">
        <v>32</v>
      </c>
      <c r="Q2861">
        <v>1</v>
      </c>
      <c r="R2861" s="2">
        <v>39323</v>
      </c>
    </row>
    <row r="2862" spans="1:18" x14ac:dyDescent="0.3">
      <c r="A2862" t="s">
        <v>7</v>
      </c>
      <c r="B2862">
        <v>19003234</v>
      </c>
      <c r="C2862" t="s">
        <v>8</v>
      </c>
      <c r="D2862" s="4">
        <v>46066</v>
      </c>
      <c r="E2862" s="11">
        <f t="shared" si="176"/>
        <v>2026</v>
      </c>
      <c r="F2862" s="11">
        <f t="shared" si="177"/>
        <v>2</v>
      </c>
      <c r="G2862" s="11" t="str">
        <f t="shared" si="178"/>
        <v>202602</v>
      </c>
      <c r="I2862" s="5">
        <v>9999</v>
      </c>
      <c r="J2862" s="5">
        <v>333.3</v>
      </c>
      <c r="K2862" s="5">
        <f t="shared" si="179"/>
        <v>0</v>
      </c>
      <c r="L2862" s="5">
        <v>0</v>
      </c>
      <c r="M2862" s="5">
        <v>0</v>
      </c>
      <c r="N2862" t="s">
        <v>12</v>
      </c>
      <c r="O2862" s="8">
        <v>21.446575342465753</v>
      </c>
      <c r="P2862" t="s">
        <v>33</v>
      </c>
      <c r="Q2862">
        <v>2</v>
      </c>
      <c r="R2862" s="2">
        <v>38238</v>
      </c>
    </row>
    <row r="2863" spans="1:18" x14ac:dyDescent="0.3">
      <c r="A2863" t="s">
        <v>7</v>
      </c>
      <c r="B2863">
        <v>19003236</v>
      </c>
      <c r="C2863" t="s">
        <v>8</v>
      </c>
      <c r="D2863" s="4">
        <v>46066</v>
      </c>
      <c r="E2863" s="11">
        <f t="shared" si="176"/>
        <v>2026</v>
      </c>
      <c r="F2863" s="11">
        <f t="shared" si="177"/>
        <v>2</v>
      </c>
      <c r="G2863" s="11" t="str">
        <f t="shared" si="178"/>
        <v>202602</v>
      </c>
      <c r="H2863" s="4">
        <v>46086</v>
      </c>
      <c r="I2863" s="5">
        <v>20</v>
      </c>
      <c r="J2863" s="5">
        <v>0.66666666666666663</v>
      </c>
      <c r="K2863" s="5">
        <f t="shared" si="179"/>
        <v>1</v>
      </c>
      <c r="L2863" s="5">
        <v>1</v>
      </c>
      <c r="M2863" s="5">
        <v>1</v>
      </c>
      <c r="N2863" t="s">
        <v>12</v>
      </c>
      <c r="O2863" s="8">
        <v>18.734246575342464</v>
      </c>
      <c r="P2863" t="s">
        <v>32</v>
      </c>
      <c r="Q2863">
        <v>1</v>
      </c>
      <c r="R2863" s="2">
        <v>39228</v>
      </c>
    </row>
    <row r="2864" spans="1:18" x14ac:dyDescent="0.3">
      <c r="A2864" t="s">
        <v>7</v>
      </c>
      <c r="B2864">
        <v>19003300</v>
      </c>
      <c r="C2864" t="s">
        <v>8</v>
      </c>
      <c r="D2864" s="4">
        <v>46066</v>
      </c>
      <c r="E2864" s="11">
        <f t="shared" si="176"/>
        <v>2026</v>
      </c>
      <c r="F2864" s="11">
        <f t="shared" si="177"/>
        <v>2</v>
      </c>
      <c r="G2864" s="11" t="str">
        <f t="shared" si="178"/>
        <v>202602</v>
      </c>
      <c r="H2864" s="4">
        <v>46083</v>
      </c>
      <c r="I2864" s="5">
        <v>17</v>
      </c>
      <c r="J2864" s="5">
        <v>0.56666666666666665</v>
      </c>
      <c r="K2864" s="5">
        <f t="shared" si="179"/>
        <v>1</v>
      </c>
      <c r="L2864" s="5">
        <v>1</v>
      </c>
      <c r="M2864" s="5">
        <v>1</v>
      </c>
      <c r="N2864" t="s">
        <v>9</v>
      </c>
      <c r="O2864" s="8">
        <v>24.139726027397259</v>
      </c>
      <c r="P2864" t="s">
        <v>33</v>
      </c>
      <c r="Q2864">
        <v>2</v>
      </c>
      <c r="R2864" s="2">
        <v>37255</v>
      </c>
    </row>
    <row r="2865" spans="1:18" x14ac:dyDescent="0.3">
      <c r="A2865" t="s">
        <v>7</v>
      </c>
      <c r="B2865">
        <v>19003302</v>
      </c>
      <c r="C2865" t="s">
        <v>10</v>
      </c>
      <c r="D2865" s="4">
        <v>46066</v>
      </c>
      <c r="E2865" s="11">
        <f t="shared" si="176"/>
        <v>2026</v>
      </c>
      <c r="F2865" s="11">
        <f t="shared" si="177"/>
        <v>2</v>
      </c>
      <c r="G2865" s="11" t="str">
        <f t="shared" si="178"/>
        <v>202602</v>
      </c>
      <c r="I2865" s="5">
        <v>9999</v>
      </c>
      <c r="J2865" s="5">
        <v>333.3</v>
      </c>
      <c r="K2865" s="5">
        <f t="shared" si="179"/>
        <v>0</v>
      </c>
      <c r="L2865" s="5">
        <v>0</v>
      </c>
      <c r="M2865" s="5">
        <v>0</v>
      </c>
      <c r="N2865" t="s">
        <v>9</v>
      </c>
      <c r="O2865" s="8">
        <v>18.413698630136988</v>
      </c>
      <c r="P2865" t="s">
        <v>32</v>
      </c>
      <c r="Q2865">
        <v>1</v>
      </c>
      <c r="R2865" s="2">
        <v>39345</v>
      </c>
    </row>
    <row r="2866" spans="1:18" x14ac:dyDescent="0.3">
      <c r="A2866" t="s">
        <v>7</v>
      </c>
      <c r="B2866">
        <v>19003306</v>
      </c>
      <c r="C2866" t="s">
        <v>10</v>
      </c>
      <c r="D2866" s="4">
        <v>46066</v>
      </c>
      <c r="E2866" s="11">
        <f t="shared" si="176"/>
        <v>2026</v>
      </c>
      <c r="F2866" s="11">
        <f t="shared" si="177"/>
        <v>2</v>
      </c>
      <c r="G2866" s="11" t="str">
        <f t="shared" si="178"/>
        <v>202602</v>
      </c>
      <c r="H2866" s="4">
        <v>46103</v>
      </c>
      <c r="I2866" s="5">
        <v>37</v>
      </c>
      <c r="J2866" s="5">
        <v>1.2333333333333334</v>
      </c>
      <c r="K2866" s="5">
        <f t="shared" si="179"/>
        <v>0</v>
      </c>
      <c r="L2866" s="5">
        <v>1</v>
      </c>
      <c r="M2866" s="5">
        <v>1</v>
      </c>
      <c r="N2866" t="s">
        <v>9</v>
      </c>
      <c r="O2866" s="8">
        <v>22.150684931506849</v>
      </c>
      <c r="P2866" t="s">
        <v>33</v>
      </c>
      <c r="Q2866">
        <v>2</v>
      </c>
      <c r="R2866" s="2">
        <v>37981</v>
      </c>
    </row>
    <row r="2867" spans="1:18" x14ac:dyDescent="0.3">
      <c r="A2867" t="s">
        <v>7</v>
      </c>
      <c r="B2867">
        <v>19003307</v>
      </c>
      <c r="C2867" t="s">
        <v>8</v>
      </c>
      <c r="D2867" s="4">
        <v>46066</v>
      </c>
      <c r="E2867" s="11">
        <f t="shared" si="176"/>
        <v>2026</v>
      </c>
      <c r="F2867" s="11">
        <f t="shared" si="177"/>
        <v>2</v>
      </c>
      <c r="G2867" s="11" t="str">
        <f t="shared" si="178"/>
        <v>202602</v>
      </c>
      <c r="I2867" s="5">
        <v>9999</v>
      </c>
      <c r="J2867" s="5">
        <v>333.3</v>
      </c>
      <c r="K2867" s="5">
        <f t="shared" si="179"/>
        <v>0</v>
      </c>
      <c r="L2867" s="5">
        <v>0</v>
      </c>
      <c r="M2867" s="5">
        <v>0</v>
      </c>
      <c r="N2867" t="s">
        <v>9</v>
      </c>
      <c r="O2867" s="8">
        <v>21.575342465753426</v>
      </c>
      <c r="P2867" t="s">
        <v>33</v>
      </c>
      <c r="Q2867">
        <v>2</v>
      </c>
      <c r="R2867" s="2">
        <v>38191</v>
      </c>
    </row>
    <row r="2868" spans="1:18" x14ac:dyDescent="0.3">
      <c r="A2868" t="s">
        <v>7</v>
      </c>
      <c r="B2868">
        <v>19003313</v>
      </c>
      <c r="C2868" t="s">
        <v>8</v>
      </c>
      <c r="D2868" s="4">
        <v>46066</v>
      </c>
      <c r="E2868" s="11">
        <f t="shared" si="176"/>
        <v>2026</v>
      </c>
      <c r="F2868" s="11">
        <f t="shared" si="177"/>
        <v>2</v>
      </c>
      <c r="G2868" s="11" t="str">
        <f t="shared" si="178"/>
        <v>202602</v>
      </c>
      <c r="I2868" s="5">
        <v>9999</v>
      </c>
      <c r="J2868" s="5">
        <v>333.3</v>
      </c>
      <c r="K2868" s="5">
        <f t="shared" si="179"/>
        <v>0</v>
      </c>
      <c r="L2868" s="5">
        <v>0</v>
      </c>
      <c r="M2868" s="5">
        <v>0</v>
      </c>
      <c r="N2868" t="s">
        <v>12</v>
      </c>
      <c r="O2868" s="8">
        <v>20.323287671232876</v>
      </c>
      <c r="P2868" t="s">
        <v>32</v>
      </c>
      <c r="Q2868">
        <v>1</v>
      </c>
      <c r="R2868" s="2">
        <v>38648</v>
      </c>
    </row>
    <row r="2869" spans="1:18" x14ac:dyDescent="0.3">
      <c r="A2869" t="s">
        <v>7</v>
      </c>
      <c r="B2869">
        <v>19003339</v>
      </c>
      <c r="C2869" t="s">
        <v>10</v>
      </c>
      <c r="D2869" s="4">
        <v>46066</v>
      </c>
      <c r="E2869" s="11">
        <f t="shared" si="176"/>
        <v>2026</v>
      </c>
      <c r="F2869" s="11">
        <f t="shared" si="177"/>
        <v>2</v>
      </c>
      <c r="G2869" s="11" t="str">
        <f t="shared" si="178"/>
        <v>202602</v>
      </c>
      <c r="H2869" s="4">
        <v>46122</v>
      </c>
      <c r="I2869" s="5">
        <v>56</v>
      </c>
      <c r="J2869" s="5">
        <v>1.8666666666666667</v>
      </c>
      <c r="K2869" s="5">
        <f t="shared" si="179"/>
        <v>0</v>
      </c>
      <c r="L2869" s="5">
        <v>1</v>
      </c>
      <c r="M2869" s="5">
        <v>1</v>
      </c>
      <c r="N2869" t="s">
        <v>9</v>
      </c>
      <c r="O2869" s="8">
        <v>20.69041095890411</v>
      </c>
      <c r="P2869" t="s">
        <v>32</v>
      </c>
      <c r="Q2869">
        <v>1</v>
      </c>
      <c r="R2869" s="2">
        <v>38514</v>
      </c>
    </row>
    <row r="2870" spans="1:18" x14ac:dyDescent="0.3">
      <c r="A2870" t="s">
        <v>7</v>
      </c>
      <c r="B2870">
        <v>19003341</v>
      </c>
      <c r="C2870" t="s">
        <v>10</v>
      </c>
      <c r="D2870" s="4">
        <v>46066</v>
      </c>
      <c r="E2870" s="11">
        <f t="shared" si="176"/>
        <v>2026</v>
      </c>
      <c r="F2870" s="11">
        <f t="shared" si="177"/>
        <v>2</v>
      </c>
      <c r="G2870" s="11" t="str">
        <f t="shared" si="178"/>
        <v>202602</v>
      </c>
      <c r="H2870" s="4">
        <v>46112</v>
      </c>
      <c r="I2870" s="5">
        <v>46</v>
      </c>
      <c r="J2870" s="5">
        <v>1.5333333333333334</v>
      </c>
      <c r="K2870" s="5">
        <f t="shared" si="179"/>
        <v>0</v>
      </c>
      <c r="L2870" s="5">
        <v>1</v>
      </c>
      <c r="M2870" s="5">
        <v>1</v>
      </c>
      <c r="N2870" t="s">
        <v>9</v>
      </c>
      <c r="O2870" s="8">
        <v>20.55890410958904</v>
      </c>
      <c r="P2870" t="s">
        <v>32</v>
      </c>
      <c r="Q2870">
        <v>1</v>
      </c>
      <c r="R2870" s="2">
        <v>38562</v>
      </c>
    </row>
    <row r="2871" spans="1:18" x14ac:dyDescent="0.3">
      <c r="A2871" t="s">
        <v>7</v>
      </c>
      <c r="B2871">
        <v>19003418</v>
      </c>
      <c r="C2871" t="s">
        <v>8</v>
      </c>
      <c r="D2871" s="4">
        <v>46066</v>
      </c>
      <c r="E2871" s="11">
        <f t="shared" si="176"/>
        <v>2026</v>
      </c>
      <c r="F2871" s="11">
        <f t="shared" si="177"/>
        <v>2</v>
      </c>
      <c r="G2871" s="11" t="str">
        <f t="shared" si="178"/>
        <v>202602</v>
      </c>
      <c r="H2871" s="4">
        <v>46112</v>
      </c>
      <c r="I2871" s="5">
        <v>46</v>
      </c>
      <c r="J2871" s="5">
        <v>1.5333333333333334</v>
      </c>
      <c r="K2871" s="5">
        <f t="shared" si="179"/>
        <v>0</v>
      </c>
      <c r="L2871" s="5">
        <v>1</v>
      </c>
      <c r="M2871" s="5">
        <v>1</v>
      </c>
      <c r="N2871" t="s">
        <v>9</v>
      </c>
      <c r="O2871" s="8">
        <v>22.873972602739727</v>
      </c>
      <c r="P2871" t="s">
        <v>33</v>
      </c>
      <c r="Q2871">
        <v>2</v>
      </c>
      <c r="R2871" s="2">
        <v>37717</v>
      </c>
    </row>
    <row r="2872" spans="1:18" x14ac:dyDescent="0.3">
      <c r="A2872" t="s">
        <v>7</v>
      </c>
      <c r="B2872">
        <v>19003550</v>
      </c>
      <c r="C2872" t="s">
        <v>8</v>
      </c>
      <c r="D2872" s="4">
        <v>46069</v>
      </c>
      <c r="E2872" s="11">
        <f t="shared" si="176"/>
        <v>2026</v>
      </c>
      <c r="F2872" s="11">
        <f t="shared" si="177"/>
        <v>2</v>
      </c>
      <c r="G2872" s="11" t="str">
        <f t="shared" si="178"/>
        <v>202602</v>
      </c>
      <c r="I2872" s="5">
        <v>9999</v>
      </c>
      <c r="J2872" s="5">
        <v>333.3</v>
      </c>
      <c r="K2872" s="5">
        <f t="shared" si="179"/>
        <v>0</v>
      </c>
      <c r="L2872" s="5">
        <v>0</v>
      </c>
      <c r="M2872" s="5">
        <v>0</v>
      </c>
      <c r="N2872" t="s">
        <v>9</v>
      </c>
      <c r="O2872" s="8">
        <v>22.115068493150684</v>
      </c>
      <c r="P2872" t="s">
        <v>33</v>
      </c>
      <c r="Q2872">
        <v>2</v>
      </c>
      <c r="R2872" s="2">
        <v>37997</v>
      </c>
    </row>
    <row r="2873" spans="1:18" x14ac:dyDescent="0.3">
      <c r="A2873" t="s">
        <v>7</v>
      </c>
      <c r="B2873">
        <v>19003634</v>
      </c>
      <c r="C2873" t="s">
        <v>8</v>
      </c>
      <c r="D2873" s="4">
        <v>46069</v>
      </c>
      <c r="E2873" s="11">
        <f t="shared" si="176"/>
        <v>2026</v>
      </c>
      <c r="F2873" s="11">
        <f t="shared" si="177"/>
        <v>2</v>
      </c>
      <c r="G2873" s="11" t="str">
        <f t="shared" si="178"/>
        <v>202602</v>
      </c>
      <c r="I2873" s="5">
        <v>9999</v>
      </c>
      <c r="J2873" s="5">
        <v>333.3</v>
      </c>
      <c r="K2873" s="5">
        <f t="shared" si="179"/>
        <v>0</v>
      </c>
      <c r="L2873" s="5">
        <v>0</v>
      </c>
      <c r="M2873" s="5">
        <v>0</v>
      </c>
      <c r="N2873" t="s">
        <v>9</v>
      </c>
      <c r="O2873" s="8">
        <v>19.002739726027396</v>
      </c>
      <c r="P2873" t="s">
        <v>32</v>
      </c>
      <c r="Q2873">
        <v>1</v>
      </c>
      <c r="R2873" s="2">
        <v>39133</v>
      </c>
    </row>
    <row r="2874" spans="1:18" x14ac:dyDescent="0.3">
      <c r="A2874" t="s">
        <v>11</v>
      </c>
      <c r="B2874">
        <v>19003641</v>
      </c>
      <c r="C2874" t="s">
        <v>10</v>
      </c>
      <c r="D2874" s="4">
        <v>46069</v>
      </c>
      <c r="E2874" s="11">
        <f t="shared" si="176"/>
        <v>2026</v>
      </c>
      <c r="F2874" s="11">
        <f t="shared" si="177"/>
        <v>2</v>
      </c>
      <c r="G2874" s="11" t="str">
        <f t="shared" si="178"/>
        <v>202602</v>
      </c>
      <c r="H2874" s="4">
        <v>46081</v>
      </c>
      <c r="I2874" s="5">
        <v>12</v>
      </c>
      <c r="J2874" s="5">
        <v>0.4</v>
      </c>
      <c r="K2874" s="5">
        <f t="shared" si="179"/>
        <v>1</v>
      </c>
      <c r="L2874" s="5">
        <v>1</v>
      </c>
      <c r="M2874" s="5">
        <v>1</v>
      </c>
      <c r="N2874" t="s">
        <v>9</v>
      </c>
      <c r="O2874" s="8">
        <v>20.158904109589042</v>
      </c>
      <c r="P2874" t="s">
        <v>32</v>
      </c>
      <c r="Q2874">
        <v>1</v>
      </c>
      <c r="R2874" s="2">
        <v>38711</v>
      </c>
    </row>
    <row r="2875" spans="1:18" x14ac:dyDescent="0.3">
      <c r="A2875" t="s">
        <v>7</v>
      </c>
      <c r="B2875">
        <v>19003646</v>
      </c>
      <c r="C2875" t="s">
        <v>8</v>
      </c>
      <c r="D2875" s="4">
        <v>46069</v>
      </c>
      <c r="E2875" s="11">
        <f t="shared" si="176"/>
        <v>2026</v>
      </c>
      <c r="F2875" s="11">
        <f t="shared" si="177"/>
        <v>2</v>
      </c>
      <c r="G2875" s="11" t="str">
        <f t="shared" si="178"/>
        <v>202602</v>
      </c>
      <c r="I2875" s="5">
        <v>9999</v>
      </c>
      <c r="J2875" s="5">
        <v>333.3</v>
      </c>
      <c r="K2875" s="5">
        <f t="shared" si="179"/>
        <v>0</v>
      </c>
      <c r="L2875" s="5">
        <v>0</v>
      </c>
      <c r="M2875" s="5">
        <v>0</v>
      </c>
      <c r="N2875" t="s">
        <v>9</v>
      </c>
      <c r="O2875" s="8">
        <v>25.671232876712327</v>
      </c>
      <c r="P2875" t="s">
        <v>33</v>
      </c>
      <c r="Q2875">
        <v>2</v>
      </c>
      <c r="R2875" s="2">
        <v>36699</v>
      </c>
    </row>
    <row r="2876" spans="1:18" x14ac:dyDescent="0.3">
      <c r="A2876" t="s">
        <v>7</v>
      </c>
      <c r="B2876">
        <v>19003674</v>
      </c>
      <c r="C2876" t="s">
        <v>8</v>
      </c>
      <c r="D2876" s="4">
        <v>46066</v>
      </c>
      <c r="E2876" s="11">
        <f t="shared" si="176"/>
        <v>2026</v>
      </c>
      <c r="F2876" s="11">
        <f t="shared" si="177"/>
        <v>2</v>
      </c>
      <c r="G2876" s="11" t="str">
        <f t="shared" si="178"/>
        <v>202602</v>
      </c>
      <c r="H2876" s="4">
        <v>46093</v>
      </c>
      <c r="I2876" s="5">
        <v>27</v>
      </c>
      <c r="J2876" s="5">
        <v>0.9</v>
      </c>
      <c r="K2876" s="5">
        <f t="shared" si="179"/>
        <v>1</v>
      </c>
      <c r="L2876" s="5">
        <v>1</v>
      </c>
      <c r="M2876" s="5">
        <v>1</v>
      </c>
      <c r="N2876" t="s">
        <v>9</v>
      </c>
      <c r="O2876" s="8">
        <v>28.315068493150687</v>
      </c>
      <c r="P2876" t="s">
        <v>34</v>
      </c>
      <c r="Q2876">
        <v>3</v>
      </c>
      <c r="R2876" s="2">
        <v>35731</v>
      </c>
    </row>
    <row r="2877" spans="1:18" x14ac:dyDescent="0.3">
      <c r="A2877" t="s">
        <v>7</v>
      </c>
      <c r="B2877">
        <v>19003727</v>
      </c>
      <c r="C2877" t="s">
        <v>8</v>
      </c>
      <c r="D2877" s="4">
        <v>46069</v>
      </c>
      <c r="E2877" s="11">
        <f t="shared" si="176"/>
        <v>2026</v>
      </c>
      <c r="F2877" s="11">
        <f t="shared" si="177"/>
        <v>2</v>
      </c>
      <c r="G2877" s="11" t="str">
        <f t="shared" si="178"/>
        <v>202602</v>
      </c>
      <c r="I2877" s="5">
        <v>9999</v>
      </c>
      <c r="J2877" s="5">
        <v>333.3</v>
      </c>
      <c r="K2877" s="5">
        <f t="shared" si="179"/>
        <v>0</v>
      </c>
      <c r="L2877" s="5">
        <v>0</v>
      </c>
      <c r="M2877" s="5">
        <v>0</v>
      </c>
      <c r="N2877" t="s">
        <v>9</v>
      </c>
      <c r="O2877" s="8">
        <v>18.87945205479452</v>
      </c>
      <c r="P2877" t="s">
        <v>32</v>
      </c>
      <c r="Q2877">
        <v>1</v>
      </c>
      <c r="R2877" s="2">
        <v>39178</v>
      </c>
    </row>
    <row r="2878" spans="1:18" x14ac:dyDescent="0.3">
      <c r="A2878" t="s">
        <v>7</v>
      </c>
      <c r="B2878">
        <v>19003728</v>
      </c>
      <c r="C2878" t="s">
        <v>8</v>
      </c>
      <c r="D2878" s="4">
        <v>46069</v>
      </c>
      <c r="E2878" s="11">
        <f t="shared" si="176"/>
        <v>2026</v>
      </c>
      <c r="F2878" s="11">
        <f t="shared" si="177"/>
        <v>2</v>
      </c>
      <c r="G2878" s="11" t="str">
        <f t="shared" si="178"/>
        <v>202602</v>
      </c>
      <c r="I2878" s="5">
        <v>9999</v>
      </c>
      <c r="J2878" s="5">
        <v>333.3</v>
      </c>
      <c r="K2878" s="5">
        <f t="shared" si="179"/>
        <v>0</v>
      </c>
      <c r="L2878" s="5">
        <v>0</v>
      </c>
      <c r="M2878" s="5">
        <v>0</v>
      </c>
      <c r="N2878" t="s">
        <v>9</v>
      </c>
      <c r="O2878" s="8">
        <v>33.358904109589041</v>
      </c>
      <c r="P2878" t="s">
        <v>35</v>
      </c>
      <c r="Q2878">
        <v>4</v>
      </c>
      <c r="R2878" s="2">
        <v>33893</v>
      </c>
    </row>
    <row r="2879" spans="1:18" x14ac:dyDescent="0.3">
      <c r="A2879" t="s">
        <v>7</v>
      </c>
      <c r="B2879">
        <v>19003744</v>
      </c>
      <c r="C2879" t="s">
        <v>10</v>
      </c>
      <c r="D2879" s="4">
        <v>46069</v>
      </c>
      <c r="E2879" s="11">
        <f t="shared" si="176"/>
        <v>2026</v>
      </c>
      <c r="F2879" s="11">
        <f t="shared" si="177"/>
        <v>2</v>
      </c>
      <c r="G2879" s="11" t="str">
        <f t="shared" si="178"/>
        <v>202602</v>
      </c>
      <c r="H2879" s="4">
        <v>46112</v>
      </c>
      <c r="I2879" s="5">
        <v>43</v>
      </c>
      <c r="J2879" s="5">
        <v>1.4333333333333333</v>
      </c>
      <c r="K2879" s="5">
        <f t="shared" si="179"/>
        <v>0</v>
      </c>
      <c r="L2879" s="5">
        <v>1</v>
      </c>
      <c r="M2879" s="5">
        <v>1</v>
      </c>
      <c r="N2879" t="s">
        <v>9</v>
      </c>
      <c r="O2879" s="8">
        <v>23.172602739726027</v>
      </c>
      <c r="P2879" t="s">
        <v>33</v>
      </c>
      <c r="Q2879">
        <v>2</v>
      </c>
      <c r="R2879" s="2">
        <v>37611</v>
      </c>
    </row>
    <row r="2880" spans="1:18" x14ac:dyDescent="0.3">
      <c r="A2880" t="s">
        <v>7</v>
      </c>
      <c r="B2880">
        <v>19003801</v>
      </c>
      <c r="C2880" t="s">
        <v>10</v>
      </c>
      <c r="D2880" s="4">
        <v>46069</v>
      </c>
      <c r="E2880" s="11">
        <f t="shared" si="176"/>
        <v>2026</v>
      </c>
      <c r="F2880" s="11">
        <f t="shared" si="177"/>
        <v>2</v>
      </c>
      <c r="G2880" s="11" t="str">
        <f t="shared" si="178"/>
        <v>202602</v>
      </c>
      <c r="I2880" s="5">
        <v>9999</v>
      </c>
      <c r="J2880" s="5">
        <v>333.3</v>
      </c>
      <c r="K2880" s="5">
        <f t="shared" si="179"/>
        <v>0</v>
      </c>
      <c r="L2880" s="5">
        <v>0</v>
      </c>
      <c r="M2880" s="5">
        <v>0</v>
      </c>
      <c r="N2880" t="s">
        <v>12</v>
      </c>
      <c r="O2880" s="8">
        <v>18.153424657534245</v>
      </c>
      <c r="P2880" t="s">
        <v>32</v>
      </c>
      <c r="Q2880">
        <v>1</v>
      </c>
      <c r="R2880" s="2">
        <v>39443</v>
      </c>
    </row>
    <row r="2881" spans="1:18" x14ac:dyDescent="0.3">
      <c r="A2881" t="s">
        <v>7</v>
      </c>
      <c r="B2881">
        <v>19003848</v>
      </c>
      <c r="C2881" t="s">
        <v>8</v>
      </c>
      <c r="D2881" s="4">
        <v>46069</v>
      </c>
      <c r="E2881" s="11">
        <f t="shared" si="176"/>
        <v>2026</v>
      </c>
      <c r="F2881" s="11">
        <f t="shared" si="177"/>
        <v>2</v>
      </c>
      <c r="G2881" s="11" t="str">
        <f t="shared" si="178"/>
        <v>202602</v>
      </c>
      <c r="I2881" s="5">
        <v>9999</v>
      </c>
      <c r="J2881" s="5">
        <v>333.3</v>
      </c>
      <c r="K2881" s="5">
        <f t="shared" si="179"/>
        <v>0</v>
      </c>
      <c r="L2881" s="5">
        <v>0</v>
      </c>
      <c r="M2881" s="5">
        <v>0</v>
      </c>
      <c r="N2881" t="s">
        <v>9</v>
      </c>
      <c r="O2881" s="8">
        <v>19.460273972602739</v>
      </c>
      <c r="P2881" t="s">
        <v>32</v>
      </c>
      <c r="Q2881">
        <v>1</v>
      </c>
      <c r="R2881" s="2">
        <v>38966</v>
      </c>
    </row>
    <row r="2882" spans="1:18" x14ac:dyDescent="0.3">
      <c r="A2882" t="s">
        <v>7</v>
      </c>
      <c r="B2882">
        <v>19003983</v>
      </c>
      <c r="C2882" t="s">
        <v>8</v>
      </c>
      <c r="D2882" s="4">
        <v>46070</v>
      </c>
      <c r="E2882" s="11">
        <f t="shared" si="176"/>
        <v>2026</v>
      </c>
      <c r="F2882" s="11">
        <f t="shared" si="177"/>
        <v>2</v>
      </c>
      <c r="G2882" s="11" t="str">
        <f t="shared" si="178"/>
        <v>202602</v>
      </c>
      <c r="I2882" s="5">
        <v>9999</v>
      </c>
      <c r="J2882" s="5">
        <v>333.3</v>
      </c>
      <c r="K2882" s="5">
        <f t="shared" si="179"/>
        <v>0</v>
      </c>
      <c r="L2882" s="5">
        <v>0</v>
      </c>
      <c r="M2882" s="5">
        <v>0</v>
      </c>
      <c r="N2882" t="s">
        <v>9</v>
      </c>
      <c r="O2882" s="8">
        <v>19.893150684931506</v>
      </c>
      <c r="P2882" t="s">
        <v>32</v>
      </c>
      <c r="Q2882">
        <v>1</v>
      </c>
      <c r="R2882" s="2">
        <v>38809</v>
      </c>
    </row>
    <row r="2883" spans="1:18" x14ac:dyDescent="0.3">
      <c r="A2883" t="s">
        <v>7</v>
      </c>
      <c r="B2883">
        <v>19004032</v>
      </c>
      <c r="C2883" t="s">
        <v>10</v>
      </c>
      <c r="D2883" s="4">
        <v>46070</v>
      </c>
      <c r="E2883" s="11">
        <f t="shared" ref="E2883:E2946" si="180">+YEAR(D2883)</f>
        <v>2026</v>
      </c>
      <c r="F2883" s="11">
        <f t="shared" ref="F2883:F2946" si="181">+MONTH(D2883)</f>
        <v>2</v>
      </c>
      <c r="G2883" s="11" t="str">
        <f t="shared" ref="G2883:G2946" si="182">+TEXT(D2883, "yyymm")</f>
        <v>202602</v>
      </c>
      <c r="H2883" s="4">
        <v>46100</v>
      </c>
      <c r="I2883" s="5">
        <v>30</v>
      </c>
      <c r="J2883" s="5">
        <v>1</v>
      </c>
      <c r="K2883" s="5">
        <f t="shared" ref="K2883:K2946" si="183">IF(J2883&lt;=1,1,0)</f>
        <v>1</v>
      </c>
      <c r="L2883" s="5">
        <v>1</v>
      </c>
      <c r="M2883" s="5">
        <v>1</v>
      </c>
      <c r="N2883" t="s">
        <v>9</v>
      </c>
      <c r="O2883" s="8">
        <v>20.334246575342465</v>
      </c>
      <c r="P2883" t="s">
        <v>32</v>
      </c>
      <c r="Q2883">
        <v>1</v>
      </c>
      <c r="R2883" s="2">
        <v>38648</v>
      </c>
    </row>
    <row r="2884" spans="1:18" x14ac:dyDescent="0.3">
      <c r="A2884" t="s">
        <v>7</v>
      </c>
      <c r="B2884">
        <v>19004036</v>
      </c>
      <c r="C2884" t="s">
        <v>10</v>
      </c>
      <c r="D2884" s="4">
        <v>46070</v>
      </c>
      <c r="E2884" s="11">
        <f t="shared" si="180"/>
        <v>2026</v>
      </c>
      <c r="F2884" s="11">
        <f t="shared" si="181"/>
        <v>2</v>
      </c>
      <c r="G2884" s="11" t="str">
        <f t="shared" si="182"/>
        <v>202602</v>
      </c>
      <c r="I2884" s="5">
        <v>9999</v>
      </c>
      <c r="J2884" s="5">
        <v>333.3</v>
      </c>
      <c r="K2884" s="5">
        <f t="shared" si="183"/>
        <v>0</v>
      </c>
      <c r="L2884" s="5">
        <v>0</v>
      </c>
      <c r="M2884" s="5">
        <v>0</v>
      </c>
      <c r="N2884" t="s">
        <v>9</v>
      </c>
      <c r="O2884" s="8">
        <v>20.254794520547946</v>
      </c>
      <c r="P2884" t="s">
        <v>32</v>
      </c>
      <c r="Q2884">
        <v>1</v>
      </c>
      <c r="R2884" s="2">
        <v>38677</v>
      </c>
    </row>
    <row r="2885" spans="1:18" x14ac:dyDescent="0.3">
      <c r="A2885" t="s">
        <v>11</v>
      </c>
      <c r="B2885">
        <v>19004045</v>
      </c>
      <c r="C2885" t="s">
        <v>8</v>
      </c>
      <c r="D2885" s="4">
        <v>46070</v>
      </c>
      <c r="E2885" s="11">
        <f t="shared" si="180"/>
        <v>2026</v>
      </c>
      <c r="F2885" s="11">
        <f t="shared" si="181"/>
        <v>2</v>
      </c>
      <c r="G2885" s="11" t="str">
        <f t="shared" si="182"/>
        <v>202602</v>
      </c>
      <c r="I2885" s="5">
        <v>9999</v>
      </c>
      <c r="J2885" s="5">
        <v>333.3</v>
      </c>
      <c r="K2885" s="5">
        <f t="shared" si="183"/>
        <v>0</v>
      </c>
      <c r="L2885" s="5">
        <v>0</v>
      </c>
      <c r="M2885" s="5">
        <v>0</v>
      </c>
      <c r="N2885" t="s">
        <v>9</v>
      </c>
      <c r="O2885" s="8">
        <v>26.638356164383563</v>
      </c>
      <c r="P2885" t="s">
        <v>34</v>
      </c>
      <c r="Q2885">
        <v>3</v>
      </c>
      <c r="R2885" s="2">
        <v>36347</v>
      </c>
    </row>
    <row r="2886" spans="1:18" x14ac:dyDescent="0.3">
      <c r="A2886" t="s">
        <v>7</v>
      </c>
      <c r="B2886">
        <v>19004050</v>
      </c>
      <c r="C2886" t="s">
        <v>8</v>
      </c>
      <c r="D2886" s="4">
        <v>46070</v>
      </c>
      <c r="E2886" s="11">
        <f t="shared" si="180"/>
        <v>2026</v>
      </c>
      <c r="F2886" s="11">
        <f t="shared" si="181"/>
        <v>2</v>
      </c>
      <c r="G2886" s="11" t="str">
        <f t="shared" si="182"/>
        <v>202602</v>
      </c>
      <c r="I2886" s="5">
        <v>9999</v>
      </c>
      <c r="J2886" s="5">
        <v>333.3</v>
      </c>
      <c r="K2886" s="5">
        <f t="shared" si="183"/>
        <v>0</v>
      </c>
      <c r="L2886" s="5">
        <v>0</v>
      </c>
      <c r="M2886" s="5">
        <v>0</v>
      </c>
      <c r="N2886" t="s">
        <v>9</v>
      </c>
      <c r="O2886" s="8">
        <v>19.024657534246575</v>
      </c>
      <c r="P2886" t="s">
        <v>32</v>
      </c>
      <c r="Q2886">
        <v>1</v>
      </c>
      <c r="R2886" s="2">
        <v>39126</v>
      </c>
    </row>
    <row r="2887" spans="1:18" x14ac:dyDescent="0.3">
      <c r="A2887" t="s">
        <v>7</v>
      </c>
      <c r="B2887">
        <v>19004052</v>
      </c>
      <c r="C2887" t="s">
        <v>8</v>
      </c>
      <c r="D2887" s="4">
        <v>46070</v>
      </c>
      <c r="E2887" s="11">
        <f t="shared" si="180"/>
        <v>2026</v>
      </c>
      <c r="F2887" s="11">
        <f t="shared" si="181"/>
        <v>2</v>
      </c>
      <c r="G2887" s="11" t="str">
        <f t="shared" si="182"/>
        <v>202602</v>
      </c>
      <c r="I2887" s="5">
        <v>9999</v>
      </c>
      <c r="J2887" s="5">
        <v>333.3</v>
      </c>
      <c r="K2887" s="5">
        <f t="shared" si="183"/>
        <v>0</v>
      </c>
      <c r="L2887" s="5">
        <v>0</v>
      </c>
      <c r="M2887" s="5">
        <v>0</v>
      </c>
      <c r="N2887" t="s">
        <v>9</v>
      </c>
      <c r="O2887" s="8">
        <v>20.287671232876711</v>
      </c>
      <c r="P2887" t="s">
        <v>32</v>
      </c>
      <c r="Q2887">
        <v>1</v>
      </c>
      <c r="R2887" s="2">
        <v>38665</v>
      </c>
    </row>
    <row r="2888" spans="1:18" x14ac:dyDescent="0.3">
      <c r="A2888" t="s">
        <v>7</v>
      </c>
      <c r="B2888">
        <v>19004055</v>
      </c>
      <c r="C2888" t="s">
        <v>10</v>
      </c>
      <c r="D2888" s="4">
        <v>46070</v>
      </c>
      <c r="E2888" s="11">
        <f t="shared" si="180"/>
        <v>2026</v>
      </c>
      <c r="F2888" s="11">
        <f t="shared" si="181"/>
        <v>2</v>
      </c>
      <c r="G2888" s="11" t="str">
        <f t="shared" si="182"/>
        <v>202602</v>
      </c>
      <c r="I2888" s="5">
        <v>9999</v>
      </c>
      <c r="J2888" s="5">
        <v>333.3</v>
      </c>
      <c r="K2888" s="5">
        <f t="shared" si="183"/>
        <v>0</v>
      </c>
      <c r="L2888" s="5">
        <v>0</v>
      </c>
      <c r="M2888" s="5">
        <v>0</v>
      </c>
      <c r="N2888" t="s">
        <v>9</v>
      </c>
      <c r="O2888" s="8">
        <v>20.989041095890411</v>
      </c>
      <c r="P2888" t="s">
        <v>32</v>
      </c>
      <c r="Q2888">
        <v>1</v>
      </c>
      <c r="R2888" s="2">
        <v>38409</v>
      </c>
    </row>
    <row r="2889" spans="1:18" x14ac:dyDescent="0.3">
      <c r="A2889" t="s">
        <v>7</v>
      </c>
      <c r="B2889">
        <v>19004056</v>
      </c>
      <c r="C2889" t="s">
        <v>8</v>
      </c>
      <c r="D2889" s="4">
        <v>46070</v>
      </c>
      <c r="E2889" s="11">
        <f t="shared" si="180"/>
        <v>2026</v>
      </c>
      <c r="F2889" s="11">
        <f t="shared" si="181"/>
        <v>2</v>
      </c>
      <c r="G2889" s="11" t="str">
        <f t="shared" si="182"/>
        <v>202602</v>
      </c>
      <c r="I2889" s="5">
        <v>9999</v>
      </c>
      <c r="J2889" s="5">
        <v>333.3</v>
      </c>
      <c r="K2889" s="5">
        <f t="shared" si="183"/>
        <v>0</v>
      </c>
      <c r="L2889" s="5">
        <v>0</v>
      </c>
      <c r="M2889" s="5">
        <v>0</v>
      </c>
      <c r="N2889" t="s">
        <v>9</v>
      </c>
      <c r="O2889" s="8">
        <v>19.583561643835615</v>
      </c>
      <c r="P2889" t="s">
        <v>32</v>
      </c>
      <c r="Q2889">
        <v>1</v>
      </c>
      <c r="R2889" s="2">
        <v>38922</v>
      </c>
    </row>
    <row r="2890" spans="1:18" x14ac:dyDescent="0.3">
      <c r="A2890" t="s">
        <v>11</v>
      </c>
      <c r="B2890">
        <v>19004071</v>
      </c>
      <c r="C2890" t="s">
        <v>8</v>
      </c>
      <c r="D2890" s="4">
        <v>46070</v>
      </c>
      <c r="E2890" s="11">
        <f t="shared" si="180"/>
        <v>2026</v>
      </c>
      <c r="F2890" s="11">
        <f t="shared" si="181"/>
        <v>2</v>
      </c>
      <c r="G2890" s="11" t="str">
        <f t="shared" si="182"/>
        <v>202602</v>
      </c>
      <c r="I2890" s="5">
        <v>9999</v>
      </c>
      <c r="J2890" s="5">
        <v>333.3</v>
      </c>
      <c r="K2890" s="5">
        <f t="shared" si="183"/>
        <v>0</v>
      </c>
      <c r="L2890" s="5">
        <v>0</v>
      </c>
      <c r="M2890" s="5">
        <v>0</v>
      </c>
      <c r="N2890" t="s">
        <v>9</v>
      </c>
      <c r="O2890" s="8">
        <v>45.832876712328769</v>
      </c>
      <c r="P2890" t="s">
        <v>35</v>
      </c>
      <c r="Q2890">
        <v>4</v>
      </c>
      <c r="R2890" s="2">
        <v>29341</v>
      </c>
    </row>
    <row r="2891" spans="1:18" x14ac:dyDescent="0.3">
      <c r="A2891" t="s">
        <v>7</v>
      </c>
      <c r="B2891">
        <v>19004082</v>
      </c>
      <c r="C2891" t="s">
        <v>10</v>
      </c>
      <c r="D2891" s="4">
        <v>46070</v>
      </c>
      <c r="E2891" s="11">
        <f t="shared" si="180"/>
        <v>2026</v>
      </c>
      <c r="F2891" s="11">
        <f t="shared" si="181"/>
        <v>2</v>
      </c>
      <c r="G2891" s="11" t="str">
        <f t="shared" si="182"/>
        <v>202602</v>
      </c>
      <c r="I2891" s="5">
        <v>9999</v>
      </c>
      <c r="J2891" s="5">
        <v>333.3</v>
      </c>
      <c r="K2891" s="5">
        <f t="shared" si="183"/>
        <v>0</v>
      </c>
      <c r="L2891" s="5">
        <v>0</v>
      </c>
      <c r="M2891" s="5">
        <v>0</v>
      </c>
      <c r="N2891" t="s">
        <v>9</v>
      </c>
      <c r="O2891" s="8">
        <v>20.079452054794519</v>
      </c>
      <c r="P2891" t="s">
        <v>32</v>
      </c>
      <c r="Q2891">
        <v>1</v>
      </c>
      <c r="R2891" s="2">
        <v>38741</v>
      </c>
    </row>
    <row r="2892" spans="1:18" x14ac:dyDescent="0.3">
      <c r="A2892" t="s">
        <v>7</v>
      </c>
      <c r="B2892">
        <v>19004106</v>
      </c>
      <c r="C2892" t="s">
        <v>8</v>
      </c>
      <c r="D2892" s="4">
        <v>46070</v>
      </c>
      <c r="E2892" s="11">
        <f t="shared" si="180"/>
        <v>2026</v>
      </c>
      <c r="F2892" s="11">
        <f t="shared" si="181"/>
        <v>2</v>
      </c>
      <c r="G2892" s="11" t="str">
        <f t="shared" si="182"/>
        <v>202602</v>
      </c>
      <c r="H2892" s="4">
        <v>46111</v>
      </c>
      <c r="I2892" s="5">
        <v>41</v>
      </c>
      <c r="J2892" s="5">
        <v>1.3666666666666667</v>
      </c>
      <c r="K2892" s="5">
        <f t="shared" si="183"/>
        <v>0</v>
      </c>
      <c r="L2892" s="5">
        <v>1</v>
      </c>
      <c r="M2892" s="5">
        <v>1</v>
      </c>
      <c r="N2892" t="s">
        <v>9</v>
      </c>
      <c r="O2892" s="8">
        <v>21.027397260273972</v>
      </c>
      <c r="P2892" t="s">
        <v>33</v>
      </c>
      <c r="Q2892">
        <v>2</v>
      </c>
      <c r="R2892" s="2">
        <v>38395</v>
      </c>
    </row>
    <row r="2893" spans="1:18" x14ac:dyDescent="0.3">
      <c r="A2893" t="s">
        <v>11</v>
      </c>
      <c r="B2893">
        <v>19004143</v>
      </c>
      <c r="C2893" t="s">
        <v>8</v>
      </c>
      <c r="D2893" s="4">
        <v>46070</v>
      </c>
      <c r="E2893" s="11">
        <f t="shared" si="180"/>
        <v>2026</v>
      </c>
      <c r="F2893" s="11">
        <f t="shared" si="181"/>
        <v>2</v>
      </c>
      <c r="G2893" s="11" t="str">
        <f t="shared" si="182"/>
        <v>202602</v>
      </c>
      <c r="I2893" s="5">
        <v>9999</v>
      </c>
      <c r="J2893" s="5">
        <v>333.3</v>
      </c>
      <c r="K2893" s="5">
        <f t="shared" si="183"/>
        <v>0</v>
      </c>
      <c r="L2893" s="5">
        <v>0</v>
      </c>
      <c r="M2893" s="5">
        <v>0</v>
      </c>
      <c r="N2893" t="s">
        <v>9</v>
      </c>
      <c r="O2893" s="8">
        <v>20.12054794520548</v>
      </c>
      <c r="P2893" t="s">
        <v>32</v>
      </c>
      <c r="Q2893">
        <v>1</v>
      </c>
      <c r="R2893" s="2">
        <v>38726</v>
      </c>
    </row>
    <row r="2894" spans="1:18" x14ac:dyDescent="0.3">
      <c r="A2894" t="s">
        <v>7</v>
      </c>
      <c r="B2894">
        <v>19004168</v>
      </c>
      <c r="C2894" t="s">
        <v>10</v>
      </c>
      <c r="D2894" s="4">
        <v>46070</v>
      </c>
      <c r="E2894" s="11">
        <f t="shared" si="180"/>
        <v>2026</v>
      </c>
      <c r="F2894" s="11">
        <f t="shared" si="181"/>
        <v>2</v>
      </c>
      <c r="G2894" s="11" t="str">
        <f t="shared" si="182"/>
        <v>202602</v>
      </c>
      <c r="I2894" s="5">
        <v>9999</v>
      </c>
      <c r="J2894" s="5">
        <v>333.3</v>
      </c>
      <c r="K2894" s="5">
        <f t="shared" si="183"/>
        <v>0</v>
      </c>
      <c r="L2894" s="5">
        <v>0</v>
      </c>
      <c r="M2894" s="5">
        <v>0</v>
      </c>
      <c r="N2894" t="s">
        <v>9</v>
      </c>
      <c r="O2894" s="8">
        <v>18.142465753424659</v>
      </c>
      <c r="P2894" t="s">
        <v>32</v>
      </c>
      <c r="Q2894">
        <v>1</v>
      </c>
      <c r="R2894" s="2">
        <v>39448</v>
      </c>
    </row>
    <row r="2895" spans="1:18" x14ac:dyDescent="0.3">
      <c r="A2895" t="s">
        <v>7</v>
      </c>
      <c r="B2895">
        <v>19004169</v>
      </c>
      <c r="C2895" t="s">
        <v>8</v>
      </c>
      <c r="D2895" s="4">
        <v>46070</v>
      </c>
      <c r="E2895" s="11">
        <f t="shared" si="180"/>
        <v>2026</v>
      </c>
      <c r="F2895" s="11">
        <f t="shared" si="181"/>
        <v>2</v>
      </c>
      <c r="G2895" s="11" t="str">
        <f t="shared" si="182"/>
        <v>202602</v>
      </c>
      <c r="H2895" s="4">
        <v>46154</v>
      </c>
      <c r="I2895" s="5">
        <v>84</v>
      </c>
      <c r="J2895" s="5">
        <v>2.8</v>
      </c>
      <c r="K2895" s="5">
        <f t="shared" si="183"/>
        <v>0</v>
      </c>
      <c r="L2895" s="5">
        <v>1</v>
      </c>
      <c r="M2895" s="5">
        <v>1</v>
      </c>
      <c r="N2895" t="s">
        <v>9</v>
      </c>
      <c r="O2895" s="8">
        <v>21.035616438356165</v>
      </c>
      <c r="P2895" t="s">
        <v>33</v>
      </c>
      <c r="Q2895">
        <v>2</v>
      </c>
      <c r="R2895" s="2">
        <v>38392</v>
      </c>
    </row>
    <row r="2896" spans="1:18" x14ac:dyDescent="0.3">
      <c r="A2896" t="s">
        <v>11</v>
      </c>
      <c r="B2896">
        <v>19004391</v>
      </c>
      <c r="C2896" t="s">
        <v>8</v>
      </c>
      <c r="D2896" s="4">
        <v>46071</v>
      </c>
      <c r="E2896" s="11">
        <f t="shared" si="180"/>
        <v>2026</v>
      </c>
      <c r="F2896" s="11">
        <f t="shared" si="181"/>
        <v>2</v>
      </c>
      <c r="G2896" s="11" t="str">
        <f t="shared" si="182"/>
        <v>202602</v>
      </c>
      <c r="I2896" s="5">
        <v>9999</v>
      </c>
      <c r="J2896" s="5">
        <v>333.3</v>
      </c>
      <c r="K2896" s="5">
        <f t="shared" si="183"/>
        <v>0</v>
      </c>
      <c r="L2896" s="5">
        <v>0</v>
      </c>
      <c r="M2896" s="5">
        <v>0</v>
      </c>
      <c r="N2896" t="s">
        <v>9</v>
      </c>
      <c r="O2896" s="8">
        <v>29.786301369863015</v>
      </c>
      <c r="P2896" t="s">
        <v>34</v>
      </c>
      <c r="Q2896">
        <v>3</v>
      </c>
      <c r="R2896" s="2">
        <v>35199</v>
      </c>
    </row>
    <row r="2897" spans="1:18" x14ac:dyDescent="0.3">
      <c r="A2897" t="s">
        <v>7</v>
      </c>
      <c r="B2897">
        <v>19004449</v>
      </c>
      <c r="C2897" t="s">
        <v>8</v>
      </c>
      <c r="D2897" s="4">
        <v>46071</v>
      </c>
      <c r="E2897" s="11">
        <f t="shared" si="180"/>
        <v>2026</v>
      </c>
      <c r="F2897" s="11">
        <f t="shared" si="181"/>
        <v>2</v>
      </c>
      <c r="G2897" s="11" t="str">
        <f t="shared" si="182"/>
        <v>202602</v>
      </c>
      <c r="H2897" s="4">
        <v>46082</v>
      </c>
      <c r="I2897" s="5">
        <v>11</v>
      </c>
      <c r="J2897" s="5">
        <v>0.36666666666666664</v>
      </c>
      <c r="K2897" s="5">
        <f t="shared" si="183"/>
        <v>1</v>
      </c>
      <c r="L2897" s="5">
        <v>1</v>
      </c>
      <c r="M2897" s="5">
        <v>1</v>
      </c>
      <c r="N2897" t="s">
        <v>9</v>
      </c>
      <c r="O2897" s="8">
        <v>29.81917808219178</v>
      </c>
      <c r="P2897" t="s">
        <v>34</v>
      </c>
      <c r="Q2897">
        <v>3</v>
      </c>
      <c r="R2897" s="2">
        <v>35187</v>
      </c>
    </row>
    <row r="2898" spans="1:18" x14ac:dyDescent="0.3">
      <c r="A2898" t="s">
        <v>7</v>
      </c>
      <c r="B2898">
        <v>19004451</v>
      </c>
      <c r="C2898" t="s">
        <v>8</v>
      </c>
      <c r="D2898" s="4">
        <v>46071</v>
      </c>
      <c r="E2898" s="11">
        <f t="shared" si="180"/>
        <v>2026</v>
      </c>
      <c r="F2898" s="11">
        <f t="shared" si="181"/>
        <v>2</v>
      </c>
      <c r="G2898" s="11" t="str">
        <f t="shared" si="182"/>
        <v>202602</v>
      </c>
      <c r="H2898" s="4">
        <v>46113</v>
      </c>
      <c r="I2898" s="5">
        <v>42</v>
      </c>
      <c r="J2898" s="5">
        <v>1.4</v>
      </c>
      <c r="K2898" s="5">
        <f t="shared" si="183"/>
        <v>0</v>
      </c>
      <c r="L2898" s="5">
        <v>1</v>
      </c>
      <c r="M2898" s="5">
        <v>1</v>
      </c>
      <c r="N2898" t="s">
        <v>9</v>
      </c>
      <c r="O2898" s="8">
        <v>21.802739726027397</v>
      </c>
      <c r="P2898" t="s">
        <v>33</v>
      </c>
      <c r="Q2898">
        <v>2</v>
      </c>
      <c r="R2898" s="2">
        <v>38113</v>
      </c>
    </row>
    <row r="2899" spans="1:18" x14ac:dyDescent="0.3">
      <c r="A2899" t="s">
        <v>7</v>
      </c>
      <c r="B2899">
        <v>19004539</v>
      </c>
      <c r="C2899" t="s">
        <v>8</v>
      </c>
      <c r="D2899" s="4">
        <v>46070</v>
      </c>
      <c r="E2899" s="11">
        <f t="shared" si="180"/>
        <v>2026</v>
      </c>
      <c r="F2899" s="11">
        <f t="shared" si="181"/>
        <v>2</v>
      </c>
      <c r="G2899" s="11" t="str">
        <f t="shared" si="182"/>
        <v>202602</v>
      </c>
      <c r="H2899" s="4">
        <v>46097</v>
      </c>
      <c r="I2899" s="5">
        <v>27</v>
      </c>
      <c r="J2899" s="5">
        <v>0.9</v>
      </c>
      <c r="K2899" s="5">
        <f t="shared" si="183"/>
        <v>1</v>
      </c>
      <c r="L2899" s="5">
        <v>1</v>
      </c>
      <c r="M2899" s="5">
        <v>1</v>
      </c>
      <c r="N2899" t="s">
        <v>12</v>
      </c>
      <c r="O2899" s="8">
        <v>26.471232876712328</v>
      </c>
      <c r="P2899" t="s">
        <v>34</v>
      </c>
      <c r="Q2899">
        <v>3</v>
      </c>
      <c r="R2899" s="2">
        <v>36408</v>
      </c>
    </row>
    <row r="2900" spans="1:18" x14ac:dyDescent="0.3">
      <c r="A2900" t="s">
        <v>7</v>
      </c>
      <c r="B2900">
        <v>19004543</v>
      </c>
      <c r="C2900" t="s">
        <v>10</v>
      </c>
      <c r="D2900" s="4">
        <v>46070</v>
      </c>
      <c r="E2900" s="11">
        <f t="shared" si="180"/>
        <v>2026</v>
      </c>
      <c r="F2900" s="11">
        <f t="shared" si="181"/>
        <v>2</v>
      </c>
      <c r="G2900" s="11" t="str">
        <f t="shared" si="182"/>
        <v>202602</v>
      </c>
      <c r="H2900" s="4">
        <v>46112</v>
      </c>
      <c r="I2900" s="5">
        <v>42</v>
      </c>
      <c r="J2900" s="5">
        <v>1.4</v>
      </c>
      <c r="K2900" s="5">
        <f t="shared" si="183"/>
        <v>0</v>
      </c>
      <c r="L2900" s="5">
        <v>1</v>
      </c>
      <c r="M2900" s="5">
        <v>1</v>
      </c>
      <c r="N2900" t="s">
        <v>9</v>
      </c>
      <c r="O2900" s="8">
        <v>19.30958904109589</v>
      </c>
      <c r="P2900" t="s">
        <v>32</v>
      </c>
      <c r="Q2900">
        <v>1</v>
      </c>
      <c r="R2900" s="2">
        <v>39022</v>
      </c>
    </row>
    <row r="2901" spans="1:18" x14ac:dyDescent="0.3">
      <c r="A2901" t="s">
        <v>7</v>
      </c>
      <c r="B2901">
        <v>19004544</v>
      </c>
      <c r="C2901" t="s">
        <v>8</v>
      </c>
      <c r="D2901" s="4">
        <v>46070</v>
      </c>
      <c r="E2901" s="11">
        <f t="shared" si="180"/>
        <v>2026</v>
      </c>
      <c r="F2901" s="11">
        <f t="shared" si="181"/>
        <v>2</v>
      </c>
      <c r="G2901" s="11" t="str">
        <f t="shared" si="182"/>
        <v>202602</v>
      </c>
      <c r="H2901" s="4">
        <v>46091</v>
      </c>
      <c r="I2901" s="5">
        <v>21</v>
      </c>
      <c r="J2901" s="5">
        <v>0.7</v>
      </c>
      <c r="K2901" s="5">
        <f t="shared" si="183"/>
        <v>1</v>
      </c>
      <c r="L2901" s="5">
        <v>1</v>
      </c>
      <c r="M2901" s="5">
        <v>1</v>
      </c>
      <c r="N2901" t="s">
        <v>12</v>
      </c>
      <c r="O2901" s="8">
        <v>30.208219178082192</v>
      </c>
      <c r="P2901" t="s">
        <v>34</v>
      </c>
      <c r="Q2901">
        <v>3</v>
      </c>
      <c r="R2901" s="2">
        <v>35044</v>
      </c>
    </row>
    <row r="2902" spans="1:18" x14ac:dyDescent="0.3">
      <c r="A2902" t="s">
        <v>7</v>
      </c>
      <c r="B2902">
        <v>19004636</v>
      </c>
      <c r="C2902" t="s">
        <v>8</v>
      </c>
      <c r="D2902" s="4">
        <v>46072</v>
      </c>
      <c r="E2902" s="11">
        <f t="shared" si="180"/>
        <v>2026</v>
      </c>
      <c r="F2902" s="11">
        <f t="shared" si="181"/>
        <v>2</v>
      </c>
      <c r="G2902" s="11" t="str">
        <f t="shared" si="182"/>
        <v>202602</v>
      </c>
      <c r="H2902" s="4">
        <v>46082</v>
      </c>
      <c r="I2902" s="5">
        <v>10</v>
      </c>
      <c r="J2902" s="5">
        <v>0.33333333333333331</v>
      </c>
      <c r="K2902" s="5">
        <f t="shared" si="183"/>
        <v>1</v>
      </c>
      <c r="L2902" s="5">
        <v>1</v>
      </c>
      <c r="M2902" s="5">
        <v>1</v>
      </c>
      <c r="N2902" t="s">
        <v>9</v>
      </c>
      <c r="O2902" s="8">
        <v>20.397260273972602</v>
      </c>
      <c r="P2902" t="s">
        <v>32</v>
      </c>
      <c r="Q2902">
        <v>1</v>
      </c>
      <c r="R2902" s="2">
        <v>38627</v>
      </c>
    </row>
    <row r="2903" spans="1:18" x14ac:dyDescent="0.3">
      <c r="A2903" t="s">
        <v>7</v>
      </c>
      <c r="B2903">
        <v>19004637</v>
      </c>
      <c r="C2903" t="s">
        <v>8</v>
      </c>
      <c r="D2903" s="4">
        <v>46072</v>
      </c>
      <c r="E2903" s="11">
        <f t="shared" si="180"/>
        <v>2026</v>
      </c>
      <c r="F2903" s="11">
        <f t="shared" si="181"/>
        <v>2</v>
      </c>
      <c r="G2903" s="11" t="str">
        <f t="shared" si="182"/>
        <v>202602</v>
      </c>
      <c r="I2903" s="5">
        <v>9999</v>
      </c>
      <c r="J2903" s="5">
        <v>333.3</v>
      </c>
      <c r="K2903" s="5">
        <f t="shared" si="183"/>
        <v>0</v>
      </c>
      <c r="L2903" s="5">
        <v>0</v>
      </c>
      <c r="M2903" s="5">
        <v>0</v>
      </c>
      <c r="N2903" t="s">
        <v>9</v>
      </c>
      <c r="O2903" s="8">
        <v>18.19178082191781</v>
      </c>
      <c r="P2903" t="s">
        <v>32</v>
      </c>
      <c r="Q2903">
        <v>1</v>
      </c>
      <c r="R2903" s="2">
        <v>39432</v>
      </c>
    </row>
    <row r="2904" spans="1:18" x14ac:dyDescent="0.3">
      <c r="A2904" t="s">
        <v>7</v>
      </c>
      <c r="B2904">
        <v>19004813</v>
      </c>
      <c r="C2904" t="s">
        <v>10</v>
      </c>
      <c r="D2904" s="4">
        <v>46073</v>
      </c>
      <c r="E2904" s="11">
        <f t="shared" si="180"/>
        <v>2026</v>
      </c>
      <c r="F2904" s="11">
        <f t="shared" si="181"/>
        <v>2</v>
      </c>
      <c r="G2904" s="11" t="str">
        <f t="shared" si="182"/>
        <v>202602</v>
      </c>
      <c r="I2904" s="5">
        <v>9999</v>
      </c>
      <c r="J2904" s="5">
        <v>333.3</v>
      </c>
      <c r="K2904" s="5">
        <f t="shared" si="183"/>
        <v>0</v>
      </c>
      <c r="L2904" s="5">
        <v>0</v>
      </c>
      <c r="M2904" s="5">
        <v>0</v>
      </c>
      <c r="N2904" t="s">
        <v>12</v>
      </c>
      <c r="O2904" s="8">
        <v>18.435616438356163</v>
      </c>
      <c r="P2904" t="s">
        <v>32</v>
      </c>
      <c r="Q2904">
        <v>1</v>
      </c>
      <c r="R2904" s="2">
        <v>39344</v>
      </c>
    </row>
    <row r="2905" spans="1:18" x14ac:dyDescent="0.3">
      <c r="A2905" t="s">
        <v>7</v>
      </c>
      <c r="B2905">
        <v>19004834</v>
      </c>
      <c r="C2905" t="s">
        <v>8</v>
      </c>
      <c r="D2905" s="4">
        <v>46073</v>
      </c>
      <c r="E2905" s="11">
        <f t="shared" si="180"/>
        <v>2026</v>
      </c>
      <c r="F2905" s="11">
        <f t="shared" si="181"/>
        <v>2</v>
      </c>
      <c r="G2905" s="11" t="str">
        <f t="shared" si="182"/>
        <v>202602</v>
      </c>
      <c r="I2905" s="5">
        <v>9999</v>
      </c>
      <c r="J2905" s="5">
        <v>333.3</v>
      </c>
      <c r="K2905" s="5">
        <f t="shared" si="183"/>
        <v>0</v>
      </c>
      <c r="L2905" s="5">
        <v>0</v>
      </c>
      <c r="M2905" s="5">
        <v>0</v>
      </c>
      <c r="N2905" t="s">
        <v>9</v>
      </c>
      <c r="O2905" s="8">
        <v>23.82191780821918</v>
      </c>
      <c r="P2905" t="s">
        <v>33</v>
      </c>
      <c r="Q2905">
        <v>2</v>
      </c>
      <c r="R2905" s="2">
        <v>37378</v>
      </c>
    </row>
    <row r="2906" spans="1:18" x14ac:dyDescent="0.3">
      <c r="A2906" t="s">
        <v>7</v>
      </c>
      <c r="B2906">
        <v>19004844</v>
      </c>
      <c r="C2906" t="s">
        <v>8</v>
      </c>
      <c r="D2906" s="4">
        <v>46073</v>
      </c>
      <c r="E2906" s="11">
        <f t="shared" si="180"/>
        <v>2026</v>
      </c>
      <c r="F2906" s="11">
        <f t="shared" si="181"/>
        <v>2</v>
      </c>
      <c r="G2906" s="11" t="str">
        <f t="shared" si="182"/>
        <v>202602</v>
      </c>
      <c r="I2906" s="5">
        <v>9999</v>
      </c>
      <c r="J2906" s="5">
        <v>333.3</v>
      </c>
      <c r="K2906" s="5">
        <f t="shared" si="183"/>
        <v>0</v>
      </c>
      <c r="L2906" s="5">
        <v>0</v>
      </c>
      <c r="M2906" s="5">
        <v>0</v>
      </c>
      <c r="N2906" t="s">
        <v>9</v>
      </c>
      <c r="O2906" s="8">
        <v>18.704109589041096</v>
      </c>
      <c r="P2906" t="s">
        <v>32</v>
      </c>
      <c r="Q2906">
        <v>1</v>
      </c>
      <c r="R2906" s="2">
        <v>39246</v>
      </c>
    </row>
    <row r="2907" spans="1:18" x14ac:dyDescent="0.3">
      <c r="A2907" t="s">
        <v>7</v>
      </c>
      <c r="B2907">
        <v>19004871</v>
      </c>
      <c r="C2907" t="s">
        <v>8</v>
      </c>
      <c r="D2907" s="4">
        <v>46073</v>
      </c>
      <c r="E2907" s="11">
        <f t="shared" si="180"/>
        <v>2026</v>
      </c>
      <c r="F2907" s="11">
        <f t="shared" si="181"/>
        <v>2</v>
      </c>
      <c r="G2907" s="11" t="str">
        <f t="shared" si="182"/>
        <v>202602</v>
      </c>
      <c r="H2907" s="4">
        <v>46135</v>
      </c>
      <c r="I2907" s="5">
        <v>62</v>
      </c>
      <c r="J2907" s="5">
        <v>2.0666666666666669</v>
      </c>
      <c r="K2907" s="5">
        <f t="shared" si="183"/>
        <v>0</v>
      </c>
      <c r="L2907" s="5">
        <v>1</v>
      </c>
      <c r="M2907" s="5">
        <v>1</v>
      </c>
      <c r="N2907" t="s">
        <v>9</v>
      </c>
      <c r="O2907" s="8">
        <v>19.490410958904111</v>
      </c>
      <c r="P2907" t="s">
        <v>32</v>
      </c>
      <c r="Q2907">
        <v>1</v>
      </c>
      <c r="R2907" s="2">
        <v>38959</v>
      </c>
    </row>
    <row r="2908" spans="1:18" x14ac:dyDescent="0.3">
      <c r="A2908" t="s">
        <v>11</v>
      </c>
      <c r="B2908">
        <v>19004915</v>
      </c>
      <c r="C2908" t="s">
        <v>8</v>
      </c>
      <c r="D2908" s="4">
        <v>46073</v>
      </c>
      <c r="E2908" s="11">
        <f t="shared" si="180"/>
        <v>2026</v>
      </c>
      <c r="F2908" s="11">
        <f t="shared" si="181"/>
        <v>2</v>
      </c>
      <c r="G2908" s="11" t="str">
        <f t="shared" si="182"/>
        <v>202602</v>
      </c>
      <c r="H2908" s="4">
        <v>46173</v>
      </c>
      <c r="I2908" s="5">
        <v>100</v>
      </c>
      <c r="J2908" s="5">
        <v>3.3333333333333335</v>
      </c>
      <c r="K2908" s="5">
        <f t="shared" si="183"/>
        <v>0</v>
      </c>
      <c r="L2908" s="5">
        <v>0</v>
      </c>
      <c r="M2908" s="5">
        <v>1</v>
      </c>
      <c r="N2908" t="s">
        <v>9</v>
      </c>
      <c r="O2908" s="8">
        <v>48.863013698630134</v>
      </c>
      <c r="P2908" t="s">
        <v>35</v>
      </c>
      <c r="Q2908">
        <v>4</v>
      </c>
      <c r="R2908" s="2">
        <v>28238</v>
      </c>
    </row>
    <row r="2909" spans="1:18" x14ac:dyDescent="0.3">
      <c r="A2909" t="s">
        <v>7</v>
      </c>
      <c r="B2909">
        <v>19005077</v>
      </c>
      <c r="C2909" t="s">
        <v>8</v>
      </c>
      <c r="D2909" s="4">
        <v>46076</v>
      </c>
      <c r="E2909" s="11">
        <f t="shared" si="180"/>
        <v>2026</v>
      </c>
      <c r="F2909" s="11">
        <f t="shared" si="181"/>
        <v>2</v>
      </c>
      <c r="G2909" s="11" t="str">
        <f t="shared" si="182"/>
        <v>202602</v>
      </c>
      <c r="I2909" s="5">
        <v>9999</v>
      </c>
      <c r="J2909" s="5">
        <v>333.3</v>
      </c>
      <c r="K2909" s="5">
        <f t="shared" si="183"/>
        <v>0</v>
      </c>
      <c r="L2909" s="5">
        <v>0</v>
      </c>
      <c r="M2909" s="5">
        <v>0</v>
      </c>
      <c r="N2909" t="s">
        <v>9</v>
      </c>
      <c r="O2909" s="8">
        <v>28.778082191780822</v>
      </c>
      <c r="P2909" t="s">
        <v>34</v>
      </c>
      <c r="Q2909">
        <v>3</v>
      </c>
      <c r="R2909" s="2">
        <v>35572</v>
      </c>
    </row>
    <row r="2910" spans="1:18" x14ac:dyDescent="0.3">
      <c r="A2910" t="s">
        <v>7</v>
      </c>
      <c r="B2910">
        <v>19005084</v>
      </c>
      <c r="C2910" t="s">
        <v>10</v>
      </c>
      <c r="D2910" s="4">
        <v>46076</v>
      </c>
      <c r="E2910" s="11">
        <f t="shared" si="180"/>
        <v>2026</v>
      </c>
      <c r="F2910" s="11">
        <f t="shared" si="181"/>
        <v>2</v>
      </c>
      <c r="G2910" s="11" t="str">
        <f t="shared" si="182"/>
        <v>202602</v>
      </c>
      <c r="H2910" s="4">
        <v>46153</v>
      </c>
      <c r="I2910" s="5">
        <v>77</v>
      </c>
      <c r="J2910" s="5">
        <v>2.5666666666666669</v>
      </c>
      <c r="K2910" s="5">
        <f t="shared" si="183"/>
        <v>0</v>
      </c>
      <c r="L2910" s="5">
        <v>1</v>
      </c>
      <c r="M2910" s="5">
        <v>1</v>
      </c>
      <c r="N2910" t="s">
        <v>9</v>
      </c>
      <c r="O2910" s="8">
        <v>20.142465753424659</v>
      </c>
      <c r="P2910" t="s">
        <v>32</v>
      </c>
      <c r="Q2910">
        <v>1</v>
      </c>
      <c r="R2910" s="2">
        <v>38724</v>
      </c>
    </row>
    <row r="2911" spans="1:18" x14ac:dyDescent="0.3">
      <c r="A2911" t="s">
        <v>7</v>
      </c>
      <c r="B2911">
        <v>19005085</v>
      </c>
      <c r="C2911" t="s">
        <v>8</v>
      </c>
      <c r="D2911" s="4">
        <v>46076</v>
      </c>
      <c r="E2911" s="11">
        <f t="shared" si="180"/>
        <v>2026</v>
      </c>
      <c r="F2911" s="11">
        <f t="shared" si="181"/>
        <v>2</v>
      </c>
      <c r="G2911" s="11" t="str">
        <f t="shared" si="182"/>
        <v>202602</v>
      </c>
      <c r="I2911" s="5">
        <v>9999</v>
      </c>
      <c r="J2911" s="5">
        <v>333.3</v>
      </c>
      <c r="K2911" s="5">
        <f t="shared" si="183"/>
        <v>0</v>
      </c>
      <c r="L2911" s="5">
        <v>0</v>
      </c>
      <c r="M2911" s="5">
        <v>0</v>
      </c>
      <c r="N2911" t="s">
        <v>9</v>
      </c>
      <c r="O2911" s="8">
        <v>20.961643835616439</v>
      </c>
      <c r="P2911" t="s">
        <v>32</v>
      </c>
      <c r="Q2911">
        <v>1</v>
      </c>
      <c r="R2911" s="2">
        <v>38425</v>
      </c>
    </row>
    <row r="2912" spans="1:18" x14ac:dyDescent="0.3">
      <c r="A2912" t="s">
        <v>11</v>
      </c>
      <c r="B2912">
        <v>19005093</v>
      </c>
      <c r="C2912" t="s">
        <v>8</v>
      </c>
      <c r="D2912" s="4">
        <v>46076</v>
      </c>
      <c r="E2912" s="11">
        <f t="shared" si="180"/>
        <v>2026</v>
      </c>
      <c r="F2912" s="11">
        <f t="shared" si="181"/>
        <v>2</v>
      </c>
      <c r="G2912" s="11" t="str">
        <f t="shared" si="182"/>
        <v>202602</v>
      </c>
      <c r="I2912" s="5">
        <v>9999</v>
      </c>
      <c r="J2912" s="5">
        <v>333.3</v>
      </c>
      <c r="K2912" s="5">
        <f t="shared" si="183"/>
        <v>0</v>
      </c>
      <c r="L2912" s="5">
        <v>0</v>
      </c>
      <c r="M2912" s="5">
        <v>0</v>
      </c>
      <c r="N2912" t="s">
        <v>9</v>
      </c>
      <c r="O2912" s="8">
        <v>20.635616438356163</v>
      </c>
      <c r="P2912" t="s">
        <v>32</v>
      </c>
      <c r="Q2912">
        <v>1</v>
      </c>
      <c r="R2912" s="2">
        <v>38544</v>
      </c>
    </row>
    <row r="2913" spans="1:18" x14ac:dyDescent="0.3">
      <c r="A2913" t="s">
        <v>7</v>
      </c>
      <c r="B2913">
        <v>19005142</v>
      </c>
      <c r="C2913" t="s">
        <v>8</v>
      </c>
      <c r="D2913" s="4">
        <v>46076</v>
      </c>
      <c r="E2913" s="11">
        <f t="shared" si="180"/>
        <v>2026</v>
      </c>
      <c r="F2913" s="11">
        <f t="shared" si="181"/>
        <v>2</v>
      </c>
      <c r="G2913" s="11" t="str">
        <f t="shared" si="182"/>
        <v>202602</v>
      </c>
      <c r="I2913" s="5">
        <v>9999</v>
      </c>
      <c r="J2913" s="5">
        <v>333.3</v>
      </c>
      <c r="K2913" s="5">
        <f t="shared" si="183"/>
        <v>0</v>
      </c>
      <c r="L2913" s="5">
        <v>0</v>
      </c>
      <c r="M2913" s="5">
        <v>0</v>
      </c>
      <c r="N2913" t="s">
        <v>9</v>
      </c>
      <c r="O2913" s="8">
        <v>19.917808219178081</v>
      </c>
      <c r="P2913" t="s">
        <v>32</v>
      </c>
      <c r="Q2913">
        <v>1</v>
      </c>
      <c r="R2913" s="2">
        <v>38806</v>
      </c>
    </row>
    <row r="2914" spans="1:18" x14ac:dyDescent="0.3">
      <c r="A2914" t="s">
        <v>7</v>
      </c>
      <c r="B2914">
        <v>19005143</v>
      </c>
      <c r="C2914" t="s">
        <v>10</v>
      </c>
      <c r="D2914" s="4">
        <v>46076</v>
      </c>
      <c r="E2914" s="11">
        <f t="shared" si="180"/>
        <v>2026</v>
      </c>
      <c r="F2914" s="11">
        <f t="shared" si="181"/>
        <v>2</v>
      </c>
      <c r="G2914" s="11" t="str">
        <f t="shared" si="182"/>
        <v>202602</v>
      </c>
      <c r="I2914" s="5">
        <v>9999</v>
      </c>
      <c r="J2914" s="5">
        <v>333.3</v>
      </c>
      <c r="K2914" s="5">
        <f t="shared" si="183"/>
        <v>0</v>
      </c>
      <c r="L2914" s="5">
        <v>0</v>
      </c>
      <c r="M2914" s="5">
        <v>0</v>
      </c>
      <c r="N2914" t="s">
        <v>9</v>
      </c>
      <c r="O2914" s="8">
        <v>22.452054794520549</v>
      </c>
      <c r="P2914" t="s">
        <v>33</v>
      </c>
      <c r="Q2914">
        <v>2</v>
      </c>
      <c r="R2914" s="2">
        <v>37881</v>
      </c>
    </row>
    <row r="2915" spans="1:18" x14ac:dyDescent="0.3">
      <c r="A2915" t="s">
        <v>7</v>
      </c>
      <c r="B2915">
        <v>19005144</v>
      </c>
      <c r="C2915" t="s">
        <v>10</v>
      </c>
      <c r="D2915" s="4">
        <v>46076</v>
      </c>
      <c r="E2915" s="11">
        <f t="shared" si="180"/>
        <v>2026</v>
      </c>
      <c r="F2915" s="11">
        <f t="shared" si="181"/>
        <v>2</v>
      </c>
      <c r="G2915" s="11" t="str">
        <f t="shared" si="182"/>
        <v>202602</v>
      </c>
      <c r="H2915" s="4">
        <v>46092</v>
      </c>
      <c r="I2915" s="5">
        <v>16</v>
      </c>
      <c r="J2915" s="5">
        <v>0.53333333333333333</v>
      </c>
      <c r="K2915" s="5">
        <f t="shared" si="183"/>
        <v>1</v>
      </c>
      <c r="L2915" s="5">
        <v>1</v>
      </c>
      <c r="M2915" s="5">
        <v>1</v>
      </c>
      <c r="N2915" t="s">
        <v>9</v>
      </c>
      <c r="O2915" s="8">
        <v>20.317808219178083</v>
      </c>
      <c r="P2915" t="s">
        <v>32</v>
      </c>
      <c r="Q2915">
        <v>1</v>
      </c>
      <c r="R2915" s="2">
        <v>38660</v>
      </c>
    </row>
    <row r="2916" spans="1:18" x14ac:dyDescent="0.3">
      <c r="A2916" t="s">
        <v>7</v>
      </c>
      <c r="B2916">
        <v>19005145</v>
      </c>
      <c r="C2916" t="s">
        <v>8</v>
      </c>
      <c r="D2916" s="4">
        <v>46076</v>
      </c>
      <c r="E2916" s="11">
        <f t="shared" si="180"/>
        <v>2026</v>
      </c>
      <c r="F2916" s="11">
        <f t="shared" si="181"/>
        <v>2</v>
      </c>
      <c r="G2916" s="11" t="str">
        <f t="shared" si="182"/>
        <v>202602</v>
      </c>
      <c r="I2916" s="5">
        <v>9999</v>
      </c>
      <c r="J2916" s="5">
        <v>333.3</v>
      </c>
      <c r="K2916" s="5">
        <f t="shared" si="183"/>
        <v>0</v>
      </c>
      <c r="L2916" s="5">
        <v>0</v>
      </c>
      <c r="M2916" s="5">
        <v>0</v>
      </c>
      <c r="N2916" t="s">
        <v>9</v>
      </c>
      <c r="O2916" s="8">
        <v>21.112328767123287</v>
      </c>
      <c r="P2916" t="s">
        <v>33</v>
      </c>
      <c r="Q2916">
        <v>2</v>
      </c>
      <c r="R2916" s="2">
        <v>38370</v>
      </c>
    </row>
    <row r="2917" spans="1:18" x14ac:dyDescent="0.3">
      <c r="A2917" t="s">
        <v>7</v>
      </c>
      <c r="B2917">
        <v>19005156</v>
      </c>
      <c r="C2917" t="s">
        <v>8</v>
      </c>
      <c r="D2917" s="4">
        <v>46076</v>
      </c>
      <c r="E2917" s="11">
        <f t="shared" si="180"/>
        <v>2026</v>
      </c>
      <c r="F2917" s="11">
        <f t="shared" si="181"/>
        <v>2</v>
      </c>
      <c r="G2917" s="11" t="str">
        <f t="shared" si="182"/>
        <v>202602</v>
      </c>
      <c r="H2917" s="4">
        <v>46082</v>
      </c>
      <c r="I2917" s="5">
        <v>6</v>
      </c>
      <c r="J2917" s="5">
        <v>0.2</v>
      </c>
      <c r="K2917" s="5">
        <f t="shared" si="183"/>
        <v>1</v>
      </c>
      <c r="L2917" s="5">
        <v>1</v>
      </c>
      <c r="M2917" s="5">
        <v>1</v>
      </c>
      <c r="N2917" t="s">
        <v>9</v>
      </c>
      <c r="O2917" s="8">
        <v>21.572602739726026</v>
      </c>
      <c r="P2917" t="s">
        <v>33</v>
      </c>
      <c r="Q2917">
        <v>2</v>
      </c>
      <c r="R2917" s="2">
        <v>38202</v>
      </c>
    </row>
    <row r="2918" spans="1:18" x14ac:dyDescent="0.3">
      <c r="A2918" t="s">
        <v>7</v>
      </c>
      <c r="B2918">
        <v>19005224</v>
      </c>
      <c r="C2918" t="s">
        <v>8</v>
      </c>
      <c r="D2918" s="4">
        <v>46076</v>
      </c>
      <c r="E2918" s="11">
        <f t="shared" si="180"/>
        <v>2026</v>
      </c>
      <c r="F2918" s="11">
        <f t="shared" si="181"/>
        <v>2</v>
      </c>
      <c r="G2918" s="11" t="str">
        <f t="shared" si="182"/>
        <v>202602</v>
      </c>
      <c r="I2918" s="5">
        <v>9999</v>
      </c>
      <c r="J2918" s="5">
        <v>333.3</v>
      </c>
      <c r="K2918" s="5">
        <f t="shared" si="183"/>
        <v>0</v>
      </c>
      <c r="L2918" s="5">
        <v>0</v>
      </c>
      <c r="M2918" s="5">
        <v>0</v>
      </c>
      <c r="N2918" t="s">
        <v>9</v>
      </c>
      <c r="O2918" s="8">
        <v>19.356164383561644</v>
      </c>
      <c r="P2918" t="s">
        <v>32</v>
      </c>
      <c r="Q2918">
        <v>1</v>
      </c>
      <c r="R2918" s="2">
        <v>39011</v>
      </c>
    </row>
    <row r="2919" spans="1:18" x14ac:dyDescent="0.3">
      <c r="A2919" t="s">
        <v>7</v>
      </c>
      <c r="B2919">
        <v>19005229</v>
      </c>
      <c r="C2919" t="s">
        <v>8</v>
      </c>
      <c r="D2919" s="4">
        <v>46076</v>
      </c>
      <c r="E2919" s="11">
        <f t="shared" si="180"/>
        <v>2026</v>
      </c>
      <c r="F2919" s="11">
        <f t="shared" si="181"/>
        <v>2</v>
      </c>
      <c r="G2919" s="11" t="str">
        <f t="shared" si="182"/>
        <v>202602</v>
      </c>
      <c r="I2919" s="5">
        <v>9999</v>
      </c>
      <c r="J2919" s="5">
        <v>333.3</v>
      </c>
      <c r="K2919" s="5">
        <f t="shared" si="183"/>
        <v>0</v>
      </c>
      <c r="L2919" s="5">
        <v>0</v>
      </c>
      <c r="M2919" s="5">
        <v>0</v>
      </c>
      <c r="N2919" t="s">
        <v>9</v>
      </c>
      <c r="O2919" s="8">
        <v>22.227397260273971</v>
      </c>
      <c r="P2919" t="s">
        <v>33</v>
      </c>
      <c r="Q2919">
        <v>2</v>
      </c>
      <c r="R2919" s="2">
        <v>37963</v>
      </c>
    </row>
    <row r="2920" spans="1:18" x14ac:dyDescent="0.3">
      <c r="A2920" t="s">
        <v>7</v>
      </c>
      <c r="B2920">
        <v>19005234</v>
      </c>
      <c r="C2920" t="s">
        <v>10</v>
      </c>
      <c r="D2920" s="4">
        <v>46076</v>
      </c>
      <c r="E2920" s="11">
        <f t="shared" si="180"/>
        <v>2026</v>
      </c>
      <c r="F2920" s="11">
        <f t="shared" si="181"/>
        <v>2</v>
      </c>
      <c r="G2920" s="11" t="str">
        <f t="shared" si="182"/>
        <v>202602</v>
      </c>
      <c r="I2920" s="5">
        <v>9999</v>
      </c>
      <c r="J2920" s="5">
        <v>333.3</v>
      </c>
      <c r="K2920" s="5">
        <f t="shared" si="183"/>
        <v>0</v>
      </c>
      <c r="L2920" s="5">
        <v>0</v>
      </c>
      <c r="M2920" s="5">
        <v>0</v>
      </c>
      <c r="N2920" t="s">
        <v>9</v>
      </c>
      <c r="O2920" s="8">
        <v>20.016438356164382</v>
      </c>
      <c r="P2920" t="s">
        <v>32</v>
      </c>
      <c r="Q2920">
        <v>1</v>
      </c>
      <c r="R2920" s="2">
        <v>38770</v>
      </c>
    </row>
    <row r="2921" spans="1:18" x14ac:dyDescent="0.3">
      <c r="A2921" t="s">
        <v>7</v>
      </c>
      <c r="B2921">
        <v>19005235</v>
      </c>
      <c r="C2921" t="s">
        <v>8</v>
      </c>
      <c r="D2921" s="4">
        <v>46076</v>
      </c>
      <c r="E2921" s="11">
        <f t="shared" si="180"/>
        <v>2026</v>
      </c>
      <c r="F2921" s="11">
        <f t="shared" si="181"/>
        <v>2</v>
      </c>
      <c r="G2921" s="11" t="str">
        <f t="shared" si="182"/>
        <v>202602</v>
      </c>
      <c r="I2921" s="5">
        <v>9999</v>
      </c>
      <c r="J2921" s="5">
        <v>333.3</v>
      </c>
      <c r="K2921" s="5">
        <f t="shared" si="183"/>
        <v>0</v>
      </c>
      <c r="L2921" s="5">
        <v>0</v>
      </c>
      <c r="M2921" s="5">
        <v>0</v>
      </c>
      <c r="N2921" t="s">
        <v>9</v>
      </c>
      <c r="O2921" s="8">
        <v>25.090410958904108</v>
      </c>
      <c r="P2921" t="s">
        <v>33</v>
      </c>
      <c r="Q2921">
        <v>2</v>
      </c>
      <c r="R2921" s="2">
        <v>36918</v>
      </c>
    </row>
    <row r="2922" spans="1:18" x14ac:dyDescent="0.3">
      <c r="A2922" t="s">
        <v>7</v>
      </c>
      <c r="B2922">
        <v>19005237</v>
      </c>
      <c r="C2922" t="s">
        <v>8</v>
      </c>
      <c r="D2922" s="4">
        <v>46076</v>
      </c>
      <c r="E2922" s="11">
        <f t="shared" si="180"/>
        <v>2026</v>
      </c>
      <c r="F2922" s="11">
        <f t="shared" si="181"/>
        <v>2</v>
      </c>
      <c r="G2922" s="11" t="str">
        <f t="shared" si="182"/>
        <v>202602</v>
      </c>
      <c r="I2922" s="5">
        <v>9999</v>
      </c>
      <c r="J2922" s="5">
        <v>333.3</v>
      </c>
      <c r="K2922" s="5">
        <f t="shared" si="183"/>
        <v>0</v>
      </c>
      <c r="L2922" s="5">
        <v>0</v>
      </c>
      <c r="M2922" s="5">
        <v>0</v>
      </c>
      <c r="N2922" t="s">
        <v>9</v>
      </c>
      <c r="O2922" s="8">
        <v>20.608219178082191</v>
      </c>
      <c r="P2922" t="s">
        <v>32</v>
      </c>
      <c r="Q2922">
        <v>1</v>
      </c>
      <c r="R2922" s="2">
        <v>38554</v>
      </c>
    </row>
    <row r="2923" spans="1:18" x14ac:dyDescent="0.3">
      <c r="A2923" t="s">
        <v>7</v>
      </c>
      <c r="B2923">
        <v>19005275</v>
      </c>
      <c r="C2923" t="s">
        <v>8</v>
      </c>
      <c r="D2923" s="4">
        <v>46076</v>
      </c>
      <c r="E2923" s="11">
        <f t="shared" si="180"/>
        <v>2026</v>
      </c>
      <c r="F2923" s="11">
        <f t="shared" si="181"/>
        <v>2</v>
      </c>
      <c r="G2923" s="11" t="str">
        <f t="shared" si="182"/>
        <v>202602</v>
      </c>
      <c r="I2923" s="5">
        <v>9999</v>
      </c>
      <c r="J2923" s="5">
        <v>333.3</v>
      </c>
      <c r="K2923" s="5">
        <f t="shared" si="183"/>
        <v>0</v>
      </c>
      <c r="L2923" s="5">
        <v>0</v>
      </c>
      <c r="M2923" s="5">
        <v>0</v>
      </c>
      <c r="N2923" t="s">
        <v>9</v>
      </c>
      <c r="O2923" s="8">
        <v>18.969863013698632</v>
      </c>
      <c r="P2923" t="s">
        <v>32</v>
      </c>
      <c r="Q2923">
        <v>1</v>
      </c>
      <c r="R2923" s="2">
        <v>39152</v>
      </c>
    </row>
    <row r="2924" spans="1:18" x14ac:dyDescent="0.3">
      <c r="A2924" t="s">
        <v>7</v>
      </c>
      <c r="B2924">
        <v>19005456</v>
      </c>
      <c r="C2924" t="s">
        <v>8</v>
      </c>
      <c r="D2924" s="4">
        <v>46077</v>
      </c>
      <c r="E2924" s="11">
        <f t="shared" si="180"/>
        <v>2026</v>
      </c>
      <c r="F2924" s="11">
        <f t="shared" si="181"/>
        <v>2</v>
      </c>
      <c r="G2924" s="11" t="str">
        <f t="shared" si="182"/>
        <v>202602</v>
      </c>
      <c r="I2924" s="5">
        <v>9999</v>
      </c>
      <c r="J2924" s="5">
        <v>333.3</v>
      </c>
      <c r="K2924" s="5">
        <f t="shared" si="183"/>
        <v>0</v>
      </c>
      <c r="L2924" s="5">
        <v>0</v>
      </c>
      <c r="M2924" s="5">
        <v>0</v>
      </c>
      <c r="N2924" t="s">
        <v>9</v>
      </c>
      <c r="O2924" s="8">
        <v>21.484931506849314</v>
      </c>
      <c r="P2924" t="s">
        <v>33</v>
      </c>
      <c r="Q2924">
        <v>2</v>
      </c>
      <c r="R2924" s="2">
        <v>38235</v>
      </c>
    </row>
    <row r="2925" spans="1:18" x14ac:dyDescent="0.3">
      <c r="A2925" t="s">
        <v>7</v>
      </c>
      <c r="B2925">
        <v>19005467</v>
      </c>
      <c r="C2925" t="s">
        <v>8</v>
      </c>
      <c r="D2925" s="4">
        <v>46077</v>
      </c>
      <c r="E2925" s="11">
        <f t="shared" si="180"/>
        <v>2026</v>
      </c>
      <c r="F2925" s="11">
        <f t="shared" si="181"/>
        <v>2</v>
      </c>
      <c r="G2925" s="11" t="str">
        <f t="shared" si="182"/>
        <v>202602</v>
      </c>
      <c r="I2925" s="5">
        <v>9999</v>
      </c>
      <c r="J2925" s="5">
        <v>333.3</v>
      </c>
      <c r="K2925" s="5">
        <f t="shared" si="183"/>
        <v>0</v>
      </c>
      <c r="L2925" s="5">
        <v>0</v>
      </c>
      <c r="M2925" s="5">
        <v>0</v>
      </c>
      <c r="N2925" t="s">
        <v>9</v>
      </c>
      <c r="O2925" s="8">
        <v>21.975342465753425</v>
      </c>
      <c r="P2925" t="s">
        <v>33</v>
      </c>
      <c r="Q2925">
        <v>2</v>
      </c>
      <c r="R2925" s="2">
        <v>38056</v>
      </c>
    </row>
    <row r="2926" spans="1:18" x14ac:dyDescent="0.3">
      <c r="A2926" t="s">
        <v>7</v>
      </c>
      <c r="B2926">
        <v>19005470</v>
      </c>
      <c r="C2926" t="s">
        <v>10</v>
      </c>
      <c r="D2926" s="4">
        <v>46077</v>
      </c>
      <c r="E2926" s="11">
        <f t="shared" si="180"/>
        <v>2026</v>
      </c>
      <c r="F2926" s="11">
        <f t="shared" si="181"/>
        <v>2</v>
      </c>
      <c r="G2926" s="11" t="str">
        <f t="shared" si="182"/>
        <v>202602</v>
      </c>
      <c r="H2926" s="4">
        <v>46136</v>
      </c>
      <c r="I2926" s="5">
        <v>59</v>
      </c>
      <c r="J2926" s="5">
        <v>1.9666666666666666</v>
      </c>
      <c r="K2926" s="5">
        <f t="shared" si="183"/>
        <v>0</v>
      </c>
      <c r="L2926" s="5">
        <v>1</v>
      </c>
      <c r="M2926" s="5">
        <v>1</v>
      </c>
      <c r="N2926" t="s">
        <v>9</v>
      </c>
      <c r="O2926" s="8">
        <v>18.252054794520546</v>
      </c>
      <c r="P2926" t="s">
        <v>32</v>
      </c>
      <c r="Q2926">
        <v>1</v>
      </c>
      <c r="R2926" s="2">
        <v>39415</v>
      </c>
    </row>
    <row r="2927" spans="1:18" x14ac:dyDescent="0.3">
      <c r="A2927" t="s">
        <v>7</v>
      </c>
      <c r="B2927">
        <v>19005475</v>
      </c>
      <c r="C2927" t="s">
        <v>10</v>
      </c>
      <c r="D2927" s="4">
        <v>46077</v>
      </c>
      <c r="E2927" s="11">
        <f t="shared" si="180"/>
        <v>2026</v>
      </c>
      <c r="F2927" s="11">
        <f t="shared" si="181"/>
        <v>2</v>
      </c>
      <c r="G2927" s="11" t="str">
        <f t="shared" si="182"/>
        <v>202602</v>
      </c>
      <c r="I2927" s="5">
        <v>9999</v>
      </c>
      <c r="J2927" s="5">
        <v>333.3</v>
      </c>
      <c r="K2927" s="5">
        <f t="shared" si="183"/>
        <v>0</v>
      </c>
      <c r="L2927" s="5">
        <v>0</v>
      </c>
      <c r="M2927" s="5">
        <v>0</v>
      </c>
      <c r="N2927" t="s">
        <v>9</v>
      </c>
      <c r="O2927" s="8">
        <v>19.575342465753426</v>
      </c>
      <c r="P2927" t="s">
        <v>32</v>
      </c>
      <c r="Q2927">
        <v>1</v>
      </c>
      <c r="R2927" s="2">
        <v>38932</v>
      </c>
    </row>
    <row r="2928" spans="1:18" x14ac:dyDescent="0.3">
      <c r="A2928" t="s">
        <v>7</v>
      </c>
      <c r="B2928">
        <v>19005499</v>
      </c>
      <c r="C2928" t="s">
        <v>8</v>
      </c>
      <c r="D2928" s="4">
        <v>46077</v>
      </c>
      <c r="E2928" s="11">
        <f t="shared" si="180"/>
        <v>2026</v>
      </c>
      <c r="F2928" s="11">
        <f t="shared" si="181"/>
        <v>2</v>
      </c>
      <c r="G2928" s="11" t="str">
        <f t="shared" si="182"/>
        <v>202602</v>
      </c>
      <c r="I2928" s="5">
        <v>9999</v>
      </c>
      <c r="J2928" s="5">
        <v>333.3</v>
      </c>
      <c r="K2928" s="5">
        <f t="shared" si="183"/>
        <v>0</v>
      </c>
      <c r="L2928" s="5">
        <v>0</v>
      </c>
      <c r="M2928" s="5">
        <v>0</v>
      </c>
      <c r="N2928" t="s">
        <v>9</v>
      </c>
      <c r="O2928" s="8">
        <v>18.961643835616439</v>
      </c>
      <c r="P2928" t="s">
        <v>32</v>
      </c>
      <c r="Q2928">
        <v>1</v>
      </c>
      <c r="R2928" s="2">
        <v>39156</v>
      </c>
    </row>
    <row r="2929" spans="1:18" x14ac:dyDescent="0.3">
      <c r="A2929" t="s">
        <v>7</v>
      </c>
      <c r="B2929">
        <v>19005545</v>
      </c>
      <c r="C2929" t="s">
        <v>10</v>
      </c>
      <c r="D2929" s="4">
        <v>46077</v>
      </c>
      <c r="E2929" s="11">
        <f t="shared" si="180"/>
        <v>2026</v>
      </c>
      <c r="F2929" s="11">
        <f t="shared" si="181"/>
        <v>2</v>
      </c>
      <c r="G2929" s="11" t="str">
        <f t="shared" si="182"/>
        <v>202602</v>
      </c>
      <c r="H2929" s="4">
        <v>46112</v>
      </c>
      <c r="I2929" s="5">
        <v>35</v>
      </c>
      <c r="J2929" s="5">
        <v>1.1666666666666667</v>
      </c>
      <c r="K2929" s="5">
        <f t="shared" si="183"/>
        <v>0</v>
      </c>
      <c r="L2929" s="5">
        <v>1</v>
      </c>
      <c r="M2929" s="5">
        <v>1</v>
      </c>
      <c r="N2929" t="s">
        <v>9</v>
      </c>
      <c r="O2929" s="8">
        <v>19.142465753424659</v>
      </c>
      <c r="P2929" t="s">
        <v>32</v>
      </c>
      <c r="Q2929">
        <v>1</v>
      </c>
      <c r="R2929" s="2">
        <v>39090</v>
      </c>
    </row>
    <row r="2930" spans="1:18" x14ac:dyDescent="0.3">
      <c r="A2930" t="s">
        <v>7</v>
      </c>
      <c r="B2930">
        <v>19005547</v>
      </c>
      <c r="C2930" t="s">
        <v>8</v>
      </c>
      <c r="D2930" s="4">
        <v>46077</v>
      </c>
      <c r="E2930" s="11">
        <f t="shared" si="180"/>
        <v>2026</v>
      </c>
      <c r="F2930" s="11">
        <f t="shared" si="181"/>
        <v>2</v>
      </c>
      <c r="G2930" s="11" t="str">
        <f t="shared" si="182"/>
        <v>202602</v>
      </c>
      <c r="H2930" s="4">
        <v>46090</v>
      </c>
      <c r="I2930" s="5">
        <v>13</v>
      </c>
      <c r="J2930" s="5">
        <v>0.43333333333333335</v>
      </c>
      <c r="K2930" s="5">
        <f t="shared" si="183"/>
        <v>1</v>
      </c>
      <c r="L2930" s="5">
        <v>1</v>
      </c>
      <c r="M2930" s="5">
        <v>1</v>
      </c>
      <c r="N2930" t="s">
        <v>9</v>
      </c>
      <c r="O2930" s="8">
        <v>21.065753424657533</v>
      </c>
      <c r="P2930" t="s">
        <v>33</v>
      </c>
      <c r="Q2930">
        <v>2</v>
      </c>
      <c r="R2930" s="2">
        <v>38388</v>
      </c>
    </row>
    <row r="2931" spans="1:18" x14ac:dyDescent="0.3">
      <c r="A2931" t="s">
        <v>7</v>
      </c>
      <c r="B2931">
        <v>19005554</v>
      </c>
      <c r="C2931" t="s">
        <v>10</v>
      </c>
      <c r="D2931" s="4">
        <v>46077</v>
      </c>
      <c r="E2931" s="11">
        <f t="shared" si="180"/>
        <v>2026</v>
      </c>
      <c r="F2931" s="11">
        <f t="shared" si="181"/>
        <v>2</v>
      </c>
      <c r="G2931" s="11" t="str">
        <f t="shared" si="182"/>
        <v>202602</v>
      </c>
      <c r="I2931" s="5">
        <v>9999</v>
      </c>
      <c r="J2931" s="5">
        <v>333.3</v>
      </c>
      <c r="K2931" s="5">
        <f t="shared" si="183"/>
        <v>0</v>
      </c>
      <c r="L2931" s="5">
        <v>0</v>
      </c>
      <c r="M2931" s="5">
        <v>0</v>
      </c>
      <c r="N2931" t="s">
        <v>9</v>
      </c>
      <c r="O2931" s="8">
        <v>20.243835616438357</v>
      </c>
      <c r="P2931" t="s">
        <v>32</v>
      </c>
      <c r="Q2931">
        <v>1</v>
      </c>
      <c r="R2931" s="2">
        <v>38688</v>
      </c>
    </row>
    <row r="2932" spans="1:18" x14ac:dyDescent="0.3">
      <c r="A2932" t="s">
        <v>7</v>
      </c>
      <c r="B2932">
        <v>19005555</v>
      </c>
      <c r="C2932" t="s">
        <v>8</v>
      </c>
      <c r="D2932" s="4">
        <v>46077</v>
      </c>
      <c r="E2932" s="11">
        <f t="shared" si="180"/>
        <v>2026</v>
      </c>
      <c r="F2932" s="11">
        <f t="shared" si="181"/>
        <v>2</v>
      </c>
      <c r="G2932" s="11" t="str">
        <f t="shared" si="182"/>
        <v>202602</v>
      </c>
      <c r="I2932" s="5">
        <v>9999</v>
      </c>
      <c r="J2932" s="5">
        <v>333.3</v>
      </c>
      <c r="K2932" s="5">
        <f t="shared" si="183"/>
        <v>0</v>
      </c>
      <c r="L2932" s="5">
        <v>0</v>
      </c>
      <c r="M2932" s="5">
        <v>0</v>
      </c>
      <c r="N2932" t="s">
        <v>9</v>
      </c>
      <c r="O2932" s="8">
        <v>21.82191780821918</v>
      </c>
      <c r="P2932" t="s">
        <v>33</v>
      </c>
      <c r="Q2932">
        <v>2</v>
      </c>
      <c r="R2932" s="2">
        <v>38112</v>
      </c>
    </row>
    <row r="2933" spans="1:18" x14ac:dyDescent="0.3">
      <c r="A2933" t="s">
        <v>11</v>
      </c>
      <c r="B2933">
        <v>19005572</v>
      </c>
      <c r="C2933" t="s">
        <v>8</v>
      </c>
      <c r="D2933" s="4">
        <v>46077</v>
      </c>
      <c r="E2933" s="11">
        <f t="shared" si="180"/>
        <v>2026</v>
      </c>
      <c r="F2933" s="11">
        <f t="shared" si="181"/>
        <v>2</v>
      </c>
      <c r="G2933" s="11" t="str">
        <f t="shared" si="182"/>
        <v>202602</v>
      </c>
      <c r="H2933" s="4">
        <v>46083</v>
      </c>
      <c r="I2933" s="5">
        <v>6</v>
      </c>
      <c r="J2933" s="5">
        <v>0.2</v>
      </c>
      <c r="K2933" s="5">
        <f t="shared" si="183"/>
        <v>1</v>
      </c>
      <c r="L2933" s="5">
        <v>1</v>
      </c>
      <c r="M2933" s="5">
        <v>1</v>
      </c>
      <c r="N2933" t="s">
        <v>9</v>
      </c>
      <c r="O2933" s="8">
        <v>35.136986301369866</v>
      </c>
      <c r="P2933" t="s">
        <v>35</v>
      </c>
      <c r="Q2933">
        <v>4</v>
      </c>
      <c r="R2933" s="2">
        <v>33252</v>
      </c>
    </row>
    <row r="2934" spans="1:18" x14ac:dyDescent="0.3">
      <c r="A2934" t="s">
        <v>7</v>
      </c>
      <c r="B2934">
        <v>19005576</v>
      </c>
      <c r="C2934" t="s">
        <v>8</v>
      </c>
      <c r="D2934" s="4">
        <v>46077</v>
      </c>
      <c r="E2934" s="11">
        <f t="shared" si="180"/>
        <v>2026</v>
      </c>
      <c r="F2934" s="11">
        <f t="shared" si="181"/>
        <v>2</v>
      </c>
      <c r="G2934" s="11" t="str">
        <f t="shared" si="182"/>
        <v>202602</v>
      </c>
      <c r="I2934" s="5">
        <v>9999</v>
      </c>
      <c r="J2934" s="5">
        <v>333.3</v>
      </c>
      <c r="K2934" s="5">
        <f t="shared" si="183"/>
        <v>0</v>
      </c>
      <c r="L2934" s="5">
        <v>0</v>
      </c>
      <c r="M2934" s="5">
        <v>0</v>
      </c>
      <c r="N2934" t="s">
        <v>9</v>
      </c>
      <c r="O2934" s="8">
        <v>19.232876712328768</v>
      </c>
      <c r="P2934" t="s">
        <v>32</v>
      </c>
      <c r="Q2934">
        <v>1</v>
      </c>
      <c r="R2934" s="2">
        <v>39057</v>
      </c>
    </row>
    <row r="2935" spans="1:18" x14ac:dyDescent="0.3">
      <c r="A2935" t="s">
        <v>7</v>
      </c>
      <c r="B2935">
        <v>19005615</v>
      </c>
      <c r="C2935" t="s">
        <v>8</v>
      </c>
      <c r="D2935" s="4">
        <v>46077</v>
      </c>
      <c r="E2935" s="11">
        <f t="shared" si="180"/>
        <v>2026</v>
      </c>
      <c r="F2935" s="11">
        <f t="shared" si="181"/>
        <v>2</v>
      </c>
      <c r="G2935" s="11" t="str">
        <f t="shared" si="182"/>
        <v>202602</v>
      </c>
      <c r="I2935" s="5">
        <v>9999</v>
      </c>
      <c r="J2935" s="5">
        <v>333.3</v>
      </c>
      <c r="K2935" s="5">
        <f t="shared" si="183"/>
        <v>0</v>
      </c>
      <c r="L2935" s="5">
        <v>0</v>
      </c>
      <c r="M2935" s="5">
        <v>0</v>
      </c>
      <c r="N2935" t="s">
        <v>9</v>
      </c>
      <c r="O2935" s="8">
        <v>38.350684931506848</v>
      </c>
      <c r="P2935" t="s">
        <v>35</v>
      </c>
      <c r="Q2935">
        <v>4</v>
      </c>
      <c r="R2935" s="2">
        <v>32079</v>
      </c>
    </row>
    <row r="2936" spans="1:18" x14ac:dyDescent="0.3">
      <c r="A2936" t="s">
        <v>7</v>
      </c>
      <c r="B2936">
        <v>19005616</v>
      </c>
      <c r="C2936" t="s">
        <v>8</v>
      </c>
      <c r="D2936" s="4">
        <v>46077</v>
      </c>
      <c r="E2936" s="11">
        <f t="shared" si="180"/>
        <v>2026</v>
      </c>
      <c r="F2936" s="11">
        <f t="shared" si="181"/>
        <v>2</v>
      </c>
      <c r="G2936" s="11" t="str">
        <f t="shared" si="182"/>
        <v>202602</v>
      </c>
      <c r="I2936" s="5">
        <v>9999</v>
      </c>
      <c r="J2936" s="5">
        <v>333.3</v>
      </c>
      <c r="K2936" s="5">
        <f t="shared" si="183"/>
        <v>0</v>
      </c>
      <c r="L2936" s="5">
        <v>0</v>
      </c>
      <c r="M2936" s="5">
        <v>0</v>
      </c>
      <c r="N2936" t="s">
        <v>9</v>
      </c>
      <c r="O2936" s="8">
        <v>20.534246575342465</v>
      </c>
      <c r="P2936" t="s">
        <v>32</v>
      </c>
      <c r="Q2936">
        <v>1</v>
      </c>
      <c r="R2936" s="2">
        <v>38582</v>
      </c>
    </row>
    <row r="2937" spans="1:18" x14ac:dyDescent="0.3">
      <c r="A2937" t="s">
        <v>7</v>
      </c>
      <c r="B2937">
        <v>19005623</v>
      </c>
      <c r="C2937" t="s">
        <v>8</v>
      </c>
      <c r="D2937" s="4">
        <v>46077</v>
      </c>
      <c r="E2937" s="11">
        <f t="shared" si="180"/>
        <v>2026</v>
      </c>
      <c r="F2937" s="11">
        <f t="shared" si="181"/>
        <v>2</v>
      </c>
      <c r="G2937" s="11" t="str">
        <f t="shared" si="182"/>
        <v>202602</v>
      </c>
      <c r="I2937" s="5">
        <v>9999</v>
      </c>
      <c r="J2937" s="5">
        <v>333.3</v>
      </c>
      <c r="K2937" s="5">
        <f t="shared" si="183"/>
        <v>0</v>
      </c>
      <c r="L2937" s="5">
        <v>0</v>
      </c>
      <c r="M2937" s="5">
        <v>0</v>
      </c>
      <c r="N2937" t="s">
        <v>9</v>
      </c>
      <c r="O2937" s="8">
        <v>22.063013698630137</v>
      </c>
      <c r="P2937" t="s">
        <v>33</v>
      </c>
      <c r="Q2937">
        <v>2</v>
      </c>
      <c r="R2937" s="2">
        <v>38024</v>
      </c>
    </row>
    <row r="2938" spans="1:18" x14ac:dyDescent="0.3">
      <c r="A2938" t="s">
        <v>7</v>
      </c>
      <c r="B2938">
        <v>19005770</v>
      </c>
      <c r="C2938" t="s">
        <v>8</v>
      </c>
      <c r="D2938" s="4">
        <v>46078</v>
      </c>
      <c r="E2938" s="11">
        <f t="shared" si="180"/>
        <v>2026</v>
      </c>
      <c r="F2938" s="11">
        <f t="shared" si="181"/>
        <v>2</v>
      </c>
      <c r="G2938" s="11" t="str">
        <f t="shared" si="182"/>
        <v>202602</v>
      </c>
      <c r="H2938" s="4">
        <v>46142</v>
      </c>
      <c r="I2938" s="5">
        <v>64</v>
      </c>
      <c r="J2938" s="5">
        <v>2.1333333333333333</v>
      </c>
      <c r="K2938" s="5">
        <f t="shared" si="183"/>
        <v>0</v>
      </c>
      <c r="L2938" s="5">
        <v>1</v>
      </c>
      <c r="M2938" s="5">
        <v>1</v>
      </c>
      <c r="N2938" t="s">
        <v>9</v>
      </c>
      <c r="O2938" s="8">
        <v>19.460273972602739</v>
      </c>
      <c r="P2938" t="s">
        <v>32</v>
      </c>
      <c r="Q2938">
        <v>1</v>
      </c>
      <c r="R2938" s="2">
        <v>38975</v>
      </c>
    </row>
    <row r="2939" spans="1:18" x14ac:dyDescent="0.3">
      <c r="A2939" t="s">
        <v>7</v>
      </c>
      <c r="B2939">
        <v>19005773</v>
      </c>
      <c r="C2939" t="s">
        <v>8</v>
      </c>
      <c r="D2939" s="4">
        <v>46078</v>
      </c>
      <c r="E2939" s="11">
        <f t="shared" si="180"/>
        <v>2026</v>
      </c>
      <c r="F2939" s="11">
        <f t="shared" si="181"/>
        <v>2</v>
      </c>
      <c r="G2939" s="11" t="str">
        <f t="shared" si="182"/>
        <v>202602</v>
      </c>
      <c r="I2939" s="5">
        <v>9999</v>
      </c>
      <c r="J2939" s="5">
        <v>333.3</v>
      </c>
      <c r="K2939" s="5">
        <f t="shared" si="183"/>
        <v>0</v>
      </c>
      <c r="L2939" s="5">
        <v>0</v>
      </c>
      <c r="M2939" s="5">
        <v>0</v>
      </c>
      <c r="N2939" t="s">
        <v>9</v>
      </c>
      <c r="O2939" s="8">
        <v>22.013698630136986</v>
      </c>
      <c r="P2939" t="s">
        <v>33</v>
      </c>
      <c r="Q2939">
        <v>2</v>
      </c>
      <c r="R2939" s="2">
        <v>38043</v>
      </c>
    </row>
    <row r="2940" spans="1:18" x14ac:dyDescent="0.3">
      <c r="A2940" t="s">
        <v>11</v>
      </c>
      <c r="B2940">
        <v>19005793</v>
      </c>
      <c r="C2940" t="s">
        <v>8</v>
      </c>
      <c r="D2940" s="4">
        <v>46078</v>
      </c>
      <c r="E2940" s="11">
        <f t="shared" si="180"/>
        <v>2026</v>
      </c>
      <c r="F2940" s="11">
        <f t="shared" si="181"/>
        <v>2</v>
      </c>
      <c r="G2940" s="11" t="str">
        <f t="shared" si="182"/>
        <v>202602</v>
      </c>
      <c r="H2940" s="4">
        <v>46092</v>
      </c>
      <c r="I2940" s="5">
        <v>14</v>
      </c>
      <c r="J2940" s="5">
        <v>0.46666666666666667</v>
      </c>
      <c r="K2940" s="5">
        <f t="shared" si="183"/>
        <v>1</v>
      </c>
      <c r="L2940" s="5">
        <v>1</v>
      </c>
      <c r="M2940" s="5">
        <v>1</v>
      </c>
      <c r="N2940" t="s">
        <v>9</v>
      </c>
      <c r="O2940" s="8">
        <v>34.010958904109586</v>
      </c>
      <c r="P2940" t="s">
        <v>35</v>
      </c>
      <c r="Q2940">
        <v>4</v>
      </c>
      <c r="R2940" s="2">
        <v>33664</v>
      </c>
    </row>
    <row r="2941" spans="1:18" x14ac:dyDescent="0.3">
      <c r="A2941" t="s">
        <v>7</v>
      </c>
      <c r="B2941">
        <v>19005833</v>
      </c>
      <c r="C2941" t="s">
        <v>8</v>
      </c>
      <c r="D2941" s="4">
        <v>46078</v>
      </c>
      <c r="E2941" s="11">
        <f t="shared" si="180"/>
        <v>2026</v>
      </c>
      <c r="F2941" s="11">
        <f t="shared" si="181"/>
        <v>2</v>
      </c>
      <c r="G2941" s="11" t="str">
        <f t="shared" si="182"/>
        <v>202602</v>
      </c>
      <c r="I2941" s="5">
        <v>9999</v>
      </c>
      <c r="J2941" s="5">
        <v>333.3</v>
      </c>
      <c r="K2941" s="5">
        <f t="shared" si="183"/>
        <v>0</v>
      </c>
      <c r="L2941" s="5">
        <v>0</v>
      </c>
      <c r="M2941" s="5">
        <v>0</v>
      </c>
      <c r="N2941" t="s">
        <v>12</v>
      </c>
      <c r="O2941" s="8">
        <v>23.268493150684932</v>
      </c>
      <c r="P2941" t="s">
        <v>33</v>
      </c>
      <c r="Q2941">
        <v>2</v>
      </c>
      <c r="R2941" s="2">
        <v>37585</v>
      </c>
    </row>
    <row r="2942" spans="1:18" x14ac:dyDescent="0.3">
      <c r="A2942" t="s">
        <v>7</v>
      </c>
      <c r="B2942">
        <v>19005867</v>
      </c>
      <c r="C2942" t="s">
        <v>10</v>
      </c>
      <c r="D2942" s="4">
        <v>46078</v>
      </c>
      <c r="E2942" s="11">
        <f t="shared" si="180"/>
        <v>2026</v>
      </c>
      <c r="F2942" s="11">
        <f t="shared" si="181"/>
        <v>2</v>
      </c>
      <c r="G2942" s="11" t="str">
        <f t="shared" si="182"/>
        <v>202602</v>
      </c>
      <c r="H2942" s="4">
        <v>46142</v>
      </c>
      <c r="I2942" s="5">
        <v>64</v>
      </c>
      <c r="J2942" s="5">
        <v>2.1333333333333333</v>
      </c>
      <c r="K2942" s="5">
        <f t="shared" si="183"/>
        <v>0</v>
      </c>
      <c r="L2942" s="5">
        <v>1</v>
      </c>
      <c r="M2942" s="5">
        <v>1</v>
      </c>
      <c r="N2942" t="s">
        <v>9</v>
      </c>
      <c r="O2942" s="8">
        <v>22.457534246575342</v>
      </c>
      <c r="P2942" t="s">
        <v>33</v>
      </c>
      <c r="Q2942">
        <v>2</v>
      </c>
      <c r="R2942" s="2">
        <v>37881</v>
      </c>
    </row>
    <row r="2943" spans="1:18" x14ac:dyDescent="0.3">
      <c r="A2943" t="s">
        <v>11</v>
      </c>
      <c r="B2943">
        <v>19005868</v>
      </c>
      <c r="C2943" t="s">
        <v>8</v>
      </c>
      <c r="D2943" s="4">
        <v>46078</v>
      </c>
      <c r="E2943" s="11">
        <f t="shared" si="180"/>
        <v>2026</v>
      </c>
      <c r="F2943" s="11">
        <f t="shared" si="181"/>
        <v>2</v>
      </c>
      <c r="G2943" s="11" t="str">
        <f t="shared" si="182"/>
        <v>202602</v>
      </c>
      <c r="I2943" s="5">
        <v>9999</v>
      </c>
      <c r="J2943" s="5">
        <v>333.3</v>
      </c>
      <c r="K2943" s="5">
        <f t="shared" si="183"/>
        <v>0</v>
      </c>
      <c r="L2943" s="5">
        <v>0</v>
      </c>
      <c r="M2943" s="5">
        <v>0</v>
      </c>
      <c r="N2943" t="s">
        <v>9</v>
      </c>
      <c r="O2943" s="8">
        <v>18.523287671232875</v>
      </c>
      <c r="P2943" t="s">
        <v>32</v>
      </c>
      <c r="Q2943">
        <v>1</v>
      </c>
      <c r="R2943" s="2">
        <v>39317</v>
      </c>
    </row>
    <row r="2944" spans="1:18" x14ac:dyDescent="0.3">
      <c r="A2944" t="s">
        <v>7</v>
      </c>
      <c r="B2944">
        <v>19005869</v>
      </c>
      <c r="C2944" t="s">
        <v>10</v>
      </c>
      <c r="D2944" s="4">
        <v>46078</v>
      </c>
      <c r="E2944" s="11">
        <f t="shared" si="180"/>
        <v>2026</v>
      </c>
      <c r="F2944" s="11">
        <f t="shared" si="181"/>
        <v>2</v>
      </c>
      <c r="G2944" s="11" t="str">
        <f t="shared" si="182"/>
        <v>202602</v>
      </c>
      <c r="I2944" s="5">
        <v>9999</v>
      </c>
      <c r="J2944" s="5">
        <v>333.3</v>
      </c>
      <c r="K2944" s="5">
        <f t="shared" si="183"/>
        <v>0</v>
      </c>
      <c r="L2944" s="5">
        <v>0</v>
      </c>
      <c r="M2944" s="5">
        <v>0</v>
      </c>
      <c r="N2944" t="s">
        <v>9</v>
      </c>
      <c r="O2944" s="8">
        <v>19.556164383561644</v>
      </c>
      <c r="P2944" t="s">
        <v>32</v>
      </c>
      <c r="Q2944">
        <v>1</v>
      </c>
      <c r="R2944" s="2">
        <v>38940</v>
      </c>
    </row>
    <row r="2945" spans="1:18" x14ac:dyDescent="0.3">
      <c r="A2945" t="s">
        <v>7</v>
      </c>
      <c r="B2945">
        <v>19005875</v>
      </c>
      <c r="C2945" t="s">
        <v>8</v>
      </c>
      <c r="D2945" s="4">
        <v>46078</v>
      </c>
      <c r="E2945" s="11">
        <f t="shared" si="180"/>
        <v>2026</v>
      </c>
      <c r="F2945" s="11">
        <f t="shared" si="181"/>
        <v>2</v>
      </c>
      <c r="G2945" s="11" t="str">
        <f t="shared" si="182"/>
        <v>202602</v>
      </c>
      <c r="I2945" s="5">
        <v>9999</v>
      </c>
      <c r="J2945" s="5">
        <v>333.3</v>
      </c>
      <c r="K2945" s="5">
        <f t="shared" si="183"/>
        <v>0</v>
      </c>
      <c r="L2945" s="5">
        <v>0</v>
      </c>
      <c r="M2945" s="5">
        <v>0</v>
      </c>
      <c r="N2945" t="s">
        <v>9</v>
      </c>
      <c r="O2945" s="8">
        <v>24.578082191780823</v>
      </c>
      <c r="P2945" t="s">
        <v>33</v>
      </c>
      <c r="Q2945">
        <v>2</v>
      </c>
      <c r="R2945" s="2">
        <v>37107</v>
      </c>
    </row>
    <row r="2946" spans="1:18" x14ac:dyDescent="0.3">
      <c r="A2946" t="s">
        <v>7</v>
      </c>
      <c r="B2946">
        <v>19005926</v>
      </c>
      <c r="C2946" t="s">
        <v>8</v>
      </c>
      <c r="D2946" s="4">
        <v>46078</v>
      </c>
      <c r="E2946" s="11">
        <f t="shared" si="180"/>
        <v>2026</v>
      </c>
      <c r="F2946" s="11">
        <f t="shared" si="181"/>
        <v>2</v>
      </c>
      <c r="G2946" s="11" t="str">
        <f t="shared" si="182"/>
        <v>202602</v>
      </c>
      <c r="I2946" s="5">
        <v>9999</v>
      </c>
      <c r="J2946" s="5">
        <v>333.3</v>
      </c>
      <c r="K2946" s="5">
        <f t="shared" si="183"/>
        <v>0</v>
      </c>
      <c r="L2946" s="5">
        <v>0</v>
      </c>
      <c r="M2946" s="5">
        <v>0</v>
      </c>
      <c r="N2946" t="s">
        <v>9</v>
      </c>
      <c r="O2946" s="8">
        <v>18.419178082191781</v>
      </c>
      <c r="P2946" t="s">
        <v>32</v>
      </c>
      <c r="Q2946">
        <v>1</v>
      </c>
      <c r="R2946" s="2">
        <v>39355</v>
      </c>
    </row>
    <row r="2947" spans="1:18" x14ac:dyDescent="0.3">
      <c r="A2947" t="s">
        <v>7</v>
      </c>
      <c r="B2947">
        <v>19005930</v>
      </c>
      <c r="C2947" t="s">
        <v>8</v>
      </c>
      <c r="D2947" s="4">
        <v>46076</v>
      </c>
      <c r="E2947" s="11">
        <f t="shared" ref="E2947:E3010" si="184">+YEAR(D2947)</f>
        <v>2026</v>
      </c>
      <c r="F2947" s="11">
        <f t="shared" ref="F2947:F3010" si="185">+MONTH(D2947)</f>
        <v>2</v>
      </c>
      <c r="G2947" s="11" t="str">
        <f t="shared" ref="G2947:G3010" si="186">+TEXT(D2947, "yyymm")</f>
        <v>202602</v>
      </c>
      <c r="I2947" s="5">
        <v>9999</v>
      </c>
      <c r="J2947" s="5">
        <v>333.3</v>
      </c>
      <c r="K2947" s="5">
        <f t="shared" ref="K2947:K3010" si="187">IF(J2947&lt;=1,1,0)</f>
        <v>0</v>
      </c>
      <c r="L2947" s="5">
        <v>0</v>
      </c>
      <c r="M2947" s="5">
        <v>0</v>
      </c>
      <c r="N2947" t="s">
        <v>9</v>
      </c>
      <c r="O2947" s="8">
        <v>23.021917808219179</v>
      </c>
      <c r="P2947" t="s">
        <v>33</v>
      </c>
      <c r="Q2947">
        <v>2</v>
      </c>
      <c r="R2947" s="2">
        <v>37673</v>
      </c>
    </row>
    <row r="2948" spans="1:18" x14ac:dyDescent="0.3">
      <c r="A2948" t="s">
        <v>7</v>
      </c>
      <c r="B2948">
        <v>19005933</v>
      </c>
      <c r="C2948" t="s">
        <v>8</v>
      </c>
      <c r="D2948" s="4">
        <v>46078</v>
      </c>
      <c r="E2948" s="11">
        <f t="shared" si="184"/>
        <v>2026</v>
      </c>
      <c r="F2948" s="11">
        <f t="shared" si="185"/>
        <v>2</v>
      </c>
      <c r="G2948" s="11" t="str">
        <f t="shared" si="186"/>
        <v>202602</v>
      </c>
      <c r="H2948" s="4">
        <v>46173</v>
      </c>
      <c r="I2948" s="5">
        <v>95</v>
      </c>
      <c r="J2948" s="5">
        <v>3.1666666666666665</v>
      </c>
      <c r="K2948" s="5">
        <f t="shared" si="187"/>
        <v>0</v>
      </c>
      <c r="L2948" s="5">
        <v>0</v>
      </c>
      <c r="M2948" s="5">
        <v>1</v>
      </c>
      <c r="N2948" t="s">
        <v>12</v>
      </c>
      <c r="O2948" s="8">
        <v>22.243835616438357</v>
      </c>
      <c r="P2948" t="s">
        <v>33</v>
      </c>
      <c r="Q2948">
        <v>2</v>
      </c>
      <c r="R2948" s="2">
        <v>37959</v>
      </c>
    </row>
    <row r="2949" spans="1:18" x14ac:dyDescent="0.3">
      <c r="A2949" t="s">
        <v>7</v>
      </c>
      <c r="B2949">
        <v>19006052</v>
      </c>
      <c r="C2949" t="s">
        <v>8</v>
      </c>
      <c r="D2949" s="4">
        <v>46079</v>
      </c>
      <c r="E2949" s="11">
        <f t="shared" si="184"/>
        <v>2026</v>
      </c>
      <c r="F2949" s="11">
        <f t="shared" si="185"/>
        <v>2</v>
      </c>
      <c r="G2949" s="11" t="str">
        <f t="shared" si="186"/>
        <v>202602</v>
      </c>
      <c r="I2949" s="5">
        <v>9999</v>
      </c>
      <c r="J2949" s="5">
        <v>333.3</v>
      </c>
      <c r="K2949" s="5">
        <f t="shared" si="187"/>
        <v>0</v>
      </c>
      <c r="L2949" s="5">
        <v>0</v>
      </c>
      <c r="M2949" s="5">
        <v>0</v>
      </c>
      <c r="N2949" t="s">
        <v>9</v>
      </c>
      <c r="O2949" s="8">
        <v>19.079452054794519</v>
      </c>
      <c r="P2949" t="s">
        <v>32</v>
      </c>
      <c r="Q2949">
        <v>1</v>
      </c>
      <c r="R2949" s="2">
        <v>39115</v>
      </c>
    </row>
    <row r="2950" spans="1:18" x14ac:dyDescent="0.3">
      <c r="A2950" t="s">
        <v>7</v>
      </c>
      <c r="B2950">
        <v>19006067</v>
      </c>
      <c r="C2950" t="s">
        <v>8</v>
      </c>
      <c r="D2950" s="4">
        <v>46079</v>
      </c>
      <c r="E2950" s="11">
        <f t="shared" si="184"/>
        <v>2026</v>
      </c>
      <c r="F2950" s="11">
        <f t="shared" si="185"/>
        <v>2</v>
      </c>
      <c r="G2950" s="11" t="str">
        <f t="shared" si="186"/>
        <v>202602</v>
      </c>
      <c r="I2950" s="5">
        <v>9999</v>
      </c>
      <c r="J2950" s="5">
        <v>333.3</v>
      </c>
      <c r="K2950" s="5">
        <f t="shared" si="187"/>
        <v>0</v>
      </c>
      <c r="L2950" s="5">
        <v>0</v>
      </c>
      <c r="M2950" s="5">
        <v>0</v>
      </c>
      <c r="N2950" t="s">
        <v>12</v>
      </c>
      <c r="O2950" s="8">
        <v>18.624657534246577</v>
      </c>
      <c r="P2950" t="s">
        <v>32</v>
      </c>
      <c r="Q2950">
        <v>1</v>
      </c>
      <c r="R2950" s="2">
        <v>39281</v>
      </c>
    </row>
    <row r="2951" spans="1:18" x14ac:dyDescent="0.3">
      <c r="A2951" t="s">
        <v>11</v>
      </c>
      <c r="B2951">
        <v>19006077</v>
      </c>
      <c r="C2951" t="s">
        <v>10</v>
      </c>
      <c r="D2951" s="4">
        <v>46079</v>
      </c>
      <c r="E2951" s="11">
        <f t="shared" si="184"/>
        <v>2026</v>
      </c>
      <c r="F2951" s="11">
        <f t="shared" si="185"/>
        <v>2</v>
      </c>
      <c r="G2951" s="11" t="str">
        <f t="shared" si="186"/>
        <v>202602</v>
      </c>
      <c r="H2951" s="4">
        <v>46085</v>
      </c>
      <c r="I2951" s="5">
        <v>6</v>
      </c>
      <c r="J2951" s="5">
        <v>0.2</v>
      </c>
      <c r="K2951" s="5">
        <f t="shared" si="187"/>
        <v>1</v>
      </c>
      <c r="L2951" s="5">
        <v>1</v>
      </c>
      <c r="M2951" s="5">
        <v>1</v>
      </c>
      <c r="N2951" t="s">
        <v>12</v>
      </c>
      <c r="O2951" s="8">
        <v>22.934246575342467</v>
      </c>
      <c r="P2951" t="s">
        <v>33</v>
      </c>
      <c r="Q2951">
        <v>2</v>
      </c>
      <c r="R2951" s="2">
        <v>37708</v>
      </c>
    </row>
    <row r="2952" spans="1:18" x14ac:dyDescent="0.3">
      <c r="A2952" t="s">
        <v>7</v>
      </c>
      <c r="B2952">
        <v>19006115</v>
      </c>
      <c r="C2952" t="s">
        <v>8</v>
      </c>
      <c r="D2952" s="4">
        <v>46078</v>
      </c>
      <c r="E2952" s="11">
        <f t="shared" si="184"/>
        <v>2026</v>
      </c>
      <c r="F2952" s="11">
        <f t="shared" si="185"/>
        <v>2</v>
      </c>
      <c r="G2952" s="11" t="str">
        <f t="shared" si="186"/>
        <v>202602</v>
      </c>
      <c r="I2952" s="5">
        <v>9999</v>
      </c>
      <c r="J2952" s="5">
        <v>333.3</v>
      </c>
      <c r="K2952" s="5">
        <f t="shared" si="187"/>
        <v>0</v>
      </c>
      <c r="L2952" s="5">
        <v>0</v>
      </c>
      <c r="M2952" s="5">
        <v>0</v>
      </c>
      <c r="N2952" t="s">
        <v>9</v>
      </c>
      <c r="O2952" s="8">
        <v>19.126027397260273</v>
      </c>
      <c r="P2952" t="s">
        <v>32</v>
      </c>
      <c r="Q2952">
        <v>1</v>
      </c>
      <c r="R2952" s="2">
        <v>39097</v>
      </c>
    </row>
    <row r="2953" spans="1:18" x14ac:dyDescent="0.3">
      <c r="A2953" t="s">
        <v>7</v>
      </c>
      <c r="B2953">
        <v>19006242</v>
      </c>
      <c r="C2953" t="s">
        <v>10</v>
      </c>
      <c r="D2953" s="4">
        <v>46080</v>
      </c>
      <c r="E2953" s="11">
        <f t="shared" si="184"/>
        <v>2026</v>
      </c>
      <c r="F2953" s="11">
        <f t="shared" si="185"/>
        <v>2</v>
      </c>
      <c r="G2953" s="11" t="str">
        <f t="shared" si="186"/>
        <v>202602</v>
      </c>
      <c r="H2953" s="4">
        <v>46157</v>
      </c>
      <c r="I2953" s="5">
        <v>77</v>
      </c>
      <c r="J2953" s="5">
        <v>2.5666666666666669</v>
      </c>
      <c r="K2953" s="5">
        <f t="shared" si="187"/>
        <v>0</v>
      </c>
      <c r="L2953" s="5">
        <v>1</v>
      </c>
      <c r="M2953" s="5">
        <v>1</v>
      </c>
      <c r="N2953" t="s">
        <v>9</v>
      </c>
      <c r="O2953" s="8">
        <v>18.736986301369864</v>
      </c>
      <c r="P2953" t="s">
        <v>32</v>
      </c>
      <c r="Q2953">
        <v>1</v>
      </c>
      <c r="R2953" s="2">
        <v>39241</v>
      </c>
    </row>
    <row r="2954" spans="1:18" x14ac:dyDescent="0.3">
      <c r="A2954" t="s">
        <v>7</v>
      </c>
      <c r="B2954">
        <v>19006254</v>
      </c>
      <c r="C2954" t="s">
        <v>8</v>
      </c>
      <c r="D2954" s="4">
        <v>46085</v>
      </c>
      <c r="E2954" s="11">
        <f t="shared" si="184"/>
        <v>2026</v>
      </c>
      <c r="F2954" s="11">
        <f t="shared" si="185"/>
        <v>3</v>
      </c>
      <c r="G2954" s="11" t="str">
        <f t="shared" si="186"/>
        <v>202603</v>
      </c>
      <c r="H2954" s="4">
        <v>46128</v>
      </c>
      <c r="I2954" s="5">
        <v>43</v>
      </c>
      <c r="J2954" s="5">
        <v>1.4333333333333333</v>
      </c>
      <c r="K2954" s="5">
        <f t="shared" si="187"/>
        <v>0</v>
      </c>
      <c r="L2954" s="5">
        <v>1</v>
      </c>
      <c r="M2954" s="5">
        <v>1</v>
      </c>
      <c r="N2954" t="s">
        <v>9</v>
      </c>
      <c r="O2954" s="8">
        <v>32.868493150684934</v>
      </c>
      <c r="P2954" t="s">
        <v>35</v>
      </c>
      <c r="Q2954">
        <v>4</v>
      </c>
      <c r="R2954" s="2">
        <v>34088</v>
      </c>
    </row>
    <row r="2955" spans="1:18" x14ac:dyDescent="0.3">
      <c r="A2955" t="s">
        <v>7</v>
      </c>
      <c r="B2955">
        <v>19006487</v>
      </c>
      <c r="C2955" t="s">
        <v>10</v>
      </c>
      <c r="D2955" s="4">
        <v>46083</v>
      </c>
      <c r="E2955" s="11">
        <f t="shared" si="184"/>
        <v>2026</v>
      </c>
      <c r="F2955" s="11">
        <f t="shared" si="185"/>
        <v>3</v>
      </c>
      <c r="G2955" s="11" t="str">
        <f t="shared" si="186"/>
        <v>202603</v>
      </c>
      <c r="I2955" s="5">
        <v>9999</v>
      </c>
      <c r="J2955" s="5">
        <v>333.3</v>
      </c>
      <c r="K2955" s="5">
        <f t="shared" si="187"/>
        <v>0</v>
      </c>
      <c r="L2955" s="5">
        <v>0</v>
      </c>
      <c r="M2955" s="5">
        <v>0</v>
      </c>
      <c r="N2955" t="s">
        <v>12</v>
      </c>
      <c r="O2955" s="8">
        <v>18.227397260273971</v>
      </c>
      <c r="P2955" t="s">
        <v>32</v>
      </c>
      <c r="Q2955">
        <v>1</v>
      </c>
      <c r="R2955" s="2">
        <v>39430</v>
      </c>
    </row>
    <row r="2956" spans="1:18" x14ac:dyDescent="0.3">
      <c r="A2956" t="s">
        <v>7</v>
      </c>
      <c r="B2956">
        <v>19006501</v>
      </c>
      <c r="C2956" t="s">
        <v>8</v>
      </c>
      <c r="D2956" s="4">
        <v>46083</v>
      </c>
      <c r="E2956" s="11">
        <f t="shared" si="184"/>
        <v>2026</v>
      </c>
      <c r="F2956" s="11">
        <f t="shared" si="185"/>
        <v>3</v>
      </c>
      <c r="G2956" s="11" t="str">
        <f t="shared" si="186"/>
        <v>202603</v>
      </c>
      <c r="I2956" s="5">
        <v>9999</v>
      </c>
      <c r="J2956" s="5">
        <v>333.3</v>
      </c>
      <c r="K2956" s="5">
        <f t="shared" si="187"/>
        <v>0</v>
      </c>
      <c r="L2956" s="5">
        <v>0</v>
      </c>
      <c r="M2956" s="5">
        <v>0</v>
      </c>
      <c r="N2956" t="s">
        <v>12</v>
      </c>
      <c r="O2956" s="8">
        <v>20.786301369863015</v>
      </c>
      <c r="P2956" t="s">
        <v>32</v>
      </c>
      <c r="Q2956">
        <v>1</v>
      </c>
      <c r="R2956" s="2">
        <v>38496</v>
      </c>
    </row>
    <row r="2957" spans="1:18" x14ac:dyDescent="0.3">
      <c r="A2957" t="s">
        <v>7</v>
      </c>
      <c r="B2957">
        <v>19006504</v>
      </c>
      <c r="C2957" t="s">
        <v>8</v>
      </c>
      <c r="D2957" s="4">
        <v>46083</v>
      </c>
      <c r="E2957" s="11">
        <f t="shared" si="184"/>
        <v>2026</v>
      </c>
      <c r="F2957" s="11">
        <f t="shared" si="185"/>
        <v>3</v>
      </c>
      <c r="G2957" s="11" t="str">
        <f t="shared" si="186"/>
        <v>202603</v>
      </c>
      <c r="I2957" s="5">
        <v>9999</v>
      </c>
      <c r="J2957" s="5">
        <v>333.3</v>
      </c>
      <c r="K2957" s="5">
        <f t="shared" si="187"/>
        <v>0</v>
      </c>
      <c r="L2957" s="5">
        <v>0</v>
      </c>
      <c r="M2957" s="5">
        <v>0</v>
      </c>
      <c r="N2957" t="s">
        <v>12</v>
      </c>
      <c r="O2957" s="8">
        <v>21.931506849315067</v>
      </c>
      <c r="P2957" t="s">
        <v>33</v>
      </c>
      <c r="Q2957">
        <v>2</v>
      </c>
      <c r="R2957" s="2">
        <v>38078</v>
      </c>
    </row>
    <row r="2958" spans="1:18" x14ac:dyDescent="0.3">
      <c r="A2958" t="s">
        <v>7</v>
      </c>
      <c r="B2958">
        <v>19006876</v>
      </c>
      <c r="C2958" t="s">
        <v>8</v>
      </c>
      <c r="D2958" s="4">
        <v>46084</v>
      </c>
      <c r="E2958" s="11">
        <f t="shared" si="184"/>
        <v>2026</v>
      </c>
      <c r="F2958" s="11">
        <f t="shared" si="185"/>
        <v>3</v>
      </c>
      <c r="G2958" s="11" t="str">
        <f t="shared" si="186"/>
        <v>202603</v>
      </c>
      <c r="I2958" s="5">
        <v>9999</v>
      </c>
      <c r="J2958" s="5">
        <v>333.3</v>
      </c>
      <c r="K2958" s="5">
        <f t="shared" si="187"/>
        <v>0</v>
      </c>
      <c r="L2958" s="5">
        <v>0</v>
      </c>
      <c r="M2958" s="5">
        <v>0</v>
      </c>
      <c r="N2958" t="s">
        <v>12</v>
      </c>
      <c r="O2958" s="8">
        <v>18.087671232876712</v>
      </c>
      <c r="P2958" t="s">
        <v>32</v>
      </c>
      <c r="Q2958">
        <v>1</v>
      </c>
      <c r="R2958" s="2">
        <v>39482</v>
      </c>
    </row>
    <row r="2959" spans="1:18" x14ac:dyDescent="0.3">
      <c r="A2959" t="s">
        <v>7</v>
      </c>
      <c r="B2959">
        <v>19006878</v>
      </c>
      <c r="C2959" t="s">
        <v>8</v>
      </c>
      <c r="D2959" s="4">
        <v>46084</v>
      </c>
      <c r="E2959" s="11">
        <f t="shared" si="184"/>
        <v>2026</v>
      </c>
      <c r="F2959" s="11">
        <f t="shared" si="185"/>
        <v>3</v>
      </c>
      <c r="G2959" s="11" t="str">
        <f t="shared" si="186"/>
        <v>202603</v>
      </c>
      <c r="I2959" s="5">
        <v>9999</v>
      </c>
      <c r="J2959" s="5">
        <v>333.3</v>
      </c>
      <c r="K2959" s="5">
        <f t="shared" si="187"/>
        <v>0</v>
      </c>
      <c r="L2959" s="5">
        <v>0</v>
      </c>
      <c r="M2959" s="5">
        <v>0</v>
      </c>
      <c r="N2959" t="s">
        <v>12</v>
      </c>
      <c r="O2959" s="8">
        <v>18.175342465753424</v>
      </c>
      <c r="P2959" t="s">
        <v>32</v>
      </c>
      <c r="Q2959">
        <v>1</v>
      </c>
      <c r="R2959" s="2">
        <v>39450</v>
      </c>
    </row>
    <row r="2960" spans="1:18" x14ac:dyDescent="0.3">
      <c r="A2960" t="s">
        <v>7</v>
      </c>
      <c r="B2960">
        <v>19006880</v>
      </c>
      <c r="C2960" t="s">
        <v>10</v>
      </c>
      <c r="D2960" s="4">
        <v>46084</v>
      </c>
      <c r="E2960" s="11">
        <f t="shared" si="184"/>
        <v>2026</v>
      </c>
      <c r="F2960" s="11">
        <f t="shared" si="185"/>
        <v>3</v>
      </c>
      <c r="G2960" s="11" t="str">
        <f t="shared" si="186"/>
        <v>202603</v>
      </c>
      <c r="H2960" s="4">
        <v>46086</v>
      </c>
      <c r="I2960" s="5">
        <v>2</v>
      </c>
      <c r="J2960" s="5">
        <v>6.6666666666666666E-2</v>
      </c>
      <c r="K2960" s="5">
        <f t="shared" si="187"/>
        <v>1</v>
      </c>
      <c r="L2960" s="5">
        <v>1</v>
      </c>
      <c r="M2960" s="5">
        <v>1</v>
      </c>
      <c r="N2960" t="s">
        <v>12</v>
      </c>
      <c r="O2960" s="8">
        <v>27.12876712328767</v>
      </c>
      <c r="P2960" t="s">
        <v>34</v>
      </c>
      <c r="Q2960">
        <v>3</v>
      </c>
      <c r="R2960" s="2">
        <v>36182</v>
      </c>
    </row>
    <row r="2961" spans="1:18" x14ac:dyDescent="0.3">
      <c r="A2961" t="s">
        <v>7</v>
      </c>
      <c r="B2961">
        <v>19006896</v>
      </c>
      <c r="C2961" t="s">
        <v>8</v>
      </c>
      <c r="D2961" s="4">
        <v>46084</v>
      </c>
      <c r="E2961" s="11">
        <f t="shared" si="184"/>
        <v>2026</v>
      </c>
      <c r="F2961" s="11">
        <f t="shared" si="185"/>
        <v>3</v>
      </c>
      <c r="G2961" s="11" t="str">
        <f t="shared" si="186"/>
        <v>202603</v>
      </c>
      <c r="I2961" s="5">
        <v>9999</v>
      </c>
      <c r="J2961" s="5">
        <v>333.3</v>
      </c>
      <c r="K2961" s="5">
        <f t="shared" si="187"/>
        <v>0</v>
      </c>
      <c r="L2961" s="5">
        <v>0</v>
      </c>
      <c r="M2961" s="5">
        <v>0</v>
      </c>
      <c r="N2961" t="s">
        <v>9</v>
      </c>
      <c r="O2961" s="8">
        <v>22.736986301369864</v>
      </c>
      <c r="P2961" t="s">
        <v>33</v>
      </c>
      <c r="Q2961">
        <v>2</v>
      </c>
      <c r="R2961" s="2">
        <v>37785</v>
      </c>
    </row>
    <row r="2962" spans="1:18" x14ac:dyDescent="0.3">
      <c r="A2962" t="s">
        <v>7</v>
      </c>
      <c r="B2962">
        <v>19006897</v>
      </c>
      <c r="C2962" t="s">
        <v>8</v>
      </c>
      <c r="D2962" s="4">
        <v>46084</v>
      </c>
      <c r="E2962" s="11">
        <f t="shared" si="184"/>
        <v>2026</v>
      </c>
      <c r="F2962" s="11">
        <f t="shared" si="185"/>
        <v>3</v>
      </c>
      <c r="G2962" s="11" t="str">
        <f t="shared" si="186"/>
        <v>202603</v>
      </c>
      <c r="H2962" s="4">
        <v>46143</v>
      </c>
      <c r="I2962" s="5">
        <v>59</v>
      </c>
      <c r="J2962" s="5">
        <v>1.9666666666666666</v>
      </c>
      <c r="K2962" s="5">
        <f t="shared" si="187"/>
        <v>0</v>
      </c>
      <c r="L2962" s="5">
        <v>1</v>
      </c>
      <c r="M2962" s="5">
        <v>1</v>
      </c>
      <c r="N2962" t="s">
        <v>12</v>
      </c>
      <c r="O2962" s="8">
        <v>20.306849315068494</v>
      </c>
      <c r="P2962" t="s">
        <v>32</v>
      </c>
      <c r="Q2962">
        <v>1</v>
      </c>
      <c r="R2962" s="2">
        <v>38672</v>
      </c>
    </row>
    <row r="2963" spans="1:18" x14ac:dyDescent="0.3">
      <c r="A2963" t="s">
        <v>7</v>
      </c>
      <c r="B2963">
        <v>19006907</v>
      </c>
      <c r="C2963" t="s">
        <v>8</v>
      </c>
      <c r="D2963" s="4">
        <v>46083</v>
      </c>
      <c r="E2963" s="11">
        <f t="shared" si="184"/>
        <v>2026</v>
      </c>
      <c r="F2963" s="11">
        <f t="shared" si="185"/>
        <v>3</v>
      </c>
      <c r="G2963" s="11" t="str">
        <f t="shared" si="186"/>
        <v>202603</v>
      </c>
      <c r="I2963" s="5">
        <v>9999</v>
      </c>
      <c r="J2963" s="5">
        <v>333.3</v>
      </c>
      <c r="K2963" s="5">
        <f t="shared" si="187"/>
        <v>0</v>
      </c>
      <c r="L2963" s="5">
        <v>0</v>
      </c>
      <c r="M2963" s="5">
        <v>0</v>
      </c>
      <c r="N2963" t="s">
        <v>9</v>
      </c>
      <c r="O2963" s="8">
        <v>20.572602739726026</v>
      </c>
      <c r="P2963" t="s">
        <v>32</v>
      </c>
      <c r="Q2963">
        <v>1</v>
      </c>
      <c r="R2963" s="2">
        <v>38574</v>
      </c>
    </row>
    <row r="2964" spans="1:18" x14ac:dyDescent="0.3">
      <c r="A2964" t="s">
        <v>7</v>
      </c>
      <c r="B2964">
        <v>19006908</v>
      </c>
      <c r="C2964" t="s">
        <v>8</v>
      </c>
      <c r="D2964" s="4">
        <v>46084</v>
      </c>
      <c r="E2964" s="11">
        <f t="shared" si="184"/>
        <v>2026</v>
      </c>
      <c r="F2964" s="11">
        <f t="shared" si="185"/>
        <v>3</v>
      </c>
      <c r="G2964" s="11" t="str">
        <f t="shared" si="186"/>
        <v>202603</v>
      </c>
      <c r="I2964" s="5">
        <v>9999</v>
      </c>
      <c r="J2964" s="5">
        <v>333.3</v>
      </c>
      <c r="K2964" s="5">
        <f t="shared" si="187"/>
        <v>0</v>
      </c>
      <c r="L2964" s="5">
        <v>0</v>
      </c>
      <c r="M2964" s="5">
        <v>0</v>
      </c>
      <c r="N2964" t="s">
        <v>12</v>
      </c>
      <c r="O2964" s="8">
        <v>22.043835616438358</v>
      </c>
      <c r="P2964" t="s">
        <v>33</v>
      </c>
      <c r="Q2964">
        <v>2</v>
      </c>
      <c r="R2964" s="2">
        <v>38038</v>
      </c>
    </row>
    <row r="2965" spans="1:18" x14ac:dyDescent="0.3">
      <c r="A2965" t="s">
        <v>7</v>
      </c>
      <c r="B2965">
        <v>19007203</v>
      </c>
      <c r="C2965" t="s">
        <v>10</v>
      </c>
      <c r="D2965" s="4">
        <v>46085</v>
      </c>
      <c r="E2965" s="11">
        <f t="shared" si="184"/>
        <v>2026</v>
      </c>
      <c r="F2965" s="11">
        <f t="shared" si="185"/>
        <v>3</v>
      </c>
      <c r="G2965" s="11" t="str">
        <f t="shared" si="186"/>
        <v>202603</v>
      </c>
      <c r="H2965" s="4">
        <v>46124</v>
      </c>
      <c r="I2965" s="5">
        <v>39</v>
      </c>
      <c r="J2965" s="5">
        <v>1.3</v>
      </c>
      <c r="K2965" s="5">
        <f t="shared" si="187"/>
        <v>0</v>
      </c>
      <c r="L2965" s="5">
        <v>1</v>
      </c>
      <c r="M2965" s="5">
        <v>1</v>
      </c>
      <c r="N2965" t="s">
        <v>9</v>
      </c>
      <c r="O2965" s="8">
        <v>21.731506849315068</v>
      </c>
      <c r="P2965" t="s">
        <v>33</v>
      </c>
      <c r="Q2965">
        <v>2</v>
      </c>
      <c r="R2965" s="2">
        <v>38153</v>
      </c>
    </row>
    <row r="2966" spans="1:18" x14ac:dyDescent="0.3">
      <c r="A2966" t="s">
        <v>7</v>
      </c>
      <c r="B2966">
        <v>19007230</v>
      </c>
      <c r="C2966" t="s">
        <v>8</v>
      </c>
      <c r="D2966" s="4">
        <v>46085</v>
      </c>
      <c r="E2966" s="11">
        <f t="shared" si="184"/>
        <v>2026</v>
      </c>
      <c r="F2966" s="11">
        <f t="shared" si="185"/>
        <v>3</v>
      </c>
      <c r="G2966" s="11" t="str">
        <f t="shared" si="186"/>
        <v>202603</v>
      </c>
      <c r="H2966" s="4">
        <v>46142</v>
      </c>
      <c r="I2966" s="5">
        <v>57</v>
      </c>
      <c r="J2966" s="5">
        <v>1.9</v>
      </c>
      <c r="K2966" s="5">
        <f t="shared" si="187"/>
        <v>0</v>
      </c>
      <c r="L2966" s="5">
        <v>1</v>
      </c>
      <c r="M2966" s="5">
        <v>1</v>
      </c>
      <c r="N2966" t="s">
        <v>9</v>
      </c>
      <c r="O2966" s="8">
        <v>21.183561643835617</v>
      </c>
      <c r="P2966" t="s">
        <v>33</v>
      </c>
      <c r="Q2966">
        <v>2</v>
      </c>
      <c r="R2966" s="2">
        <v>38353</v>
      </c>
    </row>
    <row r="2967" spans="1:18" x14ac:dyDescent="0.3">
      <c r="A2967" t="s">
        <v>7</v>
      </c>
      <c r="B2967">
        <v>19007232</v>
      </c>
      <c r="C2967" t="s">
        <v>8</v>
      </c>
      <c r="D2967" s="4">
        <v>46085</v>
      </c>
      <c r="E2967" s="11">
        <f t="shared" si="184"/>
        <v>2026</v>
      </c>
      <c r="F2967" s="11">
        <f t="shared" si="185"/>
        <v>3</v>
      </c>
      <c r="G2967" s="11" t="str">
        <f t="shared" si="186"/>
        <v>202603</v>
      </c>
      <c r="I2967" s="5">
        <v>9999</v>
      </c>
      <c r="J2967" s="5">
        <v>333.3</v>
      </c>
      <c r="K2967" s="5">
        <f t="shared" si="187"/>
        <v>0</v>
      </c>
      <c r="L2967" s="5">
        <v>0</v>
      </c>
      <c r="M2967" s="5">
        <v>0</v>
      </c>
      <c r="N2967" t="s">
        <v>9</v>
      </c>
      <c r="O2967" s="8">
        <v>18.81095890410959</v>
      </c>
      <c r="P2967" t="s">
        <v>32</v>
      </c>
      <c r="Q2967">
        <v>1</v>
      </c>
      <c r="R2967" s="2">
        <v>39219</v>
      </c>
    </row>
    <row r="2968" spans="1:18" x14ac:dyDescent="0.3">
      <c r="A2968" t="s">
        <v>11</v>
      </c>
      <c r="B2968">
        <v>19007265</v>
      </c>
      <c r="C2968" t="s">
        <v>10</v>
      </c>
      <c r="D2968" s="4">
        <v>46085</v>
      </c>
      <c r="E2968" s="11">
        <f t="shared" si="184"/>
        <v>2026</v>
      </c>
      <c r="F2968" s="11">
        <f t="shared" si="185"/>
        <v>3</v>
      </c>
      <c r="G2968" s="11" t="str">
        <f t="shared" si="186"/>
        <v>202603</v>
      </c>
      <c r="I2968" s="5">
        <v>9999</v>
      </c>
      <c r="J2968" s="5">
        <v>333.3</v>
      </c>
      <c r="K2968" s="5">
        <f t="shared" si="187"/>
        <v>0</v>
      </c>
      <c r="L2968" s="5">
        <v>0</v>
      </c>
      <c r="M2968" s="5">
        <v>0</v>
      </c>
      <c r="N2968" t="s">
        <v>9</v>
      </c>
      <c r="O2968" s="8">
        <v>22.169863013698631</v>
      </c>
      <c r="P2968" t="s">
        <v>33</v>
      </c>
      <c r="Q2968">
        <v>2</v>
      </c>
      <c r="R2968" s="2">
        <v>37993</v>
      </c>
    </row>
    <row r="2969" spans="1:18" x14ac:dyDescent="0.3">
      <c r="A2969" t="s">
        <v>7</v>
      </c>
      <c r="B2969">
        <v>19007281</v>
      </c>
      <c r="C2969" t="s">
        <v>8</v>
      </c>
      <c r="D2969" s="4">
        <v>46085</v>
      </c>
      <c r="E2969" s="11">
        <f t="shared" si="184"/>
        <v>2026</v>
      </c>
      <c r="F2969" s="11">
        <f t="shared" si="185"/>
        <v>3</v>
      </c>
      <c r="G2969" s="11" t="str">
        <f t="shared" si="186"/>
        <v>202603</v>
      </c>
      <c r="H2969" s="4">
        <v>46113</v>
      </c>
      <c r="I2969" s="5">
        <v>28</v>
      </c>
      <c r="J2969" s="5">
        <v>0.93333333333333335</v>
      </c>
      <c r="K2969" s="5">
        <f t="shared" si="187"/>
        <v>1</v>
      </c>
      <c r="L2969" s="5">
        <v>1</v>
      </c>
      <c r="M2969" s="5">
        <v>1</v>
      </c>
      <c r="N2969" t="s">
        <v>12</v>
      </c>
      <c r="O2969" s="8">
        <v>22.235616438356164</v>
      </c>
      <c r="P2969" t="s">
        <v>33</v>
      </c>
      <c r="Q2969">
        <v>2</v>
      </c>
      <c r="R2969" s="2">
        <v>37969</v>
      </c>
    </row>
    <row r="2970" spans="1:18" x14ac:dyDescent="0.3">
      <c r="A2970" t="s">
        <v>7</v>
      </c>
      <c r="B2970">
        <v>19007289</v>
      </c>
      <c r="C2970" t="s">
        <v>8</v>
      </c>
      <c r="D2970" s="4">
        <v>46085</v>
      </c>
      <c r="E2970" s="11">
        <f t="shared" si="184"/>
        <v>2026</v>
      </c>
      <c r="F2970" s="11">
        <f t="shared" si="185"/>
        <v>3</v>
      </c>
      <c r="G2970" s="11" t="str">
        <f t="shared" si="186"/>
        <v>202603</v>
      </c>
      <c r="H2970" s="4">
        <v>46142</v>
      </c>
      <c r="I2970" s="5">
        <v>57</v>
      </c>
      <c r="J2970" s="5">
        <v>1.9</v>
      </c>
      <c r="K2970" s="5">
        <f t="shared" si="187"/>
        <v>0</v>
      </c>
      <c r="L2970" s="5">
        <v>1</v>
      </c>
      <c r="M2970" s="5">
        <v>1</v>
      </c>
      <c r="N2970" t="s">
        <v>9</v>
      </c>
      <c r="O2970" s="8">
        <v>20.279452054794522</v>
      </c>
      <c r="P2970" t="s">
        <v>32</v>
      </c>
      <c r="Q2970">
        <v>1</v>
      </c>
      <c r="R2970" s="2">
        <v>38683</v>
      </c>
    </row>
    <row r="2971" spans="1:18" x14ac:dyDescent="0.3">
      <c r="A2971" t="s">
        <v>7</v>
      </c>
      <c r="B2971">
        <v>19007297</v>
      </c>
      <c r="C2971" t="s">
        <v>10</v>
      </c>
      <c r="D2971" s="4">
        <v>46085</v>
      </c>
      <c r="E2971" s="11">
        <f t="shared" si="184"/>
        <v>2026</v>
      </c>
      <c r="F2971" s="11">
        <f t="shared" si="185"/>
        <v>3</v>
      </c>
      <c r="G2971" s="11" t="str">
        <f t="shared" si="186"/>
        <v>202603</v>
      </c>
      <c r="I2971" s="5">
        <v>9999</v>
      </c>
      <c r="J2971" s="5">
        <v>333.3</v>
      </c>
      <c r="K2971" s="5">
        <f t="shared" si="187"/>
        <v>0</v>
      </c>
      <c r="L2971" s="5">
        <v>0</v>
      </c>
      <c r="M2971" s="5">
        <v>0</v>
      </c>
      <c r="N2971" t="s">
        <v>9</v>
      </c>
      <c r="O2971" s="8">
        <v>18.057534246575344</v>
      </c>
      <c r="P2971" t="s">
        <v>32</v>
      </c>
      <c r="Q2971">
        <v>1</v>
      </c>
      <c r="R2971" s="2">
        <v>39494</v>
      </c>
    </row>
    <row r="2972" spans="1:18" x14ac:dyDescent="0.3">
      <c r="A2972" t="s">
        <v>7</v>
      </c>
      <c r="B2972">
        <v>19007298</v>
      </c>
      <c r="C2972" t="s">
        <v>8</v>
      </c>
      <c r="D2972" s="4">
        <v>46085</v>
      </c>
      <c r="E2972" s="11">
        <f t="shared" si="184"/>
        <v>2026</v>
      </c>
      <c r="F2972" s="11">
        <f t="shared" si="185"/>
        <v>3</v>
      </c>
      <c r="G2972" s="11" t="str">
        <f t="shared" si="186"/>
        <v>202603</v>
      </c>
      <c r="I2972" s="5">
        <v>9999</v>
      </c>
      <c r="J2972" s="5">
        <v>333.3</v>
      </c>
      <c r="K2972" s="5">
        <f t="shared" si="187"/>
        <v>0</v>
      </c>
      <c r="L2972" s="5">
        <v>0</v>
      </c>
      <c r="M2972" s="5">
        <v>0</v>
      </c>
      <c r="N2972" t="s">
        <v>9</v>
      </c>
      <c r="O2972" s="8">
        <v>29.915068493150685</v>
      </c>
      <c r="P2972" t="s">
        <v>34</v>
      </c>
      <c r="Q2972">
        <v>3</v>
      </c>
      <c r="R2972" s="2">
        <v>35166</v>
      </c>
    </row>
    <row r="2973" spans="1:18" x14ac:dyDescent="0.3">
      <c r="A2973" t="s">
        <v>7</v>
      </c>
      <c r="B2973">
        <v>19007299</v>
      </c>
      <c r="C2973" t="s">
        <v>8</v>
      </c>
      <c r="D2973" s="4">
        <v>46085</v>
      </c>
      <c r="E2973" s="11">
        <f t="shared" si="184"/>
        <v>2026</v>
      </c>
      <c r="F2973" s="11">
        <f t="shared" si="185"/>
        <v>3</v>
      </c>
      <c r="G2973" s="11" t="str">
        <f t="shared" si="186"/>
        <v>202603</v>
      </c>
      <c r="I2973" s="5">
        <v>9999</v>
      </c>
      <c r="J2973" s="5">
        <v>333.3</v>
      </c>
      <c r="K2973" s="5">
        <f t="shared" si="187"/>
        <v>0</v>
      </c>
      <c r="L2973" s="5">
        <v>0</v>
      </c>
      <c r="M2973" s="5">
        <v>0</v>
      </c>
      <c r="N2973" t="s">
        <v>9</v>
      </c>
      <c r="O2973" s="8">
        <v>20</v>
      </c>
      <c r="P2973" t="s">
        <v>32</v>
      </c>
      <c r="Q2973">
        <v>1</v>
      </c>
      <c r="R2973" s="2">
        <v>38785</v>
      </c>
    </row>
    <row r="2974" spans="1:18" x14ac:dyDescent="0.3">
      <c r="A2974" t="s">
        <v>7</v>
      </c>
      <c r="B2974">
        <v>19007300</v>
      </c>
      <c r="C2974" t="s">
        <v>8</v>
      </c>
      <c r="D2974" s="4">
        <v>46085</v>
      </c>
      <c r="E2974" s="11">
        <f t="shared" si="184"/>
        <v>2026</v>
      </c>
      <c r="F2974" s="11">
        <f t="shared" si="185"/>
        <v>3</v>
      </c>
      <c r="G2974" s="11" t="str">
        <f t="shared" si="186"/>
        <v>202603</v>
      </c>
      <c r="I2974" s="5">
        <v>9999</v>
      </c>
      <c r="J2974" s="5">
        <v>333.3</v>
      </c>
      <c r="K2974" s="5">
        <f t="shared" si="187"/>
        <v>0</v>
      </c>
      <c r="L2974" s="5">
        <v>0</v>
      </c>
      <c r="M2974" s="5">
        <v>0</v>
      </c>
      <c r="N2974" t="s">
        <v>9</v>
      </c>
      <c r="O2974" s="8">
        <v>18.87945205479452</v>
      </c>
      <c r="P2974" t="s">
        <v>32</v>
      </c>
      <c r="Q2974">
        <v>1</v>
      </c>
      <c r="R2974" s="2">
        <v>39194</v>
      </c>
    </row>
    <row r="2975" spans="1:18" x14ac:dyDescent="0.3">
      <c r="A2975" t="s">
        <v>7</v>
      </c>
      <c r="B2975">
        <v>19007301</v>
      </c>
      <c r="C2975" t="s">
        <v>8</v>
      </c>
      <c r="D2975" s="4">
        <v>46085</v>
      </c>
      <c r="E2975" s="11">
        <f t="shared" si="184"/>
        <v>2026</v>
      </c>
      <c r="F2975" s="11">
        <f t="shared" si="185"/>
        <v>3</v>
      </c>
      <c r="G2975" s="11" t="str">
        <f t="shared" si="186"/>
        <v>202603</v>
      </c>
      <c r="I2975" s="5">
        <v>9999</v>
      </c>
      <c r="J2975" s="5">
        <v>333.3</v>
      </c>
      <c r="K2975" s="5">
        <f t="shared" si="187"/>
        <v>0</v>
      </c>
      <c r="L2975" s="5">
        <v>0</v>
      </c>
      <c r="M2975" s="5">
        <v>0</v>
      </c>
      <c r="N2975" t="s">
        <v>9</v>
      </c>
      <c r="O2975" s="8">
        <v>19.876712328767123</v>
      </c>
      <c r="P2975" t="s">
        <v>32</v>
      </c>
      <c r="Q2975">
        <v>1</v>
      </c>
      <c r="R2975" s="2">
        <v>38830</v>
      </c>
    </row>
    <row r="2976" spans="1:18" x14ac:dyDescent="0.3">
      <c r="A2976" t="s">
        <v>11</v>
      </c>
      <c r="B2976">
        <v>19007302</v>
      </c>
      <c r="C2976" t="s">
        <v>10</v>
      </c>
      <c r="D2976" s="4">
        <v>46085</v>
      </c>
      <c r="E2976" s="11">
        <f t="shared" si="184"/>
        <v>2026</v>
      </c>
      <c r="F2976" s="11">
        <f t="shared" si="185"/>
        <v>3</v>
      </c>
      <c r="G2976" s="11" t="str">
        <f t="shared" si="186"/>
        <v>202603</v>
      </c>
      <c r="H2976" s="4">
        <v>46173</v>
      </c>
      <c r="I2976" s="5">
        <v>88</v>
      </c>
      <c r="J2976" s="5">
        <v>2.9333333333333331</v>
      </c>
      <c r="K2976" s="5">
        <f t="shared" si="187"/>
        <v>0</v>
      </c>
      <c r="L2976" s="5">
        <v>1</v>
      </c>
      <c r="M2976" s="5">
        <v>1</v>
      </c>
      <c r="N2976" t="s">
        <v>9</v>
      </c>
      <c r="O2976" s="8">
        <v>22.589041095890412</v>
      </c>
      <c r="P2976" t="s">
        <v>33</v>
      </c>
      <c r="Q2976">
        <v>2</v>
      </c>
      <c r="R2976" s="2">
        <v>37840</v>
      </c>
    </row>
    <row r="2977" spans="1:18" x14ac:dyDescent="0.3">
      <c r="A2977" t="s">
        <v>7</v>
      </c>
      <c r="B2977">
        <v>19007329</v>
      </c>
      <c r="C2977" t="s">
        <v>8</v>
      </c>
      <c r="D2977" s="4">
        <v>46085</v>
      </c>
      <c r="E2977" s="11">
        <f t="shared" si="184"/>
        <v>2026</v>
      </c>
      <c r="F2977" s="11">
        <f t="shared" si="185"/>
        <v>3</v>
      </c>
      <c r="G2977" s="11" t="str">
        <f t="shared" si="186"/>
        <v>202603</v>
      </c>
      <c r="I2977" s="5">
        <v>9999</v>
      </c>
      <c r="J2977" s="5">
        <v>333.3</v>
      </c>
      <c r="K2977" s="5">
        <f t="shared" si="187"/>
        <v>0</v>
      </c>
      <c r="L2977" s="5">
        <v>0</v>
      </c>
      <c r="M2977" s="5">
        <v>0</v>
      </c>
      <c r="N2977" t="s">
        <v>12</v>
      </c>
      <c r="O2977" s="8">
        <v>23.449315068493149</v>
      </c>
      <c r="P2977" t="s">
        <v>33</v>
      </c>
      <c r="Q2977">
        <v>2</v>
      </c>
      <c r="R2977" s="2">
        <v>37526</v>
      </c>
    </row>
    <row r="2978" spans="1:18" x14ac:dyDescent="0.3">
      <c r="A2978" t="s">
        <v>11</v>
      </c>
      <c r="B2978">
        <v>19007332</v>
      </c>
      <c r="C2978" t="s">
        <v>10</v>
      </c>
      <c r="D2978" s="4">
        <v>46085</v>
      </c>
      <c r="E2978" s="11">
        <f t="shared" si="184"/>
        <v>2026</v>
      </c>
      <c r="F2978" s="11">
        <f t="shared" si="185"/>
        <v>3</v>
      </c>
      <c r="G2978" s="11" t="str">
        <f t="shared" si="186"/>
        <v>202603</v>
      </c>
      <c r="H2978" s="4">
        <v>46146</v>
      </c>
      <c r="I2978" s="5">
        <v>61</v>
      </c>
      <c r="J2978" s="5">
        <v>2.0333333333333332</v>
      </c>
      <c r="K2978" s="5">
        <f t="shared" si="187"/>
        <v>0</v>
      </c>
      <c r="L2978" s="5">
        <v>1</v>
      </c>
      <c r="M2978" s="5">
        <v>1</v>
      </c>
      <c r="N2978" t="s">
        <v>12</v>
      </c>
      <c r="O2978" s="8">
        <v>24.482191780821918</v>
      </c>
      <c r="P2978" t="s">
        <v>33</v>
      </c>
      <c r="Q2978">
        <v>2</v>
      </c>
      <c r="R2978" s="2">
        <v>37149</v>
      </c>
    </row>
    <row r="2979" spans="1:18" x14ac:dyDescent="0.3">
      <c r="A2979" t="s">
        <v>7</v>
      </c>
      <c r="B2979">
        <v>19007349</v>
      </c>
      <c r="C2979" t="s">
        <v>10</v>
      </c>
      <c r="D2979" s="4">
        <v>46085</v>
      </c>
      <c r="E2979" s="11">
        <f t="shared" si="184"/>
        <v>2026</v>
      </c>
      <c r="F2979" s="11">
        <f t="shared" si="185"/>
        <v>3</v>
      </c>
      <c r="G2979" s="11" t="str">
        <f t="shared" si="186"/>
        <v>202603</v>
      </c>
      <c r="I2979" s="5">
        <v>9999</v>
      </c>
      <c r="J2979" s="5">
        <v>333.3</v>
      </c>
      <c r="K2979" s="5">
        <f t="shared" si="187"/>
        <v>0</v>
      </c>
      <c r="L2979" s="5">
        <v>0</v>
      </c>
      <c r="M2979" s="5">
        <v>0</v>
      </c>
      <c r="N2979" t="s">
        <v>12</v>
      </c>
      <c r="O2979" s="8">
        <v>21.81917808219178</v>
      </c>
      <c r="P2979" t="s">
        <v>33</v>
      </c>
      <c r="Q2979">
        <v>2</v>
      </c>
      <c r="R2979" s="2">
        <v>38121</v>
      </c>
    </row>
    <row r="2980" spans="1:18" x14ac:dyDescent="0.3">
      <c r="A2980" t="s">
        <v>7</v>
      </c>
      <c r="B2980">
        <v>19007538</v>
      </c>
      <c r="C2980" t="s">
        <v>8</v>
      </c>
      <c r="D2980" s="4">
        <v>46086</v>
      </c>
      <c r="E2980" s="11">
        <f t="shared" si="184"/>
        <v>2026</v>
      </c>
      <c r="F2980" s="11">
        <f t="shared" si="185"/>
        <v>3</v>
      </c>
      <c r="G2980" s="11" t="str">
        <f t="shared" si="186"/>
        <v>202603</v>
      </c>
      <c r="I2980" s="5">
        <v>9999</v>
      </c>
      <c r="J2980" s="5">
        <v>333.3</v>
      </c>
      <c r="K2980" s="5">
        <f t="shared" si="187"/>
        <v>0</v>
      </c>
      <c r="L2980" s="5">
        <v>0</v>
      </c>
      <c r="M2980" s="5">
        <v>0</v>
      </c>
      <c r="N2980" t="s">
        <v>9</v>
      </c>
      <c r="O2980" s="8">
        <v>19.553424657534247</v>
      </c>
      <c r="P2980" t="s">
        <v>32</v>
      </c>
      <c r="Q2980">
        <v>1</v>
      </c>
      <c r="R2980" s="2">
        <v>38949</v>
      </c>
    </row>
    <row r="2981" spans="1:18" x14ac:dyDescent="0.3">
      <c r="A2981" t="s">
        <v>7</v>
      </c>
      <c r="B2981">
        <v>19007539</v>
      </c>
      <c r="C2981" t="s">
        <v>8</v>
      </c>
      <c r="D2981" s="4">
        <v>46086</v>
      </c>
      <c r="E2981" s="11">
        <f t="shared" si="184"/>
        <v>2026</v>
      </c>
      <c r="F2981" s="11">
        <f t="shared" si="185"/>
        <v>3</v>
      </c>
      <c r="G2981" s="11" t="str">
        <f t="shared" si="186"/>
        <v>202603</v>
      </c>
      <c r="H2981" s="4">
        <v>46087</v>
      </c>
      <c r="I2981" s="5">
        <v>1</v>
      </c>
      <c r="J2981" s="5">
        <v>3.3333333333333333E-2</v>
      </c>
      <c r="K2981" s="5">
        <f t="shared" si="187"/>
        <v>1</v>
      </c>
      <c r="L2981" s="5">
        <v>1</v>
      </c>
      <c r="M2981" s="5">
        <v>1</v>
      </c>
      <c r="N2981" t="s">
        <v>9</v>
      </c>
      <c r="O2981" s="8">
        <v>23.079452054794519</v>
      </c>
      <c r="P2981" t="s">
        <v>33</v>
      </c>
      <c r="Q2981">
        <v>2</v>
      </c>
      <c r="R2981" s="2">
        <v>37662</v>
      </c>
    </row>
    <row r="2982" spans="1:18" x14ac:dyDescent="0.3">
      <c r="A2982" t="s">
        <v>7</v>
      </c>
      <c r="B2982">
        <v>19007540</v>
      </c>
      <c r="C2982" t="s">
        <v>8</v>
      </c>
      <c r="D2982" s="4">
        <v>46086</v>
      </c>
      <c r="E2982" s="11">
        <f t="shared" si="184"/>
        <v>2026</v>
      </c>
      <c r="F2982" s="11">
        <f t="shared" si="185"/>
        <v>3</v>
      </c>
      <c r="G2982" s="11" t="str">
        <f t="shared" si="186"/>
        <v>202603</v>
      </c>
      <c r="I2982" s="5">
        <v>9999</v>
      </c>
      <c r="J2982" s="5">
        <v>333.3</v>
      </c>
      <c r="K2982" s="5">
        <f t="shared" si="187"/>
        <v>0</v>
      </c>
      <c r="L2982" s="5">
        <v>0</v>
      </c>
      <c r="M2982" s="5">
        <v>0</v>
      </c>
      <c r="N2982" t="s">
        <v>9</v>
      </c>
      <c r="O2982" s="8">
        <v>20.567123287671233</v>
      </c>
      <c r="P2982" t="s">
        <v>32</v>
      </c>
      <c r="Q2982">
        <v>1</v>
      </c>
      <c r="R2982" s="2">
        <v>38579</v>
      </c>
    </row>
    <row r="2983" spans="1:18" x14ac:dyDescent="0.3">
      <c r="A2983" t="s">
        <v>7</v>
      </c>
      <c r="B2983">
        <v>19007541</v>
      </c>
      <c r="C2983" t="s">
        <v>8</v>
      </c>
      <c r="D2983" s="4">
        <v>46086</v>
      </c>
      <c r="E2983" s="11">
        <f t="shared" si="184"/>
        <v>2026</v>
      </c>
      <c r="F2983" s="11">
        <f t="shared" si="185"/>
        <v>3</v>
      </c>
      <c r="G2983" s="11" t="str">
        <f t="shared" si="186"/>
        <v>202603</v>
      </c>
      <c r="H2983" s="4">
        <v>46126</v>
      </c>
      <c r="I2983" s="5">
        <v>40</v>
      </c>
      <c r="J2983" s="5">
        <v>1.3333333333333333</v>
      </c>
      <c r="K2983" s="5">
        <f t="shared" si="187"/>
        <v>0</v>
      </c>
      <c r="L2983" s="5">
        <v>1</v>
      </c>
      <c r="M2983" s="5">
        <v>1</v>
      </c>
      <c r="N2983" t="s">
        <v>9</v>
      </c>
      <c r="O2983" s="8">
        <v>19.183561643835617</v>
      </c>
      <c r="P2983" t="s">
        <v>32</v>
      </c>
      <c r="Q2983">
        <v>1</v>
      </c>
      <c r="R2983" s="2">
        <v>39084</v>
      </c>
    </row>
    <row r="2984" spans="1:18" x14ac:dyDescent="0.3">
      <c r="A2984" t="s">
        <v>7</v>
      </c>
      <c r="B2984">
        <v>19007542</v>
      </c>
      <c r="C2984" t="s">
        <v>10</v>
      </c>
      <c r="D2984" s="4">
        <v>46086</v>
      </c>
      <c r="E2984" s="11">
        <f t="shared" si="184"/>
        <v>2026</v>
      </c>
      <c r="F2984" s="11">
        <f t="shared" si="185"/>
        <v>3</v>
      </c>
      <c r="G2984" s="11" t="str">
        <f t="shared" si="186"/>
        <v>202603</v>
      </c>
      <c r="I2984" s="5">
        <v>9999</v>
      </c>
      <c r="J2984" s="5">
        <v>333.3</v>
      </c>
      <c r="K2984" s="5">
        <f t="shared" si="187"/>
        <v>0</v>
      </c>
      <c r="L2984" s="5">
        <v>0</v>
      </c>
      <c r="M2984" s="5">
        <v>0</v>
      </c>
      <c r="N2984" t="s">
        <v>9</v>
      </c>
      <c r="O2984" s="8">
        <v>18.69041095890411</v>
      </c>
      <c r="P2984" t="s">
        <v>32</v>
      </c>
      <c r="Q2984">
        <v>1</v>
      </c>
      <c r="R2984" s="2">
        <v>39264</v>
      </c>
    </row>
    <row r="2985" spans="1:18" x14ac:dyDescent="0.3">
      <c r="A2985" t="s">
        <v>7</v>
      </c>
      <c r="B2985">
        <v>19007543</v>
      </c>
      <c r="C2985" t="s">
        <v>8</v>
      </c>
      <c r="D2985" s="4">
        <v>46086</v>
      </c>
      <c r="E2985" s="11">
        <f t="shared" si="184"/>
        <v>2026</v>
      </c>
      <c r="F2985" s="11">
        <f t="shared" si="185"/>
        <v>3</v>
      </c>
      <c r="G2985" s="11" t="str">
        <f t="shared" si="186"/>
        <v>202603</v>
      </c>
      <c r="I2985" s="5">
        <v>9999</v>
      </c>
      <c r="J2985" s="5">
        <v>333.3</v>
      </c>
      <c r="K2985" s="5">
        <f t="shared" si="187"/>
        <v>0</v>
      </c>
      <c r="L2985" s="5">
        <v>0</v>
      </c>
      <c r="M2985" s="5">
        <v>0</v>
      </c>
      <c r="N2985" t="s">
        <v>9</v>
      </c>
      <c r="O2985" s="8">
        <v>22.956164383561642</v>
      </c>
      <c r="P2985" t="s">
        <v>33</v>
      </c>
      <c r="Q2985">
        <v>2</v>
      </c>
      <c r="R2985" s="2">
        <v>37707</v>
      </c>
    </row>
    <row r="2986" spans="1:18" x14ac:dyDescent="0.3">
      <c r="A2986" t="s">
        <v>7</v>
      </c>
      <c r="B2986">
        <v>19007552</v>
      </c>
      <c r="C2986" t="s">
        <v>8</v>
      </c>
      <c r="D2986" s="4">
        <v>46086</v>
      </c>
      <c r="E2986" s="11">
        <f t="shared" si="184"/>
        <v>2026</v>
      </c>
      <c r="F2986" s="11">
        <f t="shared" si="185"/>
        <v>3</v>
      </c>
      <c r="G2986" s="11" t="str">
        <f t="shared" si="186"/>
        <v>202603</v>
      </c>
      <c r="I2986" s="5">
        <v>9999</v>
      </c>
      <c r="J2986" s="5">
        <v>333.3</v>
      </c>
      <c r="K2986" s="5">
        <f t="shared" si="187"/>
        <v>0</v>
      </c>
      <c r="L2986" s="5">
        <v>0</v>
      </c>
      <c r="M2986" s="5">
        <v>0</v>
      </c>
      <c r="N2986" t="s">
        <v>9</v>
      </c>
      <c r="O2986" s="8">
        <v>22.016438356164382</v>
      </c>
      <c r="P2986" t="s">
        <v>33</v>
      </c>
      <c r="Q2986">
        <v>2</v>
      </c>
      <c r="R2986" s="2">
        <v>38050</v>
      </c>
    </row>
    <row r="2987" spans="1:18" x14ac:dyDescent="0.3">
      <c r="A2987" t="s">
        <v>7</v>
      </c>
      <c r="B2987">
        <v>19007553</v>
      </c>
      <c r="C2987" t="s">
        <v>8</v>
      </c>
      <c r="D2987" s="4">
        <v>46086</v>
      </c>
      <c r="E2987" s="11">
        <f t="shared" si="184"/>
        <v>2026</v>
      </c>
      <c r="F2987" s="11">
        <f t="shared" si="185"/>
        <v>3</v>
      </c>
      <c r="G2987" s="11" t="str">
        <f t="shared" si="186"/>
        <v>202603</v>
      </c>
      <c r="I2987" s="5">
        <v>9999</v>
      </c>
      <c r="J2987" s="5">
        <v>333.3</v>
      </c>
      <c r="K2987" s="5">
        <f t="shared" si="187"/>
        <v>0</v>
      </c>
      <c r="L2987" s="5">
        <v>0</v>
      </c>
      <c r="M2987" s="5">
        <v>0</v>
      </c>
      <c r="N2987" t="s">
        <v>9</v>
      </c>
      <c r="O2987" s="8">
        <v>20.717808219178082</v>
      </c>
      <c r="P2987" t="s">
        <v>32</v>
      </c>
      <c r="Q2987">
        <v>1</v>
      </c>
      <c r="R2987" s="2">
        <v>38524</v>
      </c>
    </row>
    <row r="2988" spans="1:18" x14ac:dyDescent="0.3">
      <c r="A2988" t="s">
        <v>7</v>
      </c>
      <c r="B2988">
        <v>19007630</v>
      </c>
      <c r="C2988" t="s">
        <v>10</v>
      </c>
      <c r="D2988" s="4">
        <v>46086</v>
      </c>
      <c r="E2988" s="11">
        <f t="shared" si="184"/>
        <v>2026</v>
      </c>
      <c r="F2988" s="11">
        <f t="shared" si="185"/>
        <v>3</v>
      </c>
      <c r="G2988" s="11" t="str">
        <f t="shared" si="186"/>
        <v>202603</v>
      </c>
      <c r="H2988" s="4">
        <v>46124</v>
      </c>
      <c r="I2988" s="5">
        <v>38</v>
      </c>
      <c r="J2988" s="5">
        <v>1.2666666666666666</v>
      </c>
      <c r="K2988" s="5">
        <f t="shared" si="187"/>
        <v>0</v>
      </c>
      <c r="L2988" s="5">
        <v>1</v>
      </c>
      <c r="M2988" s="5">
        <v>1</v>
      </c>
      <c r="N2988" t="s">
        <v>9</v>
      </c>
      <c r="O2988" s="8">
        <v>21.24931506849315</v>
      </c>
      <c r="P2988" t="s">
        <v>33</v>
      </c>
      <c r="Q2988">
        <v>2</v>
      </c>
      <c r="R2988" s="2">
        <v>38330</v>
      </c>
    </row>
    <row r="2989" spans="1:18" x14ac:dyDescent="0.3">
      <c r="A2989" t="s">
        <v>11</v>
      </c>
      <c r="B2989">
        <v>19007778</v>
      </c>
      <c r="C2989" t="s">
        <v>8</v>
      </c>
      <c r="D2989" s="4">
        <v>46087</v>
      </c>
      <c r="E2989" s="11">
        <f t="shared" si="184"/>
        <v>2026</v>
      </c>
      <c r="F2989" s="11">
        <f t="shared" si="185"/>
        <v>3</v>
      </c>
      <c r="G2989" s="11" t="str">
        <f t="shared" si="186"/>
        <v>202603</v>
      </c>
      <c r="I2989" s="5">
        <v>9999</v>
      </c>
      <c r="J2989" s="5">
        <v>333.3</v>
      </c>
      <c r="K2989" s="5">
        <f t="shared" si="187"/>
        <v>0</v>
      </c>
      <c r="L2989" s="5">
        <v>0</v>
      </c>
      <c r="M2989" s="5">
        <v>0</v>
      </c>
      <c r="N2989" t="s">
        <v>9</v>
      </c>
      <c r="O2989" s="8">
        <v>41.512328767123286</v>
      </c>
      <c r="P2989" t="s">
        <v>35</v>
      </c>
      <c r="Q2989">
        <v>4</v>
      </c>
      <c r="R2989" s="2">
        <v>30935</v>
      </c>
    </row>
    <row r="2990" spans="1:18" x14ac:dyDescent="0.3">
      <c r="A2990" t="s">
        <v>7</v>
      </c>
      <c r="B2990">
        <v>19007782</v>
      </c>
      <c r="C2990" t="s">
        <v>8</v>
      </c>
      <c r="D2990" s="4">
        <v>46087</v>
      </c>
      <c r="E2990" s="11">
        <f t="shared" si="184"/>
        <v>2026</v>
      </c>
      <c r="F2990" s="11">
        <f t="shared" si="185"/>
        <v>3</v>
      </c>
      <c r="G2990" s="11" t="str">
        <f t="shared" si="186"/>
        <v>202603</v>
      </c>
      <c r="I2990" s="5">
        <v>9999</v>
      </c>
      <c r="J2990" s="5">
        <v>333.3</v>
      </c>
      <c r="K2990" s="5">
        <f t="shared" si="187"/>
        <v>0</v>
      </c>
      <c r="L2990" s="5">
        <v>0</v>
      </c>
      <c r="M2990" s="5">
        <v>0</v>
      </c>
      <c r="N2990" t="s">
        <v>9</v>
      </c>
      <c r="O2990" s="8">
        <v>18.408219178082192</v>
      </c>
      <c r="P2990" t="s">
        <v>32</v>
      </c>
      <c r="Q2990">
        <v>1</v>
      </c>
      <c r="R2990" s="2">
        <v>39368</v>
      </c>
    </row>
    <row r="2991" spans="1:18" x14ac:dyDescent="0.3">
      <c r="A2991" t="s">
        <v>7</v>
      </c>
      <c r="B2991">
        <v>19007784</v>
      </c>
      <c r="C2991" t="s">
        <v>10</v>
      </c>
      <c r="D2991" s="4">
        <v>46087</v>
      </c>
      <c r="E2991" s="11">
        <f t="shared" si="184"/>
        <v>2026</v>
      </c>
      <c r="F2991" s="11">
        <f t="shared" si="185"/>
        <v>3</v>
      </c>
      <c r="G2991" s="11" t="str">
        <f t="shared" si="186"/>
        <v>202603</v>
      </c>
      <c r="I2991" s="5">
        <v>9999</v>
      </c>
      <c r="J2991" s="5">
        <v>333.3</v>
      </c>
      <c r="K2991" s="5">
        <f t="shared" si="187"/>
        <v>0</v>
      </c>
      <c r="L2991" s="5">
        <v>0</v>
      </c>
      <c r="M2991" s="5">
        <v>0</v>
      </c>
      <c r="N2991" t="s">
        <v>9</v>
      </c>
      <c r="O2991" s="8">
        <v>24.6</v>
      </c>
      <c r="P2991" t="s">
        <v>33</v>
      </c>
      <c r="Q2991">
        <v>2</v>
      </c>
      <c r="R2991" s="2">
        <v>37108</v>
      </c>
    </row>
    <row r="2992" spans="1:18" x14ac:dyDescent="0.3">
      <c r="A2992" t="s">
        <v>7</v>
      </c>
      <c r="B2992">
        <v>19007786</v>
      </c>
      <c r="C2992" t="s">
        <v>10</v>
      </c>
      <c r="D2992" s="4">
        <v>46087</v>
      </c>
      <c r="E2992" s="11">
        <f t="shared" si="184"/>
        <v>2026</v>
      </c>
      <c r="F2992" s="11">
        <f t="shared" si="185"/>
        <v>3</v>
      </c>
      <c r="G2992" s="11" t="str">
        <f t="shared" si="186"/>
        <v>202603</v>
      </c>
      <c r="I2992" s="5">
        <v>9999</v>
      </c>
      <c r="J2992" s="5">
        <v>333.3</v>
      </c>
      <c r="K2992" s="5">
        <f t="shared" si="187"/>
        <v>0</v>
      </c>
      <c r="L2992" s="5">
        <v>0</v>
      </c>
      <c r="M2992" s="5">
        <v>0</v>
      </c>
      <c r="N2992" t="s">
        <v>12</v>
      </c>
      <c r="O2992" s="8">
        <v>19.208219178082192</v>
      </c>
      <c r="P2992" t="s">
        <v>32</v>
      </c>
      <c r="Q2992">
        <v>1</v>
      </c>
      <c r="R2992" s="2">
        <v>39076</v>
      </c>
    </row>
    <row r="2993" spans="1:18" x14ac:dyDescent="0.3">
      <c r="A2993" t="s">
        <v>7</v>
      </c>
      <c r="B2993">
        <v>19007787</v>
      </c>
      <c r="C2993" t="s">
        <v>8</v>
      </c>
      <c r="D2993" s="4">
        <v>46087</v>
      </c>
      <c r="E2993" s="11">
        <f t="shared" si="184"/>
        <v>2026</v>
      </c>
      <c r="F2993" s="11">
        <f t="shared" si="185"/>
        <v>3</v>
      </c>
      <c r="G2993" s="11" t="str">
        <f t="shared" si="186"/>
        <v>202603</v>
      </c>
      <c r="H2993" s="4">
        <v>46147</v>
      </c>
      <c r="I2993" s="5">
        <v>60</v>
      </c>
      <c r="J2993" s="5">
        <v>2</v>
      </c>
      <c r="K2993" s="5">
        <f t="shared" si="187"/>
        <v>0</v>
      </c>
      <c r="L2993" s="5">
        <v>1</v>
      </c>
      <c r="M2993" s="5">
        <v>1</v>
      </c>
      <c r="N2993" t="s">
        <v>12</v>
      </c>
      <c r="O2993" s="8">
        <v>19.536986301369861</v>
      </c>
      <c r="P2993" t="s">
        <v>32</v>
      </c>
      <c r="Q2993">
        <v>1</v>
      </c>
      <c r="R2993" s="2">
        <v>38956</v>
      </c>
    </row>
    <row r="2994" spans="1:18" x14ac:dyDescent="0.3">
      <c r="A2994" t="s">
        <v>7</v>
      </c>
      <c r="B2994">
        <v>19007789</v>
      </c>
      <c r="C2994" t="s">
        <v>8</v>
      </c>
      <c r="D2994" s="4">
        <v>46087</v>
      </c>
      <c r="E2994" s="11">
        <f t="shared" si="184"/>
        <v>2026</v>
      </c>
      <c r="F2994" s="11">
        <f t="shared" si="185"/>
        <v>3</v>
      </c>
      <c r="G2994" s="11" t="str">
        <f t="shared" si="186"/>
        <v>202603</v>
      </c>
      <c r="H2994" s="4">
        <v>46174</v>
      </c>
      <c r="I2994" s="5">
        <v>87</v>
      </c>
      <c r="J2994" s="5">
        <v>2.9</v>
      </c>
      <c r="K2994" s="5">
        <f t="shared" si="187"/>
        <v>0</v>
      </c>
      <c r="L2994" s="5">
        <v>1</v>
      </c>
      <c r="M2994" s="5">
        <v>1</v>
      </c>
      <c r="N2994" t="s">
        <v>12</v>
      </c>
      <c r="O2994" s="8">
        <v>19.706849315068492</v>
      </c>
      <c r="P2994" t="s">
        <v>32</v>
      </c>
      <c r="Q2994">
        <v>1</v>
      </c>
      <c r="R2994" s="2">
        <v>38894</v>
      </c>
    </row>
    <row r="2995" spans="1:18" x14ac:dyDescent="0.3">
      <c r="A2995" t="s">
        <v>7</v>
      </c>
      <c r="B2995">
        <v>19007790</v>
      </c>
      <c r="C2995" t="s">
        <v>8</v>
      </c>
      <c r="D2995" s="4">
        <v>46087</v>
      </c>
      <c r="E2995" s="11">
        <f t="shared" si="184"/>
        <v>2026</v>
      </c>
      <c r="F2995" s="11">
        <f t="shared" si="185"/>
        <v>3</v>
      </c>
      <c r="G2995" s="11" t="str">
        <f t="shared" si="186"/>
        <v>202603</v>
      </c>
      <c r="I2995" s="5">
        <v>9999</v>
      </c>
      <c r="J2995" s="5">
        <v>333.3</v>
      </c>
      <c r="K2995" s="5">
        <f t="shared" si="187"/>
        <v>0</v>
      </c>
      <c r="L2995" s="5">
        <v>0</v>
      </c>
      <c r="M2995" s="5">
        <v>0</v>
      </c>
      <c r="N2995" t="s">
        <v>12</v>
      </c>
      <c r="O2995" s="8">
        <v>46.583561643835615</v>
      </c>
      <c r="P2995" t="s">
        <v>35</v>
      </c>
      <c r="Q2995">
        <v>4</v>
      </c>
      <c r="R2995" s="2">
        <v>29084</v>
      </c>
    </row>
    <row r="2996" spans="1:18" x14ac:dyDescent="0.3">
      <c r="A2996" t="s">
        <v>7</v>
      </c>
      <c r="B2996">
        <v>19007797</v>
      </c>
      <c r="C2996" t="s">
        <v>8</v>
      </c>
      <c r="D2996" s="4">
        <v>46087</v>
      </c>
      <c r="E2996" s="11">
        <f t="shared" si="184"/>
        <v>2026</v>
      </c>
      <c r="F2996" s="11">
        <f t="shared" si="185"/>
        <v>3</v>
      </c>
      <c r="G2996" s="11" t="str">
        <f t="shared" si="186"/>
        <v>202603</v>
      </c>
      <c r="H2996" s="4">
        <v>46126</v>
      </c>
      <c r="I2996" s="5">
        <v>39</v>
      </c>
      <c r="J2996" s="5">
        <v>1.3</v>
      </c>
      <c r="K2996" s="5">
        <f t="shared" si="187"/>
        <v>0</v>
      </c>
      <c r="L2996" s="5">
        <v>1</v>
      </c>
      <c r="M2996" s="5">
        <v>1</v>
      </c>
      <c r="N2996" t="s">
        <v>9</v>
      </c>
      <c r="O2996" s="8">
        <v>20.12876712328767</v>
      </c>
      <c r="P2996" t="s">
        <v>32</v>
      </c>
      <c r="Q2996">
        <v>1</v>
      </c>
      <c r="R2996" s="2">
        <v>38740</v>
      </c>
    </row>
    <row r="2997" spans="1:18" x14ac:dyDescent="0.3">
      <c r="A2997" t="s">
        <v>7</v>
      </c>
      <c r="B2997">
        <v>19007798</v>
      </c>
      <c r="C2997" t="s">
        <v>8</v>
      </c>
      <c r="D2997" s="4">
        <v>46087</v>
      </c>
      <c r="E2997" s="11">
        <f t="shared" si="184"/>
        <v>2026</v>
      </c>
      <c r="F2997" s="11">
        <f t="shared" si="185"/>
        <v>3</v>
      </c>
      <c r="G2997" s="11" t="str">
        <f t="shared" si="186"/>
        <v>202603</v>
      </c>
      <c r="I2997" s="5">
        <v>9999</v>
      </c>
      <c r="J2997" s="5">
        <v>333.3</v>
      </c>
      <c r="K2997" s="5">
        <f t="shared" si="187"/>
        <v>0</v>
      </c>
      <c r="L2997" s="5">
        <v>0</v>
      </c>
      <c r="M2997" s="5">
        <v>0</v>
      </c>
      <c r="N2997" t="s">
        <v>9</v>
      </c>
      <c r="O2997" s="8">
        <v>18.673972602739727</v>
      </c>
      <c r="P2997" t="s">
        <v>32</v>
      </c>
      <c r="Q2997">
        <v>1</v>
      </c>
      <c r="R2997" s="2">
        <v>39271</v>
      </c>
    </row>
    <row r="2998" spans="1:18" x14ac:dyDescent="0.3">
      <c r="A2998" t="s">
        <v>7</v>
      </c>
      <c r="B2998">
        <v>19007799</v>
      </c>
      <c r="C2998" t="s">
        <v>8</v>
      </c>
      <c r="D2998" s="4">
        <v>46087</v>
      </c>
      <c r="E2998" s="11">
        <f t="shared" si="184"/>
        <v>2026</v>
      </c>
      <c r="F2998" s="11">
        <f t="shared" si="185"/>
        <v>3</v>
      </c>
      <c r="G2998" s="11" t="str">
        <f t="shared" si="186"/>
        <v>202603</v>
      </c>
      <c r="I2998" s="5">
        <v>9999</v>
      </c>
      <c r="J2998" s="5">
        <v>333.3</v>
      </c>
      <c r="K2998" s="5">
        <f t="shared" si="187"/>
        <v>0</v>
      </c>
      <c r="L2998" s="5">
        <v>0</v>
      </c>
      <c r="M2998" s="5">
        <v>0</v>
      </c>
      <c r="N2998" t="s">
        <v>9</v>
      </c>
      <c r="O2998" s="8">
        <v>19.098630136986301</v>
      </c>
      <c r="P2998" t="s">
        <v>32</v>
      </c>
      <c r="Q2998">
        <v>1</v>
      </c>
      <c r="R2998" s="2">
        <v>39116</v>
      </c>
    </row>
    <row r="2999" spans="1:18" x14ac:dyDescent="0.3">
      <c r="A2999" t="s">
        <v>7</v>
      </c>
      <c r="B2999">
        <v>19007802</v>
      </c>
      <c r="C2999" t="s">
        <v>8</v>
      </c>
      <c r="D2999" s="4">
        <v>46087</v>
      </c>
      <c r="E2999" s="11">
        <f t="shared" si="184"/>
        <v>2026</v>
      </c>
      <c r="F2999" s="11">
        <f t="shared" si="185"/>
        <v>3</v>
      </c>
      <c r="G2999" s="11" t="str">
        <f t="shared" si="186"/>
        <v>202603</v>
      </c>
      <c r="I2999" s="5">
        <v>9999</v>
      </c>
      <c r="J2999" s="5">
        <v>333.3</v>
      </c>
      <c r="K2999" s="5">
        <f t="shared" si="187"/>
        <v>0</v>
      </c>
      <c r="L2999" s="5">
        <v>0</v>
      </c>
      <c r="M2999" s="5">
        <v>0</v>
      </c>
      <c r="N2999" t="s">
        <v>12</v>
      </c>
      <c r="O2999" s="8">
        <v>18.671232876712327</v>
      </c>
      <c r="P2999" t="s">
        <v>32</v>
      </c>
      <c r="Q2999">
        <v>1</v>
      </c>
      <c r="R2999" s="2">
        <v>39272</v>
      </c>
    </row>
    <row r="3000" spans="1:18" x14ac:dyDescent="0.3">
      <c r="A3000" t="s">
        <v>7</v>
      </c>
      <c r="B3000">
        <v>19007824</v>
      </c>
      <c r="C3000" t="s">
        <v>8</v>
      </c>
      <c r="D3000" s="4">
        <v>46087</v>
      </c>
      <c r="E3000" s="11">
        <f t="shared" si="184"/>
        <v>2026</v>
      </c>
      <c r="F3000" s="11">
        <f t="shared" si="185"/>
        <v>3</v>
      </c>
      <c r="G3000" s="11" t="str">
        <f t="shared" si="186"/>
        <v>202603</v>
      </c>
      <c r="I3000" s="5">
        <v>9999</v>
      </c>
      <c r="J3000" s="5">
        <v>333.3</v>
      </c>
      <c r="K3000" s="5">
        <f t="shared" si="187"/>
        <v>0</v>
      </c>
      <c r="L3000" s="5">
        <v>0</v>
      </c>
      <c r="M3000" s="5">
        <v>0</v>
      </c>
      <c r="N3000" t="s">
        <v>12</v>
      </c>
      <c r="O3000" s="8">
        <v>27.06027397260274</v>
      </c>
      <c r="P3000" t="s">
        <v>34</v>
      </c>
      <c r="Q3000">
        <v>3</v>
      </c>
      <c r="R3000" s="2">
        <v>36210</v>
      </c>
    </row>
    <row r="3001" spans="1:18" x14ac:dyDescent="0.3">
      <c r="A3001" t="s">
        <v>7</v>
      </c>
      <c r="B3001">
        <v>19007825</v>
      </c>
      <c r="C3001" t="s">
        <v>10</v>
      </c>
      <c r="D3001" s="4">
        <v>46087</v>
      </c>
      <c r="E3001" s="11">
        <f t="shared" si="184"/>
        <v>2026</v>
      </c>
      <c r="F3001" s="11">
        <f t="shared" si="185"/>
        <v>3</v>
      </c>
      <c r="G3001" s="11" t="str">
        <f t="shared" si="186"/>
        <v>202603</v>
      </c>
      <c r="I3001" s="5">
        <v>9999</v>
      </c>
      <c r="J3001" s="5">
        <v>333.3</v>
      </c>
      <c r="K3001" s="5">
        <f t="shared" si="187"/>
        <v>0</v>
      </c>
      <c r="L3001" s="5">
        <v>0</v>
      </c>
      <c r="M3001" s="5">
        <v>0</v>
      </c>
      <c r="N3001" t="s">
        <v>12</v>
      </c>
      <c r="O3001" s="8">
        <v>20.717808219178082</v>
      </c>
      <c r="P3001" t="s">
        <v>32</v>
      </c>
      <c r="Q3001">
        <v>1</v>
      </c>
      <c r="R3001" s="2">
        <v>38525</v>
      </c>
    </row>
    <row r="3002" spans="1:18" x14ac:dyDescent="0.3">
      <c r="A3002" t="s">
        <v>11</v>
      </c>
      <c r="B3002">
        <v>19007849</v>
      </c>
      <c r="C3002" t="s">
        <v>8</v>
      </c>
      <c r="D3002" s="4">
        <v>46087</v>
      </c>
      <c r="E3002" s="11">
        <f t="shared" si="184"/>
        <v>2026</v>
      </c>
      <c r="F3002" s="11">
        <f t="shared" si="185"/>
        <v>3</v>
      </c>
      <c r="G3002" s="11" t="str">
        <f t="shared" si="186"/>
        <v>202603</v>
      </c>
      <c r="H3002" s="4">
        <v>46174</v>
      </c>
      <c r="I3002" s="5">
        <v>87</v>
      </c>
      <c r="J3002" s="5">
        <v>2.9</v>
      </c>
      <c r="K3002" s="5">
        <f t="shared" si="187"/>
        <v>0</v>
      </c>
      <c r="L3002" s="5">
        <v>1</v>
      </c>
      <c r="M3002" s="5">
        <v>1</v>
      </c>
      <c r="N3002" t="s">
        <v>9</v>
      </c>
      <c r="O3002" s="8">
        <v>18.972602739726028</v>
      </c>
      <c r="P3002" t="s">
        <v>32</v>
      </c>
      <c r="Q3002">
        <v>1</v>
      </c>
      <c r="R3002" s="2">
        <v>39162</v>
      </c>
    </row>
    <row r="3003" spans="1:18" x14ac:dyDescent="0.3">
      <c r="A3003" t="s">
        <v>7</v>
      </c>
      <c r="B3003">
        <v>19007873</v>
      </c>
      <c r="C3003" t="s">
        <v>8</v>
      </c>
      <c r="D3003" s="4">
        <v>46087</v>
      </c>
      <c r="E3003" s="11">
        <f t="shared" si="184"/>
        <v>2026</v>
      </c>
      <c r="F3003" s="11">
        <f t="shared" si="185"/>
        <v>3</v>
      </c>
      <c r="G3003" s="11" t="str">
        <f t="shared" si="186"/>
        <v>202603</v>
      </c>
      <c r="H3003" s="4">
        <v>46118</v>
      </c>
      <c r="I3003" s="5">
        <v>31</v>
      </c>
      <c r="J3003" s="5">
        <v>1.0333333333333334</v>
      </c>
      <c r="K3003" s="5">
        <f t="shared" si="187"/>
        <v>0</v>
      </c>
      <c r="L3003" s="5">
        <v>1</v>
      </c>
      <c r="M3003" s="5">
        <v>1</v>
      </c>
      <c r="N3003" t="s">
        <v>12</v>
      </c>
      <c r="O3003" s="8">
        <v>21.468493150684932</v>
      </c>
      <c r="P3003" t="s">
        <v>33</v>
      </c>
      <c r="Q3003">
        <v>2</v>
      </c>
      <c r="R3003" s="2">
        <v>38251</v>
      </c>
    </row>
    <row r="3004" spans="1:18" x14ac:dyDescent="0.3">
      <c r="A3004" t="s">
        <v>7</v>
      </c>
      <c r="B3004">
        <v>19007874</v>
      </c>
      <c r="C3004" t="s">
        <v>8</v>
      </c>
      <c r="D3004" s="4">
        <v>46087</v>
      </c>
      <c r="E3004" s="11">
        <f t="shared" si="184"/>
        <v>2026</v>
      </c>
      <c r="F3004" s="11">
        <f t="shared" si="185"/>
        <v>3</v>
      </c>
      <c r="G3004" s="11" t="str">
        <f t="shared" si="186"/>
        <v>202603</v>
      </c>
      <c r="H3004" s="4">
        <v>46117</v>
      </c>
      <c r="I3004" s="5">
        <v>30</v>
      </c>
      <c r="J3004" s="5">
        <v>1</v>
      </c>
      <c r="K3004" s="5">
        <f t="shared" si="187"/>
        <v>1</v>
      </c>
      <c r="L3004" s="5">
        <v>1</v>
      </c>
      <c r="M3004" s="5">
        <v>1</v>
      </c>
      <c r="N3004" t="s">
        <v>12</v>
      </c>
      <c r="O3004" s="8">
        <v>19.328767123287673</v>
      </c>
      <c r="P3004" t="s">
        <v>32</v>
      </c>
      <c r="Q3004">
        <v>1</v>
      </c>
      <c r="R3004" s="2">
        <v>39032</v>
      </c>
    </row>
    <row r="3005" spans="1:18" x14ac:dyDescent="0.3">
      <c r="A3005" t="s">
        <v>7</v>
      </c>
      <c r="B3005">
        <v>19007905</v>
      </c>
      <c r="C3005" t="s">
        <v>10</v>
      </c>
      <c r="D3005" s="4">
        <v>46087</v>
      </c>
      <c r="E3005" s="11">
        <f t="shared" si="184"/>
        <v>2026</v>
      </c>
      <c r="F3005" s="11">
        <f t="shared" si="185"/>
        <v>3</v>
      </c>
      <c r="G3005" s="11" t="str">
        <f t="shared" si="186"/>
        <v>202603</v>
      </c>
      <c r="I3005" s="5">
        <v>9999</v>
      </c>
      <c r="J3005" s="5">
        <v>333.3</v>
      </c>
      <c r="K3005" s="5">
        <f t="shared" si="187"/>
        <v>0</v>
      </c>
      <c r="L3005" s="5">
        <v>0</v>
      </c>
      <c r="M3005" s="5">
        <v>0</v>
      </c>
      <c r="N3005" t="s">
        <v>12</v>
      </c>
      <c r="O3005" s="8">
        <v>26.167123287671235</v>
      </c>
      <c r="P3005" t="s">
        <v>34</v>
      </c>
      <c r="Q3005">
        <v>3</v>
      </c>
      <c r="R3005" s="2">
        <v>36536</v>
      </c>
    </row>
    <row r="3006" spans="1:18" x14ac:dyDescent="0.3">
      <c r="A3006" t="s">
        <v>7</v>
      </c>
      <c r="B3006">
        <v>19007909</v>
      </c>
      <c r="C3006" t="s">
        <v>8</v>
      </c>
      <c r="D3006" s="4">
        <v>46087</v>
      </c>
      <c r="E3006" s="11">
        <f t="shared" si="184"/>
        <v>2026</v>
      </c>
      <c r="F3006" s="11">
        <f t="shared" si="185"/>
        <v>3</v>
      </c>
      <c r="G3006" s="11" t="str">
        <f t="shared" si="186"/>
        <v>202603</v>
      </c>
      <c r="I3006" s="5">
        <v>9999</v>
      </c>
      <c r="J3006" s="5">
        <v>333.3</v>
      </c>
      <c r="K3006" s="5">
        <f t="shared" si="187"/>
        <v>0</v>
      </c>
      <c r="L3006" s="5">
        <v>0</v>
      </c>
      <c r="M3006" s="5">
        <v>0</v>
      </c>
      <c r="N3006" t="s">
        <v>12</v>
      </c>
      <c r="O3006" s="8">
        <v>24.745205479452054</v>
      </c>
      <c r="P3006" t="s">
        <v>33</v>
      </c>
      <c r="Q3006">
        <v>2</v>
      </c>
      <c r="R3006" s="2">
        <v>37055</v>
      </c>
    </row>
    <row r="3007" spans="1:18" x14ac:dyDescent="0.3">
      <c r="A3007" t="s">
        <v>7</v>
      </c>
      <c r="B3007">
        <v>19007973</v>
      </c>
      <c r="C3007" t="s">
        <v>8</v>
      </c>
      <c r="D3007" s="4">
        <v>46088</v>
      </c>
      <c r="E3007" s="11">
        <f t="shared" si="184"/>
        <v>2026</v>
      </c>
      <c r="F3007" s="11">
        <f t="shared" si="185"/>
        <v>3</v>
      </c>
      <c r="G3007" s="11" t="str">
        <f t="shared" si="186"/>
        <v>202603</v>
      </c>
      <c r="I3007" s="5">
        <v>9999</v>
      </c>
      <c r="J3007" s="5">
        <v>333.3</v>
      </c>
      <c r="K3007" s="5">
        <f t="shared" si="187"/>
        <v>0</v>
      </c>
      <c r="L3007" s="5">
        <v>0</v>
      </c>
      <c r="M3007" s="5">
        <v>0</v>
      </c>
      <c r="N3007" t="s">
        <v>9</v>
      </c>
      <c r="O3007" s="8">
        <v>51.723287671232875</v>
      </c>
      <c r="P3007" t="s">
        <v>35</v>
      </c>
      <c r="Q3007">
        <v>4</v>
      </c>
      <c r="R3007" s="2">
        <v>27209</v>
      </c>
    </row>
    <row r="3008" spans="1:18" x14ac:dyDescent="0.3">
      <c r="A3008" t="s">
        <v>7</v>
      </c>
      <c r="B3008">
        <v>19008076</v>
      </c>
      <c r="C3008" t="s">
        <v>10</v>
      </c>
      <c r="D3008" s="4">
        <v>46090</v>
      </c>
      <c r="E3008" s="11">
        <f t="shared" si="184"/>
        <v>2026</v>
      </c>
      <c r="F3008" s="11">
        <f t="shared" si="185"/>
        <v>3</v>
      </c>
      <c r="G3008" s="11" t="str">
        <f t="shared" si="186"/>
        <v>202603</v>
      </c>
      <c r="H3008" s="4">
        <v>46142</v>
      </c>
      <c r="I3008" s="5">
        <v>52</v>
      </c>
      <c r="J3008" s="5">
        <v>1.7333333333333334</v>
      </c>
      <c r="K3008" s="5">
        <f t="shared" si="187"/>
        <v>0</v>
      </c>
      <c r="L3008" s="5">
        <v>1</v>
      </c>
      <c r="M3008" s="5">
        <v>1</v>
      </c>
      <c r="N3008" t="s">
        <v>9</v>
      </c>
      <c r="O3008" s="8">
        <v>24.010958904109589</v>
      </c>
      <c r="P3008" t="s">
        <v>33</v>
      </c>
      <c r="Q3008">
        <v>2</v>
      </c>
      <c r="R3008" s="2">
        <v>37326</v>
      </c>
    </row>
    <row r="3009" spans="1:18" x14ac:dyDescent="0.3">
      <c r="A3009" t="s">
        <v>7</v>
      </c>
      <c r="B3009">
        <v>19008097</v>
      </c>
      <c r="C3009" t="s">
        <v>8</v>
      </c>
      <c r="D3009" s="4">
        <v>46090</v>
      </c>
      <c r="E3009" s="11">
        <f t="shared" si="184"/>
        <v>2026</v>
      </c>
      <c r="F3009" s="11">
        <f t="shared" si="185"/>
        <v>3</v>
      </c>
      <c r="G3009" s="11" t="str">
        <f t="shared" si="186"/>
        <v>202603</v>
      </c>
      <c r="H3009" s="4">
        <v>46113</v>
      </c>
      <c r="I3009" s="5">
        <v>23</v>
      </c>
      <c r="J3009" s="5">
        <v>0.76666666666666672</v>
      </c>
      <c r="K3009" s="5">
        <f t="shared" si="187"/>
        <v>1</v>
      </c>
      <c r="L3009" s="5">
        <v>1</v>
      </c>
      <c r="M3009" s="5">
        <v>1</v>
      </c>
      <c r="N3009" t="s">
        <v>12</v>
      </c>
      <c r="O3009" s="8">
        <v>30.739726027397261</v>
      </c>
      <c r="P3009" t="s">
        <v>34</v>
      </c>
      <c r="Q3009">
        <v>3</v>
      </c>
      <c r="R3009" s="2">
        <v>34870</v>
      </c>
    </row>
    <row r="3010" spans="1:18" x14ac:dyDescent="0.3">
      <c r="A3010" t="s">
        <v>7</v>
      </c>
      <c r="B3010">
        <v>19008118</v>
      </c>
      <c r="C3010" t="s">
        <v>10</v>
      </c>
      <c r="D3010" s="4">
        <v>46090</v>
      </c>
      <c r="E3010" s="11">
        <f t="shared" si="184"/>
        <v>2026</v>
      </c>
      <c r="F3010" s="11">
        <f t="shared" si="185"/>
        <v>3</v>
      </c>
      <c r="G3010" s="11" t="str">
        <f t="shared" si="186"/>
        <v>202603</v>
      </c>
      <c r="H3010" s="4">
        <v>46127</v>
      </c>
      <c r="I3010" s="5">
        <v>37</v>
      </c>
      <c r="J3010" s="5">
        <v>1.2333333333333334</v>
      </c>
      <c r="K3010" s="5">
        <f t="shared" si="187"/>
        <v>0</v>
      </c>
      <c r="L3010" s="5">
        <v>1</v>
      </c>
      <c r="M3010" s="5">
        <v>1</v>
      </c>
      <c r="N3010" t="s">
        <v>9</v>
      </c>
      <c r="O3010" s="8">
        <v>26.813698630136987</v>
      </c>
      <c r="P3010" t="s">
        <v>34</v>
      </c>
      <c r="Q3010">
        <v>3</v>
      </c>
      <c r="R3010" s="2">
        <v>36303</v>
      </c>
    </row>
    <row r="3011" spans="1:18" x14ac:dyDescent="0.3">
      <c r="A3011" t="s">
        <v>7</v>
      </c>
      <c r="B3011">
        <v>19008119</v>
      </c>
      <c r="C3011" t="s">
        <v>8</v>
      </c>
      <c r="D3011" s="4">
        <v>46090</v>
      </c>
      <c r="E3011" s="11">
        <f t="shared" ref="E3011:E3074" si="188">+YEAR(D3011)</f>
        <v>2026</v>
      </c>
      <c r="F3011" s="11">
        <f t="shared" ref="F3011:F3074" si="189">+MONTH(D3011)</f>
        <v>3</v>
      </c>
      <c r="G3011" s="11" t="str">
        <f t="shared" ref="G3011:G3074" si="190">+TEXT(D3011, "yyymm")</f>
        <v>202603</v>
      </c>
      <c r="H3011" s="4">
        <v>46127</v>
      </c>
      <c r="I3011" s="5">
        <v>37</v>
      </c>
      <c r="J3011" s="5">
        <v>1.2333333333333334</v>
      </c>
      <c r="K3011" s="5">
        <f t="shared" ref="K3011:K3074" si="191">IF(J3011&lt;=1,1,0)</f>
        <v>0</v>
      </c>
      <c r="L3011" s="5">
        <v>1</v>
      </c>
      <c r="M3011" s="5">
        <v>1</v>
      </c>
      <c r="N3011" t="s">
        <v>9</v>
      </c>
      <c r="O3011" s="8">
        <v>33.663013698630138</v>
      </c>
      <c r="P3011" t="s">
        <v>35</v>
      </c>
      <c r="Q3011">
        <v>4</v>
      </c>
      <c r="R3011" s="2">
        <v>33803</v>
      </c>
    </row>
    <row r="3012" spans="1:18" x14ac:dyDescent="0.3">
      <c r="A3012" t="s">
        <v>7</v>
      </c>
      <c r="B3012">
        <v>19008120</v>
      </c>
      <c r="C3012" t="s">
        <v>8</v>
      </c>
      <c r="D3012" s="4">
        <v>46090</v>
      </c>
      <c r="E3012" s="11">
        <f t="shared" si="188"/>
        <v>2026</v>
      </c>
      <c r="F3012" s="11">
        <f t="shared" si="189"/>
        <v>3</v>
      </c>
      <c r="G3012" s="11" t="str">
        <f t="shared" si="190"/>
        <v>202603</v>
      </c>
      <c r="I3012" s="5">
        <v>9999</v>
      </c>
      <c r="J3012" s="5">
        <v>333.3</v>
      </c>
      <c r="K3012" s="5">
        <f t="shared" si="191"/>
        <v>0</v>
      </c>
      <c r="L3012" s="5">
        <v>0</v>
      </c>
      <c r="M3012" s="5">
        <v>0</v>
      </c>
      <c r="N3012" t="s">
        <v>9</v>
      </c>
      <c r="O3012" s="8">
        <v>21.671232876712327</v>
      </c>
      <c r="P3012" t="s">
        <v>33</v>
      </c>
      <c r="Q3012">
        <v>2</v>
      </c>
      <c r="R3012" s="2">
        <v>38180</v>
      </c>
    </row>
    <row r="3013" spans="1:18" x14ac:dyDescent="0.3">
      <c r="A3013" t="s">
        <v>7</v>
      </c>
      <c r="B3013">
        <v>19008131</v>
      </c>
      <c r="C3013" t="s">
        <v>10</v>
      </c>
      <c r="D3013" s="4">
        <v>46090</v>
      </c>
      <c r="E3013" s="11">
        <f t="shared" si="188"/>
        <v>2026</v>
      </c>
      <c r="F3013" s="11">
        <f t="shared" si="189"/>
        <v>3</v>
      </c>
      <c r="G3013" s="11" t="str">
        <f t="shared" si="190"/>
        <v>202603</v>
      </c>
      <c r="H3013" s="4">
        <v>46149</v>
      </c>
      <c r="I3013" s="5">
        <v>59</v>
      </c>
      <c r="J3013" s="5">
        <v>1.9666666666666666</v>
      </c>
      <c r="K3013" s="5">
        <f t="shared" si="191"/>
        <v>0</v>
      </c>
      <c r="L3013" s="5">
        <v>1</v>
      </c>
      <c r="M3013" s="5">
        <v>1</v>
      </c>
      <c r="N3013" t="s">
        <v>9</v>
      </c>
      <c r="O3013" s="8">
        <v>20.978082191780821</v>
      </c>
      <c r="P3013" t="s">
        <v>32</v>
      </c>
      <c r="Q3013">
        <v>1</v>
      </c>
      <c r="R3013" s="2">
        <v>38433</v>
      </c>
    </row>
    <row r="3014" spans="1:18" x14ac:dyDescent="0.3">
      <c r="A3014" t="s">
        <v>7</v>
      </c>
      <c r="B3014">
        <v>19008132</v>
      </c>
      <c r="C3014" t="s">
        <v>8</v>
      </c>
      <c r="D3014" s="4">
        <v>46090</v>
      </c>
      <c r="E3014" s="11">
        <f t="shared" si="188"/>
        <v>2026</v>
      </c>
      <c r="F3014" s="11">
        <f t="shared" si="189"/>
        <v>3</v>
      </c>
      <c r="G3014" s="11" t="str">
        <f t="shared" si="190"/>
        <v>202603</v>
      </c>
      <c r="I3014" s="5">
        <v>9999</v>
      </c>
      <c r="J3014" s="5">
        <v>333.3</v>
      </c>
      <c r="K3014" s="5">
        <f t="shared" si="191"/>
        <v>0</v>
      </c>
      <c r="L3014" s="5">
        <v>0</v>
      </c>
      <c r="M3014" s="5">
        <v>0</v>
      </c>
      <c r="N3014" t="s">
        <v>9</v>
      </c>
      <c r="O3014" s="8">
        <v>24.326027397260273</v>
      </c>
      <c r="P3014" t="s">
        <v>33</v>
      </c>
      <c r="Q3014">
        <v>2</v>
      </c>
      <c r="R3014" s="2">
        <v>37211</v>
      </c>
    </row>
    <row r="3015" spans="1:18" x14ac:dyDescent="0.3">
      <c r="A3015" t="s">
        <v>7</v>
      </c>
      <c r="B3015">
        <v>19008134</v>
      </c>
      <c r="C3015" t="s">
        <v>8</v>
      </c>
      <c r="D3015" s="4">
        <v>46090</v>
      </c>
      <c r="E3015" s="11">
        <f t="shared" si="188"/>
        <v>2026</v>
      </c>
      <c r="F3015" s="11">
        <f t="shared" si="189"/>
        <v>3</v>
      </c>
      <c r="G3015" s="11" t="str">
        <f t="shared" si="190"/>
        <v>202603</v>
      </c>
      <c r="I3015" s="5">
        <v>9999</v>
      </c>
      <c r="J3015" s="5">
        <v>333.3</v>
      </c>
      <c r="K3015" s="5">
        <f t="shared" si="191"/>
        <v>0</v>
      </c>
      <c r="L3015" s="5">
        <v>0</v>
      </c>
      <c r="M3015" s="5">
        <v>0</v>
      </c>
      <c r="N3015" t="s">
        <v>9</v>
      </c>
      <c r="O3015" s="8">
        <v>20.545205479452054</v>
      </c>
      <c r="P3015" t="s">
        <v>32</v>
      </c>
      <c r="Q3015">
        <v>1</v>
      </c>
      <c r="R3015" s="2">
        <v>38591</v>
      </c>
    </row>
    <row r="3016" spans="1:18" x14ac:dyDescent="0.3">
      <c r="A3016" t="s">
        <v>7</v>
      </c>
      <c r="B3016">
        <v>19008135</v>
      </c>
      <c r="C3016" t="s">
        <v>8</v>
      </c>
      <c r="D3016" s="4">
        <v>46090</v>
      </c>
      <c r="E3016" s="11">
        <f t="shared" si="188"/>
        <v>2026</v>
      </c>
      <c r="F3016" s="11">
        <f t="shared" si="189"/>
        <v>3</v>
      </c>
      <c r="G3016" s="11" t="str">
        <f t="shared" si="190"/>
        <v>202603</v>
      </c>
      <c r="I3016" s="5">
        <v>9999</v>
      </c>
      <c r="J3016" s="5">
        <v>333.3</v>
      </c>
      <c r="K3016" s="5">
        <f t="shared" si="191"/>
        <v>0</v>
      </c>
      <c r="L3016" s="5">
        <v>0</v>
      </c>
      <c r="M3016" s="5">
        <v>0</v>
      </c>
      <c r="N3016" t="s">
        <v>9</v>
      </c>
      <c r="O3016" s="8">
        <v>27.17808219178082</v>
      </c>
      <c r="P3016" t="s">
        <v>34</v>
      </c>
      <c r="Q3016">
        <v>3</v>
      </c>
      <c r="R3016" s="2">
        <v>36170</v>
      </c>
    </row>
    <row r="3017" spans="1:18" x14ac:dyDescent="0.3">
      <c r="A3017" t="s">
        <v>7</v>
      </c>
      <c r="B3017">
        <v>19008434</v>
      </c>
      <c r="C3017" t="s">
        <v>8</v>
      </c>
      <c r="D3017" s="4">
        <v>46091</v>
      </c>
      <c r="E3017" s="11">
        <f t="shared" si="188"/>
        <v>2026</v>
      </c>
      <c r="F3017" s="11">
        <f t="shared" si="189"/>
        <v>3</v>
      </c>
      <c r="G3017" s="11" t="str">
        <f t="shared" si="190"/>
        <v>202603</v>
      </c>
      <c r="I3017" s="5">
        <v>9999</v>
      </c>
      <c r="J3017" s="5">
        <v>333.3</v>
      </c>
      <c r="K3017" s="5">
        <f t="shared" si="191"/>
        <v>0</v>
      </c>
      <c r="L3017" s="5">
        <v>0</v>
      </c>
      <c r="M3017" s="5">
        <v>0</v>
      </c>
      <c r="N3017" t="s">
        <v>9</v>
      </c>
      <c r="O3017" s="8">
        <v>18.613698630136987</v>
      </c>
      <c r="P3017" t="s">
        <v>32</v>
      </c>
      <c r="Q3017">
        <v>1</v>
      </c>
      <c r="R3017" s="2">
        <v>39297</v>
      </c>
    </row>
    <row r="3018" spans="1:18" x14ac:dyDescent="0.3">
      <c r="A3018" t="s">
        <v>7</v>
      </c>
      <c r="B3018">
        <v>19008435</v>
      </c>
      <c r="C3018" t="s">
        <v>8</v>
      </c>
      <c r="D3018" s="4">
        <v>46091</v>
      </c>
      <c r="E3018" s="11">
        <f t="shared" si="188"/>
        <v>2026</v>
      </c>
      <c r="F3018" s="11">
        <f t="shared" si="189"/>
        <v>3</v>
      </c>
      <c r="G3018" s="11" t="str">
        <f t="shared" si="190"/>
        <v>202603</v>
      </c>
      <c r="H3018" s="4">
        <v>46174</v>
      </c>
      <c r="I3018" s="5">
        <v>83</v>
      </c>
      <c r="J3018" s="5">
        <v>2.7666666666666666</v>
      </c>
      <c r="K3018" s="5">
        <f t="shared" si="191"/>
        <v>0</v>
      </c>
      <c r="L3018" s="5">
        <v>1</v>
      </c>
      <c r="M3018" s="5">
        <v>1</v>
      </c>
      <c r="N3018" t="s">
        <v>9</v>
      </c>
      <c r="O3018" s="8">
        <v>43.482191780821921</v>
      </c>
      <c r="P3018" t="s">
        <v>35</v>
      </c>
      <c r="Q3018">
        <v>4</v>
      </c>
      <c r="R3018" s="2">
        <v>30220</v>
      </c>
    </row>
    <row r="3019" spans="1:18" x14ac:dyDescent="0.3">
      <c r="A3019" t="s">
        <v>7</v>
      </c>
      <c r="B3019">
        <v>19008436</v>
      </c>
      <c r="C3019" t="s">
        <v>8</v>
      </c>
      <c r="D3019" s="4">
        <v>46091</v>
      </c>
      <c r="E3019" s="11">
        <f t="shared" si="188"/>
        <v>2026</v>
      </c>
      <c r="F3019" s="11">
        <f t="shared" si="189"/>
        <v>3</v>
      </c>
      <c r="G3019" s="11" t="str">
        <f t="shared" si="190"/>
        <v>202603</v>
      </c>
      <c r="I3019" s="5">
        <v>9999</v>
      </c>
      <c r="J3019" s="5">
        <v>333.3</v>
      </c>
      <c r="K3019" s="5">
        <f t="shared" si="191"/>
        <v>0</v>
      </c>
      <c r="L3019" s="5">
        <v>0</v>
      </c>
      <c r="M3019" s="5">
        <v>0</v>
      </c>
      <c r="N3019" t="s">
        <v>9</v>
      </c>
      <c r="O3019" s="8">
        <v>21.449315068493149</v>
      </c>
      <c r="P3019" t="s">
        <v>33</v>
      </c>
      <c r="Q3019">
        <v>2</v>
      </c>
      <c r="R3019" s="2">
        <v>38262</v>
      </c>
    </row>
    <row r="3020" spans="1:18" x14ac:dyDescent="0.3">
      <c r="A3020" t="s">
        <v>11</v>
      </c>
      <c r="B3020">
        <v>19008482</v>
      </c>
      <c r="C3020" t="s">
        <v>8</v>
      </c>
      <c r="D3020" s="4">
        <v>46091</v>
      </c>
      <c r="E3020" s="11">
        <f t="shared" si="188"/>
        <v>2026</v>
      </c>
      <c r="F3020" s="11">
        <f t="shared" si="189"/>
        <v>3</v>
      </c>
      <c r="G3020" s="11" t="str">
        <f t="shared" si="190"/>
        <v>202603</v>
      </c>
      <c r="I3020" s="5">
        <v>9999</v>
      </c>
      <c r="J3020" s="5">
        <v>333.3</v>
      </c>
      <c r="K3020" s="5">
        <f t="shared" si="191"/>
        <v>0</v>
      </c>
      <c r="L3020" s="5">
        <v>0</v>
      </c>
      <c r="M3020" s="5">
        <v>0</v>
      </c>
      <c r="N3020" t="s">
        <v>9</v>
      </c>
      <c r="O3020" s="8">
        <v>21.402739726027399</v>
      </c>
      <c r="P3020" t="s">
        <v>33</v>
      </c>
      <c r="Q3020">
        <v>2</v>
      </c>
      <c r="R3020" s="2">
        <v>38279</v>
      </c>
    </row>
    <row r="3021" spans="1:18" x14ac:dyDescent="0.3">
      <c r="A3021" t="s">
        <v>7</v>
      </c>
      <c r="B3021">
        <v>19008483</v>
      </c>
      <c r="C3021" t="s">
        <v>8</v>
      </c>
      <c r="D3021" s="4">
        <v>46091</v>
      </c>
      <c r="E3021" s="11">
        <f t="shared" si="188"/>
        <v>2026</v>
      </c>
      <c r="F3021" s="11">
        <f t="shared" si="189"/>
        <v>3</v>
      </c>
      <c r="G3021" s="11" t="str">
        <f t="shared" si="190"/>
        <v>202603</v>
      </c>
      <c r="I3021" s="5">
        <v>9999</v>
      </c>
      <c r="J3021" s="5">
        <v>333.3</v>
      </c>
      <c r="K3021" s="5">
        <f t="shared" si="191"/>
        <v>0</v>
      </c>
      <c r="L3021" s="5">
        <v>0</v>
      </c>
      <c r="M3021" s="5">
        <v>0</v>
      </c>
      <c r="N3021" t="s">
        <v>9</v>
      </c>
      <c r="O3021" s="8">
        <v>20.652054794520549</v>
      </c>
      <c r="P3021" t="s">
        <v>32</v>
      </c>
      <c r="Q3021">
        <v>1</v>
      </c>
      <c r="R3021" s="2">
        <v>38553</v>
      </c>
    </row>
    <row r="3022" spans="1:18" x14ac:dyDescent="0.3">
      <c r="A3022" t="s">
        <v>7</v>
      </c>
      <c r="B3022">
        <v>19008496</v>
      </c>
      <c r="C3022" t="s">
        <v>10</v>
      </c>
      <c r="D3022" s="4">
        <v>46091</v>
      </c>
      <c r="E3022" s="11">
        <f t="shared" si="188"/>
        <v>2026</v>
      </c>
      <c r="F3022" s="11">
        <f t="shared" si="189"/>
        <v>3</v>
      </c>
      <c r="G3022" s="11" t="str">
        <f t="shared" si="190"/>
        <v>202603</v>
      </c>
      <c r="H3022" s="4">
        <v>46173</v>
      </c>
      <c r="I3022" s="5">
        <v>82</v>
      </c>
      <c r="J3022" s="5">
        <v>2.7333333333333334</v>
      </c>
      <c r="K3022" s="5">
        <f t="shared" si="191"/>
        <v>0</v>
      </c>
      <c r="L3022" s="5">
        <v>1</v>
      </c>
      <c r="M3022" s="5">
        <v>1</v>
      </c>
      <c r="N3022" t="s">
        <v>9</v>
      </c>
      <c r="O3022" s="8">
        <v>20.167123287671235</v>
      </c>
      <c r="P3022" t="s">
        <v>32</v>
      </c>
      <c r="Q3022">
        <v>1</v>
      </c>
      <c r="R3022" s="2">
        <v>38730</v>
      </c>
    </row>
    <row r="3023" spans="1:18" x14ac:dyDescent="0.3">
      <c r="A3023" t="s">
        <v>7</v>
      </c>
      <c r="B3023">
        <v>19008497</v>
      </c>
      <c r="C3023" t="s">
        <v>8</v>
      </c>
      <c r="D3023" s="4">
        <v>46091</v>
      </c>
      <c r="E3023" s="11">
        <f t="shared" si="188"/>
        <v>2026</v>
      </c>
      <c r="F3023" s="11">
        <f t="shared" si="189"/>
        <v>3</v>
      </c>
      <c r="G3023" s="11" t="str">
        <f t="shared" si="190"/>
        <v>202603</v>
      </c>
      <c r="I3023" s="5">
        <v>9999</v>
      </c>
      <c r="J3023" s="5">
        <v>333.3</v>
      </c>
      <c r="K3023" s="5">
        <f t="shared" si="191"/>
        <v>0</v>
      </c>
      <c r="L3023" s="5">
        <v>0</v>
      </c>
      <c r="M3023" s="5">
        <v>0</v>
      </c>
      <c r="N3023" t="s">
        <v>9</v>
      </c>
      <c r="O3023" s="8">
        <v>29.419178082191781</v>
      </c>
      <c r="P3023" t="s">
        <v>34</v>
      </c>
      <c r="Q3023">
        <v>3</v>
      </c>
      <c r="R3023" s="2">
        <v>35353</v>
      </c>
    </row>
    <row r="3024" spans="1:18" x14ac:dyDescent="0.3">
      <c r="A3024" t="s">
        <v>7</v>
      </c>
      <c r="B3024">
        <v>19008528</v>
      </c>
      <c r="C3024" t="s">
        <v>8</v>
      </c>
      <c r="D3024" s="4">
        <v>46091</v>
      </c>
      <c r="E3024" s="11">
        <f t="shared" si="188"/>
        <v>2026</v>
      </c>
      <c r="F3024" s="11">
        <f t="shared" si="189"/>
        <v>3</v>
      </c>
      <c r="G3024" s="11" t="str">
        <f t="shared" si="190"/>
        <v>202603</v>
      </c>
      <c r="I3024" s="5">
        <v>9999</v>
      </c>
      <c r="J3024" s="5">
        <v>333.3</v>
      </c>
      <c r="K3024" s="5">
        <f t="shared" si="191"/>
        <v>0</v>
      </c>
      <c r="L3024" s="5">
        <v>0</v>
      </c>
      <c r="M3024" s="5">
        <v>0</v>
      </c>
      <c r="N3024" t="s">
        <v>12</v>
      </c>
      <c r="O3024" s="8">
        <v>26.531506849315068</v>
      </c>
      <c r="P3024" t="s">
        <v>34</v>
      </c>
      <c r="Q3024">
        <v>3</v>
      </c>
      <c r="R3024" s="2">
        <v>36407</v>
      </c>
    </row>
    <row r="3025" spans="1:18" x14ac:dyDescent="0.3">
      <c r="A3025" t="s">
        <v>7</v>
      </c>
      <c r="B3025">
        <v>19008536</v>
      </c>
      <c r="C3025" t="s">
        <v>10</v>
      </c>
      <c r="D3025" s="4">
        <v>46091</v>
      </c>
      <c r="E3025" s="11">
        <f t="shared" si="188"/>
        <v>2026</v>
      </c>
      <c r="F3025" s="11">
        <f t="shared" si="189"/>
        <v>3</v>
      </c>
      <c r="G3025" s="11" t="str">
        <f t="shared" si="190"/>
        <v>202603</v>
      </c>
      <c r="I3025" s="5">
        <v>9999</v>
      </c>
      <c r="J3025" s="5">
        <v>333.3</v>
      </c>
      <c r="K3025" s="5">
        <f t="shared" si="191"/>
        <v>0</v>
      </c>
      <c r="L3025" s="5">
        <v>0</v>
      </c>
      <c r="M3025" s="5">
        <v>0</v>
      </c>
      <c r="N3025" t="s">
        <v>12</v>
      </c>
      <c r="O3025" s="8">
        <v>24.293150684931508</v>
      </c>
      <c r="P3025" t="s">
        <v>33</v>
      </c>
      <c r="Q3025">
        <v>2</v>
      </c>
      <c r="R3025" s="2">
        <v>37224</v>
      </c>
    </row>
    <row r="3026" spans="1:18" x14ac:dyDescent="0.3">
      <c r="A3026" t="s">
        <v>7</v>
      </c>
      <c r="B3026">
        <v>19008544</v>
      </c>
      <c r="C3026" t="s">
        <v>8</v>
      </c>
      <c r="D3026" s="4">
        <v>46091</v>
      </c>
      <c r="E3026" s="11">
        <f t="shared" si="188"/>
        <v>2026</v>
      </c>
      <c r="F3026" s="11">
        <f t="shared" si="189"/>
        <v>3</v>
      </c>
      <c r="G3026" s="11" t="str">
        <f t="shared" si="190"/>
        <v>202603</v>
      </c>
      <c r="I3026" s="5">
        <v>9999</v>
      </c>
      <c r="J3026" s="5">
        <v>333.3</v>
      </c>
      <c r="K3026" s="5">
        <f t="shared" si="191"/>
        <v>0</v>
      </c>
      <c r="L3026" s="5">
        <v>0</v>
      </c>
      <c r="M3026" s="5">
        <v>0</v>
      </c>
      <c r="N3026" t="s">
        <v>12</v>
      </c>
      <c r="O3026" s="8">
        <v>21.186301369863013</v>
      </c>
      <c r="P3026" t="s">
        <v>33</v>
      </c>
      <c r="Q3026">
        <v>2</v>
      </c>
      <c r="R3026" s="2">
        <v>38358</v>
      </c>
    </row>
    <row r="3027" spans="1:18" x14ac:dyDescent="0.3">
      <c r="A3027" t="s">
        <v>7</v>
      </c>
      <c r="B3027">
        <v>19008666</v>
      </c>
      <c r="C3027" t="s">
        <v>8</v>
      </c>
      <c r="D3027" s="4">
        <v>46091</v>
      </c>
      <c r="E3027" s="11">
        <f t="shared" si="188"/>
        <v>2026</v>
      </c>
      <c r="F3027" s="11">
        <f t="shared" si="189"/>
        <v>3</v>
      </c>
      <c r="G3027" s="11" t="str">
        <f t="shared" si="190"/>
        <v>202603</v>
      </c>
      <c r="I3027" s="5">
        <v>9999</v>
      </c>
      <c r="J3027" s="5">
        <v>333.3</v>
      </c>
      <c r="K3027" s="5">
        <f t="shared" si="191"/>
        <v>0</v>
      </c>
      <c r="L3027" s="5">
        <v>0</v>
      </c>
      <c r="M3027" s="5">
        <v>0</v>
      </c>
      <c r="N3027" t="s">
        <v>12</v>
      </c>
      <c r="O3027" s="8">
        <v>19.82191780821918</v>
      </c>
      <c r="P3027" t="s">
        <v>32</v>
      </c>
      <c r="Q3027">
        <v>1</v>
      </c>
      <c r="R3027" s="2">
        <v>38856</v>
      </c>
    </row>
    <row r="3028" spans="1:18" x14ac:dyDescent="0.3">
      <c r="A3028" t="s">
        <v>7</v>
      </c>
      <c r="B3028">
        <v>19008674</v>
      </c>
      <c r="C3028" t="s">
        <v>10</v>
      </c>
      <c r="D3028" s="4">
        <v>46092</v>
      </c>
      <c r="E3028" s="11">
        <f t="shared" si="188"/>
        <v>2026</v>
      </c>
      <c r="F3028" s="11">
        <f t="shared" si="189"/>
        <v>3</v>
      </c>
      <c r="G3028" s="11" t="str">
        <f t="shared" si="190"/>
        <v>202603</v>
      </c>
      <c r="H3028" s="4">
        <v>46143</v>
      </c>
      <c r="I3028" s="5">
        <v>51</v>
      </c>
      <c r="J3028" s="5">
        <v>1.7</v>
      </c>
      <c r="K3028" s="5">
        <f t="shared" si="191"/>
        <v>0</v>
      </c>
      <c r="L3028" s="5">
        <v>1</v>
      </c>
      <c r="M3028" s="5">
        <v>1</v>
      </c>
      <c r="N3028" t="s">
        <v>9</v>
      </c>
      <c r="O3028" s="8">
        <v>18.186301369863013</v>
      </c>
      <c r="P3028" t="s">
        <v>32</v>
      </c>
      <c r="Q3028">
        <v>1</v>
      </c>
      <c r="R3028" s="2">
        <v>39454</v>
      </c>
    </row>
    <row r="3029" spans="1:18" x14ac:dyDescent="0.3">
      <c r="A3029" t="s">
        <v>7</v>
      </c>
      <c r="B3029">
        <v>19008681</v>
      </c>
      <c r="C3029" t="s">
        <v>10</v>
      </c>
      <c r="D3029" s="4">
        <v>46091</v>
      </c>
      <c r="E3029" s="11">
        <f t="shared" si="188"/>
        <v>2026</v>
      </c>
      <c r="F3029" s="11">
        <f t="shared" si="189"/>
        <v>3</v>
      </c>
      <c r="G3029" s="11" t="str">
        <f t="shared" si="190"/>
        <v>202603</v>
      </c>
      <c r="I3029" s="5">
        <v>9999</v>
      </c>
      <c r="J3029" s="5">
        <v>333.3</v>
      </c>
      <c r="K3029" s="5">
        <f t="shared" si="191"/>
        <v>0</v>
      </c>
      <c r="L3029" s="5">
        <v>0</v>
      </c>
      <c r="M3029" s="5">
        <v>0</v>
      </c>
      <c r="N3029" t="s">
        <v>12</v>
      </c>
      <c r="O3029" s="8">
        <v>18.104109589041094</v>
      </c>
      <c r="P3029" t="s">
        <v>32</v>
      </c>
      <c r="Q3029">
        <v>1</v>
      </c>
      <c r="R3029" s="2">
        <v>39483</v>
      </c>
    </row>
    <row r="3030" spans="1:18" x14ac:dyDescent="0.3">
      <c r="A3030" t="s">
        <v>7</v>
      </c>
      <c r="B3030">
        <v>19008727</v>
      </c>
      <c r="C3030" t="s">
        <v>8</v>
      </c>
      <c r="D3030" s="4">
        <v>46092</v>
      </c>
      <c r="E3030" s="11">
        <f t="shared" si="188"/>
        <v>2026</v>
      </c>
      <c r="F3030" s="11">
        <f t="shared" si="189"/>
        <v>3</v>
      </c>
      <c r="G3030" s="11" t="str">
        <f t="shared" si="190"/>
        <v>202603</v>
      </c>
      <c r="I3030" s="5">
        <v>9999</v>
      </c>
      <c r="J3030" s="5">
        <v>333.3</v>
      </c>
      <c r="K3030" s="5">
        <f t="shared" si="191"/>
        <v>0</v>
      </c>
      <c r="L3030" s="5">
        <v>0</v>
      </c>
      <c r="M3030" s="5">
        <v>0</v>
      </c>
      <c r="N3030" t="s">
        <v>9</v>
      </c>
      <c r="O3030" s="8">
        <v>23.93972602739726</v>
      </c>
      <c r="P3030" t="s">
        <v>33</v>
      </c>
      <c r="Q3030">
        <v>2</v>
      </c>
      <c r="R3030" s="2">
        <v>37354</v>
      </c>
    </row>
    <row r="3031" spans="1:18" x14ac:dyDescent="0.3">
      <c r="A3031" t="s">
        <v>7</v>
      </c>
      <c r="B3031">
        <v>19008737</v>
      </c>
      <c r="C3031" t="s">
        <v>8</v>
      </c>
      <c r="D3031" s="4">
        <v>46092</v>
      </c>
      <c r="E3031" s="11">
        <f t="shared" si="188"/>
        <v>2026</v>
      </c>
      <c r="F3031" s="11">
        <f t="shared" si="189"/>
        <v>3</v>
      </c>
      <c r="G3031" s="11" t="str">
        <f t="shared" si="190"/>
        <v>202603</v>
      </c>
      <c r="I3031" s="5">
        <v>9999</v>
      </c>
      <c r="J3031" s="5">
        <v>333.3</v>
      </c>
      <c r="K3031" s="5">
        <f t="shared" si="191"/>
        <v>0</v>
      </c>
      <c r="L3031" s="5">
        <v>0</v>
      </c>
      <c r="M3031" s="5">
        <v>0</v>
      </c>
      <c r="N3031" t="s">
        <v>9</v>
      </c>
      <c r="O3031" s="8">
        <v>20.183561643835617</v>
      </c>
      <c r="P3031" t="s">
        <v>32</v>
      </c>
      <c r="Q3031">
        <v>1</v>
      </c>
      <c r="R3031" s="2">
        <v>38725</v>
      </c>
    </row>
    <row r="3032" spans="1:18" x14ac:dyDescent="0.3">
      <c r="A3032" t="s">
        <v>7</v>
      </c>
      <c r="B3032">
        <v>19008741</v>
      </c>
      <c r="C3032" t="s">
        <v>10</v>
      </c>
      <c r="D3032" s="4">
        <v>46092</v>
      </c>
      <c r="E3032" s="11">
        <f t="shared" si="188"/>
        <v>2026</v>
      </c>
      <c r="F3032" s="11">
        <f t="shared" si="189"/>
        <v>3</v>
      </c>
      <c r="G3032" s="11" t="str">
        <f t="shared" si="190"/>
        <v>202603</v>
      </c>
      <c r="I3032" s="5">
        <v>9999</v>
      </c>
      <c r="J3032" s="5">
        <v>333.3</v>
      </c>
      <c r="K3032" s="5">
        <f t="shared" si="191"/>
        <v>0</v>
      </c>
      <c r="L3032" s="5">
        <v>0</v>
      </c>
      <c r="M3032" s="5">
        <v>0</v>
      </c>
      <c r="N3032" t="s">
        <v>9</v>
      </c>
      <c r="O3032" s="8">
        <v>20.350684931506848</v>
      </c>
      <c r="P3032" t="s">
        <v>32</v>
      </c>
      <c r="Q3032">
        <v>1</v>
      </c>
      <c r="R3032" s="2">
        <v>38664</v>
      </c>
    </row>
    <row r="3033" spans="1:18" x14ac:dyDescent="0.3">
      <c r="A3033" t="s">
        <v>7</v>
      </c>
      <c r="B3033">
        <v>19008742</v>
      </c>
      <c r="C3033" t="s">
        <v>8</v>
      </c>
      <c r="D3033" s="4">
        <v>46092</v>
      </c>
      <c r="E3033" s="11">
        <f t="shared" si="188"/>
        <v>2026</v>
      </c>
      <c r="F3033" s="11">
        <f t="shared" si="189"/>
        <v>3</v>
      </c>
      <c r="G3033" s="11" t="str">
        <f t="shared" si="190"/>
        <v>202603</v>
      </c>
      <c r="H3033" s="4">
        <v>46112</v>
      </c>
      <c r="I3033" s="5">
        <v>20</v>
      </c>
      <c r="J3033" s="5">
        <v>0.66666666666666663</v>
      </c>
      <c r="K3033" s="5">
        <f t="shared" si="191"/>
        <v>1</v>
      </c>
      <c r="L3033" s="5">
        <v>1</v>
      </c>
      <c r="M3033" s="5">
        <v>1</v>
      </c>
      <c r="N3033" t="s">
        <v>9</v>
      </c>
      <c r="O3033" s="8">
        <v>23.12054794520548</v>
      </c>
      <c r="P3033" t="s">
        <v>33</v>
      </c>
      <c r="Q3033">
        <v>2</v>
      </c>
      <c r="R3033" s="2">
        <v>37653</v>
      </c>
    </row>
    <row r="3034" spans="1:18" x14ac:dyDescent="0.3">
      <c r="A3034" t="s">
        <v>7</v>
      </c>
      <c r="B3034">
        <v>19008744</v>
      </c>
      <c r="C3034" t="s">
        <v>8</v>
      </c>
      <c r="D3034" s="4">
        <v>46092</v>
      </c>
      <c r="E3034" s="11">
        <f t="shared" si="188"/>
        <v>2026</v>
      </c>
      <c r="F3034" s="11">
        <f t="shared" si="189"/>
        <v>3</v>
      </c>
      <c r="G3034" s="11" t="str">
        <f t="shared" si="190"/>
        <v>202603</v>
      </c>
      <c r="I3034" s="5">
        <v>9999</v>
      </c>
      <c r="J3034" s="5">
        <v>333.3</v>
      </c>
      <c r="K3034" s="5">
        <f t="shared" si="191"/>
        <v>0</v>
      </c>
      <c r="L3034" s="5">
        <v>0</v>
      </c>
      <c r="M3034" s="5">
        <v>0</v>
      </c>
      <c r="N3034" t="s">
        <v>9</v>
      </c>
      <c r="O3034" s="8">
        <v>21.479452054794521</v>
      </c>
      <c r="P3034" t="s">
        <v>33</v>
      </c>
      <c r="Q3034">
        <v>2</v>
      </c>
      <c r="R3034" s="2">
        <v>38252</v>
      </c>
    </row>
    <row r="3035" spans="1:18" x14ac:dyDescent="0.3">
      <c r="A3035" t="s">
        <v>7</v>
      </c>
      <c r="B3035">
        <v>19008745</v>
      </c>
      <c r="C3035" t="s">
        <v>8</v>
      </c>
      <c r="D3035" s="4">
        <v>46092</v>
      </c>
      <c r="E3035" s="11">
        <f t="shared" si="188"/>
        <v>2026</v>
      </c>
      <c r="F3035" s="11">
        <f t="shared" si="189"/>
        <v>3</v>
      </c>
      <c r="G3035" s="11" t="str">
        <f t="shared" si="190"/>
        <v>202603</v>
      </c>
      <c r="H3035" s="4">
        <v>46113</v>
      </c>
      <c r="I3035" s="5">
        <v>21</v>
      </c>
      <c r="J3035" s="5">
        <v>0.7</v>
      </c>
      <c r="K3035" s="5">
        <f t="shared" si="191"/>
        <v>1</v>
      </c>
      <c r="L3035" s="5">
        <v>1</v>
      </c>
      <c r="M3035" s="5">
        <v>1</v>
      </c>
      <c r="N3035" t="s">
        <v>9</v>
      </c>
      <c r="O3035" s="8">
        <v>18.260273972602739</v>
      </c>
      <c r="P3035" t="s">
        <v>32</v>
      </c>
      <c r="Q3035">
        <v>1</v>
      </c>
      <c r="R3035" s="2">
        <v>39427</v>
      </c>
    </row>
    <row r="3036" spans="1:18" x14ac:dyDescent="0.3">
      <c r="A3036" t="s">
        <v>7</v>
      </c>
      <c r="B3036">
        <v>19008746</v>
      </c>
      <c r="C3036" t="s">
        <v>8</v>
      </c>
      <c r="D3036" s="4">
        <v>46092</v>
      </c>
      <c r="E3036" s="11">
        <f t="shared" si="188"/>
        <v>2026</v>
      </c>
      <c r="F3036" s="11">
        <f t="shared" si="189"/>
        <v>3</v>
      </c>
      <c r="G3036" s="11" t="str">
        <f t="shared" si="190"/>
        <v>202603</v>
      </c>
      <c r="H3036" s="4">
        <v>46131</v>
      </c>
      <c r="I3036" s="5">
        <v>39</v>
      </c>
      <c r="J3036" s="5">
        <v>1.3</v>
      </c>
      <c r="K3036" s="5">
        <f t="shared" si="191"/>
        <v>0</v>
      </c>
      <c r="L3036" s="5">
        <v>1</v>
      </c>
      <c r="M3036" s="5">
        <v>1</v>
      </c>
      <c r="N3036" t="s">
        <v>9</v>
      </c>
      <c r="O3036" s="8">
        <v>18.372602739726027</v>
      </c>
      <c r="P3036" t="s">
        <v>32</v>
      </c>
      <c r="Q3036">
        <v>1</v>
      </c>
      <c r="R3036" s="2">
        <v>39386</v>
      </c>
    </row>
    <row r="3037" spans="1:18" x14ac:dyDescent="0.3">
      <c r="A3037" t="s">
        <v>7</v>
      </c>
      <c r="B3037">
        <v>19008749</v>
      </c>
      <c r="C3037" t="s">
        <v>8</v>
      </c>
      <c r="D3037" s="4">
        <v>46092</v>
      </c>
      <c r="E3037" s="11">
        <f t="shared" si="188"/>
        <v>2026</v>
      </c>
      <c r="F3037" s="11">
        <f t="shared" si="189"/>
        <v>3</v>
      </c>
      <c r="G3037" s="11" t="str">
        <f t="shared" si="190"/>
        <v>202603</v>
      </c>
      <c r="I3037" s="5">
        <v>9999</v>
      </c>
      <c r="J3037" s="5">
        <v>333.3</v>
      </c>
      <c r="K3037" s="5">
        <f t="shared" si="191"/>
        <v>0</v>
      </c>
      <c r="L3037" s="5">
        <v>0</v>
      </c>
      <c r="M3037" s="5">
        <v>0</v>
      </c>
      <c r="N3037" t="s">
        <v>9</v>
      </c>
      <c r="O3037" s="8">
        <v>18.052054794520547</v>
      </c>
      <c r="P3037" t="s">
        <v>32</v>
      </c>
      <c r="Q3037">
        <v>1</v>
      </c>
      <c r="R3037" s="2">
        <v>39503</v>
      </c>
    </row>
    <row r="3038" spans="1:18" x14ac:dyDescent="0.3">
      <c r="A3038" t="s">
        <v>7</v>
      </c>
      <c r="B3038">
        <v>19008752</v>
      </c>
      <c r="C3038" t="s">
        <v>8</v>
      </c>
      <c r="D3038" s="4">
        <v>46092</v>
      </c>
      <c r="E3038" s="11">
        <f t="shared" si="188"/>
        <v>2026</v>
      </c>
      <c r="F3038" s="11">
        <f t="shared" si="189"/>
        <v>3</v>
      </c>
      <c r="G3038" s="11" t="str">
        <f t="shared" si="190"/>
        <v>202603</v>
      </c>
      <c r="I3038" s="5">
        <v>9999</v>
      </c>
      <c r="J3038" s="5">
        <v>333.3</v>
      </c>
      <c r="K3038" s="5">
        <f t="shared" si="191"/>
        <v>0</v>
      </c>
      <c r="L3038" s="5">
        <v>0</v>
      </c>
      <c r="M3038" s="5">
        <v>0</v>
      </c>
      <c r="N3038" t="s">
        <v>9</v>
      </c>
      <c r="O3038" s="8">
        <v>19.712328767123289</v>
      </c>
      <c r="P3038" t="s">
        <v>32</v>
      </c>
      <c r="Q3038">
        <v>1</v>
      </c>
      <c r="R3038" s="2">
        <v>38897</v>
      </c>
    </row>
    <row r="3039" spans="1:18" x14ac:dyDescent="0.3">
      <c r="A3039" t="s">
        <v>7</v>
      </c>
      <c r="B3039">
        <v>19008754</v>
      </c>
      <c r="C3039" t="s">
        <v>8</v>
      </c>
      <c r="D3039" s="4">
        <v>46092</v>
      </c>
      <c r="E3039" s="11">
        <f t="shared" si="188"/>
        <v>2026</v>
      </c>
      <c r="F3039" s="11">
        <f t="shared" si="189"/>
        <v>3</v>
      </c>
      <c r="G3039" s="11" t="str">
        <f t="shared" si="190"/>
        <v>202603</v>
      </c>
      <c r="H3039" s="4">
        <v>46142</v>
      </c>
      <c r="I3039" s="5">
        <v>50</v>
      </c>
      <c r="J3039" s="5">
        <v>1.6666666666666667</v>
      </c>
      <c r="K3039" s="5">
        <f t="shared" si="191"/>
        <v>0</v>
      </c>
      <c r="L3039" s="5">
        <v>1</v>
      </c>
      <c r="M3039" s="5">
        <v>1</v>
      </c>
      <c r="N3039" t="s">
        <v>9</v>
      </c>
      <c r="O3039" s="8">
        <v>21.613698630136987</v>
      </c>
      <c r="P3039" t="s">
        <v>33</v>
      </c>
      <c r="Q3039">
        <v>2</v>
      </c>
      <c r="R3039" s="2">
        <v>38203</v>
      </c>
    </row>
    <row r="3040" spans="1:18" x14ac:dyDescent="0.3">
      <c r="A3040" t="s">
        <v>7</v>
      </c>
      <c r="B3040">
        <v>19008755</v>
      </c>
      <c r="C3040" t="s">
        <v>10</v>
      </c>
      <c r="D3040" s="4">
        <v>46092</v>
      </c>
      <c r="E3040" s="11">
        <f t="shared" si="188"/>
        <v>2026</v>
      </c>
      <c r="F3040" s="11">
        <f t="shared" si="189"/>
        <v>3</v>
      </c>
      <c r="G3040" s="11" t="str">
        <f t="shared" si="190"/>
        <v>202603</v>
      </c>
      <c r="I3040" s="5">
        <v>9999</v>
      </c>
      <c r="J3040" s="5">
        <v>333.3</v>
      </c>
      <c r="K3040" s="5">
        <f t="shared" si="191"/>
        <v>0</v>
      </c>
      <c r="L3040" s="5">
        <v>0</v>
      </c>
      <c r="M3040" s="5">
        <v>0</v>
      </c>
      <c r="N3040" t="s">
        <v>9</v>
      </c>
      <c r="O3040" s="8">
        <v>46.202739726027396</v>
      </c>
      <c r="P3040" t="s">
        <v>35</v>
      </c>
      <c r="Q3040">
        <v>4</v>
      </c>
      <c r="R3040" s="2">
        <v>29228</v>
      </c>
    </row>
    <row r="3041" spans="1:18" x14ac:dyDescent="0.3">
      <c r="A3041" t="s">
        <v>7</v>
      </c>
      <c r="B3041">
        <v>19008764</v>
      </c>
      <c r="C3041" t="s">
        <v>8</v>
      </c>
      <c r="D3041" s="4">
        <v>46092</v>
      </c>
      <c r="E3041" s="11">
        <f t="shared" si="188"/>
        <v>2026</v>
      </c>
      <c r="F3041" s="11">
        <f t="shared" si="189"/>
        <v>3</v>
      </c>
      <c r="G3041" s="11" t="str">
        <f t="shared" si="190"/>
        <v>202603</v>
      </c>
      <c r="I3041" s="5">
        <v>9999</v>
      </c>
      <c r="J3041" s="5">
        <v>333.3</v>
      </c>
      <c r="K3041" s="5">
        <f t="shared" si="191"/>
        <v>0</v>
      </c>
      <c r="L3041" s="5">
        <v>0</v>
      </c>
      <c r="M3041" s="5">
        <v>0</v>
      </c>
      <c r="N3041" t="s">
        <v>9</v>
      </c>
      <c r="O3041" s="8">
        <v>28.887671232876713</v>
      </c>
      <c r="P3041" t="s">
        <v>34</v>
      </c>
      <c r="Q3041">
        <v>3</v>
      </c>
      <c r="R3041" s="2">
        <v>35548</v>
      </c>
    </row>
    <row r="3042" spans="1:18" x14ac:dyDescent="0.3">
      <c r="A3042" t="s">
        <v>7</v>
      </c>
      <c r="B3042">
        <v>19008788</v>
      </c>
      <c r="C3042" t="s">
        <v>10</v>
      </c>
      <c r="D3042" s="4">
        <v>46092</v>
      </c>
      <c r="E3042" s="11">
        <f t="shared" si="188"/>
        <v>2026</v>
      </c>
      <c r="F3042" s="11">
        <f t="shared" si="189"/>
        <v>3</v>
      </c>
      <c r="G3042" s="11" t="str">
        <f t="shared" si="190"/>
        <v>202603</v>
      </c>
      <c r="I3042" s="5">
        <v>9999</v>
      </c>
      <c r="J3042" s="5">
        <v>333.3</v>
      </c>
      <c r="K3042" s="5">
        <f t="shared" si="191"/>
        <v>0</v>
      </c>
      <c r="L3042" s="5">
        <v>0</v>
      </c>
      <c r="M3042" s="5">
        <v>0</v>
      </c>
      <c r="N3042" t="s">
        <v>12</v>
      </c>
      <c r="O3042" s="8">
        <v>20.021917808219179</v>
      </c>
      <c r="P3042" t="s">
        <v>32</v>
      </c>
      <c r="Q3042">
        <v>1</v>
      </c>
      <c r="R3042" s="2">
        <v>38784</v>
      </c>
    </row>
    <row r="3043" spans="1:18" x14ac:dyDescent="0.3">
      <c r="A3043" t="s">
        <v>7</v>
      </c>
      <c r="B3043">
        <v>19008790</v>
      </c>
      <c r="C3043" t="s">
        <v>8</v>
      </c>
      <c r="D3043" s="4">
        <v>46092</v>
      </c>
      <c r="E3043" s="11">
        <f t="shared" si="188"/>
        <v>2026</v>
      </c>
      <c r="F3043" s="11">
        <f t="shared" si="189"/>
        <v>3</v>
      </c>
      <c r="G3043" s="11" t="str">
        <f t="shared" si="190"/>
        <v>202603</v>
      </c>
      <c r="H3043" s="4">
        <v>46146</v>
      </c>
      <c r="I3043" s="5">
        <v>54</v>
      </c>
      <c r="J3043" s="5">
        <v>1.8</v>
      </c>
      <c r="K3043" s="5">
        <f t="shared" si="191"/>
        <v>0</v>
      </c>
      <c r="L3043" s="5">
        <v>1</v>
      </c>
      <c r="M3043" s="5">
        <v>1</v>
      </c>
      <c r="N3043" t="s">
        <v>9</v>
      </c>
      <c r="O3043" s="8">
        <v>20.739726027397261</v>
      </c>
      <c r="P3043" t="s">
        <v>32</v>
      </c>
      <c r="Q3043">
        <v>1</v>
      </c>
      <c r="R3043" s="2">
        <v>38522</v>
      </c>
    </row>
    <row r="3044" spans="1:18" x14ac:dyDescent="0.3">
      <c r="A3044" t="s">
        <v>7</v>
      </c>
      <c r="B3044">
        <v>19008794</v>
      </c>
      <c r="C3044" t="s">
        <v>10</v>
      </c>
      <c r="D3044" s="4">
        <v>46092</v>
      </c>
      <c r="E3044" s="11">
        <f t="shared" si="188"/>
        <v>2026</v>
      </c>
      <c r="F3044" s="11">
        <f t="shared" si="189"/>
        <v>3</v>
      </c>
      <c r="G3044" s="11" t="str">
        <f t="shared" si="190"/>
        <v>202603</v>
      </c>
      <c r="H3044" s="4">
        <v>46112</v>
      </c>
      <c r="I3044" s="5">
        <v>20</v>
      </c>
      <c r="J3044" s="5">
        <v>0.66666666666666663</v>
      </c>
      <c r="K3044" s="5">
        <f t="shared" si="191"/>
        <v>1</v>
      </c>
      <c r="L3044" s="5">
        <v>1</v>
      </c>
      <c r="M3044" s="5">
        <v>1</v>
      </c>
      <c r="N3044" t="s">
        <v>9</v>
      </c>
      <c r="O3044" s="8">
        <v>22.350684931506848</v>
      </c>
      <c r="P3044" t="s">
        <v>33</v>
      </c>
      <c r="Q3044">
        <v>2</v>
      </c>
      <c r="R3044" s="2">
        <v>37934</v>
      </c>
    </row>
    <row r="3045" spans="1:18" x14ac:dyDescent="0.3">
      <c r="A3045" t="s">
        <v>7</v>
      </c>
      <c r="B3045">
        <v>19008805</v>
      </c>
      <c r="C3045" t="s">
        <v>8</v>
      </c>
      <c r="D3045" s="4">
        <v>46092</v>
      </c>
      <c r="E3045" s="11">
        <f t="shared" si="188"/>
        <v>2026</v>
      </c>
      <c r="F3045" s="11">
        <f t="shared" si="189"/>
        <v>3</v>
      </c>
      <c r="G3045" s="11" t="str">
        <f t="shared" si="190"/>
        <v>202603</v>
      </c>
      <c r="H3045" s="4">
        <v>46156</v>
      </c>
      <c r="I3045" s="5">
        <v>64</v>
      </c>
      <c r="J3045" s="5">
        <v>2.1333333333333333</v>
      </c>
      <c r="K3045" s="5">
        <f t="shared" si="191"/>
        <v>0</v>
      </c>
      <c r="L3045" s="5">
        <v>1</v>
      </c>
      <c r="M3045" s="5">
        <v>1</v>
      </c>
      <c r="N3045" t="s">
        <v>12</v>
      </c>
      <c r="O3045" s="8">
        <v>29.213698630136985</v>
      </c>
      <c r="P3045" t="s">
        <v>34</v>
      </c>
      <c r="Q3045">
        <v>3</v>
      </c>
      <c r="R3045" s="2">
        <v>35429</v>
      </c>
    </row>
    <row r="3046" spans="1:18" x14ac:dyDescent="0.3">
      <c r="A3046" t="s">
        <v>7</v>
      </c>
      <c r="B3046">
        <v>19008987</v>
      </c>
      <c r="C3046" t="s">
        <v>8</v>
      </c>
      <c r="D3046" s="4">
        <v>46093</v>
      </c>
      <c r="E3046" s="11">
        <f t="shared" si="188"/>
        <v>2026</v>
      </c>
      <c r="F3046" s="11">
        <f t="shared" si="189"/>
        <v>3</v>
      </c>
      <c r="G3046" s="11" t="str">
        <f t="shared" si="190"/>
        <v>202603</v>
      </c>
      <c r="I3046" s="5">
        <v>9999</v>
      </c>
      <c r="J3046" s="5">
        <v>333.3</v>
      </c>
      <c r="K3046" s="5">
        <f t="shared" si="191"/>
        <v>0</v>
      </c>
      <c r="L3046" s="5">
        <v>0</v>
      </c>
      <c r="M3046" s="5">
        <v>0</v>
      </c>
      <c r="N3046" t="s">
        <v>12</v>
      </c>
      <c r="O3046" s="8">
        <v>32.065753424657537</v>
      </c>
      <c r="P3046" t="s">
        <v>35</v>
      </c>
      <c r="Q3046">
        <v>4</v>
      </c>
      <c r="R3046" s="2">
        <v>34389</v>
      </c>
    </row>
    <row r="3047" spans="1:18" x14ac:dyDescent="0.3">
      <c r="A3047" t="s">
        <v>7</v>
      </c>
      <c r="B3047">
        <v>19008989</v>
      </c>
      <c r="C3047" t="s">
        <v>10</v>
      </c>
      <c r="D3047" s="4">
        <v>46093</v>
      </c>
      <c r="E3047" s="11">
        <f t="shared" si="188"/>
        <v>2026</v>
      </c>
      <c r="F3047" s="11">
        <f t="shared" si="189"/>
        <v>3</v>
      </c>
      <c r="G3047" s="11" t="str">
        <f t="shared" si="190"/>
        <v>202603</v>
      </c>
      <c r="I3047" s="5">
        <v>9999</v>
      </c>
      <c r="J3047" s="5">
        <v>333.3</v>
      </c>
      <c r="K3047" s="5">
        <f t="shared" si="191"/>
        <v>0</v>
      </c>
      <c r="L3047" s="5">
        <v>0</v>
      </c>
      <c r="M3047" s="5">
        <v>0</v>
      </c>
      <c r="N3047" t="s">
        <v>9</v>
      </c>
      <c r="O3047" s="8">
        <v>18.931506849315067</v>
      </c>
      <c r="P3047" t="s">
        <v>32</v>
      </c>
      <c r="Q3047">
        <v>1</v>
      </c>
      <c r="R3047" s="2">
        <v>39183</v>
      </c>
    </row>
    <row r="3048" spans="1:18" x14ac:dyDescent="0.3">
      <c r="A3048" t="s">
        <v>7</v>
      </c>
      <c r="B3048">
        <v>19009004</v>
      </c>
      <c r="C3048" t="s">
        <v>10</v>
      </c>
      <c r="D3048" s="4">
        <v>46093</v>
      </c>
      <c r="E3048" s="11">
        <f t="shared" si="188"/>
        <v>2026</v>
      </c>
      <c r="F3048" s="11">
        <f t="shared" si="189"/>
        <v>3</v>
      </c>
      <c r="G3048" s="11" t="str">
        <f t="shared" si="190"/>
        <v>202603</v>
      </c>
      <c r="I3048" s="5">
        <v>9999</v>
      </c>
      <c r="J3048" s="5">
        <v>333.3</v>
      </c>
      <c r="K3048" s="5">
        <f t="shared" si="191"/>
        <v>0</v>
      </c>
      <c r="L3048" s="5">
        <v>0</v>
      </c>
      <c r="M3048" s="5">
        <v>0</v>
      </c>
      <c r="N3048" t="s">
        <v>9</v>
      </c>
      <c r="O3048" s="8">
        <v>21.068493150684933</v>
      </c>
      <c r="P3048" t="s">
        <v>33</v>
      </c>
      <c r="Q3048">
        <v>2</v>
      </c>
      <c r="R3048" s="2">
        <v>38403</v>
      </c>
    </row>
    <row r="3049" spans="1:18" x14ac:dyDescent="0.3">
      <c r="A3049" t="s">
        <v>7</v>
      </c>
      <c r="B3049">
        <v>19009082</v>
      </c>
      <c r="C3049" t="s">
        <v>8</v>
      </c>
      <c r="D3049" s="4">
        <v>46094</v>
      </c>
      <c r="E3049" s="11">
        <f t="shared" si="188"/>
        <v>2026</v>
      </c>
      <c r="F3049" s="11">
        <f t="shared" si="189"/>
        <v>3</v>
      </c>
      <c r="G3049" s="11" t="str">
        <f t="shared" si="190"/>
        <v>202603</v>
      </c>
      <c r="I3049" s="5">
        <v>9999</v>
      </c>
      <c r="J3049" s="5">
        <v>333.3</v>
      </c>
      <c r="K3049" s="5">
        <f t="shared" si="191"/>
        <v>0</v>
      </c>
      <c r="L3049" s="5">
        <v>0</v>
      </c>
      <c r="M3049" s="5">
        <v>0</v>
      </c>
      <c r="N3049" t="s">
        <v>12</v>
      </c>
      <c r="O3049" s="8">
        <v>21.838356164383562</v>
      </c>
      <c r="P3049" t="s">
        <v>33</v>
      </c>
      <c r="Q3049">
        <v>2</v>
      </c>
      <c r="R3049" s="2">
        <v>38123</v>
      </c>
    </row>
    <row r="3050" spans="1:18" x14ac:dyDescent="0.3">
      <c r="A3050" t="s">
        <v>7</v>
      </c>
      <c r="B3050">
        <v>19009131</v>
      </c>
      <c r="C3050" t="s">
        <v>8</v>
      </c>
      <c r="D3050" s="4">
        <v>46094</v>
      </c>
      <c r="E3050" s="11">
        <f t="shared" si="188"/>
        <v>2026</v>
      </c>
      <c r="F3050" s="11">
        <f t="shared" si="189"/>
        <v>3</v>
      </c>
      <c r="G3050" s="11" t="str">
        <f t="shared" si="190"/>
        <v>202603</v>
      </c>
      <c r="I3050" s="5">
        <v>9999</v>
      </c>
      <c r="J3050" s="5">
        <v>333.3</v>
      </c>
      <c r="K3050" s="5">
        <f t="shared" si="191"/>
        <v>0</v>
      </c>
      <c r="L3050" s="5">
        <v>0</v>
      </c>
      <c r="M3050" s="5">
        <v>0</v>
      </c>
      <c r="N3050" t="s">
        <v>9</v>
      </c>
      <c r="O3050" s="8">
        <v>22.347945205479451</v>
      </c>
      <c r="P3050" t="s">
        <v>33</v>
      </c>
      <c r="Q3050">
        <v>2</v>
      </c>
      <c r="R3050" s="2">
        <v>37937</v>
      </c>
    </row>
    <row r="3051" spans="1:18" x14ac:dyDescent="0.3">
      <c r="A3051" t="s">
        <v>7</v>
      </c>
      <c r="B3051">
        <v>19009138</v>
      </c>
      <c r="C3051" t="s">
        <v>10</v>
      </c>
      <c r="D3051" s="4">
        <v>46094</v>
      </c>
      <c r="E3051" s="11">
        <f t="shared" si="188"/>
        <v>2026</v>
      </c>
      <c r="F3051" s="11">
        <f t="shared" si="189"/>
        <v>3</v>
      </c>
      <c r="G3051" s="11" t="str">
        <f t="shared" si="190"/>
        <v>202603</v>
      </c>
      <c r="H3051" s="4">
        <v>46128</v>
      </c>
      <c r="I3051" s="5">
        <v>34</v>
      </c>
      <c r="J3051" s="5">
        <v>1.1333333333333333</v>
      </c>
      <c r="K3051" s="5">
        <f t="shared" si="191"/>
        <v>0</v>
      </c>
      <c r="L3051" s="5">
        <v>1</v>
      </c>
      <c r="M3051" s="5">
        <v>1</v>
      </c>
      <c r="N3051" t="s">
        <v>12</v>
      </c>
      <c r="O3051" s="8">
        <v>18.473972602739725</v>
      </c>
      <c r="P3051" t="s">
        <v>32</v>
      </c>
      <c r="Q3051">
        <v>1</v>
      </c>
      <c r="R3051" s="2">
        <v>39351</v>
      </c>
    </row>
    <row r="3052" spans="1:18" x14ac:dyDescent="0.3">
      <c r="A3052" t="s">
        <v>7</v>
      </c>
      <c r="B3052">
        <v>19009157</v>
      </c>
      <c r="C3052" t="s">
        <v>8</v>
      </c>
      <c r="D3052" s="4">
        <v>46094</v>
      </c>
      <c r="E3052" s="11">
        <f t="shared" si="188"/>
        <v>2026</v>
      </c>
      <c r="F3052" s="11">
        <f t="shared" si="189"/>
        <v>3</v>
      </c>
      <c r="G3052" s="11" t="str">
        <f t="shared" si="190"/>
        <v>202603</v>
      </c>
      <c r="H3052" s="4">
        <v>46097</v>
      </c>
      <c r="I3052" s="5">
        <v>3</v>
      </c>
      <c r="J3052" s="5">
        <v>0.1</v>
      </c>
      <c r="K3052" s="5">
        <f t="shared" si="191"/>
        <v>1</v>
      </c>
      <c r="L3052" s="5">
        <v>1</v>
      </c>
      <c r="M3052" s="5">
        <v>1</v>
      </c>
      <c r="N3052" t="s">
        <v>9</v>
      </c>
      <c r="O3052" s="8">
        <v>22.342465753424658</v>
      </c>
      <c r="P3052" t="s">
        <v>33</v>
      </c>
      <c r="Q3052">
        <v>2</v>
      </c>
      <c r="R3052" s="2">
        <v>37939</v>
      </c>
    </row>
    <row r="3053" spans="1:18" x14ac:dyDescent="0.3">
      <c r="A3053" t="s">
        <v>7</v>
      </c>
      <c r="B3053">
        <v>19009158</v>
      </c>
      <c r="C3053" t="s">
        <v>8</v>
      </c>
      <c r="D3053" s="4">
        <v>46094</v>
      </c>
      <c r="E3053" s="11">
        <f t="shared" si="188"/>
        <v>2026</v>
      </c>
      <c r="F3053" s="11">
        <f t="shared" si="189"/>
        <v>3</v>
      </c>
      <c r="G3053" s="11" t="str">
        <f t="shared" si="190"/>
        <v>202603</v>
      </c>
      <c r="H3053" s="4">
        <v>46123</v>
      </c>
      <c r="I3053" s="5">
        <v>29</v>
      </c>
      <c r="J3053" s="5">
        <v>0.96666666666666667</v>
      </c>
      <c r="K3053" s="5">
        <f t="shared" si="191"/>
        <v>1</v>
      </c>
      <c r="L3053" s="5">
        <v>1</v>
      </c>
      <c r="M3053" s="5">
        <v>1</v>
      </c>
      <c r="N3053" t="s">
        <v>9</v>
      </c>
      <c r="O3053" s="8">
        <v>18.495890410958904</v>
      </c>
      <c r="P3053" t="s">
        <v>32</v>
      </c>
      <c r="Q3053">
        <v>1</v>
      </c>
      <c r="R3053" s="2">
        <v>39343</v>
      </c>
    </row>
    <row r="3054" spans="1:18" x14ac:dyDescent="0.3">
      <c r="A3054" t="s">
        <v>7</v>
      </c>
      <c r="B3054">
        <v>19009159</v>
      </c>
      <c r="C3054" t="s">
        <v>8</v>
      </c>
      <c r="D3054" s="4">
        <v>46094</v>
      </c>
      <c r="E3054" s="11">
        <f t="shared" si="188"/>
        <v>2026</v>
      </c>
      <c r="F3054" s="11">
        <f t="shared" si="189"/>
        <v>3</v>
      </c>
      <c r="G3054" s="11" t="str">
        <f t="shared" si="190"/>
        <v>202603</v>
      </c>
      <c r="I3054" s="5">
        <v>9999</v>
      </c>
      <c r="J3054" s="5">
        <v>333.3</v>
      </c>
      <c r="K3054" s="5">
        <f t="shared" si="191"/>
        <v>0</v>
      </c>
      <c r="L3054" s="5">
        <v>0</v>
      </c>
      <c r="M3054" s="5">
        <v>0</v>
      </c>
      <c r="N3054" t="s">
        <v>12</v>
      </c>
      <c r="O3054" s="8">
        <v>20.93972602739726</v>
      </c>
      <c r="P3054" t="s">
        <v>32</v>
      </c>
      <c r="Q3054">
        <v>1</v>
      </c>
      <c r="R3054" s="2">
        <v>38451</v>
      </c>
    </row>
    <row r="3055" spans="1:18" x14ac:dyDescent="0.3">
      <c r="A3055" t="s">
        <v>7</v>
      </c>
      <c r="B3055">
        <v>19009160</v>
      </c>
      <c r="C3055" t="s">
        <v>8</v>
      </c>
      <c r="D3055" s="4">
        <v>46094</v>
      </c>
      <c r="E3055" s="11">
        <f t="shared" si="188"/>
        <v>2026</v>
      </c>
      <c r="F3055" s="11">
        <f t="shared" si="189"/>
        <v>3</v>
      </c>
      <c r="G3055" s="11" t="str">
        <f t="shared" si="190"/>
        <v>202603</v>
      </c>
      <c r="I3055" s="5">
        <v>9999</v>
      </c>
      <c r="J3055" s="5">
        <v>333.3</v>
      </c>
      <c r="K3055" s="5">
        <f t="shared" si="191"/>
        <v>0</v>
      </c>
      <c r="L3055" s="5">
        <v>0</v>
      </c>
      <c r="M3055" s="5">
        <v>0</v>
      </c>
      <c r="N3055" t="s">
        <v>9</v>
      </c>
      <c r="O3055" s="8">
        <v>23.75068493150685</v>
      </c>
      <c r="P3055" t="s">
        <v>33</v>
      </c>
      <c r="Q3055">
        <v>2</v>
      </c>
      <c r="R3055" s="2">
        <v>37425</v>
      </c>
    </row>
    <row r="3056" spans="1:18" x14ac:dyDescent="0.3">
      <c r="A3056" t="s">
        <v>7</v>
      </c>
      <c r="B3056">
        <v>19009175</v>
      </c>
      <c r="C3056" t="s">
        <v>8</v>
      </c>
      <c r="D3056" s="4">
        <v>46094</v>
      </c>
      <c r="E3056" s="11">
        <f t="shared" si="188"/>
        <v>2026</v>
      </c>
      <c r="F3056" s="11">
        <f t="shared" si="189"/>
        <v>3</v>
      </c>
      <c r="G3056" s="11" t="str">
        <f t="shared" si="190"/>
        <v>202603</v>
      </c>
      <c r="I3056" s="5">
        <v>9999</v>
      </c>
      <c r="J3056" s="5">
        <v>333.3</v>
      </c>
      <c r="K3056" s="5">
        <f t="shared" si="191"/>
        <v>0</v>
      </c>
      <c r="L3056" s="5">
        <v>0</v>
      </c>
      <c r="M3056" s="5">
        <v>0</v>
      </c>
      <c r="N3056" t="s">
        <v>12</v>
      </c>
      <c r="O3056" s="8">
        <v>23.038356164383561</v>
      </c>
      <c r="P3056" t="s">
        <v>33</v>
      </c>
      <c r="Q3056">
        <v>2</v>
      </c>
      <c r="R3056" s="2">
        <v>37685</v>
      </c>
    </row>
    <row r="3057" spans="1:18" x14ac:dyDescent="0.3">
      <c r="A3057" t="s">
        <v>7</v>
      </c>
      <c r="B3057">
        <v>19009177</v>
      </c>
      <c r="C3057" t="s">
        <v>10</v>
      </c>
      <c r="D3057" s="4">
        <v>46094</v>
      </c>
      <c r="E3057" s="11">
        <f t="shared" si="188"/>
        <v>2026</v>
      </c>
      <c r="F3057" s="11">
        <f t="shared" si="189"/>
        <v>3</v>
      </c>
      <c r="G3057" s="11" t="str">
        <f t="shared" si="190"/>
        <v>202603</v>
      </c>
      <c r="I3057" s="5">
        <v>9999</v>
      </c>
      <c r="J3057" s="5">
        <v>333.3</v>
      </c>
      <c r="K3057" s="5">
        <f t="shared" si="191"/>
        <v>0</v>
      </c>
      <c r="L3057" s="5">
        <v>0</v>
      </c>
      <c r="M3057" s="5">
        <v>0</v>
      </c>
      <c r="N3057" t="s">
        <v>12</v>
      </c>
      <c r="O3057" s="8">
        <v>20.112328767123287</v>
      </c>
      <c r="P3057" t="s">
        <v>32</v>
      </c>
      <c r="Q3057">
        <v>1</v>
      </c>
      <c r="R3057" s="2">
        <v>38753</v>
      </c>
    </row>
    <row r="3058" spans="1:18" x14ac:dyDescent="0.3">
      <c r="A3058" t="s">
        <v>7</v>
      </c>
      <c r="B3058">
        <v>19009182</v>
      </c>
      <c r="C3058" t="s">
        <v>10</v>
      </c>
      <c r="D3058" s="4">
        <v>46094</v>
      </c>
      <c r="E3058" s="11">
        <f t="shared" si="188"/>
        <v>2026</v>
      </c>
      <c r="F3058" s="11">
        <f t="shared" si="189"/>
        <v>3</v>
      </c>
      <c r="G3058" s="11" t="str">
        <f t="shared" si="190"/>
        <v>202603</v>
      </c>
      <c r="I3058" s="5">
        <v>9999</v>
      </c>
      <c r="J3058" s="5">
        <v>333.3</v>
      </c>
      <c r="K3058" s="5">
        <f t="shared" si="191"/>
        <v>0</v>
      </c>
      <c r="L3058" s="5">
        <v>0</v>
      </c>
      <c r="M3058" s="5">
        <v>0</v>
      </c>
      <c r="N3058" t="s">
        <v>12</v>
      </c>
      <c r="O3058" s="8">
        <v>19.150684931506849</v>
      </c>
      <c r="P3058" t="s">
        <v>32</v>
      </c>
      <c r="Q3058">
        <v>1</v>
      </c>
      <c r="R3058" s="2">
        <v>39104</v>
      </c>
    </row>
    <row r="3059" spans="1:18" x14ac:dyDescent="0.3">
      <c r="A3059" t="s">
        <v>7</v>
      </c>
      <c r="B3059">
        <v>19009184</v>
      </c>
      <c r="C3059" t="s">
        <v>8</v>
      </c>
      <c r="D3059" s="4">
        <v>46094</v>
      </c>
      <c r="E3059" s="11">
        <f t="shared" si="188"/>
        <v>2026</v>
      </c>
      <c r="F3059" s="11">
        <f t="shared" si="189"/>
        <v>3</v>
      </c>
      <c r="G3059" s="11" t="str">
        <f t="shared" si="190"/>
        <v>202603</v>
      </c>
      <c r="I3059" s="5">
        <v>9999</v>
      </c>
      <c r="J3059" s="5">
        <v>333.3</v>
      </c>
      <c r="K3059" s="5">
        <f t="shared" si="191"/>
        <v>0</v>
      </c>
      <c r="L3059" s="5">
        <v>0</v>
      </c>
      <c r="M3059" s="5">
        <v>0</v>
      </c>
      <c r="N3059" t="s">
        <v>12</v>
      </c>
      <c r="O3059" s="8">
        <v>21.276712328767122</v>
      </c>
      <c r="P3059" t="s">
        <v>33</v>
      </c>
      <c r="Q3059">
        <v>2</v>
      </c>
      <c r="R3059" s="2">
        <v>38328</v>
      </c>
    </row>
    <row r="3060" spans="1:18" x14ac:dyDescent="0.3">
      <c r="A3060" t="s">
        <v>7</v>
      </c>
      <c r="B3060">
        <v>19009186</v>
      </c>
      <c r="C3060" t="s">
        <v>8</v>
      </c>
      <c r="D3060" s="4">
        <v>46094</v>
      </c>
      <c r="E3060" s="11">
        <f t="shared" si="188"/>
        <v>2026</v>
      </c>
      <c r="F3060" s="11">
        <f t="shared" si="189"/>
        <v>3</v>
      </c>
      <c r="G3060" s="11" t="str">
        <f t="shared" si="190"/>
        <v>202603</v>
      </c>
      <c r="I3060" s="5">
        <v>9999</v>
      </c>
      <c r="J3060" s="5">
        <v>333.3</v>
      </c>
      <c r="K3060" s="5">
        <f t="shared" si="191"/>
        <v>0</v>
      </c>
      <c r="L3060" s="5">
        <v>0</v>
      </c>
      <c r="M3060" s="5">
        <v>0</v>
      </c>
      <c r="N3060" t="s">
        <v>12</v>
      </c>
      <c r="O3060" s="8">
        <v>22.279452054794522</v>
      </c>
      <c r="P3060" t="s">
        <v>33</v>
      </c>
      <c r="Q3060">
        <v>2</v>
      </c>
      <c r="R3060" s="2">
        <v>37962</v>
      </c>
    </row>
    <row r="3061" spans="1:18" x14ac:dyDescent="0.3">
      <c r="A3061" t="s">
        <v>7</v>
      </c>
      <c r="B3061">
        <v>19009188</v>
      </c>
      <c r="C3061" t="s">
        <v>8</v>
      </c>
      <c r="D3061" s="4">
        <v>46094</v>
      </c>
      <c r="E3061" s="11">
        <f t="shared" si="188"/>
        <v>2026</v>
      </c>
      <c r="F3061" s="11">
        <f t="shared" si="189"/>
        <v>3</v>
      </c>
      <c r="G3061" s="11" t="str">
        <f t="shared" si="190"/>
        <v>202603</v>
      </c>
      <c r="H3061" s="4">
        <v>46095</v>
      </c>
      <c r="I3061" s="5">
        <v>1</v>
      </c>
      <c r="J3061" s="5">
        <v>3.3333333333333333E-2</v>
      </c>
      <c r="K3061" s="5">
        <f t="shared" si="191"/>
        <v>1</v>
      </c>
      <c r="L3061" s="5">
        <v>1</v>
      </c>
      <c r="M3061" s="5">
        <v>1</v>
      </c>
      <c r="N3061" t="s">
        <v>12</v>
      </c>
      <c r="O3061" s="8">
        <v>22.339726027397262</v>
      </c>
      <c r="P3061" t="s">
        <v>33</v>
      </c>
      <c r="Q3061">
        <v>2</v>
      </c>
      <c r="R3061" s="2">
        <v>37940</v>
      </c>
    </row>
    <row r="3062" spans="1:18" x14ac:dyDescent="0.3">
      <c r="A3062" t="s">
        <v>7</v>
      </c>
      <c r="B3062">
        <v>19009192</v>
      </c>
      <c r="C3062" t="s">
        <v>8</v>
      </c>
      <c r="D3062" s="4">
        <v>46094</v>
      </c>
      <c r="E3062" s="11">
        <f t="shared" si="188"/>
        <v>2026</v>
      </c>
      <c r="F3062" s="11">
        <f t="shared" si="189"/>
        <v>3</v>
      </c>
      <c r="G3062" s="11" t="str">
        <f t="shared" si="190"/>
        <v>202603</v>
      </c>
      <c r="I3062" s="5">
        <v>9999</v>
      </c>
      <c r="J3062" s="5">
        <v>333.3</v>
      </c>
      <c r="K3062" s="5">
        <f t="shared" si="191"/>
        <v>0</v>
      </c>
      <c r="L3062" s="5">
        <v>0</v>
      </c>
      <c r="M3062" s="5">
        <v>0</v>
      </c>
      <c r="N3062" t="s">
        <v>12</v>
      </c>
      <c r="O3062" s="8">
        <v>18.912328767123288</v>
      </c>
      <c r="P3062" t="s">
        <v>32</v>
      </c>
      <c r="Q3062">
        <v>1</v>
      </c>
      <c r="R3062" s="2">
        <v>39191</v>
      </c>
    </row>
    <row r="3063" spans="1:18" x14ac:dyDescent="0.3">
      <c r="A3063" t="s">
        <v>7</v>
      </c>
      <c r="B3063">
        <v>19009216</v>
      </c>
      <c r="C3063" t="s">
        <v>8</v>
      </c>
      <c r="D3063" s="4">
        <v>46094</v>
      </c>
      <c r="E3063" s="11">
        <f t="shared" si="188"/>
        <v>2026</v>
      </c>
      <c r="F3063" s="11">
        <f t="shared" si="189"/>
        <v>3</v>
      </c>
      <c r="G3063" s="11" t="str">
        <f t="shared" si="190"/>
        <v>202603</v>
      </c>
      <c r="I3063" s="5">
        <v>9999</v>
      </c>
      <c r="J3063" s="5">
        <v>333.3</v>
      </c>
      <c r="K3063" s="5">
        <f t="shared" si="191"/>
        <v>0</v>
      </c>
      <c r="L3063" s="5">
        <v>0</v>
      </c>
      <c r="M3063" s="5">
        <v>0</v>
      </c>
      <c r="N3063" t="s">
        <v>12</v>
      </c>
      <c r="O3063" s="8">
        <v>22.490410958904111</v>
      </c>
      <c r="P3063" t="s">
        <v>33</v>
      </c>
      <c r="Q3063">
        <v>2</v>
      </c>
      <c r="R3063" s="2">
        <v>37885</v>
      </c>
    </row>
    <row r="3064" spans="1:18" x14ac:dyDescent="0.3">
      <c r="A3064" t="s">
        <v>7</v>
      </c>
      <c r="B3064">
        <v>19009232</v>
      </c>
      <c r="C3064" t="s">
        <v>8</v>
      </c>
      <c r="D3064" s="4">
        <v>46094</v>
      </c>
      <c r="E3064" s="11">
        <f t="shared" si="188"/>
        <v>2026</v>
      </c>
      <c r="F3064" s="11">
        <f t="shared" si="189"/>
        <v>3</v>
      </c>
      <c r="G3064" s="11" t="str">
        <f t="shared" si="190"/>
        <v>202603</v>
      </c>
      <c r="H3064" s="4">
        <v>46113</v>
      </c>
      <c r="I3064" s="5">
        <v>19</v>
      </c>
      <c r="J3064" s="5">
        <v>0.6333333333333333</v>
      </c>
      <c r="K3064" s="5">
        <f t="shared" si="191"/>
        <v>1</v>
      </c>
      <c r="L3064" s="5">
        <v>1</v>
      </c>
      <c r="M3064" s="5">
        <v>1</v>
      </c>
      <c r="N3064" t="s">
        <v>12</v>
      </c>
      <c r="O3064" s="8">
        <v>28.241095890410961</v>
      </c>
      <c r="P3064" t="s">
        <v>34</v>
      </c>
      <c r="Q3064">
        <v>3</v>
      </c>
      <c r="R3064" s="2">
        <v>35786</v>
      </c>
    </row>
    <row r="3065" spans="1:18" x14ac:dyDescent="0.3">
      <c r="A3065" t="s">
        <v>7</v>
      </c>
      <c r="B3065">
        <v>19009525</v>
      </c>
      <c r="C3065" t="s">
        <v>8</v>
      </c>
      <c r="D3065" s="4">
        <v>46097</v>
      </c>
      <c r="E3065" s="11">
        <f t="shared" si="188"/>
        <v>2026</v>
      </c>
      <c r="F3065" s="11">
        <f t="shared" si="189"/>
        <v>3</v>
      </c>
      <c r="G3065" s="11" t="str">
        <f t="shared" si="190"/>
        <v>202603</v>
      </c>
      <c r="I3065" s="5">
        <v>9999</v>
      </c>
      <c r="J3065" s="5">
        <v>333.3</v>
      </c>
      <c r="K3065" s="5">
        <f t="shared" si="191"/>
        <v>0</v>
      </c>
      <c r="L3065" s="5">
        <v>0</v>
      </c>
      <c r="M3065" s="5">
        <v>0</v>
      </c>
      <c r="N3065" t="s">
        <v>9</v>
      </c>
      <c r="O3065" s="8">
        <v>31.852054794520548</v>
      </c>
      <c r="P3065" t="s">
        <v>35</v>
      </c>
      <c r="Q3065">
        <v>4</v>
      </c>
      <c r="R3065" s="2">
        <v>34471</v>
      </c>
    </row>
    <row r="3066" spans="1:18" x14ac:dyDescent="0.3">
      <c r="A3066" t="s">
        <v>7</v>
      </c>
      <c r="B3066">
        <v>19009531</v>
      </c>
      <c r="C3066" t="s">
        <v>8</v>
      </c>
      <c r="D3066" s="4">
        <v>46097</v>
      </c>
      <c r="E3066" s="11">
        <f t="shared" si="188"/>
        <v>2026</v>
      </c>
      <c r="F3066" s="11">
        <f t="shared" si="189"/>
        <v>3</v>
      </c>
      <c r="G3066" s="11" t="str">
        <f t="shared" si="190"/>
        <v>202603</v>
      </c>
      <c r="I3066" s="5">
        <v>9999</v>
      </c>
      <c r="J3066" s="5">
        <v>333.3</v>
      </c>
      <c r="K3066" s="5">
        <f t="shared" si="191"/>
        <v>0</v>
      </c>
      <c r="L3066" s="5">
        <v>0</v>
      </c>
      <c r="M3066" s="5">
        <v>0</v>
      </c>
      <c r="N3066" t="s">
        <v>9</v>
      </c>
      <c r="O3066" s="8">
        <v>19.531506849315068</v>
      </c>
      <c r="P3066" t="s">
        <v>32</v>
      </c>
      <c r="Q3066">
        <v>1</v>
      </c>
      <c r="R3066" s="2">
        <v>38968</v>
      </c>
    </row>
    <row r="3067" spans="1:18" x14ac:dyDescent="0.3">
      <c r="A3067" t="s">
        <v>7</v>
      </c>
      <c r="B3067">
        <v>19009532</v>
      </c>
      <c r="C3067" t="s">
        <v>8</v>
      </c>
      <c r="D3067" s="4">
        <v>46097</v>
      </c>
      <c r="E3067" s="11">
        <f t="shared" si="188"/>
        <v>2026</v>
      </c>
      <c r="F3067" s="11">
        <f t="shared" si="189"/>
        <v>3</v>
      </c>
      <c r="G3067" s="11" t="str">
        <f t="shared" si="190"/>
        <v>202603</v>
      </c>
      <c r="H3067" s="4">
        <v>46142</v>
      </c>
      <c r="I3067" s="5">
        <v>45</v>
      </c>
      <c r="J3067" s="5">
        <v>1.5</v>
      </c>
      <c r="K3067" s="5">
        <f t="shared" si="191"/>
        <v>0</v>
      </c>
      <c r="L3067" s="5">
        <v>1</v>
      </c>
      <c r="M3067" s="5">
        <v>1</v>
      </c>
      <c r="N3067" t="s">
        <v>9</v>
      </c>
      <c r="O3067" s="8">
        <v>20.493150684931507</v>
      </c>
      <c r="P3067" t="s">
        <v>32</v>
      </c>
      <c r="Q3067">
        <v>1</v>
      </c>
      <c r="R3067" s="2">
        <v>38617</v>
      </c>
    </row>
    <row r="3068" spans="1:18" x14ac:dyDescent="0.3">
      <c r="A3068" t="s">
        <v>7</v>
      </c>
      <c r="B3068">
        <v>19009534</v>
      </c>
      <c r="C3068" t="s">
        <v>8</v>
      </c>
      <c r="D3068" s="4">
        <v>46097</v>
      </c>
      <c r="E3068" s="11">
        <f t="shared" si="188"/>
        <v>2026</v>
      </c>
      <c r="F3068" s="11">
        <f t="shared" si="189"/>
        <v>3</v>
      </c>
      <c r="G3068" s="11" t="str">
        <f t="shared" si="190"/>
        <v>202603</v>
      </c>
      <c r="H3068" s="4">
        <v>46173</v>
      </c>
      <c r="I3068" s="5">
        <v>76</v>
      </c>
      <c r="J3068" s="5">
        <v>2.5333333333333332</v>
      </c>
      <c r="K3068" s="5">
        <f t="shared" si="191"/>
        <v>0</v>
      </c>
      <c r="L3068" s="5">
        <v>1</v>
      </c>
      <c r="M3068" s="5">
        <v>1</v>
      </c>
      <c r="N3068" t="s">
        <v>9</v>
      </c>
      <c r="O3068" s="8">
        <v>24.520547945205479</v>
      </c>
      <c r="P3068" t="s">
        <v>33</v>
      </c>
      <c r="Q3068">
        <v>2</v>
      </c>
      <c r="R3068" s="2">
        <v>37147</v>
      </c>
    </row>
    <row r="3069" spans="1:18" x14ac:dyDescent="0.3">
      <c r="A3069" t="s">
        <v>7</v>
      </c>
      <c r="B3069">
        <v>19009535</v>
      </c>
      <c r="C3069" t="s">
        <v>8</v>
      </c>
      <c r="D3069" s="4">
        <v>46097</v>
      </c>
      <c r="E3069" s="11">
        <f t="shared" si="188"/>
        <v>2026</v>
      </c>
      <c r="F3069" s="11">
        <f t="shared" si="189"/>
        <v>3</v>
      </c>
      <c r="G3069" s="11" t="str">
        <f t="shared" si="190"/>
        <v>202603</v>
      </c>
      <c r="H3069" s="4">
        <v>46124</v>
      </c>
      <c r="I3069" s="5">
        <v>27</v>
      </c>
      <c r="J3069" s="5">
        <v>0.9</v>
      </c>
      <c r="K3069" s="5">
        <f t="shared" si="191"/>
        <v>1</v>
      </c>
      <c r="L3069" s="5">
        <v>1</v>
      </c>
      <c r="M3069" s="5">
        <v>1</v>
      </c>
      <c r="N3069" t="s">
        <v>9</v>
      </c>
      <c r="O3069" s="8">
        <v>20.802739726027397</v>
      </c>
      <c r="P3069" t="s">
        <v>32</v>
      </c>
      <c r="Q3069">
        <v>1</v>
      </c>
      <c r="R3069" s="2">
        <v>38504</v>
      </c>
    </row>
    <row r="3070" spans="1:18" x14ac:dyDescent="0.3">
      <c r="A3070" t="s">
        <v>7</v>
      </c>
      <c r="B3070">
        <v>19009542</v>
      </c>
      <c r="C3070" t="s">
        <v>10</v>
      </c>
      <c r="D3070" s="4">
        <v>46097</v>
      </c>
      <c r="E3070" s="11">
        <f t="shared" si="188"/>
        <v>2026</v>
      </c>
      <c r="F3070" s="11">
        <f t="shared" si="189"/>
        <v>3</v>
      </c>
      <c r="G3070" s="11" t="str">
        <f t="shared" si="190"/>
        <v>202603</v>
      </c>
      <c r="I3070" s="5">
        <v>9999</v>
      </c>
      <c r="J3070" s="5">
        <v>333.3</v>
      </c>
      <c r="K3070" s="5">
        <f t="shared" si="191"/>
        <v>0</v>
      </c>
      <c r="L3070" s="5">
        <v>0</v>
      </c>
      <c r="M3070" s="5">
        <v>0</v>
      </c>
      <c r="N3070" t="s">
        <v>9</v>
      </c>
      <c r="O3070" s="8">
        <v>21.649315068493152</v>
      </c>
      <c r="P3070" t="s">
        <v>33</v>
      </c>
      <c r="Q3070">
        <v>2</v>
      </c>
      <c r="R3070" s="2">
        <v>38195</v>
      </c>
    </row>
    <row r="3071" spans="1:18" x14ac:dyDescent="0.3">
      <c r="A3071" t="s">
        <v>7</v>
      </c>
      <c r="B3071">
        <v>19009544</v>
      </c>
      <c r="C3071" t="s">
        <v>8</v>
      </c>
      <c r="D3071" s="4">
        <v>46097</v>
      </c>
      <c r="E3071" s="11">
        <f t="shared" si="188"/>
        <v>2026</v>
      </c>
      <c r="F3071" s="11">
        <f t="shared" si="189"/>
        <v>3</v>
      </c>
      <c r="G3071" s="11" t="str">
        <f t="shared" si="190"/>
        <v>202603</v>
      </c>
      <c r="I3071" s="5">
        <v>9999</v>
      </c>
      <c r="J3071" s="5">
        <v>333.3</v>
      </c>
      <c r="K3071" s="5">
        <f t="shared" si="191"/>
        <v>0</v>
      </c>
      <c r="L3071" s="5">
        <v>0</v>
      </c>
      <c r="M3071" s="5">
        <v>0</v>
      </c>
      <c r="N3071" t="s">
        <v>12</v>
      </c>
      <c r="O3071" s="8">
        <v>23.260273972602739</v>
      </c>
      <c r="P3071" t="s">
        <v>33</v>
      </c>
      <c r="Q3071">
        <v>2</v>
      </c>
      <c r="R3071" s="2">
        <v>37607</v>
      </c>
    </row>
    <row r="3072" spans="1:18" x14ac:dyDescent="0.3">
      <c r="A3072" t="s">
        <v>7</v>
      </c>
      <c r="B3072">
        <v>19009545</v>
      </c>
      <c r="C3072" t="s">
        <v>8</v>
      </c>
      <c r="D3072" s="4">
        <v>46097</v>
      </c>
      <c r="E3072" s="11">
        <f t="shared" si="188"/>
        <v>2026</v>
      </c>
      <c r="F3072" s="11">
        <f t="shared" si="189"/>
        <v>3</v>
      </c>
      <c r="G3072" s="11" t="str">
        <f t="shared" si="190"/>
        <v>202603</v>
      </c>
      <c r="H3072" s="4">
        <v>46127</v>
      </c>
      <c r="I3072" s="5">
        <v>30</v>
      </c>
      <c r="J3072" s="5">
        <v>1</v>
      </c>
      <c r="K3072" s="5">
        <f t="shared" si="191"/>
        <v>1</v>
      </c>
      <c r="L3072" s="5">
        <v>1</v>
      </c>
      <c r="M3072" s="5">
        <v>1</v>
      </c>
      <c r="N3072" t="s">
        <v>12</v>
      </c>
      <c r="O3072" s="8">
        <v>20.019178082191782</v>
      </c>
      <c r="P3072" t="s">
        <v>32</v>
      </c>
      <c r="Q3072">
        <v>1</v>
      </c>
      <c r="R3072" s="2">
        <v>38790</v>
      </c>
    </row>
    <row r="3073" spans="1:18" x14ac:dyDescent="0.3">
      <c r="A3073" t="s">
        <v>7</v>
      </c>
      <c r="B3073">
        <v>19009603</v>
      </c>
      <c r="C3073" t="s">
        <v>8</v>
      </c>
      <c r="D3073" s="4">
        <v>46097</v>
      </c>
      <c r="E3073" s="11">
        <f t="shared" si="188"/>
        <v>2026</v>
      </c>
      <c r="F3073" s="11">
        <f t="shared" si="189"/>
        <v>3</v>
      </c>
      <c r="G3073" s="11" t="str">
        <f t="shared" si="190"/>
        <v>202603</v>
      </c>
      <c r="I3073" s="5">
        <v>9999</v>
      </c>
      <c r="J3073" s="5">
        <v>333.3</v>
      </c>
      <c r="K3073" s="5">
        <f t="shared" si="191"/>
        <v>0</v>
      </c>
      <c r="L3073" s="5">
        <v>0</v>
      </c>
      <c r="M3073" s="5">
        <v>0</v>
      </c>
      <c r="N3073" t="s">
        <v>9</v>
      </c>
      <c r="O3073" s="8">
        <v>18.854794520547944</v>
      </c>
      <c r="P3073" t="s">
        <v>32</v>
      </c>
      <c r="Q3073">
        <v>1</v>
      </c>
      <c r="R3073" s="2">
        <v>39215</v>
      </c>
    </row>
    <row r="3074" spans="1:18" x14ac:dyDescent="0.3">
      <c r="A3074" t="s">
        <v>7</v>
      </c>
      <c r="B3074">
        <v>19009615</v>
      </c>
      <c r="C3074" t="s">
        <v>8</v>
      </c>
      <c r="D3074" s="4">
        <v>46097</v>
      </c>
      <c r="E3074" s="11">
        <f t="shared" si="188"/>
        <v>2026</v>
      </c>
      <c r="F3074" s="11">
        <f t="shared" si="189"/>
        <v>3</v>
      </c>
      <c r="G3074" s="11" t="str">
        <f t="shared" si="190"/>
        <v>202603</v>
      </c>
      <c r="H3074" s="4">
        <v>46126</v>
      </c>
      <c r="I3074" s="5">
        <v>29</v>
      </c>
      <c r="J3074" s="5">
        <v>0.96666666666666667</v>
      </c>
      <c r="K3074" s="5">
        <f t="shared" si="191"/>
        <v>1</v>
      </c>
      <c r="L3074" s="5">
        <v>1</v>
      </c>
      <c r="M3074" s="5">
        <v>1</v>
      </c>
      <c r="N3074" t="s">
        <v>9</v>
      </c>
      <c r="O3074" s="8">
        <v>23.783561643835615</v>
      </c>
      <c r="P3074" t="s">
        <v>33</v>
      </c>
      <c r="Q3074">
        <v>2</v>
      </c>
      <c r="R3074" s="2">
        <v>37416</v>
      </c>
    </row>
    <row r="3075" spans="1:18" x14ac:dyDescent="0.3">
      <c r="A3075" t="s">
        <v>7</v>
      </c>
      <c r="B3075">
        <v>19009920</v>
      </c>
      <c r="C3075" t="s">
        <v>10</v>
      </c>
      <c r="D3075" s="4">
        <v>46098</v>
      </c>
      <c r="E3075" s="11">
        <f t="shared" ref="E3075:E3138" si="192">+YEAR(D3075)</f>
        <v>2026</v>
      </c>
      <c r="F3075" s="11">
        <f t="shared" ref="F3075:F3138" si="193">+MONTH(D3075)</f>
        <v>3</v>
      </c>
      <c r="G3075" s="11" t="str">
        <f t="shared" ref="G3075:G3138" si="194">+TEXT(D3075, "yyymm")</f>
        <v>202603</v>
      </c>
      <c r="I3075" s="5">
        <v>9999</v>
      </c>
      <c r="J3075" s="5">
        <v>333.3</v>
      </c>
      <c r="K3075" s="5">
        <f t="shared" ref="K3075:K3138" si="195">IF(J3075&lt;=1,1,0)</f>
        <v>0</v>
      </c>
      <c r="L3075" s="5">
        <v>0</v>
      </c>
      <c r="M3075" s="5">
        <v>0</v>
      </c>
      <c r="N3075" t="s">
        <v>12</v>
      </c>
      <c r="O3075" s="8">
        <v>18.720547945205478</v>
      </c>
      <c r="P3075" t="s">
        <v>32</v>
      </c>
      <c r="Q3075">
        <v>1</v>
      </c>
      <c r="R3075" s="2">
        <v>39265</v>
      </c>
    </row>
    <row r="3076" spans="1:18" x14ac:dyDescent="0.3">
      <c r="A3076" t="s">
        <v>7</v>
      </c>
      <c r="B3076">
        <v>19009923</v>
      </c>
      <c r="C3076" t="s">
        <v>10</v>
      </c>
      <c r="D3076" s="4">
        <v>46098</v>
      </c>
      <c r="E3076" s="11">
        <f t="shared" si="192"/>
        <v>2026</v>
      </c>
      <c r="F3076" s="11">
        <f t="shared" si="193"/>
        <v>3</v>
      </c>
      <c r="G3076" s="11" t="str">
        <f t="shared" si="194"/>
        <v>202603</v>
      </c>
      <c r="H3076" s="4">
        <v>46142</v>
      </c>
      <c r="I3076" s="5">
        <v>44</v>
      </c>
      <c r="J3076" s="5">
        <v>1.4666666666666666</v>
      </c>
      <c r="K3076" s="5">
        <f t="shared" si="195"/>
        <v>0</v>
      </c>
      <c r="L3076" s="5">
        <v>1</v>
      </c>
      <c r="M3076" s="5">
        <v>1</v>
      </c>
      <c r="N3076" t="s">
        <v>9</v>
      </c>
      <c r="O3076" s="8">
        <v>20.246575342465754</v>
      </c>
      <c r="P3076" t="s">
        <v>32</v>
      </c>
      <c r="Q3076">
        <v>1</v>
      </c>
      <c r="R3076" s="2">
        <v>38708</v>
      </c>
    </row>
    <row r="3077" spans="1:18" x14ac:dyDescent="0.3">
      <c r="A3077" t="s">
        <v>7</v>
      </c>
      <c r="B3077">
        <v>19009931</v>
      </c>
      <c r="C3077" t="s">
        <v>8</v>
      </c>
      <c r="D3077" s="4">
        <v>46098</v>
      </c>
      <c r="E3077" s="11">
        <f t="shared" si="192"/>
        <v>2026</v>
      </c>
      <c r="F3077" s="11">
        <f t="shared" si="193"/>
        <v>3</v>
      </c>
      <c r="G3077" s="11" t="str">
        <f t="shared" si="194"/>
        <v>202603</v>
      </c>
      <c r="H3077" s="4">
        <v>46174</v>
      </c>
      <c r="I3077" s="5">
        <v>76</v>
      </c>
      <c r="J3077" s="5">
        <v>2.5333333333333332</v>
      </c>
      <c r="K3077" s="5">
        <f t="shared" si="195"/>
        <v>0</v>
      </c>
      <c r="L3077" s="5">
        <v>1</v>
      </c>
      <c r="M3077" s="5">
        <v>1</v>
      </c>
      <c r="N3077" t="s">
        <v>9</v>
      </c>
      <c r="O3077" s="8">
        <v>18.550684931506851</v>
      </c>
      <c r="P3077" t="s">
        <v>32</v>
      </c>
      <c r="Q3077">
        <v>1</v>
      </c>
      <c r="R3077" s="2">
        <v>39327</v>
      </c>
    </row>
    <row r="3078" spans="1:18" x14ac:dyDescent="0.3">
      <c r="A3078" t="s">
        <v>7</v>
      </c>
      <c r="B3078">
        <v>19009970</v>
      </c>
      <c r="C3078" t="s">
        <v>8</v>
      </c>
      <c r="D3078" s="4">
        <v>46098</v>
      </c>
      <c r="E3078" s="11">
        <f t="shared" si="192"/>
        <v>2026</v>
      </c>
      <c r="F3078" s="11">
        <f t="shared" si="193"/>
        <v>3</v>
      </c>
      <c r="G3078" s="11" t="str">
        <f t="shared" si="194"/>
        <v>202603</v>
      </c>
      <c r="I3078" s="5">
        <v>9999</v>
      </c>
      <c r="J3078" s="5">
        <v>333.3</v>
      </c>
      <c r="K3078" s="5">
        <f t="shared" si="195"/>
        <v>0</v>
      </c>
      <c r="L3078" s="5">
        <v>0</v>
      </c>
      <c r="M3078" s="5">
        <v>0</v>
      </c>
      <c r="N3078" t="s">
        <v>12</v>
      </c>
      <c r="O3078" s="8">
        <v>22.123287671232877</v>
      </c>
      <c r="P3078" t="s">
        <v>33</v>
      </c>
      <c r="Q3078">
        <v>2</v>
      </c>
      <c r="R3078" s="2">
        <v>38023</v>
      </c>
    </row>
    <row r="3079" spans="1:18" x14ac:dyDescent="0.3">
      <c r="A3079" t="s">
        <v>7</v>
      </c>
      <c r="B3079">
        <v>19009981</v>
      </c>
      <c r="C3079" t="s">
        <v>10</v>
      </c>
      <c r="D3079" s="4">
        <v>46098</v>
      </c>
      <c r="E3079" s="11">
        <f t="shared" si="192"/>
        <v>2026</v>
      </c>
      <c r="F3079" s="11">
        <f t="shared" si="193"/>
        <v>3</v>
      </c>
      <c r="G3079" s="11" t="str">
        <f t="shared" si="194"/>
        <v>202603</v>
      </c>
      <c r="H3079" s="4">
        <v>46143</v>
      </c>
      <c r="I3079" s="5">
        <v>45</v>
      </c>
      <c r="J3079" s="5">
        <v>1.5</v>
      </c>
      <c r="K3079" s="5">
        <f t="shared" si="195"/>
        <v>0</v>
      </c>
      <c r="L3079" s="5">
        <v>1</v>
      </c>
      <c r="M3079" s="5">
        <v>1</v>
      </c>
      <c r="N3079" t="s">
        <v>12</v>
      </c>
      <c r="O3079" s="8">
        <v>18.4986301369863</v>
      </c>
      <c r="P3079" t="s">
        <v>32</v>
      </c>
      <c r="Q3079">
        <v>1</v>
      </c>
      <c r="R3079" s="2">
        <v>39346</v>
      </c>
    </row>
    <row r="3080" spans="1:18" x14ac:dyDescent="0.3">
      <c r="A3080" t="s">
        <v>7</v>
      </c>
      <c r="B3080">
        <v>19010049</v>
      </c>
      <c r="C3080" t="s">
        <v>10</v>
      </c>
      <c r="D3080" s="4">
        <v>46098</v>
      </c>
      <c r="E3080" s="11">
        <f t="shared" si="192"/>
        <v>2026</v>
      </c>
      <c r="F3080" s="11">
        <f t="shared" si="193"/>
        <v>3</v>
      </c>
      <c r="G3080" s="11" t="str">
        <f t="shared" si="194"/>
        <v>202603</v>
      </c>
      <c r="I3080" s="5">
        <v>9999</v>
      </c>
      <c r="J3080" s="5">
        <v>333.3</v>
      </c>
      <c r="K3080" s="5">
        <f t="shared" si="195"/>
        <v>0</v>
      </c>
      <c r="L3080" s="5">
        <v>0</v>
      </c>
      <c r="M3080" s="5">
        <v>0</v>
      </c>
      <c r="N3080" t="s">
        <v>12</v>
      </c>
      <c r="O3080" s="8">
        <v>22.17808219178082</v>
      </c>
      <c r="P3080" t="s">
        <v>33</v>
      </c>
      <c r="Q3080">
        <v>2</v>
      </c>
      <c r="R3080" s="2">
        <v>38003</v>
      </c>
    </row>
    <row r="3081" spans="1:18" x14ac:dyDescent="0.3">
      <c r="A3081" t="s">
        <v>11</v>
      </c>
      <c r="B3081">
        <v>19010050</v>
      </c>
      <c r="C3081" t="s">
        <v>8</v>
      </c>
      <c r="D3081" s="4">
        <v>46098</v>
      </c>
      <c r="E3081" s="11">
        <f t="shared" si="192"/>
        <v>2026</v>
      </c>
      <c r="F3081" s="11">
        <f t="shared" si="193"/>
        <v>3</v>
      </c>
      <c r="G3081" s="11" t="str">
        <f t="shared" si="194"/>
        <v>202603</v>
      </c>
      <c r="I3081" s="5">
        <v>9999</v>
      </c>
      <c r="J3081" s="5">
        <v>333.3</v>
      </c>
      <c r="K3081" s="5">
        <f t="shared" si="195"/>
        <v>0</v>
      </c>
      <c r="L3081" s="5">
        <v>0</v>
      </c>
      <c r="M3081" s="5">
        <v>0</v>
      </c>
      <c r="N3081" t="s">
        <v>12</v>
      </c>
      <c r="O3081" s="8">
        <v>26.290410958904111</v>
      </c>
      <c r="P3081" t="s">
        <v>34</v>
      </c>
      <c r="Q3081">
        <v>3</v>
      </c>
      <c r="R3081" s="2">
        <v>36502</v>
      </c>
    </row>
    <row r="3082" spans="1:18" x14ac:dyDescent="0.3">
      <c r="A3082" t="s">
        <v>7</v>
      </c>
      <c r="B3082">
        <v>19010102</v>
      </c>
      <c r="C3082" t="s">
        <v>8</v>
      </c>
      <c r="D3082" s="4">
        <v>46098</v>
      </c>
      <c r="E3082" s="11">
        <f t="shared" si="192"/>
        <v>2026</v>
      </c>
      <c r="F3082" s="11">
        <f t="shared" si="193"/>
        <v>3</v>
      </c>
      <c r="G3082" s="11" t="str">
        <f t="shared" si="194"/>
        <v>202603</v>
      </c>
      <c r="H3082" s="4">
        <v>46146</v>
      </c>
      <c r="I3082" s="5">
        <v>48</v>
      </c>
      <c r="J3082" s="5">
        <v>1.6</v>
      </c>
      <c r="K3082" s="5">
        <f t="shared" si="195"/>
        <v>0</v>
      </c>
      <c r="L3082" s="5">
        <v>1</v>
      </c>
      <c r="M3082" s="5">
        <v>1</v>
      </c>
      <c r="N3082" t="s">
        <v>12</v>
      </c>
      <c r="O3082" s="8">
        <v>19.61917808219178</v>
      </c>
      <c r="P3082" t="s">
        <v>32</v>
      </c>
      <c r="Q3082">
        <v>1</v>
      </c>
      <c r="R3082" s="2">
        <v>38937</v>
      </c>
    </row>
    <row r="3083" spans="1:18" x14ac:dyDescent="0.3">
      <c r="A3083" t="s">
        <v>7</v>
      </c>
      <c r="B3083">
        <v>19010271</v>
      </c>
      <c r="C3083" t="s">
        <v>10</v>
      </c>
      <c r="D3083" s="4">
        <v>46099</v>
      </c>
      <c r="E3083" s="11">
        <f t="shared" si="192"/>
        <v>2026</v>
      </c>
      <c r="F3083" s="11">
        <f t="shared" si="193"/>
        <v>3</v>
      </c>
      <c r="G3083" s="11" t="str">
        <f t="shared" si="194"/>
        <v>202603</v>
      </c>
      <c r="H3083" s="4">
        <v>46173</v>
      </c>
      <c r="I3083" s="5">
        <v>74</v>
      </c>
      <c r="J3083" s="5">
        <v>2.4666666666666668</v>
      </c>
      <c r="K3083" s="5">
        <f t="shared" si="195"/>
        <v>0</v>
      </c>
      <c r="L3083" s="5">
        <v>1</v>
      </c>
      <c r="M3083" s="5">
        <v>1</v>
      </c>
      <c r="N3083" t="s">
        <v>9</v>
      </c>
      <c r="O3083" s="8">
        <v>20.969863013698632</v>
      </c>
      <c r="P3083" t="s">
        <v>32</v>
      </c>
      <c r="Q3083">
        <v>1</v>
      </c>
      <c r="R3083" s="2">
        <v>38445</v>
      </c>
    </row>
    <row r="3084" spans="1:18" x14ac:dyDescent="0.3">
      <c r="A3084" t="s">
        <v>7</v>
      </c>
      <c r="B3084">
        <v>19010274</v>
      </c>
      <c r="C3084" t="s">
        <v>8</v>
      </c>
      <c r="D3084" s="4">
        <v>46098</v>
      </c>
      <c r="E3084" s="11">
        <f t="shared" si="192"/>
        <v>2026</v>
      </c>
      <c r="F3084" s="11">
        <f t="shared" si="193"/>
        <v>3</v>
      </c>
      <c r="G3084" s="11" t="str">
        <f t="shared" si="194"/>
        <v>202603</v>
      </c>
      <c r="I3084" s="5">
        <v>9999</v>
      </c>
      <c r="J3084" s="5">
        <v>333.3</v>
      </c>
      <c r="K3084" s="5">
        <f t="shared" si="195"/>
        <v>0</v>
      </c>
      <c r="L3084" s="5">
        <v>0</v>
      </c>
      <c r="M3084" s="5">
        <v>0</v>
      </c>
      <c r="N3084" t="s">
        <v>12</v>
      </c>
      <c r="O3084" s="8">
        <v>19.13150684931507</v>
      </c>
      <c r="P3084" t="s">
        <v>32</v>
      </c>
      <c r="Q3084">
        <v>1</v>
      </c>
      <c r="R3084" s="2">
        <v>39115</v>
      </c>
    </row>
    <row r="3085" spans="1:18" x14ac:dyDescent="0.3">
      <c r="A3085" t="s">
        <v>7</v>
      </c>
      <c r="B3085">
        <v>19010317</v>
      </c>
      <c r="C3085" t="s">
        <v>8</v>
      </c>
      <c r="D3085" s="4">
        <v>46099</v>
      </c>
      <c r="E3085" s="11">
        <f t="shared" si="192"/>
        <v>2026</v>
      </c>
      <c r="F3085" s="11">
        <f t="shared" si="193"/>
        <v>3</v>
      </c>
      <c r="G3085" s="11" t="str">
        <f t="shared" si="194"/>
        <v>202603</v>
      </c>
      <c r="H3085" s="4">
        <v>46173</v>
      </c>
      <c r="I3085" s="5">
        <v>74</v>
      </c>
      <c r="J3085" s="5">
        <v>2.4666666666666668</v>
      </c>
      <c r="K3085" s="5">
        <f t="shared" si="195"/>
        <v>0</v>
      </c>
      <c r="L3085" s="5">
        <v>1</v>
      </c>
      <c r="M3085" s="5">
        <v>1</v>
      </c>
      <c r="N3085" t="s">
        <v>9</v>
      </c>
      <c r="O3085" s="8">
        <v>22.835616438356166</v>
      </c>
      <c r="P3085" t="s">
        <v>33</v>
      </c>
      <c r="Q3085">
        <v>2</v>
      </c>
      <c r="R3085" s="2">
        <v>37764</v>
      </c>
    </row>
    <row r="3086" spans="1:18" x14ac:dyDescent="0.3">
      <c r="A3086" t="s">
        <v>7</v>
      </c>
      <c r="B3086">
        <v>19010318</v>
      </c>
      <c r="C3086" t="s">
        <v>8</v>
      </c>
      <c r="D3086" s="4">
        <v>46099</v>
      </c>
      <c r="E3086" s="11">
        <f t="shared" si="192"/>
        <v>2026</v>
      </c>
      <c r="F3086" s="11">
        <f t="shared" si="193"/>
        <v>3</v>
      </c>
      <c r="G3086" s="11" t="str">
        <f t="shared" si="194"/>
        <v>202603</v>
      </c>
      <c r="I3086" s="5">
        <v>9999</v>
      </c>
      <c r="J3086" s="5">
        <v>333.3</v>
      </c>
      <c r="K3086" s="5">
        <f t="shared" si="195"/>
        <v>0</v>
      </c>
      <c r="L3086" s="5">
        <v>0</v>
      </c>
      <c r="M3086" s="5">
        <v>0</v>
      </c>
      <c r="N3086" t="s">
        <v>9</v>
      </c>
      <c r="O3086" s="8">
        <v>22.512328767123286</v>
      </c>
      <c r="P3086" t="s">
        <v>33</v>
      </c>
      <c r="Q3086">
        <v>2</v>
      </c>
      <c r="R3086" s="2">
        <v>37882</v>
      </c>
    </row>
    <row r="3087" spans="1:18" x14ac:dyDescent="0.3">
      <c r="A3087" t="s">
        <v>7</v>
      </c>
      <c r="B3087">
        <v>19010319</v>
      </c>
      <c r="C3087" t="s">
        <v>8</v>
      </c>
      <c r="D3087" s="4">
        <v>46099</v>
      </c>
      <c r="E3087" s="11">
        <f t="shared" si="192"/>
        <v>2026</v>
      </c>
      <c r="F3087" s="11">
        <f t="shared" si="193"/>
        <v>3</v>
      </c>
      <c r="G3087" s="11" t="str">
        <f t="shared" si="194"/>
        <v>202603</v>
      </c>
      <c r="I3087" s="5">
        <v>9999</v>
      </c>
      <c r="J3087" s="5">
        <v>333.3</v>
      </c>
      <c r="K3087" s="5">
        <f t="shared" si="195"/>
        <v>0</v>
      </c>
      <c r="L3087" s="5">
        <v>0</v>
      </c>
      <c r="M3087" s="5">
        <v>0</v>
      </c>
      <c r="N3087" t="s">
        <v>9</v>
      </c>
      <c r="O3087" s="8">
        <v>35.161643835616438</v>
      </c>
      <c r="P3087" t="s">
        <v>35</v>
      </c>
      <c r="Q3087">
        <v>4</v>
      </c>
      <c r="R3087" s="2">
        <v>33265</v>
      </c>
    </row>
    <row r="3088" spans="1:18" x14ac:dyDescent="0.3">
      <c r="A3088" t="s">
        <v>7</v>
      </c>
      <c r="B3088">
        <v>19010333</v>
      </c>
      <c r="C3088" t="s">
        <v>8</v>
      </c>
      <c r="D3088" s="4">
        <v>46099</v>
      </c>
      <c r="E3088" s="11">
        <f t="shared" si="192"/>
        <v>2026</v>
      </c>
      <c r="F3088" s="11">
        <f t="shared" si="193"/>
        <v>3</v>
      </c>
      <c r="G3088" s="11" t="str">
        <f t="shared" si="194"/>
        <v>202603</v>
      </c>
      <c r="I3088" s="5">
        <v>9999</v>
      </c>
      <c r="J3088" s="5">
        <v>333.3</v>
      </c>
      <c r="K3088" s="5">
        <f t="shared" si="195"/>
        <v>0</v>
      </c>
      <c r="L3088" s="5">
        <v>0</v>
      </c>
      <c r="M3088" s="5">
        <v>0</v>
      </c>
      <c r="N3088" t="s">
        <v>9</v>
      </c>
      <c r="O3088" s="8">
        <v>20.052054794520547</v>
      </c>
      <c r="P3088" t="s">
        <v>32</v>
      </c>
      <c r="Q3088">
        <v>1</v>
      </c>
      <c r="R3088" s="2">
        <v>38780</v>
      </c>
    </row>
    <row r="3089" spans="1:18" x14ac:dyDescent="0.3">
      <c r="A3089" t="s">
        <v>7</v>
      </c>
      <c r="B3089">
        <v>19010335</v>
      </c>
      <c r="C3089" t="s">
        <v>8</v>
      </c>
      <c r="D3089" s="4">
        <v>46099</v>
      </c>
      <c r="E3089" s="11">
        <f t="shared" si="192"/>
        <v>2026</v>
      </c>
      <c r="F3089" s="11">
        <f t="shared" si="193"/>
        <v>3</v>
      </c>
      <c r="G3089" s="11" t="str">
        <f t="shared" si="194"/>
        <v>202603</v>
      </c>
      <c r="I3089" s="5">
        <v>9999</v>
      </c>
      <c r="J3089" s="5">
        <v>333.3</v>
      </c>
      <c r="K3089" s="5">
        <f t="shared" si="195"/>
        <v>0</v>
      </c>
      <c r="L3089" s="5">
        <v>0</v>
      </c>
      <c r="M3089" s="5">
        <v>0</v>
      </c>
      <c r="N3089" t="s">
        <v>9</v>
      </c>
      <c r="O3089" s="8">
        <v>19.657534246575342</v>
      </c>
      <c r="P3089" t="s">
        <v>32</v>
      </c>
      <c r="Q3089">
        <v>1</v>
      </c>
      <c r="R3089" s="2">
        <v>38924</v>
      </c>
    </row>
    <row r="3090" spans="1:18" x14ac:dyDescent="0.3">
      <c r="A3090" t="s">
        <v>7</v>
      </c>
      <c r="B3090">
        <v>19010338</v>
      </c>
      <c r="C3090" t="s">
        <v>8</v>
      </c>
      <c r="D3090" s="4">
        <v>46099</v>
      </c>
      <c r="E3090" s="11">
        <f t="shared" si="192"/>
        <v>2026</v>
      </c>
      <c r="F3090" s="11">
        <f t="shared" si="193"/>
        <v>3</v>
      </c>
      <c r="G3090" s="11" t="str">
        <f t="shared" si="194"/>
        <v>202603</v>
      </c>
      <c r="I3090" s="5">
        <v>9999</v>
      </c>
      <c r="J3090" s="5">
        <v>333.3</v>
      </c>
      <c r="K3090" s="5">
        <f t="shared" si="195"/>
        <v>0</v>
      </c>
      <c r="L3090" s="5">
        <v>0</v>
      </c>
      <c r="M3090" s="5">
        <v>0</v>
      </c>
      <c r="N3090" t="s">
        <v>9</v>
      </c>
      <c r="O3090" s="8">
        <v>23.591780821917808</v>
      </c>
      <c r="P3090" t="s">
        <v>33</v>
      </c>
      <c r="Q3090">
        <v>2</v>
      </c>
      <c r="R3090" s="2">
        <v>37488</v>
      </c>
    </row>
    <row r="3091" spans="1:18" x14ac:dyDescent="0.3">
      <c r="A3091" t="s">
        <v>11</v>
      </c>
      <c r="B3091">
        <v>19010361</v>
      </c>
      <c r="C3091" t="s">
        <v>8</v>
      </c>
      <c r="D3091" s="4">
        <v>46099</v>
      </c>
      <c r="E3091" s="11">
        <f t="shared" si="192"/>
        <v>2026</v>
      </c>
      <c r="F3091" s="11">
        <f t="shared" si="193"/>
        <v>3</v>
      </c>
      <c r="G3091" s="11" t="str">
        <f t="shared" si="194"/>
        <v>202603</v>
      </c>
      <c r="I3091" s="5">
        <v>9999</v>
      </c>
      <c r="J3091" s="5">
        <v>333.3</v>
      </c>
      <c r="K3091" s="5">
        <f t="shared" si="195"/>
        <v>0</v>
      </c>
      <c r="L3091" s="5">
        <v>0</v>
      </c>
      <c r="M3091" s="5">
        <v>0</v>
      </c>
      <c r="N3091" t="s">
        <v>9</v>
      </c>
      <c r="O3091" s="8">
        <v>32.356164383561641</v>
      </c>
      <c r="P3091" t="s">
        <v>35</v>
      </c>
      <c r="Q3091">
        <v>4</v>
      </c>
      <c r="R3091" s="2">
        <v>34289</v>
      </c>
    </row>
    <row r="3092" spans="1:18" x14ac:dyDescent="0.3">
      <c r="A3092" t="s">
        <v>7</v>
      </c>
      <c r="B3092">
        <v>19010387</v>
      </c>
      <c r="C3092" t="s">
        <v>8</v>
      </c>
      <c r="D3092" s="4">
        <v>46099</v>
      </c>
      <c r="E3092" s="11">
        <f t="shared" si="192"/>
        <v>2026</v>
      </c>
      <c r="F3092" s="11">
        <f t="shared" si="193"/>
        <v>3</v>
      </c>
      <c r="G3092" s="11" t="str">
        <f t="shared" si="194"/>
        <v>202603</v>
      </c>
      <c r="H3092" s="4">
        <v>46142</v>
      </c>
      <c r="I3092" s="5">
        <v>43</v>
      </c>
      <c r="J3092" s="5">
        <v>1.4333333333333333</v>
      </c>
      <c r="K3092" s="5">
        <f t="shared" si="195"/>
        <v>0</v>
      </c>
      <c r="L3092" s="5">
        <v>1</v>
      </c>
      <c r="M3092" s="5">
        <v>1</v>
      </c>
      <c r="N3092" t="s">
        <v>9</v>
      </c>
      <c r="O3092" s="8">
        <v>20.517808219178082</v>
      </c>
      <c r="P3092" t="s">
        <v>32</v>
      </c>
      <c r="Q3092">
        <v>1</v>
      </c>
      <c r="R3092" s="2">
        <v>38610</v>
      </c>
    </row>
    <row r="3093" spans="1:18" x14ac:dyDescent="0.3">
      <c r="A3093" t="s">
        <v>7</v>
      </c>
      <c r="B3093">
        <v>19010388</v>
      </c>
      <c r="C3093" t="s">
        <v>8</v>
      </c>
      <c r="D3093" s="4">
        <v>46099</v>
      </c>
      <c r="E3093" s="11">
        <f t="shared" si="192"/>
        <v>2026</v>
      </c>
      <c r="F3093" s="11">
        <f t="shared" si="193"/>
        <v>3</v>
      </c>
      <c r="G3093" s="11" t="str">
        <f t="shared" si="194"/>
        <v>202603</v>
      </c>
      <c r="I3093" s="5">
        <v>9999</v>
      </c>
      <c r="J3093" s="5">
        <v>333.3</v>
      </c>
      <c r="K3093" s="5">
        <f t="shared" si="195"/>
        <v>0</v>
      </c>
      <c r="L3093" s="5">
        <v>0</v>
      </c>
      <c r="M3093" s="5">
        <v>0</v>
      </c>
      <c r="N3093" t="s">
        <v>9</v>
      </c>
      <c r="O3093" s="8">
        <v>18.402739726027399</v>
      </c>
      <c r="P3093" t="s">
        <v>32</v>
      </c>
      <c r="Q3093">
        <v>1</v>
      </c>
      <c r="R3093" s="2">
        <v>39382</v>
      </c>
    </row>
    <row r="3094" spans="1:18" x14ac:dyDescent="0.3">
      <c r="A3094" t="s">
        <v>11</v>
      </c>
      <c r="B3094">
        <v>19010389</v>
      </c>
      <c r="C3094" t="s">
        <v>10</v>
      </c>
      <c r="D3094" s="4">
        <v>46099</v>
      </c>
      <c r="E3094" s="11">
        <f t="shared" si="192"/>
        <v>2026</v>
      </c>
      <c r="F3094" s="11">
        <f t="shared" si="193"/>
        <v>3</v>
      </c>
      <c r="G3094" s="11" t="str">
        <f t="shared" si="194"/>
        <v>202603</v>
      </c>
      <c r="I3094" s="5">
        <v>9999</v>
      </c>
      <c r="J3094" s="5">
        <v>333.3</v>
      </c>
      <c r="K3094" s="5">
        <f t="shared" si="195"/>
        <v>0</v>
      </c>
      <c r="L3094" s="5">
        <v>0</v>
      </c>
      <c r="M3094" s="5">
        <v>0</v>
      </c>
      <c r="N3094" t="s">
        <v>9</v>
      </c>
      <c r="O3094" s="8">
        <v>33.764383561643832</v>
      </c>
      <c r="P3094" t="s">
        <v>35</v>
      </c>
      <c r="Q3094">
        <v>4</v>
      </c>
      <c r="R3094" s="2">
        <v>33775</v>
      </c>
    </row>
    <row r="3095" spans="1:18" x14ac:dyDescent="0.3">
      <c r="A3095" t="s">
        <v>7</v>
      </c>
      <c r="B3095">
        <v>19010502</v>
      </c>
      <c r="C3095" t="s">
        <v>10</v>
      </c>
      <c r="D3095" s="4">
        <v>46099</v>
      </c>
      <c r="E3095" s="11">
        <f t="shared" si="192"/>
        <v>2026</v>
      </c>
      <c r="F3095" s="11">
        <f t="shared" si="193"/>
        <v>3</v>
      </c>
      <c r="G3095" s="11" t="str">
        <f t="shared" si="194"/>
        <v>202603</v>
      </c>
      <c r="H3095" s="4">
        <v>46173</v>
      </c>
      <c r="I3095" s="5">
        <v>74</v>
      </c>
      <c r="J3095" s="5">
        <v>2.4666666666666668</v>
      </c>
      <c r="K3095" s="5">
        <f t="shared" si="195"/>
        <v>0</v>
      </c>
      <c r="L3095" s="5">
        <v>1</v>
      </c>
      <c r="M3095" s="5">
        <v>1</v>
      </c>
      <c r="N3095" t="s">
        <v>9</v>
      </c>
      <c r="O3095" s="8">
        <v>18.693150684931506</v>
      </c>
      <c r="P3095" t="s">
        <v>32</v>
      </c>
      <c r="Q3095">
        <v>1</v>
      </c>
      <c r="R3095" s="2">
        <v>39276</v>
      </c>
    </row>
    <row r="3096" spans="1:18" x14ac:dyDescent="0.3">
      <c r="A3096" t="s">
        <v>7</v>
      </c>
      <c r="B3096">
        <v>19010511</v>
      </c>
      <c r="C3096" t="s">
        <v>8</v>
      </c>
      <c r="D3096" s="4">
        <v>46099</v>
      </c>
      <c r="E3096" s="11">
        <f t="shared" si="192"/>
        <v>2026</v>
      </c>
      <c r="F3096" s="11">
        <f t="shared" si="193"/>
        <v>3</v>
      </c>
      <c r="G3096" s="11" t="str">
        <f t="shared" si="194"/>
        <v>202603</v>
      </c>
      <c r="I3096" s="5">
        <v>9999</v>
      </c>
      <c r="J3096" s="5">
        <v>333.3</v>
      </c>
      <c r="K3096" s="5">
        <f t="shared" si="195"/>
        <v>0</v>
      </c>
      <c r="L3096" s="5">
        <v>0</v>
      </c>
      <c r="M3096" s="5">
        <v>0</v>
      </c>
      <c r="N3096" t="s">
        <v>9</v>
      </c>
      <c r="O3096" s="8">
        <v>22.526027397260275</v>
      </c>
      <c r="P3096" t="s">
        <v>33</v>
      </c>
      <c r="Q3096">
        <v>2</v>
      </c>
      <c r="R3096" s="2">
        <v>37877</v>
      </c>
    </row>
    <row r="3097" spans="1:18" x14ac:dyDescent="0.3">
      <c r="A3097" t="s">
        <v>7</v>
      </c>
      <c r="B3097">
        <v>19010512</v>
      </c>
      <c r="C3097" t="s">
        <v>8</v>
      </c>
      <c r="D3097" s="4">
        <v>46099</v>
      </c>
      <c r="E3097" s="11">
        <f t="shared" si="192"/>
        <v>2026</v>
      </c>
      <c r="F3097" s="11">
        <f t="shared" si="193"/>
        <v>3</v>
      </c>
      <c r="G3097" s="11" t="str">
        <f t="shared" si="194"/>
        <v>202603</v>
      </c>
      <c r="I3097" s="5">
        <v>9999</v>
      </c>
      <c r="J3097" s="5">
        <v>333.3</v>
      </c>
      <c r="K3097" s="5">
        <f t="shared" si="195"/>
        <v>0</v>
      </c>
      <c r="L3097" s="5">
        <v>0</v>
      </c>
      <c r="M3097" s="5">
        <v>0</v>
      </c>
      <c r="N3097" t="s">
        <v>9</v>
      </c>
      <c r="O3097" s="8">
        <v>21.038356164383561</v>
      </c>
      <c r="P3097" t="s">
        <v>33</v>
      </c>
      <c r="Q3097">
        <v>2</v>
      </c>
      <c r="R3097" s="2">
        <v>38420</v>
      </c>
    </row>
    <row r="3098" spans="1:18" x14ac:dyDescent="0.3">
      <c r="A3098" t="s">
        <v>7</v>
      </c>
      <c r="B3098">
        <v>19010586</v>
      </c>
      <c r="C3098" t="s">
        <v>8</v>
      </c>
      <c r="D3098" s="4">
        <v>46099</v>
      </c>
      <c r="E3098" s="11">
        <f t="shared" si="192"/>
        <v>2026</v>
      </c>
      <c r="F3098" s="11">
        <f t="shared" si="193"/>
        <v>3</v>
      </c>
      <c r="G3098" s="11" t="str">
        <f t="shared" si="194"/>
        <v>202603</v>
      </c>
      <c r="I3098" s="5">
        <v>9999</v>
      </c>
      <c r="J3098" s="5">
        <v>333.3</v>
      </c>
      <c r="K3098" s="5">
        <f t="shared" si="195"/>
        <v>0</v>
      </c>
      <c r="L3098" s="5">
        <v>0</v>
      </c>
      <c r="M3098" s="5">
        <v>0</v>
      </c>
      <c r="N3098" t="s">
        <v>12</v>
      </c>
      <c r="O3098" s="8">
        <v>31.06027397260274</v>
      </c>
      <c r="P3098" t="s">
        <v>35</v>
      </c>
      <c r="Q3098">
        <v>4</v>
      </c>
      <c r="R3098" s="2">
        <v>34762</v>
      </c>
    </row>
    <row r="3099" spans="1:18" x14ac:dyDescent="0.3">
      <c r="A3099" t="s">
        <v>7</v>
      </c>
      <c r="B3099">
        <v>19010609</v>
      </c>
      <c r="C3099" t="s">
        <v>8</v>
      </c>
      <c r="D3099" s="4">
        <v>46100</v>
      </c>
      <c r="E3099" s="11">
        <f t="shared" si="192"/>
        <v>2026</v>
      </c>
      <c r="F3099" s="11">
        <f t="shared" si="193"/>
        <v>3</v>
      </c>
      <c r="G3099" s="11" t="str">
        <f t="shared" si="194"/>
        <v>202603</v>
      </c>
      <c r="I3099" s="5">
        <v>9999</v>
      </c>
      <c r="J3099" s="5">
        <v>333.3</v>
      </c>
      <c r="K3099" s="5">
        <f t="shared" si="195"/>
        <v>0</v>
      </c>
      <c r="L3099" s="5">
        <v>0</v>
      </c>
      <c r="M3099" s="5">
        <v>0</v>
      </c>
      <c r="N3099" t="s">
        <v>9</v>
      </c>
      <c r="O3099" s="8">
        <v>18.378082191780823</v>
      </c>
      <c r="P3099" t="s">
        <v>32</v>
      </c>
      <c r="Q3099">
        <v>1</v>
      </c>
      <c r="R3099" s="2">
        <v>39392</v>
      </c>
    </row>
    <row r="3100" spans="1:18" x14ac:dyDescent="0.3">
      <c r="A3100" t="s">
        <v>7</v>
      </c>
      <c r="B3100">
        <v>19010610</v>
      </c>
      <c r="C3100" t="s">
        <v>8</v>
      </c>
      <c r="D3100" s="4">
        <v>46100</v>
      </c>
      <c r="E3100" s="11">
        <f t="shared" si="192"/>
        <v>2026</v>
      </c>
      <c r="F3100" s="11">
        <f t="shared" si="193"/>
        <v>3</v>
      </c>
      <c r="G3100" s="11" t="str">
        <f t="shared" si="194"/>
        <v>202603</v>
      </c>
      <c r="I3100" s="5">
        <v>9999</v>
      </c>
      <c r="J3100" s="5">
        <v>333.3</v>
      </c>
      <c r="K3100" s="5">
        <f t="shared" si="195"/>
        <v>0</v>
      </c>
      <c r="L3100" s="5">
        <v>0</v>
      </c>
      <c r="M3100" s="5">
        <v>0</v>
      </c>
      <c r="N3100" t="s">
        <v>12</v>
      </c>
      <c r="O3100" s="8">
        <v>21.906849315068492</v>
      </c>
      <c r="P3100" t="s">
        <v>33</v>
      </c>
      <c r="Q3100">
        <v>2</v>
      </c>
      <c r="R3100" s="2">
        <v>38104</v>
      </c>
    </row>
    <row r="3101" spans="1:18" x14ac:dyDescent="0.3">
      <c r="A3101" t="s">
        <v>7</v>
      </c>
      <c r="B3101">
        <v>19010614</v>
      </c>
      <c r="C3101" t="s">
        <v>8</v>
      </c>
      <c r="D3101" s="4">
        <v>46100</v>
      </c>
      <c r="E3101" s="11">
        <f t="shared" si="192"/>
        <v>2026</v>
      </c>
      <c r="F3101" s="11">
        <f t="shared" si="193"/>
        <v>3</v>
      </c>
      <c r="G3101" s="11" t="str">
        <f t="shared" si="194"/>
        <v>202603</v>
      </c>
      <c r="I3101" s="5">
        <v>9999</v>
      </c>
      <c r="J3101" s="5">
        <v>333.3</v>
      </c>
      <c r="K3101" s="5">
        <f t="shared" si="195"/>
        <v>0</v>
      </c>
      <c r="L3101" s="5">
        <v>0</v>
      </c>
      <c r="M3101" s="5">
        <v>0</v>
      </c>
      <c r="N3101" t="s">
        <v>12</v>
      </c>
      <c r="O3101" s="8">
        <v>23.726027397260275</v>
      </c>
      <c r="P3101" t="s">
        <v>33</v>
      </c>
      <c r="Q3101">
        <v>2</v>
      </c>
      <c r="R3101" s="2">
        <v>37440</v>
      </c>
    </row>
    <row r="3102" spans="1:18" x14ac:dyDescent="0.3">
      <c r="A3102" t="s">
        <v>7</v>
      </c>
      <c r="B3102">
        <v>19010621</v>
      </c>
      <c r="C3102" t="s">
        <v>8</v>
      </c>
      <c r="D3102" s="4">
        <v>46100</v>
      </c>
      <c r="E3102" s="11">
        <f t="shared" si="192"/>
        <v>2026</v>
      </c>
      <c r="F3102" s="11">
        <f t="shared" si="193"/>
        <v>3</v>
      </c>
      <c r="G3102" s="11" t="str">
        <f t="shared" si="194"/>
        <v>202603</v>
      </c>
      <c r="H3102" s="4">
        <v>46142</v>
      </c>
      <c r="I3102" s="5">
        <v>42</v>
      </c>
      <c r="J3102" s="5">
        <v>1.4</v>
      </c>
      <c r="K3102" s="5">
        <f t="shared" si="195"/>
        <v>0</v>
      </c>
      <c r="L3102" s="5">
        <v>1</v>
      </c>
      <c r="M3102" s="5">
        <v>1</v>
      </c>
      <c r="N3102" t="s">
        <v>12</v>
      </c>
      <c r="O3102" s="8">
        <v>20.539726027397261</v>
      </c>
      <c r="P3102" t="s">
        <v>32</v>
      </c>
      <c r="Q3102">
        <v>1</v>
      </c>
      <c r="R3102" s="2">
        <v>38603</v>
      </c>
    </row>
    <row r="3103" spans="1:18" x14ac:dyDescent="0.3">
      <c r="A3103" t="s">
        <v>7</v>
      </c>
      <c r="B3103">
        <v>19010648</v>
      </c>
      <c r="C3103" t="s">
        <v>8</v>
      </c>
      <c r="D3103" s="4">
        <v>46100</v>
      </c>
      <c r="E3103" s="11">
        <f t="shared" si="192"/>
        <v>2026</v>
      </c>
      <c r="F3103" s="11">
        <f t="shared" si="193"/>
        <v>3</v>
      </c>
      <c r="G3103" s="11" t="str">
        <f t="shared" si="194"/>
        <v>202603</v>
      </c>
      <c r="H3103" s="4">
        <v>46113</v>
      </c>
      <c r="I3103" s="5">
        <v>13</v>
      </c>
      <c r="J3103" s="5">
        <v>0.43333333333333335</v>
      </c>
      <c r="K3103" s="5">
        <f t="shared" si="195"/>
        <v>1</v>
      </c>
      <c r="L3103" s="5">
        <v>1</v>
      </c>
      <c r="M3103" s="5">
        <v>1</v>
      </c>
      <c r="N3103" t="s">
        <v>12</v>
      </c>
      <c r="O3103" s="8">
        <v>23.794520547945204</v>
      </c>
      <c r="P3103" t="s">
        <v>33</v>
      </c>
      <c r="Q3103">
        <v>2</v>
      </c>
      <c r="R3103" s="2">
        <v>37415</v>
      </c>
    </row>
    <row r="3104" spans="1:18" x14ac:dyDescent="0.3">
      <c r="A3104" t="s">
        <v>7</v>
      </c>
      <c r="B3104">
        <v>19010700</v>
      </c>
      <c r="C3104" t="s">
        <v>8</v>
      </c>
      <c r="D3104" s="4">
        <v>46100</v>
      </c>
      <c r="E3104" s="11">
        <f t="shared" si="192"/>
        <v>2026</v>
      </c>
      <c r="F3104" s="11">
        <f t="shared" si="193"/>
        <v>3</v>
      </c>
      <c r="G3104" s="11" t="str">
        <f t="shared" si="194"/>
        <v>202603</v>
      </c>
      <c r="H3104" s="4">
        <v>46113</v>
      </c>
      <c r="I3104" s="5">
        <v>13</v>
      </c>
      <c r="J3104" s="5">
        <v>0.43333333333333335</v>
      </c>
      <c r="K3104" s="5">
        <f t="shared" si="195"/>
        <v>1</v>
      </c>
      <c r="L3104" s="5">
        <v>1</v>
      </c>
      <c r="M3104" s="5">
        <v>1</v>
      </c>
      <c r="N3104" t="s">
        <v>9</v>
      </c>
      <c r="O3104" s="8">
        <v>29.230136986301371</v>
      </c>
      <c r="P3104" t="s">
        <v>34</v>
      </c>
      <c r="Q3104">
        <v>3</v>
      </c>
      <c r="R3104" s="2">
        <v>35431</v>
      </c>
    </row>
    <row r="3105" spans="1:18" x14ac:dyDescent="0.3">
      <c r="A3105" t="s">
        <v>7</v>
      </c>
      <c r="B3105">
        <v>19010819</v>
      </c>
      <c r="C3105" t="s">
        <v>8</v>
      </c>
      <c r="D3105" s="4">
        <v>46171</v>
      </c>
      <c r="E3105" s="11">
        <f t="shared" si="192"/>
        <v>2026</v>
      </c>
      <c r="F3105" s="11">
        <f t="shared" si="193"/>
        <v>5</v>
      </c>
      <c r="G3105" s="11" t="str">
        <f t="shared" si="194"/>
        <v>202605</v>
      </c>
      <c r="I3105" s="5">
        <v>9999</v>
      </c>
      <c r="J3105" s="5">
        <v>333.3</v>
      </c>
      <c r="K3105" s="5">
        <f t="shared" si="195"/>
        <v>0</v>
      </c>
      <c r="L3105" s="5">
        <v>0</v>
      </c>
      <c r="M3105" s="5">
        <v>0</v>
      </c>
      <c r="N3105" t="s">
        <v>9</v>
      </c>
      <c r="O3105" s="8">
        <v>19.643835616438356</v>
      </c>
      <c r="P3105" t="s">
        <v>32</v>
      </c>
      <c r="Q3105">
        <v>1</v>
      </c>
      <c r="R3105" s="2">
        <v>39001</v>
      </c>
    </row>
    <row r="3106" spans="1:18" x14ac:dyDescent="0.3">
      <c r="A3106" t="s">
        <v>7</v>
      </c>
      <c r="B3106">
        <v>19010892</v>
      </c>
      <c r="C3106" t="s">
        <v>8</v>
      </c>
      <c r="D3106" s="4">
        <v>46101</v>
      </c>
      <c r="E3106" s="11">
        <f t="shared" si="192"/>
        <v>2026</v>
      </c>
      <c r="F3106" s="11">
        <f t="shared" si="193"/>
        <v>3</v>
      </c>
      <c r="G3106" s="11" t="str">
        <f t="shared" si="194"/>
        <v>202603</v>
      </c>
      <c r="I3106" s="5">
        <v>9999</v>
      </c>
      <c r="J3106" s="5">
        <v>333.3</v>
      </c>
      <c r="K3106" s="5">
        <f t="shared" si="195"/>
        <v>0</v>
      </c>
      <c r="L3106" s="5">
        <v>0</v>
      </c>
      <c r="M3106" s="5">
        <v>0</v>
      </c>
      <c r="N3106" t="s">
        <v>12</v>
      </c>
      <c r="O3106" s="8">
        <v>19.021917808219179</v>
      </c>
      <c r="P3106" t="s">
        <v>32</v>
      </c>
      <c r="Q3106">
        <v>1</v>
      </c>
      <c r="R3106" s="2">
        <v>39158</v>
      </c>
    </row>
    <row r="3107" spans="1:18" x14ac:dyDescent="0.3">
      <c r="A3107" t="s">
        <v>11</v>
      </c>
      <c r="B3107">
        <v>19010894</v>
      </c>
      <c r="C3107" t="s">
        <v>8</v>
      </c>
      <c r="D3107" s="4">
        <v>46101</v>
      </c>
      <c r="E3107" s="11">
        <f t="shared" si="192"/>
        <v>2026</v>
      </c>
      <c r="F3107" s="11">
        <f t="shared" si="193"/>
        <v>3</v>
      </c>
      <c r="G3107" s="11" t="str">
        <f t="shared" si="194"/>
        <v>202603</v>
      </c>
      <c r="H3107" s="4">
        <v>46143</v>
      </c>
      <c r="I3107" s="5">
        <v>42</v>
      </c>
      <c r="J3107" s="5">
        <v>1.4</v>
      </c>
      <c r="K3107" s="5">
        <f t="shared" si="195"/>
        <v>0</v>
      </c>
      <c r="L3107" s="5">
        <v>1</v>
      </c>
      <c r="M3107" s="5">
        <v>1</v>
      </c>
      <c r="N3107" t="s">
        <v>9</v>
      </c>
      <c r="O3107" s="8">
        <v>38.747945205479454</v>
      </c>
      <c r="P3107" t="s">
        <v>35</v>
      </c>
      <c r="Q3107">
        <v>4</v>
      </c>
      <c r="R3107" s="2">
        <v>31958</v>
      </c>
    </row>
    <row r="3108" spans="1:18" x14ac:dyDescent="0.3">
      <c r="A3108" t="s">
        <v>11</v>
      </c>
      <c r="B3108">
        <v>19011013</v>
      </c>
      <c r="C3108" t="s">
        <v>8</v>
      </c>
      <c r="D3108" s="4">
        <v>46101</v>
      </c>
      <c r="E3108" s="11">
        <f t="shared" si="192"/>
        <v>2026</v>
      </c>
      <c r="F3108" s="11">
        <f t="shared" si="193"/>
        <v>3</v>
      </c>
      <c r="G3108" s="11" t="str">
        <f t="shared" si="194"/>
        <v>202603</v>
      </c>
      <c r="I3108" s="5">
        <v>9999</v>
      </c>
      <c r="J3108" s="5">
        <v>333.3</v>
      </c>
      <c r="K3108" s="5">
        <f t="shared" si="195"/>
        <v>0</v>
      </c>
      <c r="L3108" s="5">
        <v>0</v>
      </c>
      <c r="M3108" s="5">
        <v>0</v>
      </c>
      <c r="N3108" t="s">
        <v>9</v>
      </c>
      <c r="O3108" s="8">
        <v>23.161643835616438</v>
      </c>
      <c r="P3108" t="s">
        <v>33</v>
      </c>
      <c r="Q3108">
        <v>2</v>
      </c>
      <c r="R3108" s="2">
        <v>37647</v>
      </c>
    </row>
    <row r="3109" spans="1:18" x14ac:dyDescent="0.3">
      <c r="A3109" t="s">
        <v>7</v>
      </c>
      <c r="B3109">
        <v>19011018</v>
      </c>
      <c r="C3109" t="s">
        <v>8</v>
      </c>
      <c r="D3109" s="4">
        <v>46101</v>
      </c>
      <c r="E3109" s="11">
        <f t="shared" si="192"/>
        <v>2026</v>
      </c>
      <c r="F3109" s="11">
        <f t="shared" si="193"/>
        <v>3</v>
      </c>
      <c r="G3109" s="11" t="str">
        <f t="shared" si="194"/>
        <v>202603</v>
      </c>
      <c r="I3109" s="5">
        <v>9999</v>
      </c>
      <c r="J3109" s="5">
        <v>333.3</v>
      </c>
      <c r="K3109" s="5">
        <f t="shared" si="195"/>
        <v>0</v>
      </c>
      <c r="L3109" s="5">
        <v>0</v>
      </c>
      <c r="M3109" s="5">
        <v>0</v>
      </c>
      <c r="N3109" t="s">
        <v>12</v>
      </c>
      <c r="O3109" s="8">
        <v>20.736986301369864</v>
      </c>
      <c r="P3109" t="s">
        <v>32</v>
      </c>
      <c r="Q3109">
        <v>1</v>
      </c>
      <c r="R3109" s="2">
        <v>38532</v>
      </c>
    </row>
    <row r="3110" spans="1:18" x14ac:dyDescent="0.3">
      <c r="A3110" t="s">
        <v>7</v>
      </c>
      <c r="B3110">
        <v>19011109</v>
      </c>
      <c r="C3110" t="s">
        <v>8</v>
      </c>
      <c r="D3110" s="4">
        <v>46100</v>
      </c>
      <c r="E3110" s="11">
        <f t="shared" si="192"/>
        <v>2026</v>
      </c>
      <c r="F3110" s="11">
        <f t="shared" si="193"/>
        <v>3</v>
      </c>
      <c r="G3110" s="11" t="str">
        <f t="shared" si="194"/>
        <v>202603</v>
      </c>
      <c r="I3110" s="5">
        <v>9999</v>
      </c>
      <c r="J3110" s="5">
        <v>333.3</v>
      </c>
      <c r="K3110" s="5">
        <f t="shared" si="195"/>
        <v>0</v>
      </c>
      <c r="L3110" s="5">
        <v>0</v>
      </c>
      <c r="M3110" s="5">
        <v>0</v>
      </c>
      <c r="N3110" t="s">
        <v>9</v>
      </c>
      <c r="O3110" s="8">
        <v>22.860273972602741</v>
      </c>
      <c r="P3110" t="s">
        <v>33</v>
      </c>
      <c r="Q3110">
        <v>2</v>
      </c>
      <c r="R3110" s="2">
        <v>37756</v>
      </c>
    </row>
    <row r="3111" spans="1:18" x14ac:dyDescent="0.3">
      <c r="A3111" t="s">
        <v>7</v>
      </c>
      <c r="B3111">
        <v>19011198</v>
      </c>
      <c r="C3111" t="s">
        <v>8</v>
      </c>
      <c r="D3111" s="4">
        <v>46101</v>
      </c>
      <c r="E3111" s="11">
        <f t="shared" si="192"/>
        <v>2026</v>
      </c>
      <c r="F3111" s="11">
        <f t="shared" si="193"/>
        <v>3</v>
      </c>
      <c r="G3111" s="11" t="str">
        <f t="shared" si="194"/>
        <v>202603</v>
      </c>
      <c r="I3111" s="5">
        <v>9999</v>
      </c>
      <c r="J3111" s="5">
        <v>333.3</v>
      </c>
      <c r="K3111" s="5">
        <f t="shared" si="195"/>
        <v>0</v>
      </c>
      <c r="L3111" s="5">
        <v>0</v>
      </c>
      <c r="M3111" s="5">
        <v>0</v>
      </c>
      <c r="N3111" t="s">
        <v>12</v>
      </c>
      <c r="O3111" s="8">
        <v>24.920547945205481</v>
      </c>
      <c r="P3111" t="s">
        <v>33</v>
      </c>
      <c r="Q3111">
        <v>2</v>
      </c>
      <c r="R3111" s="2">
        <v>37005</v>
      </c>
    </row>
    <row r="3112" spans="1:18" x14ac:dyDescent="0.3">
      <c r="A3112" t="s">
        <v>7</v>
      </c>
      <c r="B3112">
        <v>19011357</v>
      </c>
      <c r="C3112" t="s">
        <v>8</v>
      </c>
      <c r="D3112" s="4">
        <v>46104</v>
      </c>
      <c r="E3112" s="11">
        <f t="shared" si="192"/>
        <v>2026</v>
      </c>
      <c r="F3112" s="11">
        <f t="shared" si="193"/>
        <v>3</v>
      </c>
      <c r="G3112" s="11" t="str">
        <f t="shared" si="194"/>
        <v>202603</v>
      </c>
      <c r="H3112" s="4">
        <v>46125</v>
      </c>
      <c r="I3112" s="5">
        <v>21</v>
      </c>
      <c r="J3112" s="5">
        <v>0.7</v>
      </c>
      <c r="K3112" s="5">
        <f t="shared" si="195"/>
        <v>1</v>
      </c>
      <c r="L3112" s="5">
        <v>1</v>
      </c>
      <c r="M3112" s="5">
        <v>1</v>
      </c>
      <c r="N3112" t="s">
        <v>9</v>
      </c>
      <c r="O3112" s="8">
        <v>21.326027397260273</v>
      </c>
      <c r="P3112" t="s">
        <v>33</v>
      </c>
      <c r="Q3112">
        <v>2</v>
      </c>
      <c r="R3112" s="2">
        <v>38320</v>
      </c>
    </row>
    <row r="3113" spans="1:18" x14ac:dyDescent="0.3">
      <c r="A3113" t="s">
        <v>7</v>
      </c>
      <c r="B3113">
        <v>19011359</v>
      </c>
      <c r="C3113" t="s">
        <v>10</v>
      </c>
      <c r="D3113" s="4">
        <v>46104</v>
      </c>
      <c r="E3113" s="11">
        <f t="shared" si="192"/>
        <v>2026</v>
      </c>
      <c r="F3113" s="11">
        <f t="shared" si="193"/>
        <v>3</v>
      </c>
      <c r="G3113" s="11" t="str">
        <f t="shared" si="194"/>
        <v>202603</v>
      </c>
      <c r="H3113" s="4">
        <v>46113</v>
      </c>
      <c r="I3113" s="5">
        <v>9</v>
      </c>
      <c r="J3113" s="5">
        <v>0.3</v>
      </c>
      <c r="K3113" s="5">
        <f t="shared" si="195"/>
        <v>1</v>
      </c>
      <c r="L3113" s="5">
        <v>1</v>
      </c>
      <c r="M3113" s="5">
        <v>1</v>
      </c>
      <c r="N3113" t="s">
        <v>9</v>
      </c>
      <c r="O3113" s="8">
        <v>21.260273972602739</v>
      </c>
      <c r="P3113" t="s">
        <v>33</v>
      </c>
      <c r="Q3113">
        <v>2</v>
      </c>
      <c r="R3113" s="2">
        <v>38344</v>
      </c>
    </row>
    <row r="3114" spans="1:18" x14ac:dyDescent="0.3">
      <c r="A3114" t="s">
        <v>7</v>
      </c>
      <c r="B3114">
        <v>19011360</v>
      </c>
      <c r="C3114" t="s">
        <v>8</v>
      </c>
      <c r="D3114" s="4">
        <v>46104</v>
      </c>
      <c r="E3114" s="11">
        <f t="shared" si="192"/>
        <v>2026</v>
      </c>
      <c r="F3114" s="11">
        <f t="shared" si="193"/>
        <v>3</v>
      </c>
      <c r="G3114" s="11" t="str">
        <f t="shared" si="194"/>
        <v>202603</v>
      </c>
      <c r="I3114" s="5">
        <v>9999</v>
      </c>
      <c r="J3114" s="5">
        <v>333.3</v>
      </c>
      <c r="K3114" s="5">
        <f t="shared" si="195"/>
        <v>0</v>
      </c>
      <c r="L3114" s="5">
        <v>0</v>
      </c>
      <c r="M3114" s="5">
        <v>0</v>
      </c>
      <c r="N3114" t="s">
        <v>9</v>
      </c>
      <c r="O3114" s="8">
        <v>23.306849315068494</v>
      </c>
      <c r="P3114" t="s">
        <v>33</v>
      </c>
      <c r="Q3114">
        <v>2</v>
      </c>
      <c r="R3114" s="2">
        <v>37597</v>
      </c>
    </row>
    <row r="3115" spans="1:18" x14ac:dyDescent="0.3">
      <c r="A3115" t="s">
        <v>7</v>
      </c>
      <c r="B3115">
        <v>19011373</v>
      </c>
      <c r="C3115" t="s">
        <v>8</v>
      </c>
      <c r="D3115" s="4">
        <v>46104</v>
      </c>
      <c r="E3115" s="11">
        <f t="shared" si="192"/>
        <v>2026</v>
      </c>
      <c r="F3115" s="11">
        <f t="shared" si="193"/>
        <v>3</v>
      </c>
      <c r="G3115" s="11" t="str">
        <f t="shared" si="194"/>
        <v>202603</v>
      </c>
      <c r="I3115" s="5">
        <v>9999</v>
      </c>
      <c r="J3115" s="5">
        <v>333.3</v>
      </c>
      <c r="K3115" s="5">
        <f t="shared" si="195"/>
        <v>0</v>
      </c>
      <c r="L3115" s="5">
        <v>0</v>
      </c>
      <c r="M3115" s="5">
        <v>0</v>
      </c>
      <c r="N3115" t="s">
        <v>9</v>
      </c>
      <c r="O3115" s="8">
        <v>21.358904109589041</v>
      </c>
      <c r="P3115" t="s">
        <v>33</v>
      </c>
      <c r="Q3115">
        <v>2</v>
      </c>
      <c r="R3115" s="2">
        <v>38308</v>
      </c>
    </row>
    <row r="3116" spans="1:18" x14ac:dyDescent="0.3">
      <c r="A3116" t="s">
        <v>7</v>
      </c>
      <c r="B3116">
        <v>19011378</v>
      </c>
      <c r="C3116" t="s">
        <v>8</v>
      </c>
      <c r="D3116" s="4">
        <v>46104</v>
      </c>
      <c r="E3116" s="11">
        <f t="shared" si="192"/>
        <v>2026</v>
      </c>
      <c r="F3116" s="11">
        <f t="shared" si="193"/>
        <v>3</v>
      </c>
      <c r="G3116" s="11" t="str">
        <f t="shared" si="194"/>
        <v>202603</v>
      </c>
      <c r="H3116" s="4">
        <v>46173</v>
      </c>
      <c r="I3116" s="5">
        <v>69</v>
      </c>
      <c r="J3116" s="5">
        <v>2.2999999999999998</v>
      </c>
      <c r="K3116" s="5">
        <f t="shared" si="195"/>
        <v>0</v>
      </c>
      <c r="L3116" s="5">
        <v>1</v>
      </c>
      <c r="M3116" s="5">
        <v>1</v>
      </c>
      <c r="N3116" t="s">
        <v>9</v>
      </c>
      <c r="O3116" s="8">
        <v>20.427397260273974</v>
      </c>
      <c r="P3116" t="s">
        <v>32</v>
      </c>
      <c r="Q3116">
        <v>1</v>
      </c>
      <c r="R3116" s="2">
        <v>38648</v>
      </c>
    </row>
    <row r="3117" spans="1:18" x14ac:dyDescent="0.3">
      <c r="A3117" t="s">
        <v>7</v>
      </c>
      <c r="B3117">
        <v>19011379</v>
      </c>
      <c r="C3117" t="s">
        <v>8</v>
      </c>
      <c r="D3117" s="4">
        <v>46104</v>
      </c>
      <c r="E3117" s="11">
        <f t="shared" si="192"/>
        <v>2026</v>
      </c>
      <c r="F3117" s="11">
        <f t="shared" si="193"/>
        <v>3</v>
      </c>
      <c r="G3117" s="11" t="str">
        <f t="shared" si="194"/>
        <v>202603</v>
      </c>
      <c r="H3117" s="4">
        <v>46122</v>
      </c>
      <c r="I3117" s="5">
        <v>18</v>
      </c>
      <c r="J3117" s="5">
        <v>0.6</v>
      </c>
      <c r="K3117" s="5">
        <f t="shared" si="195"/>
        <v>1</v>
      </c>
      <c r="L3117" s="5">
        <v>1</v>
      </c>
      <c r="M3117" s="5">
        <v>1</v>
      </c>
      <c r="N3117" t="s">
        <v>9</v>
      </c>
      <c r="O3117" s="8">
        <v>24.753424657534246</v>
      </c>
      <c r="P3117" t="s">
        <v>33</v>
      </c>
      <c r="Q3117">
        <v>2</v>
      </c>
      <c r="R3117" s="2">
        <v>37069</v>
      </c>
    </row>
    <row r="3118" spans="1:18" x14ac:dyDescent="0.3">
      <c r="A3118" t="s">
        <v>7</v>
      </c>
      <c r="B3118">
        <v>19011387</v>
      </c>
      <c r="C3118" t="s">
        <v>8</v>
      </c>
      <c r="D3118" s="4">
        <v>46104</v>
      </c>
      <c r="E3118" s="11">
        <f t="shared" si="192"/>
        <v>2026</v>
      </c>
      <c r="F3118" s="11">
        <f t="shared" si="193"/>
        <v>3</v>
      </c>
      <c r="G3118" s="11" t="str">
        <f t="shared" si="194"/>
        <v>202603</v>
      </c>
      <c r="H3118" s="4">
        <v>46158</v>
      </c>
      <c r="I3118" s="5">
        <v>54</v>
      </c>
      <c r="J3118" s="5">
        <v>1.8</v>
      </c>
      <c r="K3118" s="5">
        <f t="shared" si="195"/>
        <v>0</v>
      </c>
      <c r="L3118" s="5">
        <v>1</v>
      </c>
      <c r="M3118" s="5">
        <v>1</v>
      </c>
      <c r="N3118" t="s">
        <v>9</v>
      </c>
      <c r="O3118" s="8">
        <v>21.964383561643835</v>
      </c>
      <c r="P3118" t="s">
        <v>33</v>
      </c>
      <c r="Q3118">
        <v>2</v>
      </c>
      <c r="R3118" s="2">
        <v>38087</v>
      </c>
    </row>
    <row r="3119" spans="1:18" x14ac:dyDescent="0.3">
      <c r="A3119" t="s">
        <v>7</v>
      </c>
      <c r="B3119">
        <v>19011404</v>
      </c>
      <c r="C3119" t="s">
        <v>8</v>
      </c>
      <c r="D3119" s="4">
        <v>46104</v>
      </c>
      <c r="E3119" s="11">
        <f t="shared" si="192"/>
        <v>2026</v>
      </c>
      <c r="F3119" s="11">
        <f t="shared" si="193"/>
        <v>3</v>
      </c>
      <c r="G3119" s="11" t="str">
        <f t="shared" si="194"/>
        <v>202603</v>
      </c>
      <c r="H3119" s="4">
        <v>46142</v>
      </c>
      <c r="I3119" s="5">
        <v>38</v>
      </c>
      <c r="J3119" s="5">
        <v>1.2666666666666666</v>
      </c>
      <c r="K3119" s="5">
        <f t="shared" si="195"/>
        <v>0</v>
      </c>
      <c r="L3119" s="5">
        <v>1</v>
      </c>
      <c r="M3119" s="5">
        <v>1</v>
      </c>
      <c r="N3119" t="s">
        <v>9</v>
      </c>
      <c r="O3119" s="8">
        <v>21.93972602739726</v>
      </c>
      <c r="P3119" t="s">
        <v>33</v>
      </c>
      <c r="Q3119">
        <v>2</v>
      </c>
      <c r="R3119" s="2">
        <v>38096</v>
      </c>
    </row>
    <row r="3120" spans="1:18" x14ac:dyDescent="0.3">
      <c r="A3120" t="s">
        <v>11</v>
      </c>
      <c r="B3120">
        <v>19011424</v>
      </c>
      <c r="C3120" t="s">
        <v>10</v>
      </c>
      <c r="D3120" s="4">
        <v>46104</v>
      </c>
      <c r="E3120" s="11">
        <f t="shared" si="192"/>
        <v>2026</v>
      </c>
      <c r="F3120" s="11">
        <f t="shared" si="193"/>
        <v>3</v>
      </c>
      <c r="G3120" s="11" t="str">
        <f t="shared" si="194"/>
        <v>202603</v>
      </c>
      <c r="I3120" s="5">
        <v>9999</v>
      </c>
      <c r="J3120" s="5">
        <v>333.3</v>
      </c>
      <c r="K3120" s="5">
        <f t="shared" si="195"/>
        <v>0</v>
      </c>
      <c r="L3120" s="5">
        <v>0</v>
      </c>
      <c r="M3120" s="5">
        <v>0</v>
      </c>
      <c r="N3120" t="s">
        <v>9</v>
      </c>
      <c r="O3120" s="8">
        <v>24.493150684931507</v>
      </c>
      <c r="P3120" t="s">
        <v>33</v>
      </c>
      <c r="Q3120">
        <v>2</v>
      </c>
      <c r="R3120" s="2">
        <v>37164</v>
      </c>
    </row>
    <row r="3121" spans="1:18" x14ac:dyDescent="0.3">
      <c r="A3121" t="s">
        <v>7</v>
      </c>
      <c r="B3121">
        <v>19011433</v>
      </c>
      <c r="C3121" t="s">
        <v>8</v>
      </c>
      <c r="D3121" s="4">
        <v>46104</v>
      </c>
      <c r="E3121" s="11">
        <f t="shared" si="192"/>
        <v>2026</v>
      </c>
      <c r="F3121" s="11">
        <f t="shared" si="193"/>
        <v>3</v>
      </c>
      <c r="G3121" s="11" t="str">
        <f t="shared" si="194"/>
        <v>202603</v>
      </c>
      <c r="I3121" s="5">
        <v>9999</v>
      </c>
      <c r="J3121" s="5">
        <v>333.3</v>
      </c>
      <c r="K3121" s="5">
        <f t="shared" si="195"/>
        <v>0</v>
      </c>
      <c r="L3121" s="5">
        <v>0</v>
      </c>
      <c r="M3121" s="5">
        <v>0</v>
      </c>
      <c r="N3121" t="s">
        <v>9</v>
      </c>
      <c r="O3121" s="8">
        <v>20.668493150684931</v>
      </c>
      <c r="P3121" t="s">
        <v>32</v>
      </c>
      <c r="Q3121">
        <v>1</v>
      </c>
      <c r="R3121" s="2">
        <v>38560</v>
      </c>
    </row>
    <row r="3122" spans="1:18" x14ac:dyDescent="0.3">
      <c r="A3122" t="s">
        <v>7</v>
      </c>
      <c r="B3122">
        <v>19011453</v>
      </c>
      <c r="C3122" t="s">
        <v>10</v>
      </c>
      <c r="D3122" s="4">
        <v>46104</v>
      </c>
      <c r="E3122" s="11">
        <f t="shared" si="192"/>
        <v>2026</v>
      </c>
      <c r="F3122" s="11">
        <f t="shared" si="193"/>
        <v>3</v>
      </c>
      <c r="G3122" s="11" t="str">
        <f t="shared" si="194"/>
        <v>202603</v>
      </c>
      <c r="I3122" s="5">
        <v>9999</v>
      </c>
      <c r="J3122" s="5">
        <v>333.3</v>
      </c>
      <c r="K3122" s="5">
        <f t="shared" si="195"/>
        <v>0</v>
      </c>
      <c r="L3122" s="5">
        <v>0</v>
      </c>
      <c r="M3122" s="5">
        <v>0</v>
      </c>
      <c r="N3122" t="s">
        <v>12</v>
      </c>
      <c r="O3122" s="8">
        <v>18.610958904109587</v>
      </c>
      <c r="P3122" t="s">
        <v>32</v>
      </c>
      <c r="Q3122">
        <v>1</v>
      </c>
      <c r="R3122" s="2">
        <v>39311</v>
      </c>
    </row>
    <row r="3123" spans="1:18" x14ac:dyDescent="0.3">
      <c r="A3123" t="s">
        <v>7</v>
      </c>
      <c r="B3123">
        <v>19011562</v>
      </c>
      <c r="C3123" t="s">
        <v>8</v>
      </c>
      <c r="D3123" s="4">
        <v>46104</v>
      </c>
      <c r="E3123" s="11">
        <f t="shared" si="192"/>
        <v>2026</v>
      </c>
      <c r="F3123" s="11">
        <f t="shared" si="193"/>
        <v>3</v>
      </c>
      <c r="G3123" s="11" t="str">
        <f t="shared" si="194"/>
        <v>202603</v>
      </c>
      <c r="I3123" s="5">
        <v>9999</v>
      </c>
      <c r="J3123" s="5">
        <v>333.3</v>
      </c>
      <c r="K3123" s="5">
        <f t="shared" si="195"/>
        <v>0</v>
      </c>
      <c r="L3123" s="5">
        <v>0</v>
      </c>
      <c r="M3123" s="5">
        <v>0</v>
      </c>
      <c r="N3123" t="s">
        <v>9</v>
      </c>
      <c r="O3123" s="8">
        <v>18.383561643835616</v>
      </c>
      <c r="P3123" t="s">
        <v>32</v>
      </c>
      <c r="Q3123">
        <v>1</v>
      </c>
      <c r="R3123" s="2">
        <v>39394</v>
      </c>
    </row>
    <row r="3124" spans="1:18" x14ac:dyDescent="0.3">
      <c r="A3124" t="s">
        <v>7</v>
      </c>
      <c r="B3124">
        <v>19011563</v>
      </c>
      <c r="C3124" t="s">
        <v>10</v>
      </c>
      <c r="D3124" s="4">
        <v>46104</v>
      </c>
      <c r="E3124" s="11">
        <f t="shared" si="192"/>
        <v>2026</v>
      </c>
      <c r="F3124" s="11">
        <f t="shared" si="193"/>
        <v>3</v>
      </c>
      <c r="G3124" s="11" t="str">
        <f t="shared" si="194"/>
        <v>202603</v>
      </c>
      <c r="I3124" s="5">
        <v>9999</v>
      </c>
      <c r="J3124" s="5">
        <v>333.3</v>
      </c>
      <c r="K3124" s="5">
        <f t="shared" si="195"/>
        <v>0</v>
      </c>
      <c r="L3124" s="5">
        <v>0</v>
      </c>
      <c r="M3124" s="5">
        <v>0</v>
      </c>
      <c r="N3124" t="s">
        <v>9</v>
      </c>
      <c r="O3124" s="8">
        <v>18.824657534246576</v>
      </c>
      <c r="P3124" t="s">
        <v>32</v>
      </c>
      <c r="Q3124">
        <v>1</v>
      </c>
      <c r="R3124" s="2">
        <v>39233</v>
      </c>
    </row>
    <row r="3125" spans="1:18" x14ac:dyDescent="0.3">
      <c r="A3125" t="s">
        <v>7</v>
      </c>
      <c r="B3125">
        <v>19011770</v>
      </c>
      <c r="C3125" t="s">
        <v>8</v>
      </c>
      <c r="D3125" s="4">
        <v>46105</v>
      </c>
      <c r="E3125" s="11">
        <f t="shared" si="192"/>
        <v>2026</v>
      </c>
      <c r="F3125" s="11">
        <f t="shared" si="193"/>
        <v>3</v>
      </c>
      <c r="G3125" s="11" t="str">
        <f t="shared" si="194"/>
        <v>202603</v>
      </c>
      <c r="H3125" s="4">
        <v>46113</v>
      </c>
      <c r="I3125" s="5">
        <v>8</v>
      </c>
      <c r="J3125" s="5">
        <v>0.26666666666666666</v>
      </c>
      <c r="K3125" s="5">
        <f t="shared" si="195"/>
        <v>1</v>
      </c>
      <c r="L3125" s="5">
        <v>1</v>
      </c>
      <c r="M3125" s="5">
        <v>1</v>
      </c>
      <c r="N3125" t="s">
        <v>12</v>
      </c>
      <c r="O3125" s="8">
        <v>26.186301369863013</v>
      </c>
      <c r="P3125" t="s">
        <v>34</v>
      </c>
      <c r="Q3125">
        <v>3</v>
      </c>
      <c r="R3125" s="2">
        <v>36547</v>
      </c>
    </row>
    <row r="3126" spans="1:18" x14ac:dyDescent="0.3">
      <c r="A3126" t="s">
        <v>7</v>
      </c>
      <c r="B3126">
        <v>19011825</v>
      </c>
      <c r="C3126" t="s">
        <v>8</v>
      </c>
      <c r="D3126" s="4">
        <v>46105</v>
      </c>
      <c r="E3126" s="11">
        <f t="shared" si="192"/>
        <v>2026</v>
      </c>
      <c r="F3126" s="11">
        <f t="shared" si="193"/>
        <v>3</v>
      </c>
      <c r="G3126" s="11" t="str">
        <f t="shared" si="194"/>
        <v>202603</v>
      </c>
      <c r="I3126" s="5">
        <v>9999</v>
      </c>
      <c r="J3126" s="5">
        <v>333.3</v>
      </c>
      <c r="K3126" s="5">
        <f t="shared" si="195"/>
        <v>0</v>
      </c>
      <c r="L3126" s="5">
        <v>0</v>
      </c>
      <c r="M3126" s="5">
        <v>0</v>
      </c>
      <c r="N3126" t="s">
        <v>9</v>
      </c>
      <c r="O3126" s="8">
        <v>19.350684931506848</v>
      </c>
      <c r="P3126" t="s">
        <v>32</v>
      </c>
      <c r="Q3126">
        <v>1</v>
      </c>
      <c r="R3126" s="2">
        <v>39042</v>
      </c>
    </row>
    <row r="3127" spans="1:18" x14ac:dyDescent="0.3">
      <c r="A3127" t="s">
        <v>7</v>
      </c>
      <c r="B3127">
        <v>19011844</v>
      </c>
      <c r="C3127" t="s">
        <v>8</v>
      </c>
      <c r="D3127" s="4">
        <v>46105</v>
      </c>
      <c r="E3127" s="11">
        <f t="shared" si="192"/>
        <v>2026</v>
      </c>
      <c r="F3127" s="11">
        <f t="shared" si="193"/>
        <v>3</v>
      </c>
      <c r="G3127" s="11" t="str">
        <f t="shared" si="194"/>
        <v>202603</v>
      </c>
      <c r="I3127" s="5">
        <v>9999</v>
      </c>
      <c r="J3127" s="5">
        <v>333.3</v>
      </c>
      <c r="K3127" s="5">
        <f t="shared" si="195"/>
        <v>0</v>
      </c>
      <c r="L3127" s="5">
        <v>0</v>
      </c>
      <c r="M3127" s="5">
        <v>0</v>
      </c>
      <c r="N3127" t="s">
        <v>12</v>
      </c>
      <c r="O3127" s="8">
        <v>20.479452054794521</v>
      </c>
      <c r="P3127" t="s">
        <v>32</v>
      </c>
      <c r="Q3127">
        <v>1</v>
      </c>
      <c r="R3127" s="2">
        <v>38630</v>
      </c>
    </row>
    <row r="3128" spans="1:18" x14ac:dyDescent="0.3">
      <c r="A3128" t="s">
        <v>7</v>
      </c>
      <c r="B3128">
        <v>19012072</v>
      </c>
      <c r="C3128" t="s">
        <v>10</v>
      </c>
      <c r="D3128" s="4">
        <v>46106</v>
      </c>
      <c r="E3128" s="11">
        <f t="shared" si="192"/>
        <v>2026</v>
      </c>
      <c r="F3128" s="11">
        <f t="shared" si="193"/>
        <v>3</v>
      </c>
      <c r="G3128" s="11" t="str">
        <f t="shared" si="194"/>
        <v>202603</v>
      </c>
      <c r="I3128" s="5">
        <v>9999</v>
      </c>
      <c r="J3128" s="5">
        <v>333.3</v>
      </c>
      <c r="K3128" s="5">
        <f t="shared" si="195"/>
        <v>0</v>
      </c>
      <c r="L3128" s="5">
        <v>0</v>
      </c>
      <c r="M3128" s="5">
        <v>0</v>
      </c>
      <c r="N3128" t="s">
        <v>9</v>
      </c>
      <c r="O3128" s="8">
        <v>24.945205479452056</v>
      </c>
      <c r="P3128" t="s">
        <v>33</v>
      </c>
      <c r="Q3128">
        <v>2</v>
      </c>
      <c r="R3128" s="2">
        <v>37001</v>
      </c>
    </row>
    <row r="3129" spans="1:18" x14ac:dyDescent="0.3">
      <c r="A3129" t="s">
        <v>7</v>
      </c>
      <c r="B3129">
        <v>19012074</v>
      </c>
      <c r="C3129" t="s">
        <v>8</v>
      </c>
      <c r="D3129" s="4">
        <v>46106</v>
      </c>
      <c r="E3129" s="11">
        <f t="shared" si="192"/>
        <v>2026</v>
      </c>
      <c r="F3129" s="11">
        <f t="shared" si="193"/>
        <v>3</v>
      </c>
      <c r="G3129" s="11" t="str">
        <f t="shared" si="194"/>
        <v>202603</v>
      </c>
      <c r="I3129" s="5">
        <v>9999</v>
      </c>
      <c r="J3129" s="5">
        <v>333.3</v>
      </c>
      <c r="K3129" s="5">
        <f t="shared" si="195"/>
        <v>0</v>
      </c>
      <c r="L3129" s="5">
        <v>0</v>
      </c>
      <c r="M3129" s="5">
        <v>0</v>
      </c>
      <c r="N3129" t="s">
        <v>9</v>
      </c>
      <c r="O3129" s="8">
        <v>18.049315068493151</v>
      </c>
      <c r="P3129" t="s">
        <v>32</v>
      </c>
      <c r="Q3129">
        <v>1</v>
      </c>
      <c r="R3129" s="2">
        <v>39518</v>
      </c>
    </row>
    <row r="3130" spans="1:18" x14ac:dyDescent="0.3">
      <c r="A3130" t="s">
        <v>11</v>
      </c>
      <c r="B3130">
        <v>19012076</v>
      </c>
      <c r="C3130" t="s">
        <v>10</v>
      </c>
      <c r="D3130" s="4">
        <v>46106</v>
      </c>
      <c r="E3130" s="11">
        <f t="shared" si="192"/>
        <v>2026</v>
      </c>
      <c r="F3130" s="11">
        <f t="shared" si="193"/>
        <v>3</v>
      </c>
      <c r="G3130" s="11" t="str">
        <f t="shared" si="194"/>
        <v>202603</v>
      </c>
      <c r="I3130" s="5">
        <v>9999</v>
      </c>
      <c r="J3130" s="5">
        <v>333.3</v>
      </c>
      <c r="K3130" s="5">
        <f t="shared" si="195"/>
        <v>0</v>
      </c>
      <c r="L3130" s="5">
        <v>0</v>
      </c>
      <c r="M3130" s="5">
        <v>0</v>
      </c>
      <c r="N3130" t="s">
        <v>9</v>
      </c>
      <c r="O3130" s="8">
        <v>32.238356164383561</v>
      </c>
      <c r="P3130" t="s">
        <v>35</v>
      </c>
      <c r="Q3130">
        <v>4</v>
      </c>
      <c r="R3130" s="2">
        <v>34339</v>
      </c>
    </row>
    <row r="3131" spans="1:18" x14ac:dyDescent="0.3">
      <c r="A3131" t="s">
        <v>7</v>
      </c>
      <c r="B3131">
        <v>19012108</v>
      </c>
      <c r="C3131" t="s">
        <v>8</v>
      </c>
      <c r="D3131" s="4">
        <v>46106</v>
      </c>
      <c r="E3131" s="11">
        <f t="shared" si="192"/>
        <v>2026</v>
      </c>
      <c r="F3131" s="11">
        <f t="shared" si="193"/>
        <v>3</v>
      </c>
      <c r="G3131" s="11" t="str">
        <f t="shared" si="194"/>
        <v>202603</v>
      </c>
      <c r="H3131" s="4">
        <v>46114</v>
      </c>
      <c r="I3131" s="5">
        <v>8</v>
      </c>
      <c r="J3131" s="5">
        <v>0.26666666666666666</v>
      </c>
      <c r="K3131" s="5">
        <f t="shared" si="195"/>
        <v>1</v>
      </c>
      <c r="L3131" s="5">
        <v>1</v>
      </c>
      <c r="M3131" s="5">
        <v>1</v>
      </c>
      <c r="N3131" t="s">
        <v>12</v>
      </c>
      <c r="O3131" s="8">
        <v>23.734246575342464</v>
      </c>
      <c r="P3131" t="s">
        <v>33</v>
      </c>
      <c r="Q3131">
        <v>2</v>
      </c>
      <c r="R3131" s="2">
        <v>37443</v>
      </c>
    </row>
    <row r="3132" spans="1:18" x14ac:dyDescent="0.3">
      <c r="A3132" t="s">
        <v>7</v>
      </c>
      <c r="B3132">
        <v>19012148</v>
      </c>
      <c r="C3132" t="s">
        <v>8</v>
      </c>
      <c r="D3132" s="4">
        <v>46106</v>
      </c>
      <c r="E3132" s="11">
        <f t="shared" si="192"/>
        <v>2026</v>
      </c>
      <c r="F3132" s="11">
        <f t="shared" si="193"/>
        <v>3</v>
      </c>
      <c r="G3132" s="11" t="str">
        <f t="shared" si="194"/>
        <v>202603</v>
      </c>
      <c r="I3132" s="5">
        <v>9999</v>
      </c>
      <c r="J3132" s="5">
        <v>333.3</v>
      </c>
      <c r="K3132" s="5">
        <f t="shared" si="195"/>
        <v>0</v>
      </c>
      <c r="L3132" s="5">
        <v>0</v>
      </c>
      <c r="M3132" s="5">
        <v>0</v>
      </c>
      <c r="N3132" t="s">
        <v>12</v>
      </c>
      <c r="O3132" s="8">
        <v>22.035616438356165</v>
      </c>
      <c r="P3132" t="s">
        <v>33</v>
      </c>
      <c r="Q3132">
        <v>2</v>
      </c>
      <c r="R3132" s="2">
        <v>38063</v>
      </c>
    </row>
    <row r="3133" spans="1:18" x14ac:dyDescent="0.3">
      <c r="A3133" t="s">
        <v>7</v>
      </c>
      <c r="B3133">
        <v>19012149</v>
      </c>
      <c r="C3133" t="s">
        <v>8</v>
      </c>
      <c r="D3133" s="4">
        <v>46106</v>
      </c>
      <c r="E3133" s="11">
        <f t="shared" si="192"/>
        <v>2026</v>
      </c>
      <c r="F3133" s="11">
        <f t="shared" si="193"/>
        <v>3</v>
      </c>
      <c r="G3133" s="11" t="str">
        <f t="shared" si="194"/>
        <v>202603</v>
      </c>
      <c r="I3133" s="5">
        <v>9999</v>
      </c>
      <c r="J3133" s="5">
        <v>333.3</v>
      </c>
      <c r="K3133" s="5">
        <f t="shared" si="195"/>
        <v>0</v>
      </c>
      <c r="L3133" s="5">
        <v>0</v>
      </c>
      <c r="M3133" s="5">
        <v>0</v>
      </c>
      <c r="N3133" t="s">
        <v>12</v>
      </c>
      <c r="O3133" s="8">
        <v>19.545205479452054</v>
      </c>
      <c r="P3133" t="s">
        <v>32</v>
      </c>
      <c r="Q3133">
        <v>1</v>
      </c>
      <c r="R3133" s="2">
        <v>38972</v>
      </c>
    </row>
    <row r="3134" spans="1:18" x14ac:dyDescent="0.3">
      <c r="A3134" t="s">
        <v>11</v>
      </c>
      <c r="B3134">
        <v>19012182</v>
      </c>
      <c r="C3134" t="s">
        <v>8</v>
      </c>
      <c r="D3134" s="4">
        <v>46106</v>
      </c>
      <c r="E3134" s="11">
        <f t="shared" si="192"/>
        <v>2026</v>
      </c>
      <c r="F3134" s="11">
        <f t="shared" si="193"/>
        <v>3</v>
      </c>
      <c r="G3134" s="11" t="str">
        <f t="shared" si="194"/>
        <v>202603</v>
      </c>
      <c r="I3134" s="5">
        <v>9999</v>
      </c>
      <c r="J3134" s="5">
        <v>333.3</v>
      </c>
      <c r="K3134" s="5">
        <f t="shared" si="195"/>
        <v>0</v>
      </c>
      <c r="L3134" s="5">
        <v>0</v>
      </c>
      <c r="M3134" s="5">
        <v>0</v>
      </c>
      <c r="N3134" t="s">
        <v>9</v>
      </c>
      <c r="O3134" s="8">
        <v>18.786301369863015</v>
      </c>
      <c r="P3134" t="s">
        <v>32</v>
      </c>
      <c r="Q3134">
        <v>1</v>
      </c>
      <c r="R3134" s="2">
        <v>39249</v>
      </c>
    </row>
    <row r="3135" spans="1:18" x14ac:dyDescent="0.3">
      <c r="A3135" t="s">
        <v>7</v>
      </c>
      <c r="B3135">
        <v>19012183</v>
      </c>
      <c r="C3135" t="s">
        <v>8</v>
      </c>
      <c r="D3135" s="4">
        <v>46106</v>
      </c>
      <c r="E3135" s="11">
        <f t="shared" si="192"/>
        <v>2026</v>
      </c>
      <c r="F3135" s="11">
        <f t="shared" si="193"/>
        <v>3</v>
      </c>
      <c r="G3135" s="11" t="str">
        <f t="shared" si="194"/>
        <v>202603</v>
      </c>
      <c r="I3135" s="5">
        <v>9999</v>
      </c>
      <c r="J3135" s="5">
        <v>333.3</v>
      </c>
      <c r="K3135" s="5">
        <f t="shared" si="195"/>
        <v>0</v>
      </c>
      <c r="L3135" s="5">
        <v>0</v>
      </c>
      <c r="M3135" s="5">
        <v>0</v>
      </c>
      <c r="N3135" t="s">
        <v>9</v>
      </c>
      <c r="O3135" s="8">
        <v>20.019178082191782</v>
      </c>
      <c r="P3135" t="s">
        <v>32</v>
      </c>
      <c r="Q3135">
        <v>1</v>
      </c>
      <c r="R3135" s="2">
        <v>38799</v>
      </c>
    </row>
    <row r="3136" spans="1:18" x14ac:dyDescent="0.3">
      <c r="A3136" t="s">
        <v>7</v>
      </c>
      <c r="B3136">
        <v>19012184</v>
      </c>
      <c r="C3136" t="s">
        <v>8</v>
      </c>
      <c r="D3136" s="4">
        <v>46106</v>
      </c>
      <c r="E3136" s="11">
        <f t="shared" si="192"/>
        <v>2026</v>
      </c>
      <c r="F3136" s="11">
        <f t="shared" si="193"/>
        <v>3</v>
      </c>
      <c r="G3136" s="11" t="str">
        <f t="shared" si="194"/>
        <v>202603</v>
      </c>
      <c r="I3136" s="5">
        <v>9999</v>
      </c>
      <c r="J3136" s="5">
        <v>333.3</v>
      </c>
      <c r="K3136" s="5">
        <f t="shared" si="195"/>
        <v>0</v>
      </c>
      <c r="L3136" s="5">
        <v>0</v>
      </c>
      <c r="M3136" s="5">
        <v>0</v>
      </c>
      <c r="N3136" t="s">
        <v>9</v>
      </c>
      <c r="O3136" s="8">
        <v>22.547945205479451</v>
      </c>
      <c r="P3136" t="s">
        <v>33</v>
      </c>
      <c r="Q3136">
        <v>2</v>
      </c>
      <c r="R3136" s="2">
        <v>37876</v>
      </c>
    </row>
    <row r="3137" spans="1:18" x14ac:dyDescent="0.3">
      <c r="A3137" t="s">
        <v>7</v>
      </c>
      <c r="B3137">
        <v>19012231</v>
      </c>
      <c r="C3137" t="s">
        <v>8</v>
      </c>
      <c r="D3137" s="4">
        <v>46106</v>
      </c>
      <c r="E3137" s="11">
        <f t="shared" si="192"/>
        <v>2026</v>
      </c>
      <c r="F3137" s="11">
        <f t="shared" si="193"/>
        <v>3</v>
      </c>
      <c r="G3137" s="11" t="str">
        <f t="shared" si="194"/>
        <v>202603</v>
      </c>
      <c r="I3137" s="5">
        <v>9999</v>
      </c>
      <c r="J3137" s="5">
        <v>333.3</v>
      </c>
      <c r="K3137" s="5">
        <f t="shared" si="195"/>
        <v>0</v>
      </c>
      <c r="L3137" s="5">
        <v>0</v>
      </c>
      <c r="M3137" s="5">
        <v>0</v>
      </c>
      <c r="N3137" t="s">
        <v>9</v>
      </c>
      <c r="O3137" s="8">
        <v>20.109589041095891</v>
      </c>
      <c r="P3137" t="s">
        <v>32</v>
      </c>
      <c r="Q3137">
        <v>1</v>
      </c>
      <c r="R3137" s="2">
        <v>38766</v>
      </c>
    </row>
    <row r="3138" spans="1:18" x14ac:dyDescent="0.3">
      <c r="A3138" t="s">
        <v>7</v>
      </c>
      <c r="B3138">
        <v>19012232</v>
      </c>
      <c r="C3138" t="s">
        <v>8</v>
      </c>
      <c r="D3138" s="4">
        <v>46106</v>
      </c>
      <c r="E3138" s="11">
        <f t="shared" si="192"/>
        <v>2026</v>
      </c>
      <c r="F3138" s="11">
        <f t="shared" si="193"/>
        <v>3</v>
      </c>
      <c r="G3138" s="11" t="str">
        <f t="shared" si="194"/>
        <v>202603</v>
      </c>
      <c r="I3138" s="5">
        <v>9999</v>
      </c>
      <c r="J3138" s="5">
        <v>333.3</v>
      </c>
      <c r="K3138" s="5">
        <f t="shared" si="195"/>
        <v>0</v>
      </c>
      <c r="L3138" s="5">
        <v>0</v>
      </c>
      <c r="M3138" s="5">
        <v>0</v>
      </c>
      <c r="N3138" t="s">
        <v>9</v>
      </c>
      <c r="O3138" s="8">
        <v>19.413698630136988</v>
      </c>
      <c r="P3138" t="s">
        <v>32</v>
      </c>
      <c r="Q3138">
        <v>1</v>
      </c>
      <c r="R3138" s="2">
        <v>39020</v>
      </c>
    </row>
    <row r="3139" spans="1:18" x14ac:dyDescent="0.3">
      <c r="A3139" t="s">
        <v>7</v>
      </c>
      <c r="B3139">
        <v>19012238</v>
      </c>
      <c r="C3139" t="s">
        <v>8</v>
      </c>
      <c r="D3139" s="4">
        <v>46106</v>
      </c>
      <c r="E3139" s="11">
        <f t="shared" ref="E3139:E3202" si="196">+YEAR(D3139)</f>
        <v>2026</v>
      </c>
      <c r="F3139" s="11">
        <f t="shared" ref="F3139:F3202" si="197">+MONTH(D3139)</f>
        <v>3</v>
      </c>
      <c r="G3139" s="11" t="str">
        <f t="shared" ref="G3139:G3202" si="198">+TEXT(D3139, "yyymm")</f>
        <v>202603</v>
      </c>
      <c r="I3139" s="5">
        <v>9999</v>
      </c>
      <c r="J3139" s="5">
        <v>333.3</v>
      </c>
      <c r="K3139" s="5">
        <f t="shared" ref="K3139:K3202" si="199">IF(J3139&lt;=1,1,0)</f>
        <v>0</v>
      </c>
      <c r="L3139" s="5">
        <v>0</v>
      </c>
      <c r="M3139" s="5">
        <v>0</v>
      </c>
      <c r="N3139" t="s">
        <v>12</v>
      </c>
      <c r="O3139" s="8">
        <v>21.183561643835617</v>
      </c>
      <c r="P3139" t="s">
        <v>33</v>
      </c>
      <c r="Q3139">
        <v>2</v>
      </c>
      <c r="R3139" s="2">
        <v>38374</v>
      </c>
    </row>
    <row r="3140" spans="1:18" x14ac:dyDescent="0.3">
      <c r="A3140" t="s">
        <v>7</v>
      </c>
      <c r="B3140">
        <v>19012248</v>
      </c>
      <c r="C3140" t="s">
        <v>8</v>
      </c>
      <c r="D3140" s="4">
        <v>46106</v>
      </c>
      <c r="E3140" s="11">
        <f t="shared" si="196"/>
        <v>2026</v>
      </c>
      <c r="F3140" s="11">
        <f t="shared" si="197"/>
        <v>3</v>
      </c>
      <c r="G3140" s="11" t="str">
        <f t="shared" si="198"/>
        <v>202603</v>
      </c>
      <c r="H3140" s="4">
        <v>46122</v>
      </c>
      <c r="I3140" s="5">
        <v>16</v>
      </c>
      <c r="J3140" s="5">
        <v>0.53333333333333333</v>
      </c>
      <c r="K3140" s="5">
        <f t="shared" si="199"/>
        <v>1</v>
      </c>
      <c r="L3140" s="5">
        <v>1</v>
      </c>
      <c r="M3140" s="5">
        <v>1</v>
      </c>
      <c r="N3140" t="s">
        <v>9</v>
      </c>
      <c r="O3140" s="8">
        <v>19.12876712328767</v>
      </c>
      <c r="P3140" t="s">
        <v>32</v>
      </c>
      <c r="Q3140">
        <v>1</v>
      </c>
      <c r="R3140" s="2">
        <v>39124</v>
      </c>
    </row>
    <row r="3141" spans="1:18" x14ac:dyDescent="0.3">
      <c r="A3141" t="s">
        <v>7</v>
      </c>
      <c r="B3141">
        <v>19012249</v>
      </c>
      <c r="C3141" t="s">
        <v>8</v>
      </c>
      <c r="D3141" s="4">
        <v>46106</v>
      </c>
      <c r="E3141" s="11">
        <f t="shared" si="196"/>
        <v>2026</v>
      </c>
      <c r="F3141" s="11">
        <f t="shared" si="197"/>
        <v>3</v>
      </c>
      <c r="G3141" s="11" t="str">
        <f t="shared" si="198"/>
        <v>202603</v>
      </c>
      <c r="I3141" s="5">
        <v>9999</v>
      </c>
      <c r="J3141" s="5">
        <v>333.3</v>
      </c>
      <c r="K3141" s="5">
        <f t="shared" si="199"/>
        <v>0</v>
      </c>
      <c r="L3141" s="5">
        <v>0</v>
      </c>
      <c r="M3141" s="5">
        <v>0</v>
      </c>
      <c r="N3141" t="s">
        <v>9</v>
      </c>
      <c r="O3141" s="8">
        <v>38.835616438356162</v>
      </c>
      <c r="P3141" t="s">
        <v>35</v>
      </c>
      <c r="Q3141">
        <v>4</v>
      </c>
      <c r="R3141" s="2">
        <v>31931</v>
      </c>
    </row>
    <row r="3142" spans="1:18" x14ac:dyDescent="0.3">
      <c r="A3142" t="s">
        <v>7</v>
      </c>
      <c r="B3142">
        <v>19012250</v>
      </c>
      <c r="C3142" t="s">
        <v>8</v>
      </c>
      <c r="D3142" s="4">
        <v>46106</v>
      </c>
      <c r="E3142" s="11">
        <f t="shared" si="196"/>
        <v>2026</v>
      </c>
      <c r="F3142" s="11">
        <f t="shared" si="197"/>
        <v>3</v>
      </c>
      <c r="G3142" s="11" t="str">
        <f t="shared" si="198"/>
        <v>202603</v>
      </c>
      <c r="H3142" s="4">
        <v>46118</v>
      </c>
      <c r="I3142" s="5">
        <v>12</v>
      </c>
      <c r="J3142" s="5">
        <v>0.4</v>
      </c>
      <c r="K3142" s="5">
        <f t="shared" si="199"/>
        <v>1</v>
      </c>
      <c r="L3142" s="5">
        <v>1</v>
      </c>
      <c r="M3142" s="5">
        <v>1</v>
      </c>
      <c r="N3142" t="s">
        <v>9</v>
      </c>
      <c r="O3142" s="8">
        <v>18.649315068493152</v>
      </c>
      <c r="P3142" t="s">
        <v>32</v>
      </c>
      <c r="Q3142">
        <v>1</v>
      </c>
      <c r="R3142" s="2">
        <v>39299</v>
      </c>
    </row>
    <row r="3143" spans="1:18" x14ac:dyDescent="0.3">
      <c r="A3143" t="s">
        <v>7</v>
      </c>
      <c r="B3143">
        <v>19012251</v>
      </c>
      <c r="C3143" t="s">
        <v>8</v>
      </c>
      <c r="D3143" s="4">
        <v>46106</v>
      </c>
      <c r="E3143" s="11">
        <f t="shared" si="196"/>
        <v>2026</v>
      </c>
      <c r="F3143" s="11">
        <f t="shared" si="197"/>
        <v>3</v>
      </c>
      <c r="G3143" s="11" t="str">
        <f t="shared" si="198"/>
        <v>202603</v>
      </c>
      <c r="I3143" s="5">
        <v>9999</v>
      </c>
      <c r="J3143" s="5">
        <v>333.3</v>
      </c>
      <c r="K3143" s="5">
        <f t="shared" si="199"/>
        <v>0</v>
      </c>
      <c r="L3143" s="5">
        <v>0</v>
      </c>
      <c r="M3143" s="5">
        <v>0</v>
      </c>
      <c r="N3143" t="s">
        <v>9</v>
      </c>
      <c r="O3143" s="8">
        <v>19.161643835616438</v>
      </c>
      <c r="P3143" t="s">
        <v>32</v>
      </c>
      <c r="Q3143">
        <v>1</v>
      </c>
      <c r="R3143" s="2">
        <v>39112</v>
      </c>
    </row>
    <row r="3144" spans="1:18" x14ac:dyDescent="0.3">
      <c r="A3144" t="s">
        <v>7</v>
      </c>
      <c r="B3144">
        <v>19012253</v>
      </c>
      <c r="C3144" t="s">
        <v>8</v>
      </c>
      <c r="D3144" s="4">
        <v>46106</v>
      </c>
      <c r="E3144" s="11">
        <f t="shared" si="196"/>
        <v>2026</v>
      </c>
      <c r="F3144" s="11">
        <f t="shared" si="197"/>
        <v>3</v>
      </c>
      <c r="G3144" s="11" t="str">
        <f t="shared" si="198"/>
        <v>202603</v>
      </c>
      <c r="H3144" s="4">
        <v>46126</v>
      </c>
      <c r="I3144" s="5">
        <v>20</v>
      </c>
      <c r="J3144" s="5">
        <v>0.66666666666666663</v>
      </c>
      <c r="K3144" s="5">
        <f t="shared" si="199"/>
        <v>1</v>
      </c>
      <c r="L3144" s="5">
        <v>1</v>
      </c>
      <c r="M3144" s="5">
        <v>1</v>
      </c>
      <c r="N3144" t="s">
        <v>12</v>
      </c>
      <c r="O3144" s="8">
        <v>23.243835616438357</v>
      </c>
      <c r="P3144" t="s">
        <v>33</v>
      </c>
      <c r="Q3144">
        <v>2</v>
      </c>
      <c r="R3144" s="2">
        <v>37622</v>
      </c>
    </row>
    <row r="3145" spans="1:18" x14ac:dyDescent="0.3">
      <c r="A3145" t="s">
        <v>11</v>
      </c>
      <c r="B3145">
        <v>19012254</v>
      </c>
      <c r="C3145" t="s">
        <v>8</v>
      </c>
      <c r="D3145" s="4">
        <v>46106</v>
      </c>
      <c r="E3145" s="11">
        <f t="shared" si="196"/>
        <v>2026</v>
      </c>
      <c r="F3145" s="11">
        <f t="shared" si="197"/>
        <v>3</v>
      </c>
      <c r="G3145" s="11" t="str">
        <f t="shared" si="198"/>
        <v>202603</v>
      </c>
      <c r="H3145" s="4">
        <v>46119</v>
      </c>
      <c r="I3145" s="5">
        <v>13</v>
      </c>
      <c r="J3145" s="5">
        <v>0.43333333333333335</v>
      </c>
      <c r="K3145" s="5">
        <f t="shared" si="199"/>
        <v>1</v>
      </c>
      <c r="L3145" s="5">
        <v>1</v>
      </c>
      <c r="M3145" s="5">
        <v>1</v>
      </c>
      <c r="N3145" t="s">
        <v>12</v>
      </c>
      <c r="O3145" s="8">
        <v>21.435616438356163</v>
      </c>
      <c r="P3145" t="s">
        <v>33</v>
      </c>
      <c r="Q3145">
        <v>2</v>
      </c>
      <c r="R3145" s="2">
        <v>38282</v>
      </c>
    </row>
    <row r="3146" spans="1:18" x14ac:dyDescent="0.3">
      <c r="A3146" t="s">
        <v>7</v>
      </c>
      <c r="B3146">
        <v>19012257</v>
      </c>
      <c r="C3146" t="s">
        <v>8</v>
      </c>
      <c r="D3146" s="4">
        <v>46106</v>
      </c>
      <c r="E3146" s="11">
        <f t="shared" si="196"/>
        <v>2026</v>
      </c>
      <c r="F3146" s="11">
        <f t="shared" si="197"/>
        <v>3</v>
      </c>
      <c r="G3146" s="11" t="str">
        <f t="shared" si="198"/>
        <v>202603</v>
      </c>
      <c r="H3146" s="4">
        <v>46161</v>
      </c>
      <c r="I3146" s="5">
        <v>55</v>
      </c>
      <c r="J3146" s="5">
        <v>1.8333333333333333</v>
      </c>
      <c r="K3146" s="5">
        <f t="shared" si="199"/>
        <v>0</v>
      </c>
      <c r="L3146" s="5">
        <v>1</v>
      </c>
      <c r="M3146" s="5">
        <v>1</v>
      </c>
      <c r="N3146" t="s">
        <v>12</v>
      </c>
      <c r="O3146" s="8">
        <v>20.547945205479451</v>
      </c>
      <c r="P3146" t="s">
        <v>32</v>
      </c>
      <c r="Q3146">
        <v>1</v>
      </c>
      <c r="R3146" s="2">
        <v>38606</v>
      </c>
    </row>
    <row r="3147" spans="1:18" x14ac:dyDescent="0.3">
      <c r="A3147" t="s">
        <v>7</v>
      </c>
      <c r="B3147">
        <v>19012259</v>
      </c>
      <c r="C3147" t="s">
        <v>8</v>
      </c>
      <c r="D3147" s="4">
        <v>46106</v>
      </c>
      <c r="E3147" s="11">
        <f t="shared" si="196"/>
        <v>2026</v>
      </c>
      <c r="F3147" s="11">
        <f t="shared" si="197"/>
        <v>3</v>
      </c>
      <c r="G3147" s="11" t="str">
        <f t="shared" si="198"/>
        <v>202603</v>
      </c>
      <c r="I3147" s="5">
        <v>9999</v>
      </c>
      <c r="J3147" s="5">
        <v>333.3</v>
      </c>
      <c r="K3147" s="5">
        <f t="shared" si="199"/>
        <v>0</v>
      </c>
      <c r="L3147" s="5">
        <v>0</v>
      </c>
      <c r="M3147" s="5">
        <v>0</v>
      </c>
      <c r="N3147" t="s">
        <v>12</v>
      </c>
      <c r="O3147" s="8">
        <v>18.876712328767123</v>
      </c>
      <c r="P3147" t="s">
        <v>32</v>
      </c>
      <c r="Q3147">
        <v>1</v>
      </c>
      <c r="R3147" s="2">
        <v>39216</v>
      </c>
    </row>
    <row r="3148" spans="1:18" x14ac:dyDescent="0.3">
      <c r="A3148" t="s">
        <v>7</v>
      </c>
      <c r="B3148">
        <v>19012354</v>
      </c>
      <c r="C3148" t="s">
        <v>8</v>
      </c>
      <c r="D3148" s="4">
        <v>46107</v>
      </c>
      <c r="E3148" s="11">
        <f t="shared" si="196"/>
        <v>2026</v>
      </c>
      <c r="F3148" s="11">
        <f t="shared" si="197"/>
        <v>3</v>
      </c>
      <c r="G3148" s="11" t="str">
        <f t="shared" si="198"/>
        <v>202603</v>
      </c>
      <c r="I3148" s="5">
        <v>9999</v>
      </c>
      <c r="J3148" s="5">
        <v>333.3</v>
      </c>
      <c r="K3148" s="5">
        <f t="shared" si="199"/>
        <v>0</v>
      </c>
      <c r="L3148" s="5">
        <v>0</v>
      </c>
      <c r="M3148" s="5">
        <v>0</v>
      </c>
      <c r="N3148" t="s">
        <v>9</v>
      </c>
      <c r="O3148" s="8">
        <v>18.578082191780823</v>
      </c>
      <c r="P3148" t="s">
        <v>32</v>
      </c>
      <c r="Q3148">
        <v>1</v>
      </c>
      <c r="R3148" s="2">
        <v>39326</v>
      </c>
    </row>
    <row r="3149" spans="1:18" x14ac:dyDescent="0.3">
      <c r="A3149" t="s">
        <v>7</v>
      </c>
      <c r="B3149">
        <v>19012359</v>
      </c>
      <c r="C3149" t="s">
        <v>8</v>
      </c>
      <c r="D3149" s="4">
        <v>46107</v>
      </c>
      <c r="E3149" s="11">
        <f t="shared" si="196"/>
        <v>2026</v>
      </c>
      <c r="F3149" s="11">
        <f t="shared" si="197"/>
        <v>3</v>
      </c>
      <c r="G3149" s="11" t="str">
        <f t="shared" si="198"/>
        <v>202603</v>
      </c>
      <c r="H3149" s="4">
        <v>46142</v>
      </c>
      <c r="I3149" s="5">
        <v>35</v>
      </c>
      <c r="J3149" s="5">
        <v>1.1666666666666667</v>
      </c>
      <c r="K3149" s="5">
        <f t="shared" si="199"/>
        <v>0</v>
      </c>
      <c r="L3149" s="5">
        <v>1</v>
      </c>
      <c r="M3149" s="5">
        <v>1</v>
      </c>
      <c r="N3149" t="s">
        <v>9</v>
      </c>
      <c r="O3149" s="8">
        <v>30.367123287671234</v>
      </c>
      <c r="P3149" t="s">
        <v>34</v>
      </c>
      <c r="Q3149">
        <v>3</v>
      </c>
      <c r="R3149" s="2">
        <v>35023</v>
      </c>
    </row>
    <row r="3150" spans="1:18" x14ac:dyDescent="0.3">
      <c r="A3150" t="s">
        <v>7</v>
      </c>
      <c r="B3150">
        <v>19012361</v>
      </c>
      <c r="C3150" t="s">
        <v>10</v>
      </c>
      <c r="D3150" s="4">
        <v>46107</v>
      </c>
      <c r="E3150" s="11">
        <f t="shared" si="196"/>
        <v>2026</v>
      </c>
      <c r="F3150" s="11">
        <f t="shared" si="197"/>
        <v>3</v>
      </c>
      <c r="G3150" s="11" t="str">
        <f t="shared" si="198"/>
        <v>202603</v>
      </c>
      <c r="I3150" s="5">
        <v>9999</v>
      </c>
      <c r="J3150" s="5">
        <v>333.3</v>
      </c>
      <c r="K3150" s="5">
        <f t="shared" si="199"/>
        <v>0</v>
      </c>
      <c r="L3150" s="5">
        <v>0</v>
      </c>
      <c r="M3150" s="5">
        <v>0</v>
      </c>
      <c r="N3150" t="s">
        <v>9</v>
      </c>
      <c r="O3150" s="8">
        <v>20.424657534246574</v>
      </c>
      <c r="P3150" t="s">
        <v>32</v>
      </c>
      <c r="Q3150">
        <v>1</v>
      </c>
      <c r="R3150" s="2">
        <v>38652</v>
      </c>
    </row>
    <row r="3151" spans="1:18" x14ac:dyDescent="0.3">
      <c r="A3151" t="s">
        <v>7</v>
      </c>
      <c r="B3151">
        <v>19012362</v>
      </c>
      <c r="C3151" t="s">
        <v>10</v>
      </c>
      <c r="D3151" s="4">
        <v>46107</v>
      </c>
      <c r="E3151" s="11">
        <f t="shared" si="196"/>
        <v>2026</v>
      </c>
      <c r="F3151" s="11">
        <f t="shared" si="197"/>
        <v>3</v>
      </c>
      <c r="G3151" s="11" t="str">
        <f t="shared" si="198"/>
        <v>202603</v>
      </c>
      <c r="I3151" s="5">
        <v>9999</v>
      </c>
      <c r="J3151" s="5">
        <v>333.3</v>
      </c>
      <c r="K3151" s="5">
        <f t="shared" si="199"/>
        <v>0</v>
      </c>
      <c r="L3151" s="5">
        <v>0</v>
      </c>
      <c r="M3151" s="5">
        <v>0</v>
      </c>
      <c r="N3151" t="s">
        <v>9</v>
      </c>
      <c r="O3151" s="8">
        <v>19</v>
      </c>
      <c r="P3151" t="s">
        <v>32</v>
      </c>
      <c r="Q3151">
        <v>1</v>
      </c>
      <c r="R3151" s="2">
        <v>39172</v>
      </c>
    </row>
    <row r="3152" spans="1:18" x14ac:dyDescent="0.3">
      <c r="A3152" t="s">
        <v>7</v>
      </c>
      <c r="B3152">
        <v>19012386</v>
      </c>
      <c r="C3152" t="s">
        <v>8</v>
      </c>
      <c r="D3152" s="4">
        <v>46107</v>
      </c>
      <c r="E3152" s="11">
        <f t="shared" si="196"/>
        <v>2026</v>
      </c>
      <c r="F3152" s="11">
        <f t="shared" si="197"/>
        <v>3</v>
      </c>
      <c r="G3152" s="11" t="str">
        <f t="shared" si="198"/>
        <v>202603</v>
      </c>
      <c r="I3152" s="5">
        <v>9999</v>
      </c>
      <c r="J3152" s="5">
        <v>333.3</v>
      </c>
      <c r="K3152" s="5">
        <f t="shared" si="199"/>
        <v>0</v>
      </c>
      <c r="L3152" s="5">
        <v>0</v>
      </c>
      <c r="M3152" s="5">
        <v>0</v>
      </c>
      <c r="N3152" t="s">
        <v>12</v>
      </c>
      <c r="O3152" s="8">
        <v>22.457534246575342</v>
      </c>
      <c r="P3152" t="s">
        <v>33</v>
      </c>
      <c r="Q3152">
        <v>2</v>
      </c>
      <c r="R3152" s="2">
        <v>37910</v>
      </c>
    </row>
    <row r="3153" spans="1:18" x14ac:dyDescent="0.3">
      <c r="A3153" t="s">
        <v>7</v>
      </c>
      <c r="B3153">
        <v>19012387</v>
      </c>
      <c r="C3153" t="s">
        <v>10</v>
      </c>
      <c r="D3153" s="4">
        <v>46107</v>
      </c>
      <c r="E3153" s="11">
        <f t="shared" si="196"/>
        <v>2026</v>
      </c>
      <c r="F3153" s="11">
        <f t="shared" si="197"/>
        <v>3</v>
      </c>
      <c r="G3153" s="11" t="str">
        <f t="shared" si="198"/>
        <v>202603</v>
      </c>
      <c r="I3153" s="5">
        <v>9999</v>
      </c>
      <c r="J3153" s="5">
        <v>333.3</v>
      </c>
      <c r="K3153" s="5">
        <f t="shared" si="199"/>
        <v>0</v>
      </c>
      <c r="L3153" s="5">
        <v>0</v>
      </c>
      <c r="M3153" s="5">
        <v>0</v>
      </c>
      <c r="N3153" t="s">
        <v>12</v>
      </c>
      <c r="O3153" s="8">
        <v>18.136986301369863</v>
      </c>
      <c r="P3153" t="s">
        <v>32</v>
      </c>
      <c r="Q3153">
        <v>1</v>
      </c>
      <c r="R3153" s="2">
        <v>39487</v>
      </c>
    </row>
    <row r="3154" spans="1:18" x14ac:dyDescent="0.3">
      <c r="A3154" t="s">
        <v>7</v>
      </c>
      <c r="B3154">
        <v>19012388</v>
      </c>
      <c r="C3154" t="s">
        <v>8</v>
      </c>
      <c r="D3154" s="4">
        <v>46107</v>
      </c>
      <c r="E3154" s="11">
        <f t="shared" si="196"/>
        <v>2026</v>
      </c>
      <c r="F3154" s="11">
        <f t="shared" si="197"/>
        <v>3</v>
      </c>
      <c r="G3154" s="11" t="str">
        <f t="shared" si="198"/>
        <v>202603</v>
      </c>
      <c r="I3154" s="5">
        <v>9999</v>
      </c>
      <c r="J3154" s="5">
        <v>333.3</v>
      </c>
      <c r="K3154" s="5">
        <f t="shared" si="199"/>
        <v>0</v>
      </c>
      <c r="L3154" s="5">
        <v>0</v>
      </c>
      <c r="M3154" s="5">
        <v>0</v>
      </c>
      <c r="N3154" t="s">
        <v>12</v>
      </c>
      <c r="O3154" s="8">
        <v>30.583561643835615</v>
      </c>
      <c r="P3154" t="s">
        <v>34</v>
      </c>
      <c r="Q3154">
        <v>3</v>
      </c>
      <c r="R3154" s="2">
        <v>34944</v>
      </c>
    </row>
    <row r="3155" spans="1:18" x14ac:dyDescent="0.3">
      <c r="A3155" t="s">
        <v>7</v>
      </c>
      <c r="B3155">
        <v>19012389</v>
      </c>
      <c r="C3155" t="s">
        <v>8</v>
      </c>
      <c r="D3155" s="4">
        <v>46107</v>
      </c>
      <c r="E3155" s="11">
        <f t="shared" si="196"/>
        <v>2026</v>
      </c>
      <c r="F3155" s="11">
        <f t="shared" si="197"/>
        <v>3</v>
      </c>
      <c r="G3155" s="11" t="str">
        <f t="shared" si="198"/>
        <v>202603</v>
      </c>
      <c r="I3155" s="5">
        <v>9999</v>
      </c>
      <c r="J3155" s="5">
        <v>333.3</v>
      </c>
      <c r="K3155" s="5">
        <f t="shared" si="199"/>
        <v>0</v>
      </c>
      <c r="L3155" s="5">
        <v>0</v>
      </c>
      <c r="M3155" s="5">
        <v>0</v>
      </c>
      <c r="N3155" t="s">
        <v>12</v>
      </c>
      <c r="O3155" s="8">
        <v>19.997260273972604</v>
      </c>
      <c r="P3155" t="s">
        <v>32</v>
      </c>
      <c r="Q3155">
        <v>1</v>
      </c>
      <c r="R3155" s="2">
        <v>38808</v>
      </c>
    </row>
    <row r="3156" spans="1:18" x14ac:dyDescent="0.3">
      <c r="A3156" t="s">
        <v>7</v>
      </c>
      <c r="B3156">
        <v>19012406</v>
      </c>
      <c r="C3156" t="s">
        <v>8</v>
      </c>
      <c r="D3156" s="4">
        <v>46107</v>
      </c>
      <c r="E3156" s="11">
        <f t="shared" si="196"/>
        <v>2026</v>
      </c>
      <c r="F3156" s="11">
        <f t="shared" si="197"/>
        <v>3</v>
      </c>
      <c r="G3156" s="11" t="str">
        <f t="shared" si="198"/>
        <v>202603</v>
      </c>
      <c r="I3156" s="5">
        <v>9999</v>
      </c>
      <c r="J3156" s="5">
        <v>333.3</v>
      </c>
      <c r="K3156" s="5">
        <f t="shared" si="199"/>
        <v>0</v>
      </c>
      <c r="L3156" s="5">
        <v>0</v>
      </c>
      <c r="M3156" s="5">
        <v>0</v>
      </c>
      <c r="N3156" t="s">
        <v>9</v>
      </c>
      <c r="O3156" s="8">
        <v>20.293150684931508</v>
      </c>
      <c r="P3156" t="s">
        <v>32</v>
      </c>
      <c r="Q3156">
        <v>1</v>
      </c>
      <c r="R3156" s="2">
        <v>38700</v>
      </c>
    </row>
    <row r="3157" spans="1:18" x14ac:dyDescent="0.3">
      <c r="A3157" t="s">
        <v>7</v>
      </c>
      <c r="B3157">
        <v>19012408</v>
      </c>
      <c r="C3157" t="s">
        <v>8</v>
      </c>
      <c r="D3157" s="4">
        <v>46107</v>
      </c>
      <c r="E3157" s="11">
        <f t="shared" si="196"/>
        <v>2026</v>
      </c>
      <c r="F3157" s="11">
        <f t="shared" si="197"/>
        <v>3</v>
      </c>
      <c r="G3157" s="11" t="str">
        <f t="shared" si="198"/>
        <v>202603</v>
      </c>
      <c r="I3157" s="5">
        <v>9999</v>
      </c>
      <c r="J3157" s="5">
        <v>333.3</v>
      </c>
      <c r="K3157" s="5">
        <f t="shared" si="199"/>
        <v>0</v>
      </c>
      <c r="L3157" s="5">
        <v>0</v>
      </c>
      <c r="M3157" s="5">
        <v>0</v>
      </c>
      <c r="N3157" t="s">
        <v>9</v>
      </c>
      <c r="O3157" s="8">
        <v>19.298630136986301</v>
      </c>
      <c r="P3157" t="s">
        <v>32</v>
      </c>
      <c r="Q3157">
        <v>1</v>
      </c>
      <c r="R3157" s="2">
        <v>39063</v>
      </c>
    </row>
    <row r="3158" spans="1:18" x14ac:dyDescent="0.3">
      <c r="A3158" t="s">
        <v>7</v>
      </c>
      <c r="B3158">
        <v>19012522</v>
      </c>
      <c r="C3158" t="s">
        <v>8</v>
      </c>
      <c r="D3158" s="4">
        <v>46108</v>
      </c>
      <c r="E3158" s="11">
        <f t="shared" si="196"/>
        <v>2026</v>
      </c>
      <c r="F3158" s="11">
        <f t="shared" si="197"/>
        <v>3</v>
      </c>
      <c r="G3158" s="11" t="str">
        <f t="shared" si="198"/>
        <v>202603</v>
      </c>
      <c r="I3158" s="5">
        <v>9999</v>
      </c>
      <c r="J3158" s="5">
        <v>333.3</v>
      </c>
      <c r="K3158" s="5">
        <f t="shared" si="199"/>
        <v>0</v>
      </c>
      <c r="L3158" s="5">
        <v>0</v>
      </c>
      <c r="M3158" s="5">
        <v>0</v>
      </c>
      <c r="N3158" t="s">
        <v>9</v>
      </c>
      <c r="O3158" s="8">
        <v>23.402739726027399</v>
      </c>
      <c r="P3158" t="s">
        <v>33</v>
      </c>
      <c r="Q3158">
        <v>2</v>
      </c>
      <c r="R3158" s="2">
        <v>37566</v>
      </c>
    </row>
    <row r="3159" spans="1:18" x14ac:dyDescent="0.3">
      <c r="A3159" t="s">
        <v>7</v>
      </c>
      <c r="B3159">
        <v>19012523</v>
      </c>
      <c r="C3159" t="s">
        <v>8</v>
      </c>
      <c r="D3159" s="4">
        <v>46108</v>
      </c>
      <c r="E3159" s="11">
        <f t="shared" si="196"/>
        <v>2026</v>
      </c>
      <c r="F3159" s="11">
        <f t="shared" si="197"/>
        <v>3</v>
      </c>
      <c r="G3159" s="11" t="str">
        <f t="shared" si="198"/>
        <v>202603</v>
      </c>
      <c r="I3159" s="5">
        <v>9999</v>
      </c>
      <c r="J3159" s="5">
        <v>333.3</v>
      </c>
      <c r="K3159" s="5">
        <f t="shared" si="199"/>
        <v>0</v>
      </c>
      <c r="L3159" s="5">
        <v>0</v>
      </c>
      <c r="M3159" s="5">
        <v>0</v>
      </c>
      <c r="N3159" t="s">
        <v>9</v>
      </c>
      <c r="O3159" s="8">
        <v>21.92876712328767</v>
      </c>
      <c r="P3159" t="s">
        <v>33</v>
      </c>
      <c r="Q3159">
        <v>2</v>
      </c>
      <c r="R3159" s="2">
        <v>38104</v>
      </c>
    </row>
    <row r="3160" spans="1:18" x14ac:dyDescent="0.3">
      <c r="A3160" t="s">
        <v>7</v>
      </c>
      <c r="B3160">
        <v>19012564</v>
      </c>
      <c r="C3160" t="s">
        <v>8</v>
      </c>
      <c r="D3160" s="4">
        <v>46108</v>
      </c>
      <c r="E3160" s="11">
        <f t="shared" si="196"/>
        <v>2026</v>
      </c>
      <c r="F3160" s="11">
        <f t="shared" si="197"/>
        <v>3</v>
      </c>
      <c r="G3160" s="11" t="str">
        <f t="shared" si="198"/>
        <v>202603</v>
      </c>
      <c r="I3160" s="5">
        <v>9999</v>
      </c>
      <c r="J3160" s="5">
        <v>333.3</v>
      </c>
      <c r="K3160" s="5">
        <f t="shared" si="199"/>
        <v>0</v>
      </c>
      <c r="L3160" s="5">
        <v>0</v>
      </c>
      <c r="M3160" s="5">
        <v>0</v>
      </c>
      <c r="N3160" t="s">
        <v>9</v>
      </c>
      <c r="O3160" s="8">
        <v>22.775342465753425</v>
      </c>
      <c r="P3160" t="s">
        <v>33</v>
      </c>
      <c r="Q3160">
        <v>2</v>
      </c>
      <c r="R3160" s="2">
        <v>37795</v>
      </c>
    </row>
    <row r="3161" spans="1:18" x14ac:dyDescent="0.3">
      <c r="A3161" t="s">
        <v>7</v>
      </c>
      <c r="B3161">
        <v>19012565</v>
      </c>
      <c r="C3161" t="s">
        <v>8</v>
      </c>
      <c r="D3161" s="4">
        <v>46108</v>
      </c>
      <c r="E3161" s="11">
        <f t="shared" si="196"/>
        <v>2026</v>
      </c>
      <c r="F3161" s="11">
        <f t="shared" si="197"/>
        <v>3</v>
      </c>
      <c r="G3161" s="11" t="str">
        <f t="shared" si="198"/>
        <v>202603</v>
      </c>
      <c r="I3161" s="5">
        <v>9999</v>
      </c>
      <c r="J3161" s="5">
        <v>333.3</v>
      </c>
      <c r="K3161" s="5">
        <f t="shared" si="199"/>
        <v>0</v>
      </c>
      <c r="L3161" s="5">
        <v>0</v>
      </c>
      <c r="M3161" s="5">
        <v>0</v>
      </c>
      <c r="N3161" t="s">
        <v>9</v>
      </c>
      <c r="O3161" s="8">
        <v>18.416438356164385</v>
      </c>
      <c r="P3161" t="s">
        <v>32</v>
      </c>
      <c r="Q3161">
        <v>1</v>
      </c>
      <c r="R3161" s="2">
        <v>39386</v>
      </c>
    </row>
    <row r="3162" spans="1:18" x14ac:dyDescent="0.3">
      <c r="A3162" t="s">
        <v>7</v>
      </c>
      <c r="B3162">
        <v>19012599</v>
      </c>
      <c r="C3162" t="s">
        <v>8</v>
      </c>
      <c r="D3162" s="4">
        <v>46108</v>
      </c>
      <c r="E3162" s="11">
        <f t="shared" si="196"/>
        <v>2026</v>
      </c>
      <c r="F3162" s="11">
        <f t="shared" si="197"/>
        <v>3</v>
      </c>
      <c r="G3162" s="11" t="str">
        <f t="shared" si="198"/>
        <v>202603</v>
      </c>
      <c r="I3162" s="5">
        <v>9999</v>
      </c>
      <c r="J3162" s="5">
        <v>333.3</v>
      </c>
      <c r="K3162" s="5">
        <f t="shared" si="199"/>
        <v>0</v>
      </c>
      <c r="L3162" s="5">
        <v>0</v>
      </c>
      <c r="M3162" s="5">
        <v>0</v>
      </c>
      <c r="N3162" t="s">
        <v>9</v>
      </c>
      <c r="O3162" s="8">
        <v>20.164383561643834</v>
      </c>
      <c r="P3162" t="s">
        <v>32</v>
      </c>
      <c r="Q3162">
        <v>1</v>
      </c>
      <c r="R3162" s="2">
        <v>38748</v>
      </c>
    </row>
    <row r="3163" spans="1:18" x14ac:dyDescent="0.3">
      <c r="A3163" t="s">
        <v>7</v>
      </c>
      <c r="B3163">
        <v>19012621</v>
      </c>
      <c r="C3163" t="s">
        <v>10</v>
      </c>
      <c r="D3163" s="4">
        <v>46157</v>
      </c>
      <c r="E3163" s="11">
        <f t="shared" si="196"/>
        <v>2026</v>
      </c>
      <c r="F3163" s="11">
        <f t="shared" si="197"/>
        <v>5</v>
      </c>
      <c r="G3163" s="11" t="str">
        <f t="shared" si="198"/>
        <v>202605</v>
      </c>
      <c r="I3163" s="5">
        <v>9999</v>
      </c>
      <c r="J3163" s="5">
        <v>333.3</v>
      </c>
      <c r="K3163" s="5">
        <f t="shared" si="199"/>
        <v>0</v>
      </c>
      <c r="L3163" s="5">
        <v>0</v>
      </c>
      <c r="M3163" s="5">
        <v>0</v>
      </c>
      <c r="N3163" t="s">
        <v>9</v>
      </c>
      <c r="O3163" s="8">
        <v>20.126027397260273</v>
      </c>
      <c r="P3163" t="s">
        <v>32</v>
      </c>
      <c r="Q3163">
        <v>1</v>
      </c>
      <c r="R3163" s="2">
        <v>38811</v>
      </c>
    </row>
    <row r="3164" spans="1:18" x14ac:dyDescent="0.3">
      <c r="A3164" t="s">
        <v>7</v>
      </c>
      <c r="B3164">
        <v>19012830</v>
      </c>
      <c r="C3164" t="s">
        <v>10</v>
      </c>
      <c r="D3164" s="4">
        <v>46108</v>
      </c>
      <c r="E3164" s="11">
        <f t="shared" si="196"/>
        <v>2026</v>
      </c>
      <c r="F3164" s="11">
        <f t="shared" si="197"/>
        <v>3</v>
      </c>
      <c r="G3164" s="11" t="str">
        <f t="shared" si="198"/>
        <v>202603</v>
      </c>
      <c r="I3164" s="5">
        <v>9999</v>
      </c>
      <c r="J3164" s="5">
        <v>333.3</v>
      </c>
      <c r="K3164" s="5">
        <f t="shared" si="199"/>
        <v>0</v>
      </c>
      <c r="L3164" s="5">
        <v>0</v>
      </c>
      <c r="M3164" s="5">
        <v>0</v>
      </c>
      <c r="N3164" t="s">
        <v>9</v>
      </c>
      <c r="O3164" s="8">
        <v>23.512328767123286</v>
      </c>
      <c r="P3164" t="s">
        <v>33</v>
      </c>
      <c r="Q3164">
        <v>2</v>
      </c>
      <c r="R3164" s="2">
        <v>37526</v>
      </c>
    </row>
    <row r="3165" spans="1:18" x14ac:dyDescent="0.3">
      <c r="A3165" t="s">
        <v>7</v>
      </c>
      <c r="B3165">
        <v>19012837</v>
      </c>
      <c r="C3165" t="s">
        <v>8</v>
      </c>
      <c r="D3165" s="4">
        <v>46108</v>
      </c>
      <c r="E3165" s="11">
        <f t="shared" si="196"/>
        <v>2026</v>
      </c>
      <c r="F3165" s="11">
        <f t="shared" si="197"/>
        <v>3</v>
      </c>
      <c r="G3165" s="11" t="str">
        <f t="shared" si="198"/>
        <v>202603</v>
      </c>
      <c r="I3165" s="5">
        <v>9999</v>
      </c>
      <c r="J3165" s="5">
        <v>333.3</v>
      </c>
      <c r="K3165" s="5">
        <f t="shared" si="199"/>
        <v>0</v>
      </c>
      <c r="L3165" s="5">
        <v>0</v>
      </c>
      <c r="M3165" s="5">
        <v>0</v>
      </c>
      <c r="N3165" t="s">
        <v>9</v>
      </c>
      <c r="O3165" s="8">
        <v>19.041095890410958</v>
      </c>
      <c r="P3165" t="s">
        <v>32</v>
      </c>
      <c r="Q3165">
        <v>1</v>
      </c>
      <c r="R3165" s="2">
        <v>39158</v>
      </c>
    </row>
    <row r="3166" spans="1:18" x14ac:dyDescent="0.3">
      <c r="A3166" t="s">
        <v>7</v>
      </c>
      <c r="B3166">
        <v>19012838</v>
      </c>
      <c r="C3166" t="s">
        <v>10</v>
      </c>
      <c r="D3166" s="4">
        <v>46108</v>
      </c>
      <c r="E3166" s="11">
        <f t="shared" si="196"/>
        <v>2026</v>
      </c>
      <c r="F3166" s="11">
        <f t="shared" si="197"/>
        <v>3</v>
      </c>
      <c r="G3166" s="11" t="str">
        <f t="shared" si="198"/>
        <v>202603</v>
      </c>
      <c r="I3166" s="5">
        <v>9999</v>
      </c>
      <c r="J3166" s="5">
        <v>333.3</v>
      </c>
      <c r="K3166" s="5">
        <f t="shared" si="199"/>
        <v>0</v>
      </c>
      <c r="L3166" s="5">
        <v>0</v>
      </c>
      <c r="M3166" s="5">
        <v>0</v>
      </c>
      <c r="N3166" t="s">
        <v>9</v>
      </c>
      <c r="O3166" s="8">
        <v>22.827397260273973</v>
      </c>
      <c r="P3166" t="s">
        <v>33</v>
      </c>
      <c r="Q3166">
        <v>2</v>
      </c>
      <c r="R3166" s="2">
        <v>37776</v>
      </c>
    </row>
    <row r="3167" spans="1:18" x14ac:dyDescent="0.3">
      <c r="A3167" t="s">
        <v>7</v>
      </c>
      <c r="B3167">
        <v>19012844</v>
      </c>
      <c r="C3167" t="s">
        <v>10</v>
      </c>
      <c r="D3167" s="4">
        <v>46111</v>
      </c>
      <c r="E3167" s="11">
        <f t="shared" si="196"/>
        <v>2026</v>
      </c>
      <c r="F3167" s="11">
        <f t="shared" si="197"/>
        <v>3</v>
      </c>
      <c r="G3167" s="11" t="str">
        <f t="shared" si="198"/>
        <v>202603</v>
      </c>
      <c r="I3167" s="5">
        <v>9999</v>
      </c>
      <c r="J3167" s="5">
        <v>333.3</v>
      </c>
      <c r="K3167" s="5">
        <f t="shared" si="199"/>
        <v>0</v>
      </c>
      <c r="L3167" s="5">
        <v>0</v>
      </c>
      <c r="M3167" s="5">
        <v>0</v>
      </c>
      <c r="N3167" t="s">
        <v>9</v>
      </c>
      <c r="O3167" s="8">
        <v>19.745205479452054</v>
      </c>
      <c r="P3167" t="s">
        <v>32</v>
      </c>
      <c r="Q3167">
        <v>1</v>
      </c>
      <c r="R3167" s="2">
        <v>38904</v>
      </c>
    </row>
    <row r="3168" spans="1:18" x14ac:dyDescent="0.3">
      <c r="A3168" t="s">
        <v>7</v>
      </c>
      <c r="B3168">
        <v>19012845</v>
      </c>
      <c r="C3168" t="s">
        <v>8</v>
      </c>
      <c r="D3168" s="4">
        <v>46111</v>
      </c>
      <c r="E3168" s="11">
        <f t="shared" si="196"/>
        <v>2026</v>
      </c>
      <c r="F3168" s="11">
        <f t="shared" si="197"/>
        <v>3</v>
      </c>
      <c r="G3168" s="11" t="str">
        <f t="shared" si="198"/>
        <v>202603</v>
      </c>
      <c r="I3168" s="5">
        <v>9999</v>
      </c>
      <c r="J3168" s="5">
        <v>333.3</v>
      </c>
      <c r="K3168" s="5">
        <f t="shared" si="199"/>
        <v>0</v>
      </c>
      <c r="L3168" s="5">
        <v>0</v>
      </c>
      <c r="M3168" s="5">
        <v>0</v>
      </c>
      <c r="N3168" t="s">
        <v>9</v>
      </c>
      <c r="O3168" s="8">
        <v>19.041095890410958</v>
      </c>
      <c r="P3168" t="s">
        <v>32</v>
      </c>
      <c r="Q3168">
        <v>1</v>
      </c>
      <c r="R3168" s="2">
        <v>39161</v>
      </c>
    </row>
    <row r="3169" spans="1:18" x14ac:dyDescent="0.3">
      <c r="A3169" t="s">
        <v>7</v>
      </c>
      <c r="B3169">
        <v>19012846</v>
      </c>
      <c r="C3169" t="s">
        <v>8</v>
      </c>
      <c r="D3169" s="4">
        <v>46111</v>
      </c>
      <c r="E3169" s="11">
        <f t="shared" si="196"/>
        <v>2026</v>
      </c>
      <c r="F3169" s="11">
        <f t="shared" si="197"/>
        <v>3</v>
      </c>
      <c r="G3169" s="11" t="str">
        <f t="shared" si="198"/>
        <v>202603</v>
      </c>
      <c r="I3169" s="5">
        <v>9999</v>
      </c>
      <c r="J3169" s="5">
        <v>333.3</v>
      </c>
      <c r="K3169" s="5">
        <f t="shared" si="199"/>
        <v>0</v>
      </c>
      <c r="L3169" s="5">
        <v>0</v>
      </c>
      <c r="M3169" s="5">
        <v>0</v>
      </c>
      <c r="N3169" t="s">
        <v>9</v>
      </c>
      <c r="O3169" s="8">
        <v>31.605479452054794</v>
      </c>
      <c r="P3169" t="s">
        <v>35</v>
      </c>
      <c r="Q3169">
        <v>4</v>
      </c>
      <c r="R3169" s="2">
        <v>34575</v>
      </c>
    </row>
    <row r="3170" spans="1:18" x14ac:dyDescent="0.3">
      <c r="A3170" t="s">
        <v>7</v>
      </c>
      <c r="B3170">
        <v>19012847</v>
      </c>
      <c r="C3170" t="s">
        <v>8</v>
      </c>
      <c r="D3170" s="4">
        <v>46111</v>
      </c>
      <c r="E3170" s="11">
        <f t="shared" si="196"/>
        <v>2026</v>
      </c>
      <c r="F3170" s="11">
        <f t="shared" si="197"/>
        <v>3</v>
      </c>
      <c r="G3170" s="11" t="str">
        <f t="shared" si="198"/>
        <v>202603</v>
      </c>
      <c r="I3170" s="5">
        <v>9999</v>
      </c>
      <c r="J3170" s="5">
        <v>333.3</v>
      </c>
      <c r="K3170" s="5">
        <f t="shared" si="199"/>
        <v>0</v>
      </c>
      <c r="L3170" s="5">
        <v>0</v>
      </c>
      <c r="M3170" s="5">
        <v>0</v>
      </c>
      <c r="N3170" t="s">
        <v>9</v>
      </c>
      <c r="O3170" s="8">
        <v>19.334246575342465</v>
      </c>
      <c r="P3170" t="s">
        <v>32</v>
      </c>
      <c r="Q3170">
        <v>1</v>
      </c>
      <c r="R3170" s="2">
        <v>39054</v>
      </c>
    </row>
    <row r="3171" spans="1:18" x14ac:dyDescent="0.3">
      <c r="A3171" t="s">
        <v>7</v>
      </c>
      <c r="B3171">
        <v>19012848</v>
      </c>
      <c r="C3171" t="s">
        <v>8</v>
      </c>
      <c r="D3171" s="4">
        <v>46111</v>
      </c>
      <c r="E3171" s="11">
        <f t="shared" si="196"/>
        <v>2026</v>
      </c>
      <c r="F3171" s="11">
        <f t="shared" si="197"/>
        <v>3</v>
      </c>
      <c r="G3171" s="11" t="str">
        <f t="shared" si="198"/>
        <v>202603</v>
      </c>
      <c r="I3171" s="5">
        <v>9999</v>
      </c>
      <c r="J3171" s="5">
        <v>333.3</v>
      </c>
      <c r="K3171" s="5">
        <f t="shared" si="199"/>
        <v>0</v>
      </c>
      <c r="L3171" s="5">
        <v>0</v>
      </c>
      <c r="M3171" s="5">
        <v>0</v>
      </c>
      <c r="N3171" t="s">
        <v>9</v>
      </c>
      <c r="O3171" s="8">
        <v>19.452054794520549</v>
      </c>
      <c r="P3171" t="s">
        <v>32</v>
      </c>
      <c r="Q3171">
        <v>1</v>
      </c>
      <c r="R3171" s="2">
        <v>39011</v>
      </c>
    </row>
    <row r="3172" spans="1:18" x14ac:dyDescent="0.3">
      <c r="A3172" t="s">
        <v>7</v>
      </c>
      <c r="B3172">
        <v>19012849</v>
      </c>
      <c r="C3172" t="s">
        <v>8</v>
      </c>
      <c r="D3172" s="4">
        <v>46111</v>
      </c>
      <c r="E3172" s="11">
        <f t="shared" si="196"/>
        <v>2026</v>
      </c>
      <c r="F3172" s="11">
        <f t="shared" si="197"/>
        <v>3</v>
      </c>
      <c r="G3172" s="11" t="str">
        <f t="shared" si="198"/>
        <v>202603</v>
      </c>
      <c r="I3172" s="5">
        <v>9999</v>
      </c>
      <c r="J3172" s="5">
        <v>333.3</v>
      </c>
      <c r="K3172" s="5">
        <f t="shared" si="199"/>
        <v>0</v>
      </c>
      <c r="L3172" s="5">
        <v>0</v>
      </c>
      <c r="M3172" s="5">
        <v>0</v>
      </c>
      <c r="N3172" t="s">
        <v>9</v>
      </c>
      <c r="O3172" s="8">
        <v>25.964383561643835</v>
      </c>
      <c r="P3172" t="s">
        <v>33</v>
      </c>
      <c r="Q3172">
        <v>2</v>
      </c>
      <c r="R3172" s="2">
        <v>36634</v>
      </c>
    </row>
    <row r="3173" spans="1:18" x14ac:dyDescent="0.3">
      <c r="A3173" t="s">
        <v>7</v>
      </c>
      <c r="B3173">
        <v>19012873</v>
      </c>
      <c r="C3173" t="s">
        <v>10</v>
      </c>
      <c r="D3173" s="4">
        <v>46111</v>
      </c>
      <c r="E3173" s="11">
        <f t="shared" si="196"/>
        <v>2026</v>
      </c>
      <c r="F3173" s="11">
        <f t="shared" si="197"/>
        <v>3</v>
      </c>
      <c r="G3173" s="11" t="str">
        <f t="shared" si="198"/>
        <v>202603</v>
      </c>
      <c r="I3173" s="5">
        <v>9999</v>
      </c>
      <c r="J3173" s="5">
        <v>333.3</v>
      </c>
      <c r="K3173" s="5">
        <f t="shared" si="199"/>
        <v>0</v>
      </c>
      <c r="L3173" s="5">
        <v>0</v>
      </c>
      <c r="M3173" s="5">
        <v>0</v>
      </c>
      <c r="N3173" t="s">
        <v>12</v>
      </c>
      <c r="O3173" s="8">
        <v>27.589041095890412</v>
      </c>
      <c r="P3173" t="s">
        <v>34</v>
      </c>
      <c r="Q3173">
        <v>3</v>
      </c>
      <c r="R3173" s="2">
        <v>36041</v>
      </c>
    </row>
    <row r="3174" spans="1:18" x14ac:dyDescent="0.3">
      <c r="A3174" t="s">
        <v>7</v>
      </c>
      <c r="B3174">
        <v>19012887</v>
      </c>
      <c r="C3174" t="s">
        <v>8</v>
      </c>
      <c r="D3174" s="4">
        <v>46111</v>
      </c>
      <c r="E3174" s="11">
        <f t="shared" si="196"/>
        <v>2026</v>
      </c>
      <c r="F3174" s="11">
        <f t="shared" si="197"/>
        <v>3</v>
      </c>
      <c r="G3174" s="11" t="str">
        <f t="shared" si="198"/>
        <v>202603</v>
      </c>
      <c r="H3174" s="4">
        <v>46151</v>
      </c>
      <c r="I3174" s="5">
        <v>40</v>
      </c>
      <c r="J3174" s="5">
        <v>1.3333333333333333</v>
      </c>
      <c r="K3174" s="5">
        <f t="shared" si="199"/>
        <v>0</v>
      </c>
      <c r="L3174" s="5">
        <v>1</v>
      </c>
      <c r="M3174" s="5">
        <v>1</v>
      </c>
      <c r="N3174" t="s">
        <v>9</v>
      </c>
      <c r="O3174" s="8">
        <v>22.654794520547945</v>
      </c>
      <c r="P3174" t="s">
        <v>33</v>
      </c>
      <c r="Q3174">
        <v>2</v>
      </c>
      <c r="R3174" s="2">
        <v>37842</v>
      </c>
    </row>
    <row r="3175" spans="1:18" x14ac:dyDescent="0.3">
      <c r="A3175" t="s">
        <v>7</v>
      </c>
      <c r="B3175">
        <v>19012888</v>
      </c>
      <c r="C3175" t="s">
        <v>8</v>
      </c>
      <c r="D3175" s="4">
        <v>46111</v>
      </c>
      <c r="E3175" s="11">
        <f t="shared" si="196"/>
        <v>2026</v>
      </c>
      <c r="F3175" s="11">
        <f t="shared" si="197"/>
        <v>3</v>
      </c>
      <c r="G3175" s="11" t="str">
        <f t="shared" si="198"/>
        <v>202603</v>
      </c>
      <c r="I3175" s="5">
        <v>9999</v>
      </c>
      <c r="J3175" s="5">
        <v>333.3</v>
      </c>
      <c r="K3175" s="5">
        <f t="shared" si="199"/>
        <v>0</v>
      </c>
      <c r="L3175" s="5">
        <v>0</v>
      </c>
      <c r="M3175" s="5">
        <v>0</v>
      </c>
      <c r="N3175" t="s">
        <v>9</v>
      </c>
      <c r="O3175" s="8">
        <v>18.082191780821919</v>
      </c>
      <c r="P3175" t="s">
        <v>32</v>
      </c>
      <c r="Q3175">
        <v>1</v>
      </c>
      <c r="R3175" s="2">
        <v>39511</v>
      </c>
    </row>
    <row r="3176" spans="1:18" x14ac:dyDescent="0.3">
      <c r="A3176" t="s">
        <v>7</v>
      </c>
      <c r="B3176">
        <v>19012891</v>
      </c>
      <c r="C3176" t="s">
        <v>8</v>
      </c>
      <c r="D3176" s="4">
        <v>46111</v>
      </c>
      <c r="E3176" s="11">
        <f t="shared" si="196"/>
        <v>2026</v>
      </c>
      <c r="F3176" s="11">
        <f t="shared" si="197"/>
        <v>3</v>
      </c>
      <c r="G3176" s="11" t="str">
        <f t="shared" si="198"/>
        <v>202603</v>
      </c>
      <c r="I3176" s="5">
        <v>9999</v>
      </c>
      <c r="J3176" s="5">
        <v>333.3</v>
      </c>
      <c r="K3176" s="5">
        <f t="shared" si="199"/>
        <v>0</v>
      </c>
      <c r="L3176" s="5">
        <v>0</v>
      </c>
      <c r="M3176" s="5">
        <v>0</v>
      </c>
      <c r="N3176" t="s">
        <v>9</v>
      </c>
      <c r="O3176" s="8">
        <v>19.221917808219178</v>
      </c>
      <c r="P3176" t="s">
        <v>32</v>
      </c>
      <c r="Q3176">
        <v>1</v>
      </c>
      <c r="R3176" s="2">
        <v>39095</v>
      </c>
    </row>
    <row r="3177" spans="1:18" x14ac:dyDescent="0.3">
      <c r="A3177" t="s">
        <v>7</v>
      </c>
      <c r="B3177">
        <v>19012923</v>
      </c>
      <c r="C3177" t="s">
        <v>8</v>
      </c>
      <c r="D3177" s="4">
        <v>46111</v>
      </c>
      <c r="E3177" s="11">
        <f t="shared" si="196"/>
        <v>2026</v>
      </c>
      <c r="F3177" s="11">
        <f t="shared" si="197"/>
        <v>3</v>
      </c>
      <c r="G3177" s="11" t="str">
        <f t="shared" si="198"/>
        <v>202603</v>
      </c>
      <c r="H3177" s="4">
        <v>46173</v>
      </c>
      <c r="I3177" s="5">
        <v>62</v>
      </c>
      <c r="J3177" s="5">
        <v>2.0666666666666669</v>
      </c>
      <c r="K3177" s="5">
        <f t="shared" si="199"/>
        <v>0</v>
      </c>
      <c r="L3177" s="5">
        <v>1</v>
      </c>
      <c r="M3177" s="5">
        <v>1</v>
      </c>
      <c r="N3177" t="s">
        <v>9</v>
      </c>
      <c r="O3177" s="8">
        <v>19.172602739726027</v>
      </c>
      <c r="P3177" t="s">
        <v>32</v>
      </c>
      <c r="Q3177">
        <v>1</v>
      </c>
      <c r="R3177" s="2">
        <v>39113</v>
      </c>
    </row>
    <row r="3178" spans="1:18" x14ac:dyDescent="0.3">
      <c r="A3178" t="s">
        <v>7</v>
      </c>
      <c r="B3178">
        <v>19012924</v>
      </c>
      <c r="C3178" t="s">
        <v>8</v>
      </c>
      <c r="D3178" s="4">
        <v>46111</v>
      </c>
      <c r="E3178" s="11">
        <f t="shared" si="196"/>
        <v>2026</v>
      </c>
      <c r="F3178" s="11">
        <f t="shared" si="197"/>
        <v>3</v>
      </c>
      <c r="G3178" s="11" t="str">
        <f t="shared" si="198"/>
        <v>202603</v>
      </c>
      <c r="I3178" s="5">
        <v>9999</v>
      </c>
      <c r="J3178" s="5">
        <v>333.3</v>
      </c>
      <c r="K3178" s="5">
        <f t="shared" si="199"/>
        <v>0</v>
      </c>
      <c r="L3178" s="5">
        <v>0</v>
      </c>
      <c r="M3178" s="5">
        <v>0</v>
      </c>
      <c r="N3178" t="s">
        <v>9</v>
      </c>
      <c r="O3178" s="8">
        <v>21.208219178082192</v>
      </c>
      <c r="P3178" t="s">
        <v>33</v>
      </c>
      <c r="Q3178">
        <v>2</v>
      </c>
      <c r="R3178" s="2">
        <v>38370</v>
      </c>
    </row>
    <row r="3179" spans="1:18" x14ac:dyDescent="0.3">
      <c r="A3179" t="s">
        <v>7</v>
      </c>
      <c r="B3179">
        <v>19012928</v>
      </c>
      <c r="C3179" t="s">
        <v>8</v>
      </c>
      <c r="D3179" s="4">
        <v>46111</v>
      </c>
      <c r="E3179" s="11">
        <f t="shared" si="196"/>
        <v>2026</v>
      </c>
      <c r="F3179" s="11">
        <f t="shared" si="197"/>
        <v>3</v>
      </c>
      <c r="G3179" s="11" t="str">
        <f t="shared" si="198"/>
        <v>202603</v>
      </c>
      <c r="I3179" s="5">
        <v>9999</v>
      </c>
      <c r="J3179" s="5">
        <v>333.3</v>
      </c>
      <c r="K3179" s="5">
        <f t="shared" si="199"/>
        <v>0</v>
      </c>
      <c r="L3179" s="5">
        <v>0</v>
      </c>
      <c r="M3179" s="5">
        <v>0</v>
      </c>
      <c r="N3179" t="s">
        <v>9</v>
      </c>
      <c r="O3179" s="8">
        <v>20.175342465753424</v>
      </c>
      <c r="P3179" t="s">
        <v>32</v>
      </c>
      <c r="Q3179">
        <v>1</v>
      </c>
      <c r="R3179" s="2">
        <v>38747</v>
      </c>
    </row>
    <row r="3180" spans="1:18" x14ac:dyDescent="0.3">
      <c r="A3180" t="s">
        <v>7</v>
      </c>
      <c r="B3180">
        <v>19013062</v>
      </c>
      <c r="C3180" t="s">
        <v>8</v>
      </c>
      <c r="D3180" s="4">
        <v>46111</v>
      </c>
      <c r="E3180" s="11">
        <f t="shared" si="196"/>
        <v>2026</v>
      </c>
      <c r="F3180" s="11">
        <f t="shared" si="197"/>
        <v>3</v>
      </c>
      <c r="G3180" s="11" t="str">
        <f t="shared" si="198"/>
        <v>202603</v>
      </c>
      <c r="H3180" s="4">
        <v>46142</v>
      </c>
      <c r="I3180" s="5">
        <v>31</v>
      </c>
      <c r="J3180" s="5">
        <v>1.0333333333333334</v>
      </c>
      <c r="K3180" s="5">
        <f t="shared" si="199"/>
        <v>0</v>
      </c>
      <c r="L3180" s="5">
        <v>1</v>
      </c>
      <c r="M3180" s="5">
        <v>1</v>
      </c>
      <c r="N3180" t="s">
        <v>12</v>
      </c>
      <c r="O3180" s="8">
        <v>26.356164383561644</v>
      </c>
      <c r="P3180" t="s">
        <v>34</v>
      </c>
      <c r="Q3180">
        <v>3</v>
      </c>
      <c r="R3180" s="2">
        <v>36491</v>
      </c>
    </row>
    <row r="3181" spans="1:18" x14ac:dyDescent="0.3">
      <c r="A3181" t="s">
        <v>7</v>
      </c>
      <c r="B3181">
        <v>19013065</v>
      </c>
      <c r="C3181" t="s">
        <v>8</v>
      </c>
      <c r="D3181" s="4">
        <v>46111</v>
      </c>
      <c r="E3181" s="11">
        <f t="shared" si="196"/>
        <v>2026</v>
      </c>
      <c r="F3181" s="11">
        <f t="shared" si="197"/>
        <v>3</v>
      </c>
      <c r="G3181" s="11" t="str">
        <f t="shared" si="198"/>
        <v>202603</v>
      </c>
      <c r="H3181" s="4">
        <v>46155</v>
      </c>
      <c r="I3181" s="5">
        <v>44</v>
      </c>
      <c r="J3181" s="5">
        <v>1.4666666666666666</v>
      </c>
      <c r="K3181" s="5">
        <f t="shared" si="199"/>
        <v>0</v>
      </c>
      <c r="L3181" s="5">
        <v>1</v>
      </c>
      <c r="M3181" s="5">
        <v>1</v>
      </c>
      <c r="N3181" t="s">
        <v>12</v>
      </c>
      <c r="O3181" s="8">
        <v>18.769863013698629</v>
      </c>
      <c r="P3181" t="s">
        <v>32</v>
      </c>
      <c r="Q3181">
        <v>1</v>
      </c>
      <c r="R3181" s="2">
        <v>39260</v>
      </c>
    </row>
    <row r="3182" spans="1:18" x14ac:dyDescent="0.3">
      <c r="A3182" t="s">
        <v>7</v>
      </c>
      <c r="B3182">
        <v>19013120</v>
      </c>
      <c r="C3182" t="s">
        <v>8</v>
      </c>
      <c r="D3182" s="4">
        <v>46111</v>
      </c>
      <c r="E3182" s="11">
        <f t="shared" si="196"/>
        <v>2026</v>
      </c>
      <c r="F3182" s="11">
        <f t="shared" si="197"/>
        <v>3</v>
      </c>
      <c r="G3182" s="11" t="str">
        <f t="shared" si="198"/>
        <v>202603</v>
      </c>
      <c r="I3182" s="5">
        <v>9999</v>
      </c>
      <c r="J3182" s="5">
        <v>333.3</v>
      </c>
      <c r="K3182" s="5">
        <f t="shared" si="199"/>
        <v>0</v>
      </c>
      <c r="L3182" s="5">
        <v>0</v>
      </c>
      <c r="M3182" s="5">
        <v>0</v>
      </c>
      <c r="N3182" t="s">
        <v>9</v>
      </c>
      <c r="O3182" s="8">
        <v>20.139726027397259</v>
      </c>
      <c r="P3182" t="s">
        <v>32</v>
      </c>
      <c r="Q3182">
        <v>1</v>
      </c>
      <c r="R3182" s="2">
        <v>38760</v>
      </c>
    </row>
    <row r="3183" spans="1:18" x14ac:dyDescent="0.3">
      <c r="A3183" t="s">
        <v>7</v>
      </c>
      <c r="B3183">
        <v>19013130</v>
      </c>
      <c r="C3183" t="s">
        <v>10</v>
      </c>
      <c r="D3183" s="4">
        <v>46111</v>
      </c>
      <c r="E3183" s="11">
        <f t="shared" si="196"/>
        <v>2026</v>
      </c>
      <c r="F3183" s="11">
        <f t="shared" si="197"/>
        <v>3</v>
      </c>
      <c r="G3183" s="11" t="str">
        <f t="shared" si="198"/>
        <v>202603</v>
      </c>
      <c r="H3183" s="4">
        <v>46144</v>
      </c>
      <c r="I3183" s="5">
        <v>33</v>
      </c>
      <c r="J3183" s="5">
        <v>1.1000000000000001</v>
      </c>
      <c r="K3183" s="5">
        <f t="shared" si="199"/>
        <v>0</v>
      </c>
      <c r="L3183" s="5">
        <v>1</v>
      </c>
      <c r="M3183" s="5">
        <v>1</v>
      </c>
      <c r="N3183" t="s">
        <v>9</v>
      </c>
      <c r="O3183" s="8">
        <v>20.457534246575342</v>
      </c>
      <c r="P3183" t="s">
        <v>32</v>
      </c>
      <c r="Q3183">
        <v>1</v>
      </c>
      <c r="R3183" s="2">
        <v>38644</v>
      </c>
    </row>
    <row r="3184" spans="1:18" x14ac:dyDescent="0.3">
      <c r="A3184" t="s">
        <v>7</v>
      </c>
      <c r="B3184">
        <v>19013287</v>
      </c>
      <c r="C3184" t="s">
        <v>8</v>
      </c>
      <c r="D3184" s="4">
        <v>46111</v>
      </c>
      <c r="E3184" s="11">
        <f t="shared" si="196"/>
        <v>2026</v>
      </c>
      <c r="F3184" s="11">
        <f t="shared" si="197"/>
        <v>3</v>
      </c>
      <c r="G3184" s="11" t="str">
        <f t="shared" si="198"/>
        <v>202603</v>
      </c>
      <c r="I3184" s="5">
        <v>9999</v>
      </c>
      <c r="J3184" s="5">
        <v>333.3</v>
      </c>
      <c r="K3184" s="5">
        <f t="shared" si="199"/>
        <v>0</v>
      </c>
      <c r="L3184" s="5">
        <v>0</v>
      </c>
      <c r="M3184" s="5">
        <v>0</v>
      </c>
      <c r="N3184" t="s">
        <v>9</v>
      </c>
      <c r="O3184" s="8">
        <v>19.958904109589042</v>
      </c>
      <c r="P3184" t="s">
        <v>32</v>
      </c>
      <c r="Q3184">
        <v>1</v>
      </c>
      <c r="R3184" s="2">
        <v>38826</v>
      </c>
    </row>
    <row r="3185" spans="1:18" x14ac:dyDescent="0.3">
      <c r="A3185" t="s">
        <v>7</v>
      </c>
      <c r="B3185">
        <v>19013365</v>
      </c>
      <c r="C3185" t="s">
        <v>8</v>
      </c>
      <c r="D3185" s="4">
        <v>46112</v>
      </c>
      <c r="E3185" s="11">
        <f t="shared" si="196"/>
        <v>2026</v>
      </c>
      <c r="F3185" s="11">
        <f t="shared" si="197"/>
        <v>3</v>
      </c>
      <c r="G3185" s="11" t="str">
        <f t="shared" si="198"/>
        <v>202603</v>
      </c>
      <c r="I3185" s="5">
        <v>9999</v>
      </c>
      <c r="J3185" s="5">
        <v>333.3</v>
      </c>
      <c r="K3185" s="5">
        <f t="shared" si="199"/>
        <v>0</v>
      </c>
      <c r="L3185" s="5">
        <v>0</v>
      </c>
      <c r="M3185" s="5">
        <v>0</v>
      </c>
      <c r="N3185" t="s">
        <v>9</v>
      </c>
      <c r="O3185" s="8">
        <v>37.753424657534246</v>
      </c>
      <c r="P3185" t="s">
        <v>35</v>
      </c>
      <c r="Q3185">
        <v>4</v>
      </c>
      <c r="R3185" s="2">
        <v>32332</v>
      </c>
    </row>
    <row r="3186" spans="1:18" x14ac:dyDescent="0.3">
      <c r="A3186" t="s">
        <v>7</v>
      </c>
      <c r="B3186">
        <v>19013372</v>
      </c>
      <c r="C3186" t="s">
        <v>10</v>
      </c>
      <c r="D3186" s="4">
        <v>46112</v>
      </c>
      <c r="E3186" s="11">
        <f t="shared" si="196"/>
        <v>2026</v>
      </c>
      <c r="F3186" s="11">
        <f t="shared" si="197"/>
        <v>3</v>
      </c>
      <c r="G3186" s="11" t="str">
        <f t="shared" si="198"/>
        <v>202603</v>
      </c>
      <c r="I3186" s="5">
        <v>9999</v>
      </c>
      <c r="J3186" s="5">
        <v>333.3</v>
      </c>
      <c r="K3186" s="5">
        <f t="shared" si="199"/>
        <v>0</v>
      </c>
      <c r="L3186" s="5">
        <v>0</v>
      </c>
      <c r="M3186" s="5">
        <v>0</v>
      </c>
      <c r="N3186" t="s">
        <v>9</v>
      </c>
      <c r="O3186" s="8">
        <v>23.342465753424658</v>
      </c>
      <c r="P3186" t="s">
        <v>33</v>
      </c>
      <c r="Q3186">
        <v>2</v>
      </c>
      <c r="R3186" s="2">
        <v>37592</v>
      </c>
    </row>
    <row r="3187" spans="1:18" x14ac:dyDescent="0.3">
      <c r="A3187" t="s">
        <v>7</v>
      </c>
      <c r="B3187">
        <v>19013381</v>
      </c>
      <c r="C3187" t="s">
        <v>8</v>
      </c>
      <c r="D3187" s="4">
        <v>46112</v>
      </c>
      <c r="E3187" s="11">
        <f t="shared" si="196"/>
        <v>2026</v>
      </c>
      <c r="F3187" s="11">
        <f t="shared" si="197"/>
        <v>3</v>
      </c>
      <c r="G3187" s="11" t="str">
        <f t="shared" si="198"/>
        <v>202603</v>
      </c>
      <c r="H3187" s="4">
        <v>46125</v>
      </c>
      <c r="I3187" s="5">
        <v>13</v>
      </c>
      <c r="J3187" s="5">
        <v>0.43333333333333335</v>
      </c>
      <c r="K3187" s="5">
        <f t="shared" si="199"/>
        <v>1</v>
      </c>
      <c r="L3187" s="5">
        <v>1</v>
      </c>
      <c r="M3187" s="5">
        <v>1</v>
      </c>
      <c r="N3187" t="s">
        <v>12</v>
      </c>
      <c r="O3187" s="8">
        <v>20.482191780821918</v>
      </c>
      <c r="P3187" t="s">
        <v>32</v>
      </c>
      <c r="Q3187">
        <v>1</v>
      </c>
      <c r="R3187" s="2">
        <v>38636</v>
      </c>
    </row>
    <row r="3188" spans="1:18" x14ac:dyDescent="0.3">
      <c r="A3188" t="s">
        <v>7</v>
      </c>
      <c r="B3188">
        <v>19013382</v>
      </c>
      <c r="C3188" t="s">
        <v>8</v>
      </c>
      <c r="D3188" s="4">
        <v>46112</v>
      </c>
      <c r="E3188" s="11">
        <f t="shared" si="196"/>
        <v>2026</v>
      </c>
      <c r="F3188" s="11">
        <f t="shared" si="197"/>
        <v>3</v>
      </c>
      <c r="G3188" s="11" t="str">
        <f t="shared" si="198"/>
        <v>202603</v>
      </c>
      <c r="I3188" s="5">
        <v>9999</v>
      </c>
      <c r="J3188" s="5">
        <v>333.3</v>
      </c>
      <c r="K3188" s="5">
        <f t="shared" si="199"/>
        <v>0</v>
      </c>
      <c r="L3188" s="5">
        <v>0</v>
      </c>
      <c r="M3188" s="5">
        <v>0</v>
      </c>
      <c r="N3188" t="s">
        <v>12</v>
      </c>
      <c r="O3188" s="8">
        <v>21.227397260273971</v>
      </c>
      <c r="P3188" t="s">
        <v>33</v>
      </c>
      <c r="Q3188">
        <v>2</v>
      </c>
      <c r="R3188" s="2">
        <v>38364</v>
      </c>
    </row>
    <row r="3189" spans="1:18" x14ac:dyDescent="0.3">
      <c r="A3189" t="s">
        <v>7</v>
      </c>
      <c r="B3189">
        <v>19013533</v>
      </c>
      <c r="C3189" t="s">
        <v>8</v>
      </c>
      <c r="D3189" s="4">
        <v>46113</v>
      </c>
      <c r="E3189" s="11">
        <f t="shared" si="196"/>
        <v>2026</v>
      </c>
      <c r="F3189" s="11">
        <f t="shared" si="197"/>
        <v>4</v>
      </c>
      <c r="G3189" s="11" t="str">
        <f t="shared" si="198"/>
        <v>202604</v>
      </c>
      <c r="I3189" s="5">
        <v>9999</v>
      </c>
      <c r="J3189" s="5">
        <v>333.3</v>
      </c>
      <c r="K3189" s="5">
        <f t="shared" si="199"/>
        <v>0</v>
      </c>
      <c r="L3189" s="5">
        <v>0</v>
      </c>
      <c r="M3189" s="5">
        <v>0</v>
      </c>
      <c r="N3189" t="s">
        <v>12</v>
      </c>
      <c r="O3189" s="8">
        <v>19.75068493150685</v>
      </c>
      <c r="P3189" t="s">
        <v>32</v>
      </c>
      <c r="Q3189">
        <v>1</v>
      </c>
      <c r="R3189" s="2">
        <v>38904</v>
      </c>
    </row>
    <row r="3190" spans="1:18" x14ac:dyDescent="0.3">
      <c r="A3190" t="s">
        <v>7</v>
      </c>
      <c r="B3190">
        <v>19013538</v>
      </c>
      <c r="C3190" t="s">
        <v>8</v>
      </c>
      <c r="D3190" s="4">
        <v>46113</v>
      </c>
      <c r="E3190" s="11">
        <f t="shared" si="196"/>
        <v>2026</v>
      </c>
      <c r="F3190" s="11">
        <f t="shared" si="197"/>
        <v>4</v>
      </c>
      <c r="G3190" s="11" t="str">
        <f t="shared" si="198"/>
        <v>202604</v>
      </c>
      <c r="I3190" s="5">
        <v>9999</v>
      </c>
      <c r="J3190" s="5">
        <v>333.3</v>
      </c>
      <c r="K3190" s="5">
        <f t="shared" si="199"/>
        <v>0</v>
      </c>
      <c r="L3190" s="5">
        <v>0</v>
      </c>
      <c r="M3190" s="5">
        <v>0</v>
      </c>
      <c r="N3190" t="s">
        <v>9</v>
      </c>
      <c r="O3190" s="8">
        <v>39.200000000000003</v>
      </c>
      <c r="P3190" t="s">
        <v>35</v>
      </c>
      <c r="Q3190">
        <v>4</v>
      </c>
      <c r="R3190" s="2">
        <v>31805</v>
      </c>
    </row>
    <row r="3191" spans="1:18" x14ac:dyDescent="0.3">
      <c r="A3191" t="s">
        <v>7</v>
      </c>
      <c r="B3191">
        <v>19013577</v>
      </c>
      <c r="C3191" t="s">
        <v>10</v>
      </c>
      <c r="D3191" s="4">
        <v>46113</v>
      </c>
      <c r="E3191" s="11">
        <f t="shared" si="196"/>
        <v>2026</v>
      </c>
      <c r="F3191" s="11">
        <f t="shared" si="197"/>
        <v>4</v>
      </c>
      <c r="G3191" s="11" t="str">
        <f t="shared" si="198"/>
        <v>202604</v>
      </c>
      <c r="H3191" s="4">
        <v>46118</v>
      </c>
      <c r="I3191" s="5">
        <v>5</v>
      </c>
      <c r="J3191" s="5">
        <v>0.16666666666666666</v>
      </c>
      <c r="K3191" s="5">
        <f t="shared" si="199"/>
        <v>1</v>
      </c>
      <c r="L3191" s="5">
        <v>1</v>
      </c>
      <c r="M3191" s="5">
        <v>1</v>
      </c>
      <c r="N3191" t="s">
        <v>9</v>
      </c>
      <c r="O3191" s="8">
        <v>20.473972602739725</v>
      </c>
      <c r="P3191" t="s">
        <v>32</v>
      </c>
      <c r="Q3191">
        <v>1</v>
      </c>
      <c r="R3191" s="2">
        <v>38640</v>
      </c>
    </row>
    <row r="3192" spans="1:18" x14ac:dyDescent="0.3">
      <c r="A3192" t="s">
        <v>7</v>
      </c>
      <c r="B3192">
        <v>19013578</v>
      </c>
      <c r="C3192" t="s">
        <v>8</v>
      </c>
      <c r="D3192" s="4">
        <v>46113</v>
      </c>
      <c r="E3192" s="11">
        <f t="shared" si="196"/>
        <v>2026</v>
      </c>
      <c r="F3192" s="11">
        <f t="shared" si="197"/>
        <v>4</v>
      </c>
      <c r="G3192" s="11" t="str">
        <f t="shared" si="198"/>
        <v>202604</v>
      </c>
      <c r="I3192" s="5">
        <v>9999</v>
      </c>
      <c r="J3192" s="5">
        <v>333.3</v>
      </c>
      <c r="K3192" s="5">
        <f t="shared" si="199"/>
        <v>0</v>
      </c>
      <c r="L3192" s="5">
        <v>0</v>
      </c>
      <c r="M3192" s="5">
        <v>0</v>
      </c>
      <c r="N3192" t="s">
        <v>9</v>
      </c>
      <c r="O3192" s="8">
        <v>22.904109589041095</v>
      </c>
      <c r="P3192" t="s">
        <v>33</v>
      </c>
      <c r="Q3192">
        <v>2</v>
      </c>
      <c r="R3192" s="2">
        <v>37753</v>
      </c>
    </row>
    <row r="3193" spans="1:18" x14ac:dyDescent="0.3">
      <c r="A3193" t="s">
        <v>7</v>
      </c>
      <c r="B3193">
        <v>19013581</v>
      </c>
      <c r="C3193" t="s">
        <v>8</v>
      </c>
      <c r="D3193" s="4">
        <v>46113</v>
      </c>
      <c r="E3193" s="11">
        <f t="shared" si="196"/>
        <v>2026</v>
      </c>
      <c r="F3193" s="11">
        <f t="shared" si="197"/>
        <v>4</v>
      </c>
      <c r="G3193" s="11" t="str">
        <f t="shared" si="198"/>
        <v>202604</v>
      </c>
      <c r="I3193" s="5">
        <v>9999</v>
      </c>
      <c r="J3193" s="5">
        <v>333.3</v>
      </c>
      <c r="K3193" s="5">
        <f t="shared" si="199"/>
        <v>0</v>
      </c>
      <c r="L3193" s="5">
        <v>0</v>
      </c>
      <c r="M3193" s="5">
        <v>0</v>
      </c>
      <c r="N3193" t="s">
        <v>9</v>
      </c>
      <c r="O3193" s="8">
        <v>26.802739726027397</v>
      </c>
      <c r="P3193" t="s">
        <v>34</v>
      </c>
      <c r="Q3193">
        <v>3</v>
      </c>
      <c r="R3193" s="2">
        <v>36330</v>
      </c>
    </row>
    <row r="3194" spans="1:18" x14ac:dyDescent="0.3">
      <c r="A3194" t="s">
        <v>7</v>
      </c>
      <c r="B3194">
        <v>19013585</v>
      </c>
      <c r="C3194" t="s">
        <v>8</v>
      </c>
      <c r="D3194" s="4">
        <v>46113</v>
      </c>
      <c r="E3194" s="11">
        <f t="shared" si="196"/>
        <v>2026</v>
      </c>
      <c r="F3194" s="11">
        <f t="shared" si="197"/>
        <v>4</v>
      </c>
      <c r="G3194" s="11" t="str">
        <f t="shared" si="198"/>
        <v>202604</v>
      </c>
      <c r="H3194" s="4">
        <v>46158</v>
      </c>
      <c r="I3194" s="5">
        <v>45</v>
      </c>
      <c r="J3194" s="5">
        <v>1.5</v>
      </c>
      <c r="K3194" s="5">
        <f t="shared" si="199"/>
        <v>0</v>
      </c>
      <c r="L3194" s="5">
        <v>1</v>
      </c>
      <c r="M3194" s="5">
        <v>1</v>
      </c>
      <c r="N3194" t="s">
        <v>9</v>
      </c>
      <c r="O3194" s="8">
        <v>20.115068493150684</v>
      </c>
      <c r="P3194" t="s">
        <v>32</v>
      </c>
      <c r="Q3194">
        <v>1</v>
      </c>
      <c r="R3194" s="2">
        <v>38771</v>
      </c>
    </row>
    <row r="3195" spans="1:18" x14ac:dyDescent="0.3">
      <c r="A3195" t="s">
        <v>7</v>
      </c>
      <c r="B3195">
        <v>19013590</v>
      </c>
      <c r="C3195" t="s">
        <v>8</v>
      </c>
      <c r="D3195" s="4">
        <v>46113</v>
      </c>
      <c r="E3195" s="11">
        <f t="shared" si="196"/>
        <v>2026</v>
      </c>
      <c r="F3195" s="11">
        <f t="shared" si="197"/>
        <v>4</v>
      </c>
      <c r="G3195" s="11" t="str">
        <f t="shared" si="198"/>
        <v>202604</v>
      </c>
      <c r="I3195" s="5">
        <v>9999</v>
      </c>
      <c r="J3195" s="5">
        <v>333.3</v>
      </c>
      <c r="K3195" s="5">
        <f t="shared" si="199"/>
        <v>0</v>
      </c>
      <c r="L3195" s="5">
        <v>0</v>
      </c>
      <c r="M3195" s="5">
        <v>0</v>
      </c>
      <c r="N3195" t="s">
        <v>9</v>
      </c>
      <c r="O3195" s="8">
        <v>21.567123287671233</v>
      </c>
      <c r="P3195" t="s">
        <v>33</v>
      </c>
      <c r="Q3195">
        <v>2</v>
      </c>
      <c r="R3195" s="2">
        <v>38241</v>
      </c>
    </row>
    <row r="3196" spans="1:18" x14ac:dyDescent="0.3">
      <c r="A3196" t="s">
        <v>7</v>
      </c>
      <c r="B3196">
        <v>19013592</v>
      </c>
      <c r="C3196" t="s">
        <v>8</v>
      </c>
      <c r="D3196" s="4">
        <v>46113</v>
      </c>
      <c r="E3196" s="11">
        <f t="shared" si="196"/>
        <v>2026</v>
      </c>
      <c r="F3196" s="11">
        <f t="shared" si="197"/>
        <v>4</v>
      </c>
      <c r="G3196" s="11" t="str">
        <f t="shared" si="198"/>
        <v>202604</v>
      </c>
      <c r="I3196" s="5">
        <v>9999</v>
      </c>
      <c r="J3196" s="5">
        <v>333.3</v>
      </c>
      <c r="K3196" s="5">
        <f t="shared" si="199"/>
        <v>0</v>
      </c>
      <c r="L3196" s="5">
        <v>0</v>
      </c>
      <c r="M3196" s="5">
        <v>0</v>
      </c>
      <c r="N3196" t="s">
        <v>9</v>
      </c>
      <c r="O3196" s="8">
        <v>22.197260273972603</v>
      </c>
      <c r="P3196" t="s">
        <v>33</v>
      </c>
      <c r="Q3196">
        <v>2</v>
      </c>
      <c r="R3196" s="2">
        <v>38011</v>
      </c>
    </row>
    <row r="3197" spans="1:18" x14ac:dyDescent="0.3">
      <c r="A3197" t="s">
        <v>7</v>
      </c>
      <c r="B3197">
        <v>19013604</v>
      </c>
      <c r="C3197" t="s">
        <v>10</v>
      </c>
      <c r="D3197" s="4">
        <v>46113</v>
      </c>
      <c r="E3197" s="11">
        <f t="shared" si="196"/>
        <v>2026</v>
      </c>
      <c r="F3197" s="11">
        <f t="shared" si="197"/>
        <v>4</v>
      </c>
      <c r="G3197" s="11" t="str">
        <f t="shared" si="198"/>
        <v>202604</v>
      </c>
      <c r="H3197" s="4">
        <v>46142</v>
      </c>
      <c r="I3197" s="5">
        <v>29</v>
      </c>
      <c r="J3197" s="5">
        <v>0.96666666666666667</v>
      </c>
      <c r="K3197" s="5">
        <f t="shared" si="199"/>
        <v>1</v>
      </c>
      <c r="L3197" s="5">
        <v>1</v>
      </c>
      <c r="M3197" s="5">
        <v>1</v>
      </c>
      <c r="N3197" t="s">
        <v>9</v>
      </c>
      <c r="O3197" s="8">
        <v>18.126027397260273</v>
      </c>
      <c r="P3197" t="s">
        <v>32</v>
      </c>
      <c r="Q3197">
        <v>1</v>
      </c>
      <c r="R3197" s="2">
        <v>39497</v>
      </c>
    </row>
    <row r="3198" spans="1:18" x14ac:dyDescent="0.3">
      <c r="A3198" t="s">
        <v>7</v>
      </c>
      <c r="B3198">
        <v>19013605</v>
      </c>
      <c r="C3198" t="s">
        <v>8</v>
      </c>
      <c r="D3198" s="4">
        <v>46113</v>
      </c>
      <c r="E3198" s="11">
        <f t="shared" si="196"/>
        <v>2026</v>
      </c>
      <c r="F3198" s="11">
        <f t="shared" si="197"/>
        <v>4</v>
      </c>
      <c r="G3198" s="11" t="str">
        <f t="shared" si="198"/>
        <v>202604</v>
      </c>
      <c r="H3198" s="4">
        <v>46126</v>
      </c>
      <c r="I3198" s="5">
        <v>13</v>
      </c>
      <c r="J3198" s="5">
        <v>0.43333333333333335</v>
      </c>
      <c r="K3198" s="5">
        <f t="shared" si="199"/>
        <v>1</v>
      </c>
      <c r="L3198" s="5">
        <v>1</v>
      </c>
      <c r="M3198" s="5">
        <v>1</v>
      </c>
      <c r="N3198" t="s">
        <v>9</v>
      </c>
      <c r="O3198" s="8">
        <v>24.901369863013699</v>
      </c>
      <c r="P3198" t="s">
        <v>33</v>
      </c>
      <c r="Q3198">
        <v>2</v>
      </c>
      <c r="R3198" s="2">
        <v>37024</v>
      </c>
    </row>
    <row r="3199" spans="1:18" x14ac:dyDescent="0.3">
      <c r="A3199" t="s">
        <v>7</v>
      </c>
      <c r="B3199">
        <v>19013656</v>
      </c>
      <c r="C3199" t="s">
        <v>8</v>
      </c>
      <c r="D3199" s="4">
        <v>46113</v>
      </c>
      <c r="E3199" s="11">
        <f t="shared" si="196"/>
        <v>2026</v>
      </c>
      <c r="F3199" s="11">
        <f t="shared" si="197"/>
        <v>4</v>
      </c>
      <c r="G3199" s="11" t="str">
        <f t="shared" si="198"/>
        <v>202604</v>
      </c>
      <c r="I3199" s="5">
        <v>9999</v>
      </c>
      <c r="J3199" s="5">
        <v>333.3</v>
      </c>
      <c r="K3199" s="5">
        <f t="shared" si="199"/>
        <v>0</v>
      </c>
      <c r="L3199" s="5">
        <v>0</v>
      </c>
      <c r="M3199" s="5">
        <v>0</v>
      </c>
      <c r="N3199" t="s">
        <v>9</v>
      </c>
      <c r="O3199" s="8">
        <v>21.852054794520548</v>
      </c>
      <c r="P3199" t="s">
        <v>33</v>
      </c>
      <c r="Q3199">
        <v>2</v>
      </c>
      <c r="R3199" s="2">
        <v>38137</v>
      </c>
    </row>
    <row r="3200" spans="1:18" x14ac:dyDescent="0.3">
      <c r="A3200" t="s">
        <v>7</v>
      </c>
      <c r="B3200">
        <v>19013680</v>
      </c>
      <c r="C3200" t="s">
        <v>8</v>
      </c>
      <c r="D3200" s="4">
        <v>46113</v>
      </c>
      <c r="E3200" s="11">
        <f t="shared" si="196"/>
        <v>2026</v>
      </c>
      <c r="F3200" s="11">
        <f t="shared" si="197"/>
        <v>4</v>
      </c>
      <c r="G3200" s="11" t="str">
        <f t="shared" si="198"/>
        <v>202604</v>
      </c>
      <c r="I3200" s="5">
        <v>9999</v>
      </c>
      <c r="J3200" s="5">
        <v>333.3</v>
      </c>
      <c r="K3200" s="5">
        <f t="shared" si="199"/>
        <v>0</v>
      </c>
      <c r="L3200" s="5">
        <v>0</v>
      </c>
      <c r="M3200" s="5">
        <v>0</v>
      </c>
      <c r="N3200" t="s">
        <v>9</v>
      </c>
      <c r="O3200" s="8">
        <v>18.463013698630139</v>
      </c>
      <c r="P3200" t="s">
        <v>32</v>
      </c>
      <c r="Q3200">
        <v>1</v>
      </c>
      <c r="R3200" s="2">
        <v>39374</v>
      </c>
    </row>
    <row r="3201" spans="1:18" x14ac:dyDescent="0.3">
      <c r="A3201" t="s">
        <v>7</v>
      </c>
      <c r="B3201">
        <v>19013684</v>
      </c>
      <c r="C3201" t="s">
        <v>8</v>
      </c>
      <c r="D3201" s="4">
        <v>46113</v>
      </c>
      <c r="E3201" s="11">
        <f t="shared" si="196"/>
        <v>2026</v>
      </c>
      <c r="F3201" s="11">
        <f t="shared" si="197"/>
        <v>4</v>
      </c>
      <c r="G3201" s="11" t="str">
        <f t="shared" si="198"/>
        <v>202604</v>
      </c>
      <c r="I3201" s="5">
        <v>9999</v>
      </c>
      <c r="J3201" s="5">
        <v>333.3</v>
      </c>
      <c r="K3201" s="5">
        <f t="shared" si="199"/>
        <v>0</v>
      </c>
      <c r="L3201" s="5">
        <v>0</v>
      </c>
      <c r="M3201" s="5">
        <v>0</v>
      </c>
      <c r="N3201" t="s">
        <v>9</v>
      </c>
      <c r="O3201" s="8">
        <v>20.342465753424658</v>
      </c>
      <c r="P3201" t="s">
        <v>32</v>
      </c>
      <c r="Q3201">
        <v>1</v>
      </c>
      <c r="R3201" s="2">
        <v>38688</v>
      </c>
    </row>
    <row r="3202" spans="1:18" x14ac:dyDescent="0.3">
      <c r="A3202" t="s">
        <v>7</v>
      </c>
      <c r="B3202">
        <v>19013687</v>
      </c>
      <c r="C3202" t="s">
        <v>8</v>
      </c>
      <c r="D3202" s="4">
        <v>46113</v>
      </c>
      <c r="E3202" s="11">
        <f t="shared" si="196"/>
        <v>2026</v>
      </c>
      <c r="F3202" s="11">
        <f t="shared" si="197"/>
        <v>4</v>
      </c>
      <c r="G3202" s="11" t="str">
        <f t="shared" si="198"/>
        <v>202604</v>
      </c>
      <c r="I3202" s="5">
        <v>9999</v>
      </c>
      <c r="J3202" s="5">
        <v>333.3</v>
      </c>
      <c r="K3202" s="5">
        <f t="shared" si="199"/>
        <v>0</v>
      </c>
      <c r="L3202" s="5">
        <v>0</v>
      </c>
      <c r="M3202" s="5">
        <v>0</v>
      </c>
      <c r="N3202" t="s">
        <v>9</v>
      </c>
      <c r="O3202" s="8">
        <v>21.534246575342465</v>
      </c>
      <c r="P3202" t="s">
        <v>33</v>
      </c>
      <c r="Q3202">
        <v>2</v>
      </c>
      <c r="R3202" s="2">
        <v>38253</v>
      </c>
    </row>
    <row r="3203" spans="1:18" x14ac:dyDescent="0.3">
      <c r="A3203" t="s">
        <v>7</v>
      </c>
      <c r="B3203">
        <v>19013722</v>
      </c>
      <c r="C3203" t="s">
        <v>8</v>
      </c>
      <c r="D3203" s="4">
        <v>46113</v>
      </c>
      <c r="E3203" s="11">
        <f t="shared" ref="E3203:E3266" si="200">+YEAR(D3203)</f>
        <v>2026</v>
      </c>
      <c r="F3203" s="11">
        <f t="shared" ref="F3203:F3266" si="201">+MONTH(D3203)</f>
        <v>4</v>
      </c>
      <c r="G3203" s="11" t="str">
        <f t="shared" ref="G3203:G3266" si="202">+TEXT(D3203, "yyymm")</f>
        <v>202604</v>
      </c>
      <c r="I3203" s="5">
        <v>9999</v>
      </c>
      <c r="J3203" s="5">
        <v>333.3</v>
      </c>
      <c r="K3203" s="5">
        <f t="shared" ref="K3203:K3266" si="203">IF(J3203&lt;=1,1,0)</f>
        <v>0</v>
      </c>
      <c r="L3203" s="5">
        <v>0</v>
      </c>
      <c r="M3203" s="5">
        <v>0</v>
      </c>
      <c r="N3203" t="s">
        <v>9</v>
      </c>
      <c r="O3203" s="8">
        <v>19.997260273972604</v>
      </c>
      <c r="P3203" t="s">
        <v>32</v>
      </c>
      <c r="Q3203">
        <v>1</v>
      </c>
      <c r="R3203" s="2">
        <v>38814</v>
      </c>
    </row>
    <row r="3204" spans="1:18" x14ac:dyDescent="0.3">
      <c r="A3204" t="s">
        <v>7</v>
      </c>
      <c r="B3204">
        <v>19013723</v>
      </c>
      <c r="C3204" t="s">
        <v>8</v>
      </c>
      <c r="D3204" s="4">
        <v>46113</v>
      </c>
      <c r="E3204" s="11">
        <f t="shared" si="200"/>
        <v>2026</v>
      </c>
      <c r="F3204" s="11">
        <f t="shared" si="201"/>
        <v>4</v>
      </c>
      <c r="G3204" s="11" t="str">
        <f t="shared" si="202"/>
        <v>202604</v>
      </c>
      <c r="I3204" s="5">
        <v>9999</v>
      </c>
      <c r="J3204" s="5">
        <v>333.3</v>
      </c>
      <c r="K3204" s="5">
        <f t="shared" si="203"/>
        <v>0</v>
      </c>
      <c r="L3204" s="5">
        <v>0</v>
      </c>
      <c r="M3204" s="5">
        <v>0</v>
      </c>
      <c r="N3204" t="s">
        <v>9</v>
      </c>
      <c r="O3204" s="8">
        <v>19.813698630136987</v>
      </c>
      <c r="P3204" t="s">
        <v>32</v>
      </c>
      <c r="Q3204">
        <v>1</v>
      </c>
      <c r="R3204" s="2">
        <v>38881</v>
      </c>
    </row>
    <row r="3205" spans="1:18" x14ac:dyDescent="0.3">
      <c r="A3205" t="s">
        <v>7</v>
      </c>
      <c r="B3205">
        <v>19013724</v>
      </c>
      <c r="C3205" t="s">
        <v>8</v>
      </c>
      <c r="D3205" s="4">
        <v>46113</v>
      </c>
      <c r="E3205" s="11">
        <f t="shared" si="200"/>
        <v>2026</v>
      </c>
      <c r="F3205" s="11">
        <f t="shared" si="201"/>
        <v>4</v>
      </c>
      <c r="G3205" s="11" t="str">
        <f t="shared" si="202"/>
        <v>202604</v>
      </c>
      <c r="I3205" s="5">
        <v>9999</v>
      </c>
      <c r="J3205" s="5">
        <v>333.3</v>
      </c>
      <c r="K3205" s="5">
        <f t="shared" si="203"/>
        <v>0</v>
      </c>
      <c r="L3205" s="5">
        <v>0</v>
      </c>
      <c r="M3205" s="5">
        <v>0</v>
      </c>
      <c r="N3205" t="s">
        <v>9</v>
      </c>
      <c r="O3205" s="8">
        <v>24.55890410958904</v>
      </c>
      <c r="P3205" t="s">
        <v>33</v>
      </c>
      <c r="Q3205">
        <v>2</v>
      </c>
      <c r="R3205" s="2">
        <v>37149</v>
      </c>
    </row>
    <row r="3206" spans="1:18" x14ac:dyDescent="0.3">
      <c r="A3206" t="s">
        <v>7</v>
      </c>
      <c r="B3206">
        <v>19013725</v>
      </c>
      <c r="C3206" t="s">
        <v>10</v>
      </c>
      <c r="D3206" s="4">
        <v>46113</v>
      </c>
      <c r="E3206" s="11">
        <f t="shared" si="200"/>
        <v>2026</v>
      </c>
      <c r="F3206" s="11">
        <f t="shared" si="201"/>
        <v>4</v>
      </c>
      <c r="G3206" s="11" t="str">
        <f t="shared" si="202"/>
        <v>202604</v>
      </c>
      <c r="I3206" s="5">
        <v>9999</v>
      </c>
      <c r="J3206" s="5">
        <v>333.3</v>
      </c>
      <c r="K3206" s="5">
        <f t="shared" si="203"/>
        <v>0</v>
      </c>
      <c r="L3206" s="5">
        <v>0</v>
      </c>
      <c r="M3206" s="5">
        <v>0</v>
      </c>
      <c r="N3206" t="s">
        <v>9</v>
      </c>
      <c r="O3206" s="8">
        <v>19.742465753424657</v>
      </c>
      <c r="P3206" t="s">
        <v>32</v>
      </c>
      <c r="Q3206">
        <v>1</v>
      </c>
      <c r="R3206" s="2">
        <v>38907</v>
      </c>
    </row>
    <row r="3207" spans="1:18" x14ac:dyDescent="0.3">
      <c r="A3207" t="s">
        <v>7</v>
      </c>
      <c r="B3207">
        <v>19013790</v>
      </c>
      <c r="C3207" t="s">
        <v>8</v>
      </c>
      <c r="D3207" s="4">
        <v>46113</v>
      </c>
      <c r="E3207" s="11">
        <f t="shared" si="200"/>
        <v>2026</v>
      </c>
      <c r="F3207" s="11">
        <f t="shared" si="201"/>
        <v>4</v>
      </c>
      <c r="G3207" s="11" t="str">
        <f t="shared" si="202"/>
        <v>202604</v>
      </c>
      <c r="I3207" s="5">
        <v>9999</v>
      </c>
      <c r="J3207" s="5">
        <v>333.3</v>
      </c>
      <c r="K3207" s="5">
        <f t="shared" si="203"/>
        <v>0</v>
      </c>
      <c r="L3207" s="5">
        <v>0</v>
      </c>
      <c r="M3207" s="5">
        <v>0</v>
      </c>
      <c r="N3207" t="s">
        <v>9</v>
      </c>
      <c r="O3207" s="8">
        <v>18.610958904109587</v>
      </c>
      <c r="P3207" t="s">
        <v>32</v>
      </c>
      <c r="Q3207">
        <v>1</v>
      </c>
      <c r="R3207" s="2">
        <v>39320</v>
      </c>
    </row>
    <row r="3208" spans="1:18" x14ac:dyDescent="0.3">
      <c r="A3208" t="s">
        <v>7</v>
      </c>
      <c r="B3208">
        <v>19013791</v>
      </c>
      <c r="C3208" t="s">
        <v>8</v>
      </c>
      <c r="D3208" s="4">
        <v>46113</v>
      </c>
      <c r="E3208" s="11">
        <f t="shared" si="200"/>
        <v>2026</v>
      </c>
      <c r="F3208" s="11">
        <f t="shared" si="201"/>
        <v>4</v>
      </c>
      <c r="G3208" s="11" t="str">
        <f t="shared" si="202"/>
        <v>202604</v>
      </c>
      <c r="I3208" s="5">
        <v>9999</v>
      </c>
      <c r="J3208" s="5">
        <v>333.3</v>
      </c>
      <c r="K3208" s="5">
        <f t="shared" si="203"/>
        <v>0</v>
      </c>
      <c r="L3208" s="5">
        <v>0</v>
      </c>
      <c r="M3208" s="5">
        <v>0</v>
      </c>
      <c r="N3208" t="s">
        <v>9</v>
      </c>
      <c r="O3208" s="8">
        <v>18.284931506849315</v>
      </c>
      <c r="P3208" t="s">
        <v>32</v>
      </c>
      <c r="Q3208">
        <v>1</v>
      </c>
      <c r="R3208" s="2">
        <v>39439</v>
      </c>
    </row>
    <row r="3209" spans="1:18" x14ac:dyDescent="0.3">
      <c r="A3209" t="s">
        <v>7</v>
      </c>
      <c r="B3209">
        <v>19013809</v>
      </c>
      <c r="C3209" t="s">
        <v>8</v>
      </c>
      <c r="D3209" s="4">
        <v>46113</v>
      </c>
      <c r="E3209" s="11">
        <f t="shared" si="200"/>
        <v>2026</v>
      </c>
      <c r="F3209" s="11">
        <f t="shared" si="201"/>
        <v>4</v>
      </c>
      <c r="G3209" s="11" t="str">
        <f t="shared" si="202"/>
        <v>202604</v>
      </c>
      <c r="H3209" s="4">
        <v>46180</v>
      </c>
      <c r="I3209" s="5">
        <v>67</v>
      </c>
      <c r="J3209" s="5">
        <v>2.2333333333333334</v>
      </c>
      <c r="K3209" s="5">
        <f t="shared" si="203"/>
        <v>0</v>
      </c>
      <c r="L3209" s="5">
        <v>1</v>
      </c>
      <c r="M3209" s="5">
        <v>1</v>
      </c>
      <c r="N3209" t="s">
        <v>9</v>
      </c>
      <c r="O3209" s="8">
        <v>21.734246575342464</v>
      </c>
      <c r="P3209" t="s">
        <v>33</v>
      </c>
      <c r="Q3209">
        <v>2</v>
      </c>
      <c r="R3209" s="2">
        <v>38180</v>
      </c>
    </row>
    <row r="3210" spans="1:18" x14ac:dyDescent="0.3">
      <c r="A3210" t="s">
        <v>7</v>
      </c>
      <c r="B3210">
        <v>19013828</v>
      </c>
      <c r="C3210" t="s">
        <v>8</v>
      </c>
      <c r="D3210" s="4">
        <v>46113</v>
      </c>
      <c r="E3210" s="11">
        <f t="shared" si="200"/>
        <v>2026</v>
      </c>
      <c r="F3210" s="11">
        <f t="shared" si="201"/>
        <v>4</v>
      </c>
      <c r="G3210" s="11" t="str">
        <f t="shared" si="202"/>
        <v>202604</v>
      </c>
      <c r="I3210" s="5">
        <v>9999</v>
      </c>
      <c r="J3210" s="5">
        <v>333.3</v>
      </c>
      <c r="K3210" s="5">
        <f t="shared" si="203"/>
        <v>0</v>
      </c>
      <c r="L3210" s="5">
        <v>0</v>
      </c>
      <c r="M3210" s="5">
        <v>0</v>
      </c>
      <c r="N3210" t="s">
        <v>12</v>
      </c>
      <c r="O3210" s="8">
        <v>23.983561643835618</v>
      </c>
      <c r="P3210" t="s">
        <v>33</v>
      </c>
      <c r="Q3210">
        <v>2</v>
      </c>
      <c r="R3210" s="2">
        <v>37359</v>
      </c>
    </row>
    <row r="3211" spans="1:18" x14ac:dyDescent="0.3">
      <c r="A3211" t="s">
        <v>7</v>
      </c>
      <c r="B3211">
        <v>19013829</v>
      </c>
      <c r="C3211" t="s">
        <v>8</v>
      </c>
      <c r="D3211" s="4">
        <v>46113</v>
      </c>
      <c r="E3211" s="11">
        <f t="shared" si="200"/>
        <v>2026</v>
      </c>
      <c r="F3211" s="11">
        <f t="shared" si="201"/>
        <v>4</v>
      </c>
      <c r="G3211" s="11" t="str">
        <f t="shared" si="202"/>
        <v>202604</v>
      </c>
      <c r="I3211" s="5">
        <v>9999</v>
      </c>
      <c r="J3211" s="5">
        <v>333.3</v>
      </c>
      <c r="K3211" s="5">
        <f t="shared" si="203"/>
        <v>0</v>
      </c>
      <c r="L3211" s="5">
        <v>0</v>
      </c>
      <c r="M3211" s="5">
        <v>0</v>
      </c>
      <c r="N3211" t="s">
        <v>9</v>
      </c>
      <c r="O3211" s="8">
        <v>19.082191780821919</v>
      </c>
      <c r="P3211" t="s">
        <v>32</v>
      </c>
      <c r="Q3211">
        <v>1</v>
      </c>
      <c r="R3211" s="2">
        <v>39148</v>
      </c>
    </row>
    <row r="3212" spans="1:18" x14ac:dyDescent="0.3">
      <c r="A3212" t="s">
        <v>7</v>
      </c>
      <c r="B3212">
        <v>19013830</v>
      </c>
      <c r="C3212" t="s">
        <v>8</v>
      </c>
      <c r="D3212" s="4">
        <v>46113</v>
      </c>
      <c r="E3212" s="11">
        <f t="shared" si="200"/>
        <v>2026</v>
      </c>
      <c r="F3212" s="11">
        <f t="shared" si="201"/>
        <v>4</v>
      </c>
      <c r="G3212" s="11" t="str">
        <f t="shared" si="202"/>
        <v>202604</v>
      </c>
      <c r="H3212" s="4">
        <v>46174</v>
      </c>
      <c r="I3212" s="5">
        <v>61</v>
      </c>
      <c r="J3212" s="5">
        <v>2.0333333333333332</v>
      </c>
      <c r="K3212" s="5">
        <f t="shared" si="203"/>
        <v>0</v>
      </c>
      <c r="L3212" s="5">
        <v>1</v>
      </c>
      <c r="M3212" s="5">
        <v>1</v>
      </c>
      <c r="N3212" t="s">
        <v>9</v>
      </c>
      <c r="O3212" s="8">
        <v>21.18082191780822</v>
      </c>
      <c r="P3212" t="s">
        <v>33</v>
      </c>
      <c r="Q3212">
        <v>2</v>
      </c>
      <c r="R3212" s="2">
        <v>38382</v>
      </c>
    </row>
    <row r="3213" spans="1:18" x14ac:dyDescent="0.3">
      <c r="A3213" t="s">
        <v>7</v>
      </c>
      <c r="B3213">
        <v>19013902</v>
      </c>
      <c r="C3213" t="s">
        <v>8</v>
      </c>
      <c r="D3213" s="4">
        <v>46113</v>
      </c>
      <c r="E3213" s="11">
        <f t="shared" si="200"/>
        <v>2026</v>
      </c>
      <c r="F3213" s="11">
        <f t="shared" si="201"/>
        <v>4</v>
      </c>
      <c r="G3213" s="11" t="str">
        <f t="shared" si="202"/>
        <v>202604</v>
      </c>
      <c r="H3213" s="4">
        <v>46124</v>
      </c>
      <c r="I3213" s="5">
        <v>11</v>
      </c>
      <c r="J3213" s="5">
        <v>0.36666666666666664</v>
      </c>
      <c r="K3213" s="5">
        <f t="shared" si="203"/>
        <v>1</v>
      </c>
      <c r="L3213" s="5">
        <v>1</v>
      </c>
      <c r="M3213" s="5">
        <v>1</v>
      </c>
      <c r="N3213" t="s">
        <v>9</v>
      </c>
      <c r="O3213" s="8">
        <v>18.854794520547944</v>
      </c>
      <c r="P3213" t="s">
        <v>32</v>
      </c>
      <c r="Q3213">
        <v>1</v>
      </c>
      <c r="R3213" s="2">
        <v>39231</v>
      </c>
    </row>
    <row r="3214" spans="1:18" x14ac:dyDescent="0.3">
      <c r="A3214" t="s">
        <v>7</v>
      </c>
      <c r="B3214">
        <v>19014073</v>
      </c>
      <c r="C3214" t="s">
        <v>8</v>
      </c>
      <c r="D3214" s="4">
        <v>46118</v>
      </c>
      <c r="E3214" s="11">
        <f t="shared" si="200"/>
        <v>2026</v>
      </c>
      <c r="F3214" s="11">
        <f t="shared" si="201"/>
        <v>4</v>
      </c>
      <c r="G3214" s="11" t="str">
        <f t="shared" si="202"/>
        <v>202604</v>
      </c>
      <c r="I3214" s="5">
        <v>9999</v>
      </c>
      <c r="J3214" s="5">
        <v>333.3</v>
      </c>
      <c r="K3214" s="5">
        <f t="shared" si="203"/>
        <v>0</v>
      </c>
      <c r="L3214" s="5">
        <v>0</v>
      </c>
      <c r="M3214" s="5">
        <v>0</v>
      </c>
      <c r="N3214" t="s">
        <v>12</v>
      </c>
      <c r="O3214" s="8">
        <v>26.068493150684933</v>
      </c>
      <c r="P3214" t="s">
        <v>34</v>
      </c>
      <c r="Q3214">
        <v>3</v>
      </c>
      <c r="R3214" s="2">
        <v>36603</v>
      </c>
    </row>
    <row r="3215" spans="1:18" x14ac:dyDescent="0.3">
      <c r="A3215" t="s">
        <v>7</v>
      </c>
      <c r="B3215">
        <v>19014116</v>
      </c>
      <c r="C3215" t="s">
        <v>10</v>
      </c>
      <c r="D3215" s="4">
        <v>46118</v>
      </c>
      <c r="E3215" s="11">
        <f t="shared" si="200"/>
        <v>2026</v>
      </c>
      <c r="F3215" s="11">
        <f t="shared" si="201"/>
        <v>4</v>
      </c>
      <c r="G3215" s="11" t="str">
        <f t="shared" si="202"/>
        <v>202604</v>
      </c>
      <c r="I3215" s="5">
        <v>9999</v>
      </c>
      <c r="J3215" s="5">
        <v>333.3</v>
      </c>
      <c r="K3215" s="5">
        <f t="shared" si="203"/>
        <v>0</v>
      </c>
      <c r="L3215" s="5">
        <v>0</v>
      </c>
      <c r="M3215" s="5">
        <v>0</v>
      </c>
      <c r="N3215" t="s">
        <v>9</v>
      </c>
      <c r="O3215" s="8">
        <v>22.084931506849315</v>
      </c>
      <c r="P3215" t="s">
        <v>33</v>
      </c>
      <c r="Q3215">
        <v>2</v>
      </c>
      <c r="R3215" s="2">
        <v>38057</v>
      </c>
    </row>
    <row r="3216" spans="1:18" x14ac:dyDescent="0.3">
      <c r="A3216" t="s">
        <v>7</v>
      </c>
      <c r="B3216">
        <v>19014127</v>
      </c>
      <c r="C3216" t="s">
        <v>8</v>
      </c>
      <c r="D3216" s="4">
        <v>46118</v>
      </c>
      <c r="E3216" s="11">
        <f t="shared" si="200"/>
        <v>2026</v>
      </c>
      <c r="F3216" s="11">
        <f t="shared" si="201"/>
        <v>4</v>
      </c>
      <c r="G3216" s="11" t="str">
        <f t="shared" si="202"/>
        <v>202604</v>
      </c>
      <c r="I3216" s="5">
        <v>9999</v>
      </c>
      <c r="J3216" s="5">
        <v>333.3</v>
      </c>
      <c r="K3216" s="5">
        <f t="shared" si="203"/>
        <v>0</v>
      </c>
      <c r="L3216" s="5">
        <v>0</v>
      </c>
      <c r="M3216" s="5">
        <v>0</v>
      </c>
      <c r="N3216" t="s">
        <v>9</v>
      </c>
      <c r="O3216" s="8">
        <v>18.104109589041094</v>
      </c>
      <c r="P3216" t="s">
        <v>32</v>
      </c>
      <c r="Q3216">
        <v>1</v>
      </c>
      <c r="R3216" s="2">
        <v>39510</v>
      </c>
    </row>
    <row r="3217" spans="1:18" x14ac:dyDescent="0.3">
      <c r="A3217" t="s">
        <v>7</v>
      </c>
      <c r="B3217">
        <v>19014130</v>
      </c>
      <c r="C3217" t="s">
        <v>8</v>
      </c>
      <c r="D3217" s="4">
        <v>46118</v>
      </c>
      <c r="E3217" s="11">
        <f t="shared" si="200"/>
        <v>2026</v>
      </c>
      <c r="F3217" s="11">
        <f t="shared" si="201"/>
        <v>4</v>
      </c>
      <c r="G3217" s="11" t="str">
        <f t="shared" si="202"/>
        <v>202604</v>
      </c>
      <c r="I3217" s="5">
        <v>9999</v>
      </c>
      <c r="J3217" s="5">
        <v>333.3</v>
      </c>
      <c r="K3217" s="5">
        <f t="shared" si="203"/>
        <v>0</v>
      </c>
      <c r="L3217" s="5">
        <v>0</v>
      </c>
      <c r="M3217" s="5">
        <v>0</v>
      </c>
      <c r="N3217" t="s">
        <v>9</v>
      </c>
      <c r="O3217" s="8">
        <v>20.479452054794521</v>
      </c>
      <c r="P3217" t="s">
        <v>32</v>
      </c>
      <c r="Q3217">
        <v>1</v>
      </c>
      <c r="R3217" s="2">
        <v>38643</v>
      </c>
    </row>
    <row r="3218" spans="1:18" x14ac:dyDescent="0.3">
      <c r="A3218" t="s">
        <v>7</v>
      </c>
      <c r="B3218">
        <v>19014132</v>
      </c>
      <c r="C3218" t="s">
        <v>8</v>
      </c>
      <c r="D3218" s="4">
        <v>46118</v>
      </c>
      <c r="E3218" s="11">
        <f t="shared" si="200"/>
        <v>2026</v>
      </c>
      <c r="F3218" s="11">
        <f t="shared" si="201"/>
        <v>4</v>
      </c>
      <c r="G3218" s="11" t="str">
        <f t="shared" si="202"/>
        <v>202604</v>
      </c>
      <c r="I3218" s="5">
        <v>9999</v>
      </c>
      <c r="J3218" s="5">
        <v>333.3</v>
      </c>
      <c r="K3218" s="5">
        <f t="shared" si="203"/>
        <v>0</v>
      </c>
      <c r="L3218" s="5">
        <v>0</v>
      </c>
      <c r="M3218" s="5">
        <v>0</v>
      </c>
      <c r="N3218" t="s">
        <v>9</v>
      </c>
      <c r="O3218" s="8">
        <v>18.282191780821918</v>
      </c>
      <c r="P3218" t="s">
        <v>32</v>
      </c>
      <c r="Q3218">
        <v>1</v>
      </c>
      <c r="R3218" s="2">
        <v>39445</v>
      </c>
    </row>
    <row r="3219" spans="1:18" x14ac:dyDescent="0.3">
      <c r="A3219" t="s">
        <v>7</v>
      </c>
      <c r="B3219">
        <v>19014138</v>
      </c>
      <c r="C3219" t="s">
        <v>8</v>
      </c>
      <c r="D3219" s="4">
        <v>46118</v>
      </c>
      <c r="E3219" s="11">
        <f t="shared" si="200"/>
        <v>2026</v>
      </c>
      <c r="F3219" s="11">
        <f t="shared" si="201"/>
        <v>4</v>
      </c>
      <c r="G3219" s="11" t="str">
        <f t="shared" si="202"/>
        <v>202604</v>
      </c>
      <c r="I3219" s="5">
        <v>9999</v>
      </c>
      <c r="J3219" s="5">
        <v>333.3</v>
      </c>
      <c r="K3219" s="5">
        <f t="shared" si="203"/>
        <v>0</v>
      </c>
      <c r="L3219" s="5">
        <v>0</v>
      </c>
      <c r="M3219" s="5">
        <v>0</v>
      </c>
      <c r="N3219" t="s">
        <v>9</v>
      </c>
      <c r="O3219" s="8">
        <v>25.194520547945206</v>
      </c>
      <c r="P3219" t="s">
        <v>33</v>
      </c>
      <c r="Q3219">
        <v>2</v>
      </c>
      <c r="R3219" s="2">
        <v>36922</v>
      </c>
    </row>
    <row r="3220" spans="1:18" x14ac:dyDescent="0.3">
      <c r="A3220" t="s">
        <v>7</v>
      </c>
      <c r="B3220">
        <v>19014169</v>
      </c>
      <c r="C3220" t="s">
        <v>8</v>
      </c>
      <c r="D3220" s="4">
        <v>46118</v>
      </c>
      <c r="E3220" s="11">
        <f t="shared" si="200"/>
        <v>2026</v>
      </c>
      <c r="F3220" s="11">
        <f t="shared" si="201"/>
        <v>4</v>
      </c>
      <c r="G3220" s="11" t="str">
        <f t="shared" si="202"/>
        <v>202604</v>
      </c>
      <c r="I3220" s="5">
        <v>9999</v>
      </c>
      <c r="J3220" s="5">
        <v>333.3</v>
      </c>
      <c r="K3220" s="5">
        <f t="shared" si="203"/>
        <v>0</v>
      </c>
      <c r="L3220" s="5">
        <v>0</v>
      </c>
      <c r="M3220" s="5">
        <v>0</v>
      </c>
      <c r="N3220" t="s">
        <v>9</v>
      </c>
      <c r="O3220" s="8">
        <v>33.764383561643832</v>
      </c>
      <c r="P3220" t="s">
        <v>35</v>
      </c>
      <c r="Q3220">
        <v>4</v>
      </c>
      <c r="R3220" s="2">
        <v>33794</v>
      </c>
    </row>
    <row r="3221" spans="1:18" x14ac:dyDescent="0.3">
      <c r="A3221" t="s">
        <v>7</v>
      </c>
      <c r="B3221">
        <v>19014173</v>
      </c>
      <c r="C3221" t="s">
        <v>8</v>
      </c>
      <c r="D3221" s="4">
        <v>46113</v>
      </c>
      <c r="E3221" s="11">
        <f t="shared" si="200"/>
        <v>2026</v>
      </c>
      <c r="F3221" s="11">
        <f t="shared" si="201"/>
        <v>4</v>
      </c>
      <c r="G3221" s="11" t="str">
        <f t="shared" si="202"/>
        <v>202604</v>
      </c>
      <c r="I3221" s="5">
        <v>9999</v>
      </c>
      <c r="J3221" s="5">
        <v>333.3</v>
      </c>
      <c r="K3221" s="5">
        <f t="shared" si="203"/>
        <v>0</v>
      </c>
      <c r="L3221" s="5">
        <v>0</v>
      </c>
      <c r="M3221" s="5">
        <v>0</v>
      </c>
      <c r="N3221" t="s">
        <v>9</v>
      </c>
      <c r="O3221" s="8">
        <v>18.843835616438355</v>
      </c>
      <c r="P3221" t="s">
        <v>32</v>
      </c>
      <c r="Q3221">
        <v>1</v>
      </c>
      <c r="R3221" s="2">
        <v>39235</v>
      </c>
    </row>
    <row r="3222" spans="1:18" x14ac:dyDescent="0.3">
      <c r="A3222" t="s">
        <v>7</v>
      </c>
      <c r="B3222">
        <v>19014174</v>
      </c>
      <c r="C3222" t="s">
        <v>8</v>
      </c>
      <c r="D3222" s="4">
        <v>46113</v>
      </c>
      <c r="E3222" s="11">
        <f t="shared" si="200"/>
        <v>2026</v>
      </c>
      <c r="F3222" s="11">
        <f t="shared" si="201"/>
        <v>4</v>
      </c>
      <c r="G3222" s="11" t="str">
        <f t="shared" si="202"/>
        <v>202604</v>
      </c>
      <c r="I3222" s="5">
        <v>9999</v>
      </c>
      <c r="J3222" s="5">
        <v>333.3</v>
      </c>
      <c r="K3222" s="5">
        <f t="shared" si="203"/>
        <v>0</v>
      </c>
      <c r="L3222" s="5">
        <v>0</v>
      </c>
      <c r="M3222" s="5">
        <v>0</v>
      </c>
      <c r="N3222" t="s">
        <v>9</v>
      </c>
      <c r="O3222" s="8">
        <v>21.063013698630137</v>
      </c>
      <c r="P3222" t="s">
        <v>33</v>
      </c>
      <c r="Q3222">
        <v>2</v>
      </c>
      <c r="R3222" s="2">
        <v>38425</v>
      </c>
    </row>
    <row r="3223" spans="1:18" x14ac:dyDescent="0.3">
      <c r="A3223" t="s">
        <v>7</v>
      </c>
      <c r="B3223">
        <v>19014183</v>
      </c>
      <c r="C3223" t="s">
        <v>8</v>
      </c>
      <c r="D3223" s="4">
        <v>46113</v>
      </c>
      <c r="E3223" s="11">
        <f t="shared" si="200"/>
        <v>2026</v>
      </c>
      <c r="F3223" s="11">
        <f t="shared" si="201"/>
        <v>4</v>
      </c>
      <c r="G3223" s="11" t="str">
        <f t="shared" si="202"/>
        <v>202604</v>
      </c>
      <c r="I3223" s="5">
        <v>9999</v>
      </c>
      <c r="J3223" s="5">
        <v>333.3</v>
      </c>
      <c r="K3223" s="5">
        <f t="shared" si="203"/>
        <v>0</v>
      </c>
      <c r="L3223" s="5">
        <v>0</v>
      </c>
      <c r="M3223" s="5">
        <v>0</v>
      </c>
      <c r="N3223" t="s">
        <v>9</v>
      </c>
      <c r="O3223" s="8">
        <v>18.273972602739725</v>
      </c>
      <c r="P3223" t="s">
        <v>32</v>
      </c>
      <c r="Q3223">
        <v>1</v>
      </c>
      <c r="R3223" s="2">
        <v>39443</v>
      </c>
    </row>
    <row r="3224" spans="1:18" x14ac:dyDescent="0.3">
      <c r="A3224" t="s">
        <v>7</v>
      </c>
      <c r="B3224">
        <v>19014198</v>
      </c>
      <c r="C3224" t="s">
        <v>8</v>
      </c>
      <c r="D3224" s="4">
        <v>46113</v>
      </c>
      <c r="E3224" s="11">
        <f t="shared" si="200"/>
        <v>2026</v>
      </c>
      <c r="F3224" s="11">
        <f t="shared" si="201"/>
        <v>4</v>
      </c>
      <c r="G3224" s="11" t="str">
        <f t="shared" si="202"/>
        <v>202604</v>
      </c>
      <c r="I3224" s="5">
        <v>9999</v>
      </c>
      <c r="J3224" s="5">
        <v>333.3</v>
      </c>
      <c r="K3224" s="5">
        <f t="shared" si="203"/>
        <v>0</v>
      </c>
      <c r="L3224" s="5">
        <v>0</v>
      </c>
      <c r="M3224" s="5">
        <v>0</v>
      </c>
      <c r="N3224" t="s">
        <v>9</v>
      </c>
      <c r="O3224" s="8">
        <v>20.780821917808218</v>
      </c>
      <c r="P3224" t="s">
        <v>32</v>
      </c>
      <c r="Q3224">
        <v>1</v>
      </c>
      <c r="R3224" s="2">
        <v>38528</v>
      </c>
    </row>
    <row r="3225" spans="1:18" x14ac:dyDescent="0.3">
      <c r="A3225" t="s">
        <v>7</v>
      </c>
      <c r="B3225">
        <v>19014199</v>
      </c>
      <c r="C3225" t="s">
        <v>10</v>
      </c>
      <c r="D3225" s="4">
        <v>46118</v>
      </c>
      <c r="E3225" s="11">
        <f t="shared" si="200"/>
        <v>2026</v>
      </c>
      <c r="F3225" s="11">
        <f t="shared" si="201"/>
        <v>4</v>
      </c>
      <c r="G3225" s="11" t="str">
        <f t="shared" si="202"/>
        <v>202604</v>
      </c>
      <c r="H3225" s="4">
        <v>46128</v>
      </c>
      <c r="I3225" s="5">
        <v>10</v>
      </c>
      <c r="J3225" s="5">
        <v>0.33333333333333331</v>
      </c>
      <c r="K3225" s="5">
        <f t="shared" si="203"/>
        <v>1</v>
      </c>
      <c r="L3225" s="5">
        <v>1</v>
      </c>
      <c r="M3225" s="5">
        <v>1</v>
      </c>
      <c r="N3225" t="s">
        <v>9</v>
      </c>
      <c r="O3225" s="8">
        <v>21.876712328767123</v>
      </c>
      <c r="P3225" t="s">
        <v>33</v>
      </c>
      <c r="Q3225">
        <v>2</v>
      </c>
      <c r="R3225" s="2">
        <v>38133</v>
      </c>
    </row>
    <row r="3226" spans="1:18" x14ac:dyDescent="0.3">
      <c r="A3226" t="s">
        <v>7</v>
      </c>
      <c r="B3226">
        <v>19014200</v>
      </c>
      <c r="C3226" t="s">
        <v>8</v>
      </c>
      <c r="D3226" s="4">
        <v>46113</v>
      </c>
      <c r="E3226" s="11">
        <f t="shared" si="200"/>
        <v>2026</v>
      </c>
      <c r="F3226" s="11">
        <f t="shared" si="201"/>
        <v>4</v>
      </c>
      <c r="G3226" s="11" t="str">
        <f t="shared" si="202"/>
        <v>202604</v>
      </c>
      <c r="I3226" s="5">
        <v>9999</v>
      </c>
      <c r="J3226" s="5">
        <v>333.3</v>
      </c>
      <c r="K3226" s="5">
        <f t="shared" si="203"/>
        <v>0</v>
      </c>
      <c r="L3226" s="5">
        <v>0</v>
      </c>
      <c r="M3226" s="5">
        <v>0</v>
      </c>
      <c r="N3226" t="s">
        <v>9</v>
      </c>
      <c r="O3226" s="8">
        <v>21.81095890410959</v>
      </c>
      <c r="P3226" t="s">
        <v>33</v>
      </c>
      <c r="Q3226">
        <v>2</v>
      </c>
      <c r="R3226" s="2">
        <v>38152</v>
      </c>
    </row>
    <row r="3227" spans="1:18" x14ac:dyDescent="0.3">
      <c r="A3227" t="s">
        <v>7</v>
      </c>
      <c r="B3227">
        <v>19014246</v>
      </c>
      <c r="C3227" t="s">
        <v>8</v>
      </c>
      <c r="D3227" s="4">
        <v>46118</v>
      </c>
      <c r="E3227" s="11">
        <f t="shared" si="200"/>
        <v>2026</v>
      </c>
      <c r="F3227" s="11">
        <f t="shared" si="201"/>
        <v>4</v>
      </c>
      <c r="G3227" s="11" t="str">
        <f t="shared" si="202"/>
        <v>202604</v>
      </c>
      <c r="H3227" s="4">
        <v>46148</v>
      </c>
      <c r="I3227" s="5">
        <v>30</v>
      </c>
      <c r="J3227" s="5">
        <v>1</v>
      </c>
      <c r="K3227" s="5">
        <f t="shared" si="203"/>
        <v>1</v>
      </c>
      <c r="L3227" s="5">
        <v>1</v>
      </c>
      <c r="M3227" s="5">
        <v>1</v>
      </c>
      <c r="N3227" t="s">
        <v>9</v>
      </c>
      <c r="O3227" s="8">
        <v>22.473972602739725</v>
      </c>
      <c r="P3227" t="s">
        <v>33</v>
      </c>
      <c r="Q3227">
        <v>2</v>
      </c>
      <c r="R3227" s="2">
        <v>37915</v>
      </c>
    </row>
    <row r="3228" spans="1:18" x14ac:dyDescent="0.3">
      <c r="A3228" t="s">
        <v>7</v>
      </c>
      <c r="B3228">
        <v>19014247</v>
      </c>
      <c r="C3228" t="s">
        <v>8</v>
      </c>
      <c r="D3228" s="4">
        <v>46118</v>
      </c>
      <c r="E3228" s="11">
        <f t="shared" si="200"/>
        <v>2026</v>
      </c>
      <c r="F3228" s="11">
        <f t="shared" si="201"/>
        <v>4</v>
      </c>
      <c r="G3228" s="11" t="str">
        <f t="shared" si="202"/>
        <v>202604</v>
      </c>
      <c r="I3228" s="5">
        <v>9999</v>
      </c>
      <c r="J3228" s="5">
        <v>333.3</v>
      </c>
      <c r="K3228" s="5">
        <f t="shared" si="203"/>
        <v>0</v>
      </c>
      <c r="L3228" s="5">
        <v>0</v>
      </c>
      <c r="M3228" s="5">
        <v>0</v>
      </c>
      <c r="N3228" t="s">
        <v>12</v>
      </c>
      <c r="O3228" s="8">
        <v>19.421917808219177</v>
      </c>
      <c r="P3228" t="s">
        <v>32</v>
      </c>
      <c r="Q3228">
        <v>1</v>
      </c>
      <c r="R3228" s="2">
        <v>39029</v>
      </c>
    </row>
    <row r="3229" spans="1:18" x14ac:dyDescent="0.3">
      <c r="A3229" t="s">
        <v>7</v>
      </c>
      <c r="B3229">
        <v>19014248</v>
      </c>
      <c r="C3229" t="s">
        <v>8</v>
      </c>
      <c r="D3229" s="4">
        <v>46118</v>
      </c>
      <c r="E3229" s="11">
        <f t="shared" si="200"/>
        <v>2026</v>
      </c>
      <c r="F3229" s="11">
        <f t="shared" si="201"/>
        <v>4</v>
      </c>
      <c r="G3229" s="11" t="str">
        <f t="shared" si="202"/>
        <v>202604</v>
      </c>
      <c r="I3229" s="5">
        <v>9999</v>
      </c>
      <c r="J3229" s="5">
        <v>333.3</v>
      </c>
      <c r="K3229" s="5">
        <f t="shared" si="203"/>
        <v>0</v>
      </c>
      <c r="L3229" s="5">
        <v>0</v>
      </c>
      <c r="M3229" s="5">
        <v>0</v>
      </c>
      <c r="N3229" t="s">
        <v>12</v>
      </c>
      <c r="O3229" s="8">
        <v>31.575342465753426</v>
      </c>
      <c r="P3229" t="s">
        <v>35</v>
      </c>
      <c r="Q3229">
        <v>4</v>
      </c>
      <c r="R3229" s="2">
        <v>34593</v>
      </c>
    </row>
    <row r="3230" spans="1:18" x14ac:dyDescent="0.3">
      <c r="A3230" t="s">
        <v>7</v>
      </c>
      <c r="B3230">
        <v>19014251</v>
      </c>
      <c r="C3230" t="s">
        <v>8</v>
      </c>
      <c r="D3230" s="4">
        <v>46118</v>
      </c>
      <c r="E3230" s="11">
        <f t="shared" si="200"/>
        <v>2026</v>
      </c>
      <c r="F3230" s="11">
        <f t="shared" si="201"/>
        <v>4</v>
      </c>
      <c r="G3230" s="11" t="str">
        <f t="shared" si="202"/>
        <v>202604</v>
      </c>
      <c r="I3230" s="5">
        <v>9999</v>
      </c>
      <c r="J3230" s="5">
        <v>333.3</v>
      </c>
      <c r="K3230" s="5">
        <f t="shared" si="203"/>
        <v>0</v>
      </c>
      <c r="L3230" s="5">
        <v>0</v>
      </c>
      <c r="M3230" s="5">
        <v>0</v>
      </c>
      <c r="N3230" t="s">
        <v>9</v>
      </c>
      <c r="O3230" s="8">
        <v>19.082191780821919</v>
      </c>
      <c r="P3230" t="s">
        <v>32</v>
      </c>
      <c r="Q3230">
        <v>1</v>
      </c>
      <c r="R3230" s="2">
        <v>39153</v>
      </c>
    </row>
    <row r="3231" spans="1:18" x14ac:dyDescent="0.3">
      <c r="A3231" t="s">
        <v>7</v>
      </c>
      <c r="B3231">
        <v>19014277</v>
      </c>
      <c r="C3231" t="s">
        <v>8</v>
      </c>
      <c r="D3231" s="4">
        <v>46118</v>
      </c>
      <c r="E3231" s="11">
        <f t="shared" si="200"/>
        <v>2026</v>
      </c>
      <c r="F3231" s="11">
        <f t="shared" si="201"/>
        <v>4</v>
      </c>
      <c r="G3231" s="11" t="str">
        <f t="shared" si="202"/>
        <v>202604</v>
      </c>
      <c r="H3231" s="4">
        <v>46168</v>
      </c>
      <c r="I3231" s="5">
        <v>50</v>
      </c>
      <c r="J3231" s="5">
        <v>1.6666666666666667</v>
      </c>
      <c r="K3231" s="5">
        <f t="shared" si="203"/>
        <v>0</v>
      </c>
      <c r="L3231" s="5">
        <v>1</v>
      </c>
      <c r="M3231" s="5">
        <v>1</v>
      </c>
      <c r="N3231" t="s">
        <v>12</v>
      </c>
      <c r="O3231" s="8">
        <v>25.271232876712329</v>
      </c>
      <c r="P3231" t="s">
        <v>33</v>
      </c>
      <c r="Q3231">
        <v>2</v>
      </c>
      <c r="R3231" s="2">
        <v>36894</v>
      </c>
    </row>
    <row r="3232" spans="1:18" x14ac:dyDescent="0.3">
      <c r="A3232" t="s">
        <v>7</v>
      </c>
      <c r="B3232">
        <v>19014288</v>
      </c>
      <c r="C3232" t="s">
        <v>8</v>
      </c>
      <c r="D3232" s="4">
        <v>46118</v>
      </c>
      <c r="E3232" s="11">
        <f t="shared" si="200"/>
        <v>2026</v>
      </c>
      <c r="F3232" s="11">
        <f t="shared" si="201"/>
        <v>4</v>
      </c>
      <c r="G3232" s="11" t="str">
        <f t="shared" si="202"/>
        <v>202604</v>
      </c>
      <c r="I3232" s="5">
        <v>9999</v>
      </c>
      <c r="J3232" s="5">
        <v>333.3</v>
      </c>
      <c r="K3232" s="5">
        <f t="shared" si="203"/>
        <v>0</v>
      </c>
      <c r="L3232" s="5">
        <v>0</v>
      </c>
      <c r="M3232" s="5">
        <v>0</v>
      </c>
      <c r="N3232" t="s">
        <v>12</v>
      </c>
      <c r="O3232" s="8">
        <v>20.956164383561642</v>
      </c>
      <c r="P3232" t="s">
        <v>32</v>
      </c>
      <c r="Q3232">
        <v>1</v>
      </c>
      <c r="R3232" s="2">
        <v>38469</v>
      </c>
    </row>
    <row r="3233" spans="1:18" x14ac:dyDescent="0.3">
      <c r="A3233" t="s">
        <v>7</v>
      </c>
      <c r="B3233">
        <v>19014325</v>
      </c>
      <c r="C3233" t="s">
        <v>10</v>
      </c>
      <c r="D3233" s="4">
        <v>46118</v>
      </c>
      <c r="E3233" s="11">
        <f t="shared" si="200"/>
        <v>2026</v>
      </c>
      <c r="F3233" s="11">
        <f t="shared" si="201"/>
        <v>4</v>
      </c>
      <c r="G3233" s="11" t="str">
        <f t="shared" si="202"/>
        <v>202604</v>
      </c>
      <c r="I3233" s="5">
        <v>9999</v>
      </c>
      <c r="J3233" s="5">
        <v>333.3</v>
      </c>
      <c r="K3233" s="5">
        <f t="shared" si="203"/>
        <v>0</v>
      </c>
      <c r="L3233" s="5">
        <v>0</v>
      </c>
      <c r="M3233" s="5">
        <v>0</v>
      </c>
      <c r="N3233" t="s">
        <v>9</v>
      </c>
      <c r="O3233" s="8">
        <v>18.186301369863013</v>
      </c>
      <c r="P3233" t="s">
        <v>32</v>
      </c>
      <c r="Q3233">
        <v>1</v>
      </c>
      <c r="R3233" s="2">
        <v>39480</v>
      </c>
    </row>
    <row r="3234" spans="1:18" x14ac:dyDescent="0.3">
      <c r="A3234" t="s">
        <v>7</v>
      </c>
      <c r="B3234">
        <v>19014379</v>
      </c>
      <c r="C3234" t="s">
        <v>8</v>
      </c>
      <c r="D3234" s="4">
        <v>46118</v>
      </c>
      <c r="E3234" s="11">
        <f t="shared" si="200"/>
        <v>2026</v>
      </c>
      <c r="F3234" s="11">
        <f t="shared" si="201"/>
        <v>4</v>
      </c>
      <c r="G3234" s="11" t="str">
        <f t="shared" si="202"/>
        <v>202604</v>
      </c>
      <c r="I3234" s="5">
        <v>9999</v>
      </c>
      <c r="J3234" s="5">
        <v>333.3</v>
      </c>
      <c r="K3234" s="5">
        <f t="shared" si="203"/>
        <v>0</v>
      </c>
      <c r="L3234" s="5">
        <v>0</v>
      </c>
      <c r="M3234" s="5">
        <v>0</v>
      </c>
      <c r="N3234" t="s">
        <v>9</v>
      </c>
      <c r="O3234" s="8">
        <v>23.493150684931507</v>
      </c>
      <c r="P3234" t="s">
        <v>33</v>
      </c>
      <c r="Q3234">
        <v>2</v>
      </c>
      <c r="R3234" s="2">
        <v>37543</v>
      </c>
    </row>
    <row r="3235" spans="1:18" x14ac:dyDescent="0.3">
      <c r="A3235" t="s">
        <v>7</v>
      </c>
      <c r="B3235">
        <v>19014382</v>
      </c>
      <c r="C3235" t="s">
        <v>8</v>
      </c>
      <c r="D3235" s="4">
        <v>46118</v>
      </c>
      <c r="E3235" s="11">
        <f t="shared" si="200"/>
        <v>2026</v>
      </c>
      <c r="F3235" s="11">
        <f t="shared" si="201"/>
        <v>4</v>
      </c>
      <c r="G3235" s="11" t="str">
        <f t="shared" si="202"/>
        <v>202604</v>
      </c>
      <c r="H3235" s="4">
        <v>46159</v>
      </c>
      <c r="I3235" s="5">
        <v>41</v>
      </c>
      <c r="J3235" s="5">
        <v>1.3666666666666667</v>
      </c>
      <c r="K3235" s="5">
        <f t="shared" si="203"/>
        <v>0</v>
      </c>
      <c r="L3235" s="5">
        <v>1</v>
      </c>
      <c r="M3235" s="5">
        <v>1</v>
      </c>
      <c r="N3235" t="s">
        <v>12</v>
      </c>
      <c r="O3235" s="8">
        <v>20.210958904109589</v>
      </c>
      <c r="P3235" t="s">
        <v>32</v>
      </c>
      <c r="Q3235">
        <v>1</v>
      </c>
      <c r="R3235" s="2">
        <v>38741</v>
      </c>
    </row>
    <row r="3236" spans="1:18" x14ac:dyDescent="0.3">
      <c r="A3236" t="s">
        <v>7</v>
      </c>
      <c r="B3236">
        <v>19014383</v>
      </c>
      <c r="C3236" t="s">
        <v>10</v>
      </c>
      <c r="D3236" s="4">
        <v>46118</v>
      </c>
      <c r="E3236" s="11">
        <f t="shared" si="200"/>
        <v>2026</v>
      </c>
      <c r="F3236" s="11">
        <f t="shared" si="201"/>
        <v>4</v>
      </c>
      <c r="G3236" s="11" t="str">
        <f t="shared" si="202"/>
        <v>202604</v>
      </c>
      <c r="I3236" s="5">
        <v>9999</v>
      </c>
      <c r="J3236" s="5">
        <v>333.3</v>
      </c>
      <c r="K3236" s="5">
        <f t="shared" si="203"/>
        <v>0</v>
      </c>
      <c r="L3236" s="5">
        <v>0</v>
      </c>
      <c r="M3236" s="5">
        <v>0</v>
      </c>
      <c r="N3236" t="s">
        <v>12</v>
      </c>
      <c r="O3236" s="8">
        <v>19.624657534246577</v>
      </c>
      <c r="P3236" t="s">
        <v>32</v>
      </c>
      <c r="Q3236">
        <v>1</v>
      </c>
      <c r="R3236" s="2">
        <v>38955</v>
      </c>
    </row>
    <row r="3237" spans="1:18" x14ac:dyDescent="0.3">
      <c r="A3237" t="s">
        <v>7</v>
      </c>
      <c r="B3237">
        <v>19014558</v>
      </c>
      <c r="C3237" t="s">
        <v>8</v>
      </c>
      <c r="D3237" s="4">
        <v>46118</v>
      </c>
      <c r="E3237" s="11">
        <f t="shared" si="200"/>
        <v>2026</v>
      </c>
      <c r="F3237" s="11">
        <f t="shared" si="201"/>
        <v>4</v>
      </c>
      <c r="G3237" s="11" t="str">
        <f t="shared" si="202"/>
        <v>202604</v>
      </c>
      <c r="I3237" s="5">
        <v>9999</v>
      </c>
      <c r="J3237" s="5">
        <v>333.3</v>
      </c>
      <c r="K3237" s="5">
        <f t="shared" si="203"/>
        <v>0</v>
      </c>
      <c r="L3237" s="5">
        <v>0</v>
      </c>
      <c r="M3237" s="5">
        <v>0</v>
      </c>
      <c r="N3237" t="s">
        <v>9</v>
      </c>
      <c r="O3237" s="8">
        <v>19.989041095890411</v>
      </c>
      <c r="P3237" t="s">
        <v>32</v>
      </c>
      <c r="Q3237">
        <v>1</v>
      </c>
      <c r="R3237" s="2">
        <v>38822</v>
      </c>
    </row>
    <row r="3238" spans="1:18" x14ac:dyDescent="0.3">
      <c r="A3238" t="s">
        <v>7</v>
      </c>
      <c r="B3238">
        <v>19014559</v>
      </c>
      <c r="C3238" t="s">
        <v>8</v>
      </c>
      <c r="D3238" s="4">
        <v>46118</v>
      </c>
      <c r="E3238" s="11">
        <f t="shared" si="200"/>
        <v>2026</v>
      </c>
      <c r="F3238" s="11">
        <f t="shared" si="201"/>
        <v>4</v>
      </c>
      <c r="G3238" s="11" t="str">
        <f t="shared" si="202"/>
        <v>202604</v>
      </c>
      <c r="I3238" s="5">
        <v>9999</v>
      </c>
      <c r="J3238" s="5">
        <v>333.3</v>
      </c>
      <c r="K3238" s="5">
        <f t="shared" si="203"/>
        <v>0</v>
      </c>
      <c r="L3238" s="5">
        <v>0</v>
      </c>
      <c r="M3238" s="5">
        <v>0</v>
      </c>
      <c r="N3238" t="s">
        <v>9</v>
      </c>
      <c r="O3238" s="8">
        <v>19.076712328767123</v>
      </c>
      <c r="P3238" t="s">
        <v>32</v>
      </c>
      <c r="Q3238">
        <v>1</v>
      </c>
      <c r="R3238" s="2">
        <v>39155</v>
      </c>
    </row>
    <row r="3239" spans="1:18" x14ac:dyDescent="0.3">
      <c r="A3239" t="s">
        <v>7</v>
      </c>
      <c r="B3239">
        <v>19014560</v>
      </c>
      <c r="C3239" t="s">
        <v>10</v>
      </c>
      <c r="D3239" s="4">
        <v>46118</v>
      </c>
      <c r="E3239" s="11">
        <f t="shared" si="200"/>
        <v>2026</v>
      </c>
      <c r="F3239" s="11">
        <f t="shared" si="201"/>
        <v>4</v>
      </c>
      <c r="G3239" s="11" t="str">
        <f t="shared" si="202"/>
        <v>202604</v>
      </c>
      <c r="I3239" s="5">
        <v>9999</v>
      </c>
      <c r="J3239" s="5">
        <v>333.3</v>
      </c>
      <c r="K3239" s="5">
        <f t="shared" si="203"/>
        <v>0</v>
      </c>
      <c r="L3239" s="5">
        <v>0</v>
      </c>
      <c r="M3239" s="5">
        <v>0</v>
      </c>
      <c r="N3239" t="s">
        <v>9</v>
      </c>
      <c r="O3239" s="8">
        <v>18.764383561643836</v>
      </c>
      <c r="P3239" t="s">
        <v>32</v>
      </c>
      <c r="Q3239">
        <v>1</v>
      </c>
      <c r="R3239" s="2">
        <v>39269</v>
      </c>
    </row>
    <row r="3240" spans="1:18" x14ac:dyDescent="0.3">
      <c r="A3240" t="s">
        <v>7</v>
      </c>
      <c r="B3240">
        <v>19014574</v>
      </c>
      <c r="C3240" t="s">
        <v>8</v>
      </c>
      <c r="D3240" s="4">
        <v>46118</v>
      </c>
      <c r="E3240" s="11">
        <f t="shared" si="200"/>
        <v>2026</v>
      </c>
      <c r="F3240" s="11">
        <f t="shared" si="201"/>
        <v>4</v>
      </c>
      <c r="G3240" s="11" t="str">
        <f t="shared" si="202"/>
        <v>202604</v>
      </c>
      <c r="I3240" s="5">
        <v>9999</v>
      </c>
      <c r="J3240" s="5">
        <v>333.3</v>
      </c>
      <c r="K3240" s="5">
        <f t="shared" si="203"/>
        <v>0</v>
      </c>
      <c r="L3240" s="5">
        <v>0</v>
      </c>
      <c r="M3240" s="5">
        <v>0</v>
      </c>
      <c r="N3240" t="s">
        <v>12</v>
      </c>
      <c r="O3240" s="8">
        <v>19.736986301369864</v>
      </c>
      <c r="P3240" t="s">
        <v>32</v>
      </c>
      <c r="Q3240">
        <v>1</v>
      </c>
      <c r="R3240" s="2">
        <v>38914</v>
      </c>
    </row>
    <row r="3241" spans="1:18" x14ac:dyDescent="0.3">
      <c r="A3241" t="s">
        <v>7</v>
      </c>
      <c r="B3241">
        <v>19014634</v>
      </c>
      <c r="C3241" t="s">
        <v>8</v>
      </c>
      <c r="D3241" s="4">
        <v>46118</v>
      </c>
      <c r="E3241" s="11">
        <f t="shared" si="200"/>
        <v>2026</v>
      </c>
      <c r="F3241" s="11">
        <f t="shared" si="201"/>
        <v>4</v>
      </c>
      <c r="G3241" s="11" t="str">
        <f t="shared" si="202"/>
        <v>202604</v>
      </c>
      <c r="I3241" s="5">
        <v>9999</v>
      </c>
      <c r="J3241" s="5">
        <v>333.3</v>
      </c>
      <c r="K3241" s="5">
        <f t="shared" si="203"/>
        <v>0</v>
      </c>
      <c r="L3241" s="5">
        <v>0</v>
      </c>
      <c r="M3241" s="5">
        <v>0</v>
      </c>
      <c r="N3241" t="s">
        <v>9</v>
      </c>
      <c r="O3241" s="8">
        <v>21.298630136986301</v>
      </c>
      <c r="P3241" t="s">
        <v>33</v>
      </c>
      <c r="Q3241">
        <v>2</v>
      </c>
      <c r="R3241" s="2">
        <v>38344</v>
      </c>
    </row>
    <row r="3242" spans="1:18" x14ac:dyDescent="0.3">
      <c r="A3242" t="s">
        <v>7</v>
      </c>
      <c r="B3242">
        <v>19014671</v>
      </c>
      <c r="C3242" t="s">
        <v>8</v>
      </c>
      <c r="D3242" s="4">
        <v>46118</v>
      </c>
      <c r="E3242" s="11">
        <f t="shared" si="200"/>
        <v>2026</v>
      </c>
      <c r="F3242" s="11">
        <f t="shared" si="201"/>
        <v>4</v>
      </c>
      <c r="G3242" s="11" t="str">
        <f t="shared" si="202"/>
        <v>202604</v>
      </c>
      <c r="I3242" s="5">
        <v>9999</v>
      </c>
      <c r="J3242" s="5">
        <v>333.3</v>
      </c>
      <c r="K3242" s="5">
        <f t="shared" si="203"/>
        <v>0</v>
      </c>
      <c r="L3242" s="5">
        <v>0</v>
      </c>
      <c r="M3242" s="5">
        <v>0</v>
      </c>
      <c r="N3242" t="s">
        <v>12</v>
      </c>
      <c r="O3242" s="8">
        <v>19.405479452054795</v>
      </c>
      <c r="P3242" t="s">
        <v>32</v>
      </c>
      <c r="Q3242">
        <v>1</v>
      </c>
      <c r="R3242" s="2">
        <v>39035</v>
      </c>
    </row>
    <row r="3243" spans="1:18" x14ac:dyDescent="0.3">
      <c r="A3243" t="s">
        <v>7</v>
      </c>
      <c r="B3243">
        <v>19014692</v>
      </c>
      <c r="C3243" t="s">
        <v>10</v>
      </c>
      <c r="D3243" s="4">
        <v>46118</v>
      </c>
      <c r="E3243" s="11">
        <f t="shared" si="200"/>
        <v>2026</v>
      </c>
      <c r="F3243" s="11">
        <f t="shared" si="201"/>
        <v>4</v>
      </c>
      <c r="G3243" s="11" t="str">
        <f t="shared" si="202"/>
        <v>202604</v>
      </c>
      <c r="I3243" s="5">
        <v>9999</v>
      </c>
      <c r="J3243" s="5">
        <v>333.3</v>
      </c>
      <c r="K3243" s="5">
        <f t="shared" si="203"/>
        <v>0</v>
      </c>
      <c r="L3243" s="5">
        <v>0</v>
      </c>
      <c r="M3243" s="5">
        <v>0</v>
      </c>
      <c r="N3243" t="s">
        <v>9</v>
      </c>
      <c r="O3243" s="8">
        <v>20.227397260273971</v>
      </c>
      <c r="P3243" t="s">
        <v>32</v>
      </c>
      <c r="Q3243">
        <v>1</v>
      </c>
      <c r="R3243" s="2">
        <v>38735</v>
      </c>
    </row>
    <row r="3244" spans="1:18" x14ac:dyDescent="0.3">
      <c r="A3244" t="s">
        <v>7</v>
      </c>
      <c r="B3244">
        <v>19014724</v>
      </c>
      <c r="C3244" t="s">
        <v>8</v>
      </c>
      <c r="D3244" s="4">
        <v>46113</v>
      </c>
      <c r="E3244" s="11">
        <f t="shared" si="200"/>
        <v>2026</v>
      </c>
      <c r="F3244" s="11">
        <f t="shared" si="201"/>
        <v>4</v>
      </c>
      <c r="G3244" s="11" t="str">
        <f t="shared" si="202"/>
        <v>202604</v>
      </c>
      <c r="I3244" s="5">
        <v>9999</v>
      </c>
      <c r="J3244" s="5">
        <v>333.3</v>
      </c>
      <c r="K3244" s="5">
        <f t="shared" si="203"/>
        <v>0</v>
      </c>
      <c r="L3244" s="5">
        <v>0</v>
      </c>
      <c r="M3244" s="5">
        <v>0</v>
      </c>
      <c r="N3244" t="s">
        <v>9</v>
      </c>
      <c r="O3244" s="8">
        <v>19.775342465753425</v>
      </c>
      <c r="P3244" t="s">
        <v>32</v>
      </c>
      <c r="Q3244">
        <v>1</v>
      </c>
      <c r="R3244" s="2">
        <v>38895</v>
      </c>
    </row>
    <row r="3245" spans="1:18" x14ac:dyDescent="0.3">
      <c r="A3245" t="s">
        <v>7</v>
      </c>
      <c r="B3245">
        <v>19014725</v>
      </c>
      <c r="C3245" t="s">
        <v>8</v>
      </c>
      <c r="D3245" s="4">
        <v>46113</v>
      </c>
      <c r="E3245" s="11">
        <f t="shared" si="200"/>
        <v>2026</v>
      </c>
      <c r="F3245" s="11">
        <f t="shared" si="201"/>
        <v>4</v>
      </c>
      <c r="G3245" s="11" t="str">
        <f t="shared" si="202"/>
        <v>202604</v>
      </c>
      <c r="H3245" s="4">
        <v>46142</v>
      </c>
      <c r="I3245" s="5">
        <v>29</v>
      </c>
      <c r="J3245" s="5">
        <v>0.96666666666666667</v>
      </c>
      <c r="K3245" s="5">
        <f t="shared" si="203"/>
        <v>1</v>
      </c>
      <c r="L3245" s="5">
        <v>1</v>
      </c>
      <c r="M3245" s="5">
        <v>1</v>
      </c>
      <c r="N3245" t="s">
        <v>9</v>
      </c>
      <c r="O3245" s="8">
        <v>24.241095890410961</v>
      </c>
      <c r="P3245" t="s">
        <v>33</v>
      </c>
      <c r="Q3245">
        <v>2</v>
      </c>
      <c r="R3245" s="2">
        <v>37265</v>
      </c>
    </row>
    <row r="3246" spans="1:18" x14ac:dyDescent="0.3">
      <c r="A3246" t="s">
        <v>7</v>
      </c>
      <c r="B3246">
        <v>19014726</v>
      </c>
      <c r="C3246" t="s">
        <v>8</v>
      </c>
      <c r="D3246" s="4">
        <v>46113</v>
      </c>
      <c r="E3246" s="11">
        <f t="shared" si="200"/>
        <v>2026</v>
      </c>
      <c r="F3246" s="11">
        <f t="shared" si="201"/>
        <v>4</v>
      </c>
      <c r="G3246" s="11" t="str">
        <f t="shared" si="202"/>
        <v>202604</v>
      </c>
      <c r="I3246" s="5">
        <v>9999</v>
      </c>
      <c r="J3246" s="5">
        <v>333.3</v>
      </c>
      <c r="K3246" s="5">
        <f t="shared" si="203"/>
        <v>0</v>
      </c>
      <c r="L3246" s="5">
        <v>0</v>
      </c>
      <c r="M3246" s="5">
        <v>0</v>
      </c>
      <c r="N3246" t="s">
        <v>9</v>
      </c>
      <c r="O3246" s="8">
        <v>27.273972602739725</v>
      </c>
      <c r="P3246" t="s">
        <v>34</v>
      </c>
      <c r="Q3246">
        <v>3</v>
      </c>
      <c r="R3246" s="2">
        <v>36158</v>
      </c>
    </row>
    <row r="3247" spans="1:18" x14ac:dyDescent="0.3">
      <c r="A3247" t="s">
        <v>7</v>
      </c>
      <c r="B3247">
        <v>19014727</v>
      </c>
      <c r="C3247" t="s">
        <v>10</v>
      </c>
      <c r="D3247" s="4">
        <v>46113</v>
      </c>
      <c r="E3247" s="11">
        <f t="shared" si="200"/>
        <v>2026</v>
      </c>
      <c r="F3247" s="11">
        <f t="shared" si="201"/>
        <v>4</v>
      </c>
      <c r="G3247" s="11" t="str">
        <f t="shared" si="202"/>
        <v>202604</v>
      </c>
      <c r="I3247" s="5">
        <v>9999</v>
      </c>
      <c r="J3247" s="5">
        <v>333.3</v>
      </c>
      <c r="K3247" s="5">
        <f t="shared" si="203"/>
        <v>0</v>
      </c>
      <c r="L3247" s="5">
        <v>0</v>
      </c>
      <c r="M3247" s="5">
        <v>0</v>
      </c>
      <c r="N3247" t="s">
        <v>9</v>
      </c>
      <c r="O3247" s="8">
        <v>19.616438356164384</v>
      </c>
      <c r="P3247" t="s">
        <v>32</v>
      </c>
      <c r="Q3247">
        <v>1</v>
      </c>
      <c r="R3247" s="2">
        <v>38953</v>
      </c>
    </row>
    <row r="3248" spans="1:18" x14ac:dyDescent="0.3">
      <c r="A3248" t="s">
        <v>7</v>
      </c>
      <c r="B3248">
        <v>19014728</v>
      </c>
      <c r="C3248" t="s">
        <v>8</v>
      </c>
      <c r="D3248" s="4">
        <v>46113</v>
      </c>
      <c r="E3248" s="11">
        <f t="shared" si="200"/>
        <v>2026</v>
      </c>
      <c r="F3248" s="11">
        <f t="shared" si="201"/>
        <v>4</v>
      </c>
      <c r="G3248" s="11" t="str">
        <f t="shared" si="202"/>
        <v>202604</v>
      </c>
      <c r="H3248" s="4">
        <v>46142</v>
      </c>
      <c r="I3248" s="5">
        <v>29</v>
      </c>
      <c r="J3248" s="5">
        <v>0.96666666666666667</v>
      </c>
      <c r="K3248" s="5">
        <f t="shared" si="203"/>
        <v>1</v>
      </c>
      <c r="L3248" s="5">
        <v>1</v>
      </c>
      <c r="M3248" s="5">
        <v>1</v>
      </c>
      <c r="N3248" t="s">
        <v>9</v>
      </c>
      <c r="O3248" s="8">
        <v>18.326027397260273</v>
      </c>
      <c r="P3248" t="s">
        <v>32</v>
      </c>
      <c r="Q3248">
        <v>1</v>
      </c>
      <c r="R3248" s="2">
        <v>39424</v>
      </c>
    </row>
    <row r="3249" spans="1:18" x14ac:dyDescent="0.3">
      <c r="A3249" t="s">
        <v>7</v>
      </c>
      <c r="B3249">
        <v>19014813</v>
      </c>
      <c r="C3249" t="s">
        <v>8</v>
      </c>
      <c r="D3249" s="4">
        <v>46113</v>
      </c>
      <c r="E3249" s="11">
        <f t="shared" si="200"/>
        <v>2026</v>
      </c>
      <c r="F3249" s="11">
        <f t="shared" si="201"/>
        <v>4</v>
      </c>
      <c r="G3249" s="11" t="str">
        <f t="shared" si="202"/>
        <v>202604</v>
      </c>
      <c r="H3249" s="4">
        <v>46118</v>
      </c>
      <c r="I3249" s="5">
        <v>5</v>
      </c>
      <c r="J3249" s="5">
        <v>0.16666666666666666</v>
      </c>
      <c r="K3249" s="5">
        <f t="shared" si="203"/>
        <v>1</v>
      </c>
      <c r="L3249" s="5">
        <v>1</v>
      </c>
      <c r="M3249" s="5">
        <v>1</v>
      </c>
      <c r="N3249" t="s">
        <v>9</v>
      </c>
      <c r="O3249" s="8">
        <v>25.846575342465755</v>
      </c>
      <c r="P3249" t="s">
        <v>33</v>
      </c>
      <c r="Q3249">
        <v>2</v>
      </c>
      <c r="R3249" s="2">
        <v>36679</v>
      </c>
    </row>
    <row r="3250" spans="1:18" x14ac:dyDescent="0.3">
      <c r="A3250" t="s">
        <v>7</v>
      </c>
      <c r="B3250">
        <v>19014823</v>
      </c>
      <c r="C3250" t="s">
        <v>8</v>
      </c>
      <c r="D3250" s="4">
        <v>46113</v>
      </c>
      <c r="E3250" s="11">
        <f t="shared" si="200"/>
        <v>2026</v>
      </c>
      <c r="F3250" s="11">
        <f t="shared" si="201"/>
        <v>4</v>
      </c>
      <c r="G3250" s="11" t="str">
        <f t="shared" si="202"/>
        <v>202604</v>
      </c>
      <c r="H3250" s="4">
        <v>46150</v>
      </c>
      <c r="I3250" s="5">
        <v>37</v>
      </c>
      <c r="J3250" s="5">
        <v>1.2333333333333334</v>
      </c>
      <c r="K3250" s="5">
        <f t="shared" si="203"/>
        <v>0</v>
      </c>
      <c r="L3250" s="5">
        <v>1</v>
      </c>
      <c r="M3250" s="5">
        <v>1</v>
      </c>
      <c r="N3250" t="s">
        <v>9</v>
      </c>
      <c r="O3250" s="8">
        <v>19.712328767123289</v>
      </c>
      <c r="P3250" t="s">
        <v>32</v>
      </c>
      <c r="Q3250">
        <v>1</v>
      </c>
      <c r="R3250" s="2">
        <v>38918</v>
      </c>
    </row>
    <row r="3251" spans="1:18" x14ac:dyDescent="0.3">
      <c r="A3251" t="s">
        <v>7</v>
      </c>
      <c r="B3251">
        <v>19014824</v>
      </c>
      <c r="C3251" t="s">
        <v>8</v>
      </c>
      <c r="D3251" s="4">
        <v>46113</v>
      </c>
      <c r="E3251" s="11">
        <f t="shared" si="200"/>
        <v>2026</v>
      </c>
      <c r="F3251" s="11">
        <f t="shared" si="201"/>
        <v>4</v>
      </c>
      <c r="G3251" s="11" t="str">
        <f t="shared" si="202"/>
        <v>202604</v>
      </c>
      <c r="H3251" s="4">
        <v>46166</v>
      </c>
      <c r="I3251" s="5">
        <v>53</v>
      </c>
      <c r="J3251" s="5">
        <v>1.7666666666666666</v>
      </c>
      <c r="K3251" s="5">
        <f t="shared" si="203"/>
        <v>0</v>
      </c>
      <c r="L3251" s="5">
        <v>1</v>
      </c>
      <c r="M3251" s="5">
        <v>1</v>
      </c>
      <c r="N3251" t="s">
        <v>9</v>
      </c>
      <c r="O3251" s="8">
        <v>21.339726027397262</v>
      </c>
      <c r="P3251" t="s">
        <v>33</v>
      </c>
      <c r="Q3251">
        <v>2</v>
      </c>
      <c r="R3251" s="2">
        <v>38324</v>
      </c>
    </row>
    <row r="3252" spans="1:18" x14ac:dyDescent="0.3">
      <c r="A3252" t="s">
        <v>7</v>
      </c>
      <c r="B3252">
        <v>19014826</v>
      </c>
      <c r="C3252" t="s">
        <v>8</v>
      </c>
      <c r="D3252" s="4">
        <v>46113</v>
      </c>
      <c r="E3252" s="11">
        <f t="shared" si="200"/>
        <v>2026</v>
      </c>
      <c r="F3252" s="11">
        <f t="shared" si="201"/>
        <v>4</v>
      </c>
      <c r="G3252" s="11" t="str">
        <f t="shared" si="202"/>
        <v>202604</v>
      </c>
      <c r="I3252" s="5">
        <v>9999</v>
      </c>
      <c r="J3252" s="5">
        <v>333.3</v>
      </c>
      <c r="K3252" s="5">
        <f t="shared" si="203"/>
        <v>0</v>
      </c>
      <c r="L3252" s="5">
        <v>0</v>
      </c>
      <c r="M3252" s="5">
        <v>0</v>
      </c>
      <c r="N3252" t="s">
        <v>9</v>
      </c>
      <c r="O3252" s="8">
        <v>25.282191780821918</v>
      </c>
      <c r="P3252" t="s">
        <v>33</v>
      </c>
      <c r="Q3252">
        <v>2</v>
      </c>
      <c r="R3252" s="2">
        <v>36885</v>
      </c>
    </row>
    <row r="3253" spans="1:18" x14ac:dyDescent="0.3">
      <c r="A3253" t="s">
        <v>7</v>
      </c>
      <c r="B3253">
        <v>19014827</v>
      </c>
      <c r="C3253" t="s">
        <v>8</v>
      </c>
      <c r="D3253" s="4">
        <v>46113</v>
      </c>
      <c r="E3253" s="11">
        <f t="shared" si="200"/>
        <v>2026</v>
      </c>
      <c r="F3253" s="11">
        <f t="shared" si="201"/>
        <v>4</v>
      </c>
      <c r="G3253" s="11" t="str">
        <f t="shared" si="202"/>
        <v>202604</v>
      </c>
      <c r="I3253" s="5">
        <v>9999</v>
      </c>
      <c r="J3253" s="5">
        <v>333.3</v>
      </c>
      <c r="K3253" s="5">
        <f t="shared" si="203"/>
        <v>0</v>
      </c>
      <c r="L3253" s="5">
        <v>0</v>
      </c>
      <c r="M3253" s="5">
        <v>0</v>
      </c>
      <c r="N3253" t="s">
        <v>9</v>
      </c>
      <c r="O3253" s="8">
        <v>20.506849315068493</v>
      </c>
      <c r="P3253" t="s">
        <v>32</v>
      </c>
      <c r="Q3253">
        <v>1</v>
      </c>
      <c r="R3253" s="2">
        <v>38628</v>
      </c>
    </row>
    <row r="3254" spans="1:18" x14ac:dyDescent="0.3">
      <c r="A3254" t="s">
        <v>7</v>
      </c>
      <c r="B3254">
        <v>19014828</v>
      </c>
      <c r="C3254" t="s">
        <v>10</v>
      </c>
      <c r="D3254" s="4">
        <v>46113</v>
      </c>
      <c r="E3254" s="11">
        <f t="shared" si="200"/>
        <v>2026</v>
      </c>
      <c r="F3254" s="11">
        <f t="shared" si="201"/>
        <v>4</v>
      </c>
      <c r="G3254" s="11" t="str">
        <f t="shared" si="202"/>
        <v>202604</v>
      </c>
      <c r="I3254" s="5">
        <v>9999</v>
      </c>
      <c r="J3254" s="5">
        <v>333.3</v>
      </c>
      <c r="K3254" s="5">
        <f t="shared" si="203"/>
        <v>0</v>
      </c>
      <c r="L3254" s="5">
        <v>0</v>
      </c>
      <c r="M3254" s="5">
        <v>0</v>
      </c>
      <c r="N3254" t="s">
        <v>9</v>
      </c>
      <c r="O3254" s="8">
        <v>18.882191780821916</v>
      </c>
      <c r="P3254" t="s">
        <v>32</v>
      </c>
      <c r="Q3254">
        <v>1</v>
      </c>
      <c r="R3254" s="2">
        <v>39221</v>
      </c>
    </row>
    <row r="3255" spans="1:18" x14ac:dyDescent="0.3">
      <c r="A3255" t="s">
        <v>7</v>
      </c>
      <c r="B3255">
        <v>19014834</v>
      </c>
      <c r="C3255" t="s">
        <v>8</v>
      </c>
      <c r="D3255" s="4">
        <v>46113</v>
      </c>
      <c r="E3255" s="11">
        <f t="shared" si="200"/>
        <v>2026</v>
      </c>
      <c r="F3255" s="11">
        <f t="shared" si="201"/>
        <v>4</v>
      </c>
      <c r="G3255" s="11" t="str">
        <f t="shared" si="202"/>
        <v>202604</v>
      </c>
      <c r="I3255" s="5">
        <v>9999</v>
      </c>
      <c r="J3255" s="5">
        <v>333.3</v>
      </c>
      <c r="K3255" s="5">
        <f t="shared" si="203"/>
        <v>0</v>
      </c>
      <c r="L3255" s="5">
        <v>0</v>
      </c>
      <c r="M3255" s="5">
        <v>0</v>
      </c>
      <c r="N3255" t="s">
        <v>9</v>
      </c>
      <c r="O3255" s="8">
        <v>18.709589041095889</v>
      </c>
      <c r="P3255" t="s">
        <v>32</v>
      </c>
      <c r="Q3255">
        <v>1</v>
      </c>
      <c r="R3255" s="2">
        <v>39284</v>
      </c>
    </row>
    <row r="3256" spans="1:18" x14ac:dyDescent="0.3">
      <c r="A3256" t="s">
        <v>7</v>
      </c>
      <c r="B3256">
        <v>19014846</v>
      </c>
      <c r="C3256" t="s">
        <v>8</v>
      </c>
      <c r="D3256" s="4">
        <v>46113</v>
      </c>
      <c r="E3256" s="11">
        <f t="shared" si="200"/>
        <v>2026</v>
      </c>
      <c r="F3256" s="11">
        <f t="shared" si="201"/>
        <v>4</v>
      </c>
      <c r="G3256" s="11" t="str">
        <f t="shared" si="202"/>
        <v>202604</v>
      </c>
      <c r="I3256" s="5">
        <v>9999</v>
      </c>
      <c r="J3256" s="5">
        <v>333.3</v>
      </c>
      <c r="K3256" s="5">
        <f t="shared" si="203"/>
        <v>0</v>
      </c>
      <c r="L3256" s="5">
        <v>0</v>
      </c>
      <c r="M3256" s="5">
        <v>0</v>
      </c>
      <c r="N3256" t="s">
        <v>9</v>
      </c>
      <c r="O3256" s="8">
        <v>40.679452054794524</v>
      </c>
      <c r="P3256" t="s">
        <v>35</v>
      </c>
      <c r="Q3256">
        <v>4</v>
      </c>
      <c r="R3256" s="2">
        <v>31265</v>
      </c>
    </row>
    <row r="3257" spans="1:18" x14ac:dyDescent="0.3">
      <c r="A3257" t="s">
        <v>7</v>
      </c>
      <c r="B3257">
        <v>19014849</v>
      </c>
      <c r="C3257" t="s">
        <v>8</v>
      </c>
      <c r="D3257" s="4">
        <v>46113</v>
      </c>
      <c r="E3257" s="11">
        <f t="shared" si="200"/>
        <v>2026</v>
      </c>
      <c r="F3257" s="11">
        <f t="shared" si="201"/>
        <v>4</v>
      </c>
      <c r="G3257" s="11" t="str">
        <f t="shared" si="202"/>
        <v>202604</v>
      </c>
      <c r="H3257" s="4">
        <v>46121</v>
      </c>
      <c r="I3257" s="5">
        <v>8</v>
      </c>
      <c r="J3257" s="5">
        <v>0.26666666666666666</v>
      </c>
      <c r="K3257" s="5">
        <f t="shared" si="203"/>
        <v>1</v>
      </c>
      <c r="L3257" s="5">
        <v>1</v>
      </c>
      <c r="M3257" s="5">
        <v>1</v>
      </c>
      <c r="N3257" t="s">
        <v>9</v>
      </c>
      <c r="O3257" s="8">
        <v>19.849315068493151</v>
      </c>
      <c r="P3257" t="s">
        <v>32</v>
      </c>
      <c r="Q3257">
        <v>1</v>
      </c>
      <c r="R3257" s="2">
        <v>38868</v>
      </c>
    </row>
    <row r="3258" spans="1:18" x14ac:dyDescent="0.3">
      <c r="A3258" t="s">
        <v>7</v>
      </c>
      <c r="B3258">
        <v>19014884</v>
      </c>
      <c r="C3258" t="s">
        <v>8</v>
      </c>
      <c r="D3258" s="4">
        <v>46119</v>
      </c>
      <c r="E3258" s="11">
        <f t="shared" si="200"/>
        <v>2026</v>
      </c>
      <c r="F3258" s="11">
        <f t="shared" si="201"/>
        <v>4</v>
      </c>
      <c r="G3258" s="11" t="str">
        <f t="shared" si="202"/>
        <v>202604</v>
      </c>
      <c r="H3258" s="4">
        <v>46128</v>
      </c>
      <c r="I3258" s="5">
        <v>9</v>
      </c>
      <c r="J3258" s="5">
        <v>0.3</v>
      </c>
      <c r="K3258" s="5">
        <f t="shared" si="203"/>
        <v>1</v>
      </c>
      <c r="L3258" s="5">
        <v>1</v>
      </c>
      <c r="M3258" s="5">
        <v>1</v>
      </c>
      <c r="N3258" t="s">
        <v>9</v>
      </c>
      <c r="O3258" s="8">
        <v>22.054794520547944</v>
      </c>
      <c r="P3258" t="s">
        <v>33</v>
      </c>
      <c r="Q3258">
        <v>2</v>
      </c>
      <c r="R3258" s="2">
        <v>38069</v>
      </c>
    </row>
    <row r="3259" spans="1:18" x14ac:dyDescent="0.3">
      <c r="A3259" t="s">
        <v>7</v>
      </c>
      <c r="B3259">
        <v>19014921</v>
      </c>
      <c r="C3259" t="s">
        <v>8</v>
      </c>
      <c r="D3259" s="4">
        <v>46119</v>
      </c>
      <c r="E3259" s="11">
        <f t="shared" si="200"/>
        <v>2026</v>
      </c>
      <c r="F3259" s="11">
        <f t="shared" si="201"/>
        <v>4</v>
      </c>
      <c r="G3259" s="11" t="str">
        <f t="shared" si="202"/>
        <v>202604</v>
      </c>
      <c r="H3259" s="4">
        <v>46122</v>
      </c>
      <c r="I3259" s="5">
        <v>3</v>
      </c>
      <c r="J3259" s="5">
        <v>0.1</v>
      </c>
      <c r="K3259" s="5">
        <f t="shared" si="203"/>
        <v>1</v>
      </c>
      <c r="L3259" s="5">
        <v>1</v>
      </c>
      <c r="M3259" s="5">
        <v>1</v>
      </c>
      <c r="N3259" t="s">
        <v>9</v>
      </c>
      <c r="O3259" s="8">
        <v>19.030136986301368</v>
      </c>
      <c r="P3259" t="s">
        <v>32</v>
      </c>
      <c r="Q3259">
        <v>1</v>
      </c>
      <c r="R3259" s="2">
        <v>39173</v>
      </c>
    </row>
    <row r="3260" spans="1:18" x14ac:dyDescent="0.3">
      <c r="A3260" t="s">
        <v>11</v>
      </c>
      <c r="B3260">
        <v>19014922</v>
      </c>
      <c r="C3260" t="s">
        <v>8</v>
      </c>
      <c r="D3260" s="4">
        <v>46119</v>
      </c>
      <c r="E3260" s="11">
        <f t="shared" si="200"/>
        <v>2026</v>
      </c>
      <c r="F3260" s="11">
        <f t="shared" si="201"/>
        <v>4</v>
      </c>
      <c r="G3260" s="11" t="str">
        <f t="shared" si="202"/>
        <v>202604</v>
      </c>
      <c r="I3260" s="5">
        <v>9999</v>
      </c>
      <c r="J3260" s="5">
        <v>333.3</v>
      </c>
      <c r="K3260" s="5">
        <f t="shared" si="203"/>
        <v>0</v>
      </c>
      <c r="L3260" s="5">
        <v>0</v>
      </c>
      <c r="M3260" s="5">
        <v>0</v>
      </c>
      <c r="N3260" t="s">
        <v>9</v>
      </c>
      <c r="O3260" s="8">
        <v>18.682191780821917</v>
      </c>
      <c r="P3260" t="s">
        <v>32</v>
      </c>
      <c r="Q3260">
        <v>1</v>
      </c>
      <c r="R3260" s="2">
        <v>39300</v>
      </c>
    </row>
    <row r="3261" spans="1:18" x14ac:dyDescent="0.3">
      <c r="A3261" t="s">
        <v>7</v>
      </c>
      <c r="B3261">
        <v>19014923</v>
      </c>
      <c r="C3261" t="s">
        <v>8</v>
      </c>
      <c r="D3261" s="4">
        <v>46119</v>
      </c>
      <c r="E3261" s="11">
        <f t="shared" si="200"/>
        <v>2026</v>
      </c>
      <c r="F3261" s="11">
        <f t="shared" si="201"/>
        <v>4</v>
      </c>
      <c r="G3261" s="11" t="str">
        <f t="shared" si="202"/>
        <v>202604</v>
      </c>
      <c r="H3261" s="4">
        <v>46152</v>
      </c>
      <c r="I3261" s="5">
        <v>33</v>
      </c>
      <c r="J3261" s="5">
        <v>1.1000000000000001</v>
      </c>
      <c r="K3261" s="5">
        <f t="shared" si="203"/>
        <v>0</v>
      </c>
      <c r="L3261" s="5">
        <v>1</v>
      </c>
      <c r="M3261" s="5">
        <v>1</v>
      </c>
      <c r="N3261" t="s">
        <v>9</v>
      </c>
      <c r="O3261" s="8">
        <v>23.687671232876713</v>
      </c>
      <c r="P3261" t="s">
        <v>33</v>
      </c>
      <c r="Q3261">
        <v>2</v>
      </c>
      <c r="R3261" s="2">
        <v>37473</v>
      </c>
    </row>
    <row r="3262" spans="1:18" x14ac:dyDescent="0.3">
      <c r="A3262" t="s">
        <v>7</v>
      </c>
      <c r="B3262">
        <v>19014924</v>
      </c>
      <c r="C3262" t="s">
        <v>10</v>
      </c>
      <c r="D3262" s="4">
        <v>46119</v>
      </c>
      <c r="E3262" s="11">
        <f t="shared" si="200"/>
        <v>2026</v>
      </c>
      <c r="F3262" s="11">
        <f t="shared" si="201"/>
        <v>4</v>
      </c>
      <c r="G3262" s="11" t="str">
        <f t="shared" si="202"/>
        <v>202604</v>
      </c>
      <c r="I3262" s="5">
        <v>9999</v>
      </c>
      <c r="J3262" s="5">
        <v>333.3</v>
      </c>
      <c r="K3262" s="5">
        <f t="shared" si="203"/>
        <v>0</v>
      </c>
      <c r="L3262" s="5">
        <v>0</v>
      </c>
      <c r="M3262" s="5">
        <v>0</v>
      </c>
      <c r="N3262" t="s">
        <v>12</v>
      </c>
      <c r="O3262" s="8">
        <v>19.978082191780821</v>
      </c>
      <c r="P3262" t="s">
        <v>32</v>
      </c>
      <c r="Q3262">
        <v>1</v>
      </c>
      <c r="R3262" s="2">
        <v>38827</v>
      </c>
    </row>
    <row r="3263" spans="1:18" x14ac:dyDescent="0.3">
      <c r="A3263" t="s">
        <v>7</v>
      </c>
      <c r="B3263">
        <v>19014927</v>
      </c>
      <c r="C3263" t="s">
        <v>8</v>
      </c>
      <c r="D3263" s="4">
        <v>46119</v>
      </c>
      <c r="E3263" s="11">
        <f t="shared" si="200"/>
        <v>2026</v>
      </c>
      <c r="F3263" s="11">
        <f t="shared" si="201"/>
        <v>4</v>
      </c>
      <c r="G3263" s="11" t="str">
        <f t="shared" si="202"/>
        <v>202604</v>
      </c>
      <c r="I3263" s="5">
        <v>9999</v>
      </c>
      <c r="J3263" s="5">
        <v>333.3</v>
      </c>
      <c r="K3263" s="5">
        <f t="shared" si="203"/>
        <v>0</v>
      </c>
      <c r="L3263" s="5">
        <v>0</v>
      </c>
      <c r="M3263" s="5">
        <v>0</v>
      </c>
      <c r="N3263" t="s">
        <v>9</v>
      </c>
      <c r="O3263" s="8">
        <v>22.136986301369863</v>
      </c>
      <c r="P3263" t="s">
        <v>33</v>
      </c>
      <c r="Q3263">
        <v>2</v>
      </c>
      <c r="R3263" s="2">
        <v>38039</v>
      </c>
    </row>
    <row r="3264" spans="1:18" x14ac:dyDescent="0.3">
      <c r="A3264" t="s">
        <v>11</v>
      </c>
      <c r="B3264">
        <v>19014934</v>
      </c>
      <c r="C3264" t="s">
        <v>8</v>
      </c>
      <c r="D3264" s="4">
        <v>46119</v>
      </c>
      <c r="E3264" s="11">
        <f t="shared" si="200"/>
        <v>2026</v>
      </c>
      <c r="F3264" s="11">
        <f t="shared" si="201"/>
        <v>4</v>
      </c>
      <c r="G3264" s="11" t="str">
        <f t="shared" si="202"/>
        <v>202604</v>
      </c>
      <c r="I3264" s="5">
        <v>9999</v>
      </c>
      <c r="J3264" s="5">
        <v>333.3</v>
      </c>
      <c r="K3264" s="5">
        <f t="shared" si="203"/>
        <v>0</v>
      </c>
      <c r="L3264" s="5">
        <v>0</v>
      </c>
      <c r="M3264" s="5">
        <v>0</v>
      </c>
      <c r="N3264" t="s">
        <v>12</v>
      </c>
      <c r="O3264" s="8">
        <v>34.241095890410961</v>
      </c>
      <c r="P3264" t="s">
        <v>35</v>
      </c>
      <c r="Q3264">
        <v>4</v>
      </c>
      <c r="R3264" s="2">
        <v>33621</v>
      </c>
    </row>
    <row r="3265" spans="1:18" x14ac:dyDescent="0.3">
      <c r="A3265" t="s">
        <v>7</v>
      </c>
      <c r="B3265">
        <v>19014938</v>
      </c>
      <c r="C3265" t="s">
        <v>8</v>
      </c>
      <c r="D3265" s="4">
        <v>46119</v>
      </c>
      <c r="E3265" s="11">
        <f t="shared" si="200"/>
        <v>2026</v>
      </c>
      <c r="F3265" s="11">
        <f t="shared" si="201"/>
        <v>4</v>
      </c>
      <c r="G3265" s="11" t="str">
        <f t="shared" si="202"/>
        <v>202604</v>
      </c>
      <c r="I3265" s="5">
        <v>9999</v>
      </c>
      <c r="J3265" s="5">
        <v>333.3</v>
      </c>
      <c r="K3265" s="5">
        <f t="shared" si="203"/>
        <v>0</v>
      </c>
      <c r="L3265" s="5">
        <v>0</v>
      </c>
      <c r="M3265" s="5">
        <v>0</v>
      </c>
      <c r="N3265" t="s">
        <v>9</v>
      </c>
      <c r="O3265" s="8">
        <v>18.145205479452056</v>
      </c>
      <c r="P3265" t="s">
        <v>32</v>
      </c>
      <c r="Q3265">
        <v>1</v>
      </c>
      <c r="R3265" s="2">
        <v>39496</v>
      </c>
    </row>
    <row r="3266" spans="1:18" x14ac:dyDescent="0.3">
      <c r="A3266" t="s">
        <v>7</v>
      </c>
      <c r="B3266">
        <v>19014960</v>
      </c>
      <c r="C3266" t="s">
        <v>8</v>
      </c>
      <c r="D3266" s="4">
        <v>46119</v>
      </c>
      <c r="E3266" s="11">
        <f t="shared" si="200"/>
        <v>2026</v>
      </c>
      <c r="F3266" s="11">
        <f t="shared" si="201"/>
        <v>4</v>
      </c>
      <c r="G3266" s="11" t="str">
        <f t="shared" si="202"/>
        <v>202604</v>
      </c>
      <c r="I3266" s="5">
        <v>9999</v>
      </c>
      <c r="J3266" s="5">
        <v>333.3</v>
      </c>
      <c r="K3266" s="5">
        <f t="shared" si="203"/>
        <v>0</v>
      </c>
      <c r="L3266" s="5">
        <v>0</v>
      </c>
      <c r="M3266" s="5">
        <v>0</v>
      </c>
      <c r="N3266" t="s">
        <v>12</v>
      </c>
      <c r="O3266" s="8">
        <v>18.643835616438356</v>
      </c>
      <c r="P3266" t="s">
        <v>32</v>
      </c>
      <c r="Q3266">
        <v>1</v>
      </c>
      <c r="R3266" s="2">
        <v>39314</v>
      </c>
    </row>
    <row r="3267" spans="1:18" x14ac:dyDescent="0.3">
      <c r="A3267" t="s">
        <v>7</v>
      </c>
      <c r="B3267">
        <v>19015326</v>
      </c>
      <c r="C3267" t="s">
        <v>8</v>
      </c>
      <c r="D3267" s="4">
        <v>46120</v>
      </c>
      <c r="E3267" s="11">
        <f t="shared" ref="E3267:E3330" si="204">+YEAR(D3267)</f>
        <v>2026</v>
      </c>
      <c r="F3267" s="11">
        <f t="shared" ref="F3267:F3330" si="205">+MONTH(D3267)</f>
        <v>4</v>
      </c>
      <c r="G3267" s="11" t="str">
        <f t="shared" ref="G3267:G3330" si="206">+TEXT(D3267, "yyymm")</f>
        <v>202604</v>
      </c>
      <c r="I3267" s="5">
        <v>9999</v>
      </c>
      <c r="J3267" s="5">
        <v>333.3</v>
      </c>
      <c r="K3267" s="5">
        <f t="shared" ref="K3267:K3330" si="207">IF(J3267&lt;=1,1,0)</f>
        <v>0</v>
      </c>
      <c r="L3267" s="5">
        <v>0</v>
      </c>
      <c r="M3267" s="5">
        <v>0</v>
      </c>
      <c r="N3267" t="s">
        <v>12</v>
      </c>
      <c r="O3267" s="8">
        <v>24.126027397260273</v>
      </c>
      <c r="P3267" t="s">
        <v>33</v>
      </c>
      <c r="Q3267">
        <v>2</v>
      </c>
      <c r="R3267" s="2">
        <v>37314</v>
      </c>
    </row>
    <row r="3268" spans="1:18" x14ac:dyDescent="0.3">
      <c r="A3268" t="s">
        <v>7</v>
      </c>
      <c r="B3268">
        <v>19015344</v>
      </c>
      <c r="C3268" t="s">
        <v>8</v>
      </c>
      <c r="D3268" s="4">
        <v>46120</v>
      </c>
      <c r="E3268" s="11">
        <f t="shared" si="204"/>
        <v>2026</v>
      </c>
      <c r="F3268" s="11">
        <f t="shared" si="205"/>
        <v>4</v>
      </c>
      <c r="G3268" s="11" t="str">
        <f t="shared" si="206"/>
        <v>202604</v>
      </c>
      <c r="I3268" s="5">
        <v>9999</v>
      </c>
      <c r="J3268" s="5">
        <v>333.3</v>
      </c>
      <c r="K3268" s="5">
        <f t="shared" si="207"/>
        <v>0</v>
      </c>
      <c r="L3268" s="5">
        <v>0</v>
      </c>
      <c r="M3268" s="5">
        <v>0</v>
      </c>
      <c r="N3268" t="s">
        <v>9</v>
      </c>
      <c r="O3268" s="8">
        <v>22.312328767123287</v>
      </c>
      <c r="P3268" t="s">
        <v>33</v>
      </c>
      <c r="Q3268">
        <v>2</v>
      </c>
      <c r="R3268" s="2">
        <v>37976</v>
      </c>
    </row>
    <row r="3269" spans="1:18" x14ac:dyDescent="0.3">
      <c r="A3269" t="s">
        <v>7</v>
      </c>
      <c r="B3269">
        <v>19015558</v>
      </c>
      <c r="C3269" t="s">
        <v>8</v>
      </c>
      <c r="D3269" s="4">
        <v>46121</v>
      </c>
      <c r="E3269" s="11">
        <f t="shared" si="204"/>
        <v>2026</v>
      </c>
      <c r="F3269" s="11">
        <f t="shared" si="205"/>
        <v>4</v>
      </c>
      <c r="G3269" s="11" t="str">
        <f t="shared" si="206"/>
        <v>202604</v>
      </c>
      <c r="I3269" s="5">
        <v>9999</v>
      </c>
      <c r="J3269" s="5">
        <v>333.3</v>
      </c>
      <c r="K3269" s="5">
        <f t="shared" si="207"/>
        <v>0</v>
      </c>
      <c r="L3269" s="5">
        <v>0</v>
      </c>
      <c r="M3269" s="5">
        <v>0</v>
      </c>
      <c r="N3269" t="s">
        <v>12</v>
      </c>
      <c r="O3269" s="8">
        <v>18.424657534246574</v>
      </c>
      <c r="P3269" t="s">
        <v>32</v>
      </c>
      <c r="Q3269">
        <v>1</v>
      </c>
      <c r="R3269" s="2">
        <v>39396</v>
      </c>
    </row>
    <row r="3270" spans="1:18" x14ac:dyDescent="0.3">
      <c r="A3270" t="s">
        <v>7</v>
      </c>
      <c r="B3270">
        <v>19015566</v>
      </c>
      <c r="C3270" t="s">
        <v>8</v>
      </c>
      <c r="D3270" s="4">
        <v>46121</v>
      </c>
      <c r="E3270" s="11">
        <f t="shared" si="204"/>
        <v>2026</v>
      </c>
      <c r="F3270" s="11">
        <f t="shared" si="205"/>
        <v>4</v>
      </c>
      <c r="G3270" s="11" t="str">
        <f t="shared" si="206"/>
        <v>202604</v>
      </c>
      <c r="H3270" s="4">
        <v>46154</v>
      </c>
      <c r="I3270" s="5">
        <v>33</v>
      </c>
      <c r="J3270" s="5">
        <v>1.1000000000000001</v>
      </c>
      <c r="K3270" s="5">
        <f t="shared" si="207"/>
        <v>0</v>
      </c>
      <c r="L3270" s="5">
        <v>1</v>
      </c>
      <c r="M3270" s="5">
        <v>1</v>
      </c>
      <c r="N3270" t="s">
        <v>12</v>
      </c>
      <c r="O3270" s="8">
        <v>21.895890410958906</v>
      </c>
      <c r="P3270" t="s">
        <v>33</v>
      </c>
      <c r="Q3270">
        <v>2</v>
      </c>
      <c r="R3270" s="2">
        <v>38129</v>
      </c>
    </row>
    <row r="3271" spans="1:18" x14ac:dyDescent="0.3">
      <c r="A3271" t="s">
        <v>7</v>
      </c>
      <c r="B3271">
        <v>19015585</v>
      </c>
      <c r="C3271" t="s">
        <v>8</v>
      </c>
      <c r="D3271" s="4">
        <v>46121</v>
      </c>
      <c r="E3271" s="11">
        <f t="shared" si="204"/>
        <v>2026</v>
      </c>
      <c r="F3271" s="11">
        <f t="shared" si="205"/>
        <v>4</v>
      </c>
      <c r="G3271" s="11" t="str">
        <f t="shared" si="206"/>
        <v>202604</v>
      </c>
      <c r="I3271" s="5">
        <v>9999</v>
      </c>
      <c r="J3271" s="5">
        <v>333.3</v>
      </c>
      <c r="K3271" s="5">
        <f t="shared" si="207"/>
        <v>0</v>
      </c>
      <c r="L3271" s="5">
        <v>0</v>
      </c>
      <c r="M3271" s="5">
        <v>0</v>
      </c>
      <c r="N3271" t="s">
        <v>9</v>
      </c>
      <c r="O3271" s="8">
        <v>27.556164383561644</v>
      </c>
      <c r="P3271" t="s">
        <v>34</v>
      </c>
      <c r="Q3271">
        <v>3</v>
      </c>
      <c r="R3271" s="2">
        <v>36063</v>
      </c>
    </row>
    <row r="3272" spans="1:18" x14ac:dyDescent="0.3">
      <c r="A3272" t="s">
        <v>7</v>
      </c>
      <c r="B3272">
        <v>19015624</v>
      </c>
      <c r="C3272" t="s">
        <v>8</v>
      </c>
      <c r="D3272" s="4">
        <v>46121</v>
      </c>
      <c r="E3272" s="11">
        <f t="shared" si="204"/>
        <v>2026</v>
      </c>
      <c r="F3272" s="11">
        <f t="shared" si="205"/>
        <v>4</v>
      </c>
      <c r="G3272" s="11" t="str">
        <f t="shared" si="206"/>
        <v>202604</v>
      </c>
      <c r="I3272" s="5">
        <v>9999</v>
      </c>
      <c r="J3272" s="5">
        <v>333.3</v>
      </c>
      <c r="K3272" s="5">
        <f t="shared" si="207"/>
        <v>0</v>
      </c>
      <c r="L3272" s="5">
        <v>0</v>
      </c>
      <c r="M3272" s="5">
        <v>0</v>
      </c>
      <c r="N3272" t="s">
        <v>12</v>
      </c>
      <c r="O3272" s="8">
        <v>21.109589041095891</v>
      </c>
      <c r="P3272" t="s">
        <v>33</v>
      </c>
      <c r="Q3272">
        <v>2</v>
      </c>
      <c r="R3272" s="2">
        <v>38416</v>
      </c>
    </row>
    <row r="3273" spans="1:18" x14ac:dyDescent="0.3">
      <c r="A3273" t="s">
        <v>7</v>
      </c>
      <c r="B3273">
        <v>19015631</v>
      </c>
      <c r="C3273" t="s">
        <v>8</v>
      </c>
      <c r="D3273" s="4">
        <v>46121</v>
      </c>
      <c r="E3273" s="11">
        <f t="shared" si="204"/>
        <v>2026</v>
      </c>
      <c r="F3273" s="11">
        <f t="shared" si="205"/>
        <v>4</v>
      </c>
      <c r="G3273" s="11" t="str">
        <f t="shared" si="206"/>
        <v>202604</v>
      </c>
      <c r="I3273" s="5">
        <v>9999</v>
      </c>
      <c r="J3273" s="5">
        <v>333.3</v>
      </c>
      <c r="K3273" s="5">
        <f t="shared" si="207"/>
        <v>0</v>
      </c>
      <c r="L3273" s="5">
        <v>0</v>
      </c>
      <c r="M3273" s="5">
        <v>0</v>
      </c>
      <c r="N3273" t="s">
        <v>12</v>
      </c>
      <c r="O3273" s="8">
        <v>31.372602739726027</v>
      </c>
      <c r="P3273" t="s">
        <v>35</v>
      </c>
      <c r="Q3273">
        <v>4</v>
      </c>
      <c r="R3273" s="2">
        <v>34670</v>
      </c>
    </row>
    <row r="3274" spans="1:18" x14ac:dyDescent="0.3">
      <c r="A3274" t="s">
        <v>7</v>
      </c>
      <c r="B3274">
        <v>19015672</v>
      </c>
      <c r="C3274" t="s">
        <v>8</v>
      </c>
      <c r="D3274" s="4">
        <v>46121</v>
      </c>
      <c r="E3274" s="11">
        <f t="shared" si="204"/>
        <v>2026</v>
      </c>
      <c r="F3274" s="11">
        <f t="shared" si="205"/>
        <v>4</v>
      </c>
      <c r="G3274" s="11" t="str">
        <f t="shared" si="206"/>
        <v>202604</v>
      </c>
      <c r="I3274" s="5">
        <v>9999</v>
      </c>
      <c r="J3274" s="5">
        <v>333.3</v>
      </c>
      <c r="K3274" s="5">
        <f t="shared" si="207"/>
        <v>0</v>
      </c>
      <c r="L3274" s="5">
        <v>0</v>
      </c>
      <c r="M3274" s="5">
        <v>0</v>
      </c>
      <c r="N3274" t="s">
        <v>12</v>
      </c>
      <c r="O3274" s="8">
        <v>26.142465753424659</v>
      </c>
      <c r="P3274" t="s">
        <v>34</v>
      </c>
      <c r="Q3274">
        <v>3</v>
      </c>
      <c r="R3274" s="2">
        <v>36579</v>
      </c>
    </row>
    <row r="3275" spans="1:18" x14ac:dyDescent="0.3">
      <c r="A3275" t="s">
        <v>7</v>
      </c>
      <c r="B3275">
        <v>19015673</v>
      </c>
      <c r="C3275" t="s">
        <v>8</v>
      </c>
      <c r="D3275" s="4">
        <v>46121</v>
      </c>
      <c r="E3275" s="11">
        <f t="shared" si="204"/>
        <v>2026</v>
      </c>
      <c r="F3275" s="11">
        <f t="shared" si="205"/>
        <v>4</v>
      </c>
      <c r="G3275" s="11" t="str">
        <f t="shared" si="206"/>
        <v>202604</v>
      </c>
      <c r="H3275" s="4">
        <v>46143</v>
      </c>
      <c r="I3275" s="5">
        <v>22</v>
      </c>
      <c r="J3275" s="5">
        <v>0.73333333333333328</v>
      </c>
      <c r="K3275" s="5">
        <f t="shared" si="207"/>
        <v>1</v>
      </c>
      <c r="L3275" s="5">
        <v>1</v>
      </c>
      <c r="M3275" s="5">
        <v>1</v>
      </c>
      <c r="N3275" t="s">
        <v>12</v>
      </c>
      <c r="O3275" s="8">
        <v>26.528767123287672</v>
      </c>
      <c r="P3275" t="s">
        <v>34</v>
      </c>
      <c r="Q3275">
        <v>3</v>
      </c>
      <c r="R3275" s="2">
        <v>36438</v>
      </c>
    </row>
    <row r="3276" spans="1:18" x14ac:dyDescent="0.3">
      <c r="A3276" t="s">
        <v>7</v>
      </c>
      <c r="B3276">
        <v>19015674</v>
      </c>
      <c r="C3276" t="s">
        <v>8</v>
      </c>
      <c r="D3276" s="4">
        <v>46121</v>
      </c>
      <c r="E3276" s="11">
        <f t="shared" si="204"/>
        <v>2026</v>
      </c>
      <c r="F3276" s="11">
        <f t="shared" si="205"/>
        <v>4</v>
      </c>
      <c r="G3276" s="11" t="str">
        <f t="shared" si="206"/>
        <v>202604</v>
      </c>
      <c r="H3276" s="4">
        <v>46143</v>
      </c>
      <c r="I3276" s="5">
        <v>22</v>
      </c>
      <c r="J3276" s="5">
        <v>0.73333333333333328</v>
      </c>
      <c r="K3276" s="5">
        <f t="shared" si="207"/>
        <v>1</v>
      </c>
      <c r="L3276" s="5">
        <v>1</v>
      </c>
      <c r="M3276" s="5">
        <v>1</v>
      </c>
      <c r="N3276" t="s">
        <v>12</v>
      </c>
      <c r="O3276" s="8">
        <v>22.210958904109589</v>
      </c>
      <c r="P3276" t="s">
        <v>33</v>
      </c>
      <c r="Q3276">
        <v>2</v>
      </c>
      <c r="R3276" s="2">
        <v>38014</v>
      </c>
    </row>
    <row r="3277" spans="1:18" x14ac:dyDescent="0.3">
      <c r="A3277" t="s">
        <v>7</v>
      </c>
      <c r="B3277">
        <v>19015686</v>
      </c>
      <c r="C3277" t="s">
        <v>8</v>
      </c>
      <c r="D3277" s="4">
        <v>46121</v>
      </c>
      <c r="E3277" s="11">
        <f t="shared" si="204"/>
        <v>2026</v>
      </c>
      <c r="F3277" s="11">
        <f t="shared" si="205"/>
        <v>4</v>
      </c>
      <c r="G3277" s="11" t="str">
        <f t="shared" si="206"/>
        <v>202604</v>
      </c>
      <c r="H3277" s="4">
        <v>46173</v>
      </c>
      <c r="I3277" s="5">
        <v>52</v>
      </c>
      <c r="J3277" s="5">
        <v>1.7333333333333334</v>
      </c>
      <c r="K3277" s="5">
        <f t="shared" si="207"/>
        <v>0</v>
      </c>
      <c r="L3277" s="5">
        <v>1</v>
      </c>
      <c r="M3277" s="5">
        <v>1</v>
      </c>
      <c r="N3277" t="s">
        <v>9</v>
      </c>
      <c r="O3277" s="8">
        <v>19.13150684931507</v>
      </c>
      <c r="P3277" t="s">
        <v>32</v>
      </c>
      <c r="Q3277">
        <v>1</v>
      </c>
      <c r="R3277" s="2">
        <v>39138</v>
      </c>
    </row>
    <row r="3278" spans="1:18" x14ac:dyDescent="0.3">
      <c r="A3278" t="s">
        <v>7</v>
      </c>
      <c r="B3278">
        <v>19015884</v>
      </c>
      <c r="C3278" t="s">
        <v>8</v>
      </c>
      <c r="D3278" s="4">
        <v>46122</v>
      </c>
      <c r="E3278" s="11">
        <f t="shared" si="204"/>
        <v>2026</v>
      </c>
      <c r="F3278" s="11">
        <f t="shared" si="205"/>
        <v>4</v>
      </c>
      <c r="G3278" s="11" t="str">
        <f t="shared" si="206"/>
        <v>202604</v>
      </c>
      <c r="I3278" s="5">
        <v>9999</v>
      </c>
      <c r="J3278" s="5">
        <v>333.3</v>
      </c>
      <c r="K3278" s="5">
        <f t="shared" si="207"/>
        <v>0</v>
      </c>
      <c r="L3278" s="5">
        <v>0</v>
      </c>
      <c r="M3278" s="5">
        <v>0</v>
      </c>
      <c r="N3278" t="s">
        <v>9</v>
      </c>
      <c r="O3278" s="8">
        <v>20.901369863013699</v>
      </c>
      <c r="P3278" t="s">
        <v>32</v>
      </c>
      <c r="Q3278">
        <v>1</v>
      </c>
      <c r="R3278" s="2">
        <v>38493</v>
      </c>
    </row>
    <row r="3279" spans="1:18" x14ac:dyDescent="0.3">
      <c r="A3279" t="s">
        <v>7</v>
      </c>
      <c r="B3279">
        <v>19015885</v>
      </c>
      <c r="C3279" t="s">
        <v>8</v>
      </c>
      <c r="D3279" s="4">
        <v>46122</v>
      </c>
      <c r="E3279" s="11">
        <f t="shared" si="204"/>
        <v>2026</v>
      </c>
      <c r="F3279" s="11">
        <f t="shared" si="205"/>
        <v>4</v>
      </c>
      <c r="G3279" s="11" t="str">
        <f t="shared" si="206"/>
        <v>202604</v>
      </c>
      <c r="I3279" s="5">
        <v>9999</v>
      </c>
      <c r="J3279" s="5">
        <v>333.3</v>
      </c>
      <c r="K3279" s="5">
        <f t="shared" si="207"/>
        <v>0</v>
      </c>
      <c r="L3279" s="5">
        <v>0</v>
      </c>
      <c r="M3279" s="5">
        <v>0</v>
      </c>
      <c r="N3279" t="s">
        <v>9</v>
      </c>
      <c r="O3279" s="8">
        <v>20.863013698630137</v>
      </c>
      <c r="P3279" t="s">
        <v>32</v>
      </c>
      <c r="Q3279">
        <v>1</v>
      </c>
      <c r="R3279" s="2">
        <v>38507</v>
      </c>
    </row>
    <row r="3280" spans="1:18" x14ac:dyDescent="0.3">
      <c r="A3280" t="s">
        <v>7</v>
      </c>
      <c r="B3280">
        <v>19015928</v>
      </c>
      <c r="C3280" t="s">
        <v>8</v>
      </c>
      <c r="D3280" s="4">
        <v>46122</v>
      </c>
      <c r="E3280" s="11">
        <f t="shared" si="204"/>
        <v>2026</v>
      </c>
      <c r="F3280" s="11">
        <f t="shared" si="205"/>
        <v>4</v>
      </c>
      <c r="G3280" s="11" t="str">
        <f t="shared" si="206"/>
        <v>202604</v>
      </c>
      <c r="I3280" s="5">
        <v>9999</v>
      </c>
      <c r="J3280" s="5">
        <v>333.3</v>
      </c>
      <c r="K3280" s="5">
        <f t="shared" si="207"/>
        <v>0</v>
      </c>
      <c r="L3280" s="5">
        <v>0</v>
      </c>
      <c r="M3280" s="5">
        <v>0</v>
      </c>
      <c r="N3280" t="s">
        <v>9</v>
      </c>
      <c r="O3280" s="8">
        <v>18.427397260273974</v>
      </c>
      <c r="P3280" t="s">
        <v>32</v>
      </c>
      <c r="Q3280">
        <v>1</v>
      </c>
      <c r="R3280" s="2">
        <v>39396</v>
      </c>
    </row>
    <row r="3281" spans="1:18" x14ac:dyDescent="0.3">
      <c r="A3281" t="s">
        <v>7</v>
      </c>
      <c r="B3281">
        <v>19015935</v>
      </c>
      <c r="C3281" t="s">
        <v>10</v>
      </c>
      <c r="D3281" s="4">
        <v>46122</v>
      </c>
      <c r="E3281" s="11">
        <f t="shared" si="204"/>
        <v>2026</v>
      </c>
      <c r="F3281" s="11">
        <f t="shared" si="205"/>
        <v>4</v>
      </c>
      <c r="G3281" s="11" t="str">
        <f t="shared" si="206"/>
        <v>202604</v>
      </c>
      <c r="I3281" s="5">
        <v>9999</v>
      </c>
      <c r="J3281" s="5">
        <v>333.3</v>
      </c>
      <c r="K3281" s="5">
        <f t="shared" si="207"/>
        <v>0</v>
      </c>
      <c r="L3281" s="5">
        <v>0</v>
      </c>
      <c r="M3281" s="5">
        <v>0</v>
      </c>
      <c r="N3281" t="s">
        <v>9</v>
      </c>
      <c r="O3281" s="8">
        <v>27.243835616438357</v>
      </c>
      <c r="P3281" t="s">
        <v>34</v>
      </c>
      <c r="Q3281">
        <v>3</v>
      </c>
      <c r="R3281" s="2">
        <v>36178</v>
      </c>
    </row>
    <row r="3282" spans="1:18" x14ac:dyDescent="0.3">
      <c r="A3282" t="s">
        <v>7</v>
      </c>
      <c r="B3282">
        <v>19015960</v>
      </c>
      <c r="C3282" t="s">
        <v>8</v>
      </c>
      <c r="D3282" s="4">
        <v>46122</v>
      </c>
      <c r="E3282" s="11">
        <f t="shared" si="204"/>
        <v>2026</v>
      </c>
      <c r="F3282" s="11">
        <f t="shared" si="205"/>
        <v>4</v>
      </c>
      <c r="G3282" s="11" t="str">
        <f t="shared" si="206"/>
        <v>202604</v>
      </c>
      <c r="I3282" s="5">
        <v>9999</v>
      </c>
      <c r="J3282" s="5">
        <v>333.3</v>
      </c>
      <c r="K3282" s="5">
        <f t="shared" si="207"/>
        <v>0</v>
      </c>
      <c r="L3282" s="5">
        <v>0</v>
      </c>
      <c r="M3282" s="5">
        <v>0</v>
      </c>
      <c r="N3282" t="s">
        <v>9</v>
      </c>
      <c r="O3282" s="8">
        <v>18.304109589041097</v>
      </c>
      <c r="P3282" t="s">
        <v>32</v>
      </c>
      <c r="Q3282">
        <v>1</v>
      </c>
      <c r="R3282" s="2">
        <v>39441</v>
      </c>
    </row>
    <row r="3283" spans="1:18" x14ac:dyDescent="0.3">
      <c r="A3283" t="s">
        <v>7</v>
      </c>
      <c r="B3283">
        <v>19015970</v>
      </c>
      <c r="C3283" t="s">
        <v>10</v>
      </c>
      <c r="D3283" s="4">
        <v>46122</v>
      </c>
      <c r="E3283" s="11">
        <f t="shared" si="204"/>
        <v>2026</v>
      </c>
      <c r="F3283" s="11">
        <f t="shared" si="205"/>
        <v>4</v>
      </c>
      <c r="G3283" s="11" t="str">
        <f t="shared" si="206"/>
        <v>202604</v>
      </c>
      <c r="I3283" s="5">
        <v>9999</v>
      </c>
      <c r="J3283" s="5">
        <v>333.3</v>
      </c>
      <c r="K3283" s="5">
        <f t="shared" si="207"/>
        <v>0</v>
      </c>
      <c r="L3283" s="5">
        <v>0</v>
      </c>
      <c r="M3283" s="5">
        <v>0</v>
      </c>
      <c r="N3283" t="s">
        <v>9</v>
      </c>
      <c r="O3283" s="8">
        <v>22.315068493150687</v>
      </c>
      <c r="P3283" t="s">
        <v>33</v>
      </c>
      <c r="Q3283">
        <v>2</v>
      </c>
      <c r="R3283" s="2">
        <v>37977</v>
      </c>
    </row>
    <row r="3284" spans="1:18" x14ac:dyDescent="0.3">
      <c r="A3284" t="s">
        <v>7</v>
      </c>
      <c r="B3284">
        <v>19016023</v>
      </c>
      <c r="C3284" t="s">
        <v>8</v>
      </c>
      <c r="D3284" s="4">
        <v>46122</v>
      </c>
      <c r="E3284" s="11">
        <f t="shared" si="204"/>
        <v>2026</v>
      </c>
      <c r="F3284" s="11">
        <f t="shared" si="205"/>
        <v>4</v>
      </c>
      <c r="G3284" s="11" t="str">
        <f t="shared" si="206"/>
        <v>202604</v>
      </c>
      <c r="I3284" s="5">
        <v>9999</v>
      </c>
      <c r="J3284" s="5">
        <v>333.3</v>
      </c>
      <c r="K3284" s="5">
        <f t="shared" si="207"/>
        <v>0</v>
      </c>
      <c r="L3284" s="5">
        <v>0</v>
      </c>
      <c r="M3284" s="5">
        <v>0</v>
      </c>
      <c r="N3284" t="s">
        <v>9</v>
      </c>
      <c r="O3284" s="8">
        <v>22.92876712328767</v>
      </c>
      <c r="P3284" t="s">
        <v>33</v>
      </c>
      <c r="Q3284">
        <v>2</v>
      </c>
      <c r="R3284" s="2">
        <v>37753</v>
      </c>
    </row>
    <row r="3285" spans="1:18" x14ac:dyDescent="0.3">
      <c r="A3285" t="s">
        <v>11</v>
      </c>
      <c r="B3285">
        <v>19016025</v>
      </c>
      <c r="C3285" t="s">
        <v>8</v>
      </c>
      <c r="D3285" s="4">
        <v>46122</v>
      </c>
      <c r="E3285" s="11">
        <f t="shared" si="204"/>
        <v>2026</v>
      </c>
      <c r="F3285" s="11">
        <f t="shared" si="205"/>
        <v>4</v>
      </c>
      <c r="G3285" s="11" t="str">
        <f t="shared" si="206"/>
        <v>202604</v>
      </c>
      <c r="I3285" s="5">
        <v>9999</v>
      </c>
      <c r="J3285" s="5">
        <v>333.3</v>
      </c>
      <c r="K3285" s="5">
        <f t="shared" si="207"/>
        <v>0</v>
      </c>
      <c r="L3285" s="5">
        <v>0</v>
      </c>
      <c r="M3285" s="5">
        <v>0</v>
      </c>
      <c r="N3285" t="s">
        <v>9</v>
      </c>
      <c r="O3285" s="8">
        <v>21.084931506849315</v>
      </c>
      <c r="P3285" t="s">
        <v>33</v>
      </c>
      <c r="Q3285">
        <v>2</v>
      </c>
      <c r="R3285" s="2">
        <v>38426</v>
      </c>
    </row>
    <row r="3286" spans="1:18" x14ac:dyDescent="0.3">
      <c r="A3286" t="s">
        <v>7</v>
      </c>
      <c r="B3286">
        <v>19016045</v>
      </c>
      <c r="C3286" t="s">
        <v>8</v>
      </c>
      <c r="D3286" s="4">
        <v>46122</v>
      </c>
      <c r="E3286" s="11">
        <f t="shared" si="204"/>
        <v>2026</v>
      </c>
      <c r="F3286" s="11">
        <f t="shared" si="205"/>
        <v>4</v>
      </c>
      <c r="G3286" s="11" t="str">
        <f t="shared" si="206"/>
        <v>202604</v>
      </c>
      <c r="I3286" s="5">
        <v>9999</v>
      </c>
      <c r="J3286" s="5">
        <v>333.3</v>
      </c>
      <c r="K3286" s="5">
        <f t="shared" si="207"/>
        <v>0</v>
      </c>
      <c r="L3286" s="5">
        <v>0</v>
      </c>
      <c r="M3286" s="5">
        <v>0</v>
      </c>
      <c r="N3286" t="s">
        <v>9</v>
      </c>
      <c r="O3286" s="8">
        <v>20.205479452054796</v>
      </c>
      <c r="P3286" t="s">
        <v>32</v>
      </c>
      <c r="Q3286">
        <v>1</v>
      </c>
      <c r="R3286" s="2">
        <v>38747</v>
      </c>
    </row>
    <row r="3287" spans="1:18" x14ac:dyDescent="0.3">
      <c r="A3287" t="s">
        <v>7</v>
      </c>
      <c r="B3287">
        <v>19016052</v>
      </c>
      <c r="C3287" t="s">
        <v>8</v>
      </c>
      <c r="D3287" s="4">
        <v>46122</v>
      </c>
      <c r="E3287" s="11">
        <f t="shared" si="204"/>
        <v>2026</v>
      </c>
      <c r="F3287" s="11">
        <f t="shared" si="205"/>
        <v>4</v>
      </c>
      <c r="G3287" s="11" t="str">
        <f t="shared" si="206"/>
        <v>202604</v>
      </c>
      <c r="H3287" s="4">
        <v>46142</v>
      </c>
      <c r="I3287" s="5">
        <v>20</v>
      </c>
      <c r="J3287" s="5">
        <v>0.66666666666666663</v>
      </c>
      <c r="K3287" s="5">
        <f t="shared" si="207"/>
        <v>1</v>
      </c>
      <c r="L3287" s="5">
        <v>1</v>
      </c>
      <c r="M3287" s="5">
        <v>1</v>
      </c>
      <c r="N3287" t="s">
        <v>9</v>
      </c>
      <c r="O3287" s="8">
        <v>40.671232876712331</v>
      </c>
      <c r="P3287" t="s">
        <v>35</v>
      </c>
      <c r="Q3287">
        <v>4</v>
      </c>
      <c r="R3287" s="2">
        <v>31277</v>
      </c>
    </row>
    <row r="3288" spans="1:18" x14ac:dyDescent="0.3">
      <c r="A3288" t="s">
        <v>7</v>
      </c>
      <c r="B3288">
        <v>19016060</v>
      </c>
      <c r="C3288" t="s">
        <v>10</v>
      </c>
      <c r="D3288" s="4">
        <v>46122</v>
      </c>
      <c r="E3288" s="11">
        <f t="shared" si="204"/>
        <v>2026</v>
      </c>
      <c r="F3288" s="11">
        <f t="shared" si="205"/>
        <v>4</v>
      </c>
      <c r="G3288" s="11" t="str">
        <f t="shared" si="206"/>
        <v>202604</v>
      </c>
      <c r="H3288" s="4">
        <v>46173</v>
      </c>
      <c r="I3288" s="5">
        <v>51</v>
      </c>
      <c r="J3288" s="5">
        <v>1.7</v>
      </c>
      <c r="K3288" s="5">
        <f t="shared" si="207"/>
        <v>0</v>
      </c>
      <c r="L3288" s="5">
        <v>1</v>
      </c>
      <c r="M3288" s="5">
        <v>1</v>
      </c>
      <c r="N3288" t="s">
        <v>9</v>
      </c>
      <c r="O3288" s="8">
        <v>23.13150684931507</v>
      </c>
      <c r="P3288" t="s">
        <v>33</v>
      </c>
      <c r="Q3288">
        <v>2</v>
      </c>
      <c r="R3288" s="2">
        <v>37679</v>
      </c>
    </row>
    <row r="3289" spans="1:18" x14ac:dyDescent="0.3">
      <c r="A3289" t="s">
        <v>7</v>
      </c>
      <c r="B3289">
        <v>19016061</v>
      </c>
      <c r="C3289" t="s">
        <v>8</v>
      </c>
      <c r="D3289" s="4">
        <v>46122</v>
      </c>
      <c r="E3289" s="11">
        <f t="shared" si="204"/>
        <v>2026</v>
      </c>
      <c r="F3289" s="11">
        <f t="shared" si="205"/>
        <v>4</v>
      </c>
      <c r="G3289" s="11" t="str">
        <f t="shared" si="206"/>
        <v>202604</v>
      </c>
      <c r="I3289" s="5">
        <v>9999</v>
      </c>
      <c r="J3289" s="5">
        <v>333.3</v>
      </c>
      <c r="K3289" s="5">
        <f t="shared" si="207"/>
        <v>0</v>
      </c>
      <c r="L3289" s="5">
        <v>0</v>
      </c>
      <c r="M3289" s="5">
        <v>0</v>
      </c>
      <c r="N3289" t="s">
        <v>9</v>
      </c>
      <c r="O3289" s="8">
        <v>23.405479452054795</v>
      </c>
      <c r="P3289" t="s">
        <v>33</v>
      </c>
      <c r="Q3289">
        <v>2</v>
      </c>
      <c r="R3289" s="2">
        <v>37579</v>
      </c>
    </row>
    <row r="3290" spans="1:18" x14ac:dyDescent="0.3">
      <c r="A3290" t="s">
        <v>7</v>
      </c>
      <c r="B3290">
        <v>19016071</v>
      </c>
      <c r="C3290" t="s">
        <v>8</v>
      </c>
      <c r="D3290" s="4">
        <v>46122</v>
      </c>
      <c r="E3290" s="11">
        <f t="shared" si="204"/>
        <v>2026</v>
      </c>
      <c r="F3290" s="11">
        <f t="shared" si="205"/>
        <v>4</v>
      </c>
      <c r="G3290" s="11" t="str">
        <f t="shared" si="206"/>
        <v>202604</v>
      </c>
      <c r="I3290" s="5">
        <v>9999</v>
      </c>
      <c r="J3290" s="5">
        <v>333.3</v>
      </c>
      <c r="K3290" s="5">
        <f t="shared" si="207"/>
        <v>0</v>
      </c>
      <c r="L3290" s="5">
        <v>0</v>
      </c>
      <c r="M3290" s="5">
        <v>0</v>
      </c>
      <c r="N3290" t="s">
        <v>12</v>
      </c>
      <c r="O3290" s="8">
        <v>22.572602739726026</v>
      </c>
      <c r="P3290" t="s">
        <v>33</v>
      </c>
      <c r="Q3290">
        <v>2</v>
      </c>
      <c r="R3290" s="2">
        <v>37883</v>
      </c>
    </row>
    <row r="3291" spans="1:18" x14ac:dyDescent="0.3">
      <c r="A3291" t="s">
        <v>11</v>
      </c>
      <c r="B3291">
        <v>19016179</v>
      </c>
      <c r="C3291" t="s">
        <v>10</v>
      </c>
      <c r="D3291" s="4">
        <v>46122</v>
      </c>
      <c r="E3291" s="11">
        <f t="shared" si="204"/>
        <v>2026</v>
      </c>
      <c r="F3291" s="11">
        <f t="shared" si="205"/>
        <v>4</v>
      </c>
      <c r="G3291" s="11" t="str">
        <f t="shared" si="206"/>
        <v>202604</v>
      </c>
      <c r="I3291" s="5">
        <v>9999</v>
      </c>
      <c r="J3291" s="5">
        <v>333.3</v>
      </c>
      <c r="K3291" s="5">
        <f t="shared" si="207"/>
        <v>0</v>
      </c>
      <c r="L3291" s="5">
        <v>0</v>
      </c>
      <c r="M3291" s="5">
        <v>0</v>
      </c>
      <c r="N3291" t="s">
        <v>9</v>
      </c>
      <c r="O3291" s="8">
        <v>23.646575342465752</v>
      </c>
      <c r="P3291" t="s">
        <v>33</v>
      </c>
      <c r="Q3291">
        <v>2</v>
      </c>
      <c r="R3291" s="2">
        <v>37491</v>
      </c>
    </row>
    <row r="3292" spans="1:18" x14ac:dyDescent="0.3">
      <c r="A3292" t="s">
        <v>7</v>
      </c>
      <c r="B3292">
        <v>19016215</v>
      </c>
      <c r="C3292" t="s">
        <v>8</v>
      </c>
      <c r="D3292" s="4">
        <v>46122</v>
      </c>
      <c r="E3292" s="11">
        <f t="shared" si="204"/>
        <v>2026</v>
      </c>
      <c r="F3292" s="11">
        <f t="shared" si="205"/>
        <v>4</v>
      </c>
      <c r="G3292" s="11" t="str">
        <f t="shared" si="206"/>
        <v>202604</v>
      </c>
      <c r="I3292" s="5">
        <v>9999</v>
      </c>
      <c r="J3292" s="5">
        <v>333.3</v>
      </c>
      <c r="K3292" s="5">
        <f t="shared" si="207"/>
        <v>0</v>
      </c>
      <c r="L3292" s="5">
        <v>0</v>
      </c>
      <c r="M3292" s="5">
        <v>0</v>
      </c>
      <c r="N3292" t="s">
        <v>12</v>
      </c>
      <c r="O3292" s="8">
        <v>33.890410958904113</v>
      </c>
      <c r="P3292" t="s">
        <v>35</v>
      </c>
      <c r="Q3292">
        <v>4</v>
      </c>
      <c r="R3292" s="2">
        <v>33752</v>
      </c>
    </row>
    <row r="3293" spans="1:18" x14ac:dyDescent="0.3">
      <c r="A3293" t="s">
        <v>7</v>
      </c>
      <c r="B3293">
        <v>19016234</v>
      </c>
      <c r="C3293" t="s">
        <v>10</v>
      </c>
      <c r="D3293" s="4">
        <v>46122</v>
      </c>
      <c r="E3293" s="11">
        <f t="shared" si="204"/>
        <v>2026</v>
      </c>
      <c r="F3293" s="11">
        <f t="shared" si="205"/>
        <v>4</v>
      </c>
      <c r="G3293" s="11" t="str">
        <f t="shared" si="206"/>
        <v>202604</v>
      </c>
      <c r="I3293" s="5">
        <v>9999</v>
      </c>
      <c r="J3293" s="5">
        <v>333.3</v>
      </c>
      <c r="K3293" s="5">
        <f t="shared" si="207"/>
        <v>0</v>
      </c>
      <c r="L3293" s="5">
        <v>0</v>
      </c>
      <c r="M3293" s="5">
        <v>0</v>
      </c>
      <c r="N3293" t="s">
        <v>9</v>
      </c>
      <c r="O3293" s="8">
        <v>22.61917808219178</v>
      </c>
      <c r="P3293" t="s">
        <v>33</v>
      </c>
      <c r="Q3293">
        <v>2</v>
      </c>
      <c r="R3293" s="2">
        <v>37866</v>
      </c>
    </row>
    <row r="3294" spans="1:18" x14ac:dyDescent="0.3">
      <c r="A3294" t="s">
        <v>7</v>
      </c>
      <c r="B3294">
        <v>19016235</v>
      </c>
      <c r="C3294" t="s">
        <v>8</v>
      </c>
      <c r="D3294" s="4">
        <v>46122</v>
      </c>
      <c r="E3294" s="11">
        <f t="shared" si="204"/>
        <v>2026</v>
      </c>
      <c r="F3294" s="11">
        <f t="shared" si="205"/>
        <v>4</v>
      </c>
      <c r="G3294" s="11" t="str">
        <f t="shared" si="206"/>
        <v>202604</v>
      </c>
      <c r="I3294" s="5">
        <v>9999</v>
      </c>
      <c r="J3294" s="5">
        <v>333.3</v>
      </c>
      <c r="K3294" s="5">
        <f t="shared" si="207"/>
        <v>0</v>
      </c>
      <c r="L3294" s="5">
        <v>0</v>
      </c>
      <c r="M3294" s="5">
        <v>0</v>
      </c>
      <c r="N3294" t="s">
        <v>9</v>
      </c>
      <c r="O3294" s="8">
        <v>20.301369863013697</v>
      </c>
      <c r="P3294" t="s">
        <v>32</v>
      </c>
      <c r="Q3294">
        <v>1</v>
      </c>
      <c r="R3294" s="2">
        <v>38712</v>
      </c>
    </row>
    <row r="3295" spans="1:18" x14ac:dyDescent="0.3">
      <c r="A3295" t="s">
        <v>7</v>
      </c>
      <c r="B3295">
        <v>19016393</v>
      </c>
      <c r="C3295" t="s">
        <v>8</v>
      </c>
      <c r="D3295" s="4">
        <v>46125</v>
      </c>
      <c r="E3295" s="11">
        <f t="shared" si="204"/>
        <v>2026</v>
      </c>
      <c r="F3295" s="11">
        <f t="shared" si="205"/>
        <v>4</v>
      </c>
      <c r="G3295" s="11" t="str">
        <f t="shared" si="206"/>
        <v>202604</v>
      </c>
      <c r="I3295" s="5">
        <v>9999</v>
      </c>
      <c r="J3295" s="5">
        <v>333.3</v>
      </c>
      <c r="K3295" s="5">
        <f t="shared" si="207"/>
        <v>0</v>
      </c>
      <c r="L3295" s="5">
        <v>0</v>
      </c>
      <c r="M3295" s="5">
        <v>0</v>
      </c>
      <c r="N3295" t="s">
        <v>9</v>
      </c>
      <c r="O3295" s="8">
        <v>24.860273972602741</v>
      </c>
      <c r="P3295" t="s">
        <v>33</v>
      </c>
      <c r="Q3295">
        <v>2</v>
      </c>
      <c r="R3295" s="2">
        <v>37051</v>
      </c>
    </row>
    <row r="3296" spans="1:18" x14ac:dyDescent="0.3">
      <c r="A3296" t="s">
        <v>7</v>
      </c>
      <c r="B3296">
        <v>19016409</v>
      </c>
      <c r="C3296" t="s">
        <v>8</v>
      </c>
      <c r="D3296" s="4">
        <v>46125</v>
      </c>
      <c r="E3296" s="11">
        <f t="shared" si="204"/>
        <v>2026</v>
      </c>
      <c r="F3296" s="11">
        <f t="shared" si="205"/>
        <v>4</v>
      </c>
      <c r="G3296" s="11" t="str">
        <f t="shared" si="206"/>
        <v>202604</v>
      </c>
      <c r="H3296" s="4">
        <v>46173</v>
      </c>
      <c r="I3296" s="5">
        <v>48</v>
      </c>
      <c r="J3296" s="5">
        <v>1.6</v>
      </c>
      <c r="K3296" s="5">
        <f t="shared" si="207"/>
        <v>0</v>
      </c>
      <c r="L3296" s="5">
        <v>1</v>
      </c>
      <c r="M3296" s="5">
        <v>1</v>
      </c>
      <c r="N3296" t="s">
        <v>9</v>
      </c>
      <c r="O3296" s="8">
        <v>18.065753424657533</v>
      </c>
      <c r="P3296" t="s">
        <v>32</v>
      </c>
      <c r="Q3296">
        <v>1</v>
      </c>
      <c r="R3296" s="2">
        <v>39531</v>
      </c>
    </row>
    <row r="3297" spans="1:18" x14ac:dyDescent="0.3">
      <c r="A3297" t="s">
        <v>7</v>
      </c>
      <c r="B3297">
        <v>19016410</v>
      </c>
      <c r="C3297" t="s">
        <v>8</v>
      </c>
      <c r="D3297" s="4">
        <v>46125</v>
      </c>
      <c r="E3297" s="11">
        <f t="shared" si="204"/>
        <v>2026</v>
      </c>
      <c r="F3297" s="11">
        <f t="shared" si="205"/>
        <v>4</v>
      </c>
      <c r="G3297" s="11" t="str">
        <f t="shared" si="206"/>
        <v>202604</v>
      </c>
      <c r="I3297" s="5">
        <v>9999</v>
      </c>
      <c r="J3297" s="5">
        <v>333.3</v>
      </c>
      <c r="K3297" s="5">
        <f t="shared" si="207"/>
        <v>0</v>
      </c>
      <c r="L3297" s="5">
        <v>0</v>
      </c>
      <c r="M3297" s="5">
        <v>0</v>
      </c>
      <c r="N3297" t="s">
        <v>9</v>
      </c>
      <c r="O3297" s="8">
        <v>24.172602739726027</v>
      </c>
      <c r="P3297" t="s">
        <v>33</v>
      </c>
      <c r="Q3297">
        <v>2</v>
      </c>
      <c r="R3297" s="2">
        <v>37302</v>
      </c>
    </row>
    <row r="3298" spans="1:18" x14ac:dyDescent="0.3">
      <c r="A3298" t="s">
        <v>7</v>
      </c>
      <c r="B3298">
        <v>19016411</v>
      </c>
      <c r="C3298" t="s">
        <v>8</v>
      </c>
      <c r="D3298" s="4">
        <v>46125</v>
      </c>
      <c r="E3298" s="11">
        <f t="shared" si="204"/>
        <v>2026</v>
      </c>
      <c r="F3298" s="11">
        <f t="shared" si="205"/>
        <v>4</v>
      </c>
      <c r="G3298" s="11" t="str">
        <f t="shared" si="206"/>
        <v>202604</v>
      </c>
      <c r="I3298" s="5">
        <v>9999</v>
      </c>
      <c r="J3298" s="5">
        <v>333.3</v>
      </c>
      <c r="K3298" s="5">
        <f t="shared" si="207"/>
        <v>0</v>
      </c>
      <c r="L3298" s="5">
        <v>0</v>
      </c>
      <c r="M3298" s="5">
        <v>0</v>
      </c>
      <c r="N3298" t="s">
        <v>9</v>
      </c>
      <c r="O3298" s="8">
        <v>29.673972602739727</v>
      </c>
      <c r="P3298" t="s">
        <v>34</v>
      </c>
      <c r="Q3298">
        <v>3</v>
      </c>
      <c r="R3298" s="2">
        <v>35294</v>
      </c>
    </row>
    <row r="3299" spans="1:18" x14ac:dyDescent="0.3">
      <c r="A3299" t="s">
        <v>7</v>
      </c>
      <c r="B3299">
        <v>19016412</v>
      </c>
      <c r="C3299" t="s">
        <v>8</v>
      </c>
      <c r="D3299" s="4">
        <v>46125</v>
      </c>
      <c r="E3299" s="11">
        <f t="shared" si="204"/>
        <v>2026</v>
      </c>
      <c r="F3299" s="11">
        <f t="shared" si="205"/>
        <v>4</v>
      </c>
      <c r="G3299" s="11" t="str">
        <f t="shared" si="206"/>
        <v>202604</v>
      </c>
      <c r="I3299" s="5">
        <v>9999</v>
      </c>
      <c r="J3299" s="5">
        <v>333.3</v>
      </c>
      <c r="K3299" s="5">
        <f t="shared" si="207"/>
        <v>0</v>
      </c>
      <c r="L3299" s="5">
        <v>0</v>
      </c>
      <c r="M3299" s="5">
        <v>0</v>
      </c>
      <c r="N3299" t="s">
        <v>9</v>
      </c>
      <c r="O3299" s="8">
        <v>20.547945205479451</v>
      </c>
      <c r="P3299" t="s">
        <v>32</v>
      </c>
      <c r="Q3299">
        <v>1</v>
      </c>
      <c r="R3299" s="2">
        <v>38625</v>
      </c>
    </row>
    <row r="3300" spans="1:18" x14ac:dyDescent="0.3">
      <c r="A3300" t="s">
        <v>7</v>
      </c>
      <c r="B3300">
        <v>19016420</v>
      </c>
      <c r="C3300" t="s">
        <v>8</v>
      </c>
      <c r="D3300" s="4">
        <v>46125</v>
      </c>
      <c r="E3300" s="11">
        <f t="shared" si="204"/>
        <v>2026</v>
      </c>
      <c r="F3300" s="11">
        <f t="shared" si="205"/>
        <v>4</v>
      </c>
      <c r="G3300" s="11" t="str">
        <f t="shared" si="206"/>
        <v>202604</v>
      </c>
      <c r="I3300" s="5">
        <v>9999</v>
      </c>
      <c r="J3300" s="5">
        <v>333.3</v>
      </c>
      <c r="K3300" s="5">
        <f t="shared" si="207"/>
        <v>0</v>
      </c>
      <c r="L3300" s="5">
        <v>0</v>
      </c>
      <c r="M3300" s="5">
        <v>0</v>
      </c>
      <c r="N3300" t="s">
        <v>12</v>
      </c>
      <c r="O3300" s="8">
        <v>20.841095890410958</v>
      </c>
      <c r="P3300" t="s">
        <v>32</v>
      </c>
      <c r="Q3300">
        <v>1</v>
      </c>
      <c r="R3300" s="2">
        <v>38518</v>
      </c>
    </row>
    <row r="3301" spans="1:18" x14ac:dyDescent="0.3">
      <c r="A3301" t="s">
        <v>7</v>
      </c>
      <c r="B3301">
        <v>19016429</v>
      </c>
      <c r="C3301" t="s">
        <v>8</v>
      </c>
      <c r="D3301" s="4">
        <v>46125</v>
      </c>
      <c r="E3301" s="11">
        <f t="shared" si="204"/>
        <v>2026</v>
      </c>
      <c r="F3301" s="11">
        <f t="shared" si="205"/>
        <v>4</v>
      </c>
      <c r="G3301" s="11" t="str">
        <f t="shared" si="206"/>
        <v>202604</v>
      </c>
      <c r="I3301" s="5">
        <v>9999</v>
      </c>
      <c r="J3301" s="5">
        <v>333.3</v>
      </c>
      <c r="K3301" s="5">
        <f t="shared" si="207"/>
        <v>0</v>
      </c>
      <c r="L3301" s="5">
        <v>0</v>
      </c>
      <c r="M3301" s="5">
        <v>0</v>
      </c>
      <c r="N3301" t="s">
        <v>9</v>
      </c>
      <c r="O3301" s="8">
        <v>18.789041095890411</v>
      </c>
      <c r="P3301" t="s">
        <v>32</v>
      </c>
      <c r="Q3301">
        <v>1</v>
      </c>
      <c r="R3301" s="2">
        <v>39267</v>
      </c>
    </row>
    <row r="3302" spans="1:18" x14ac:dyDescent="0.3">
      <c r="A3302" t="s">
        <v>7</v>
      </c>
      <c r="B3302">
        <v>19016433</v>
      </c>
      <c r="C3302" t="s">
        <v>10</v>
      </c>
      <c r="D3302" s="4">
        <v>46125</v>
      </c>
      <c r="E3302" s="11">
        <f t="shared" si="204"/>
        <v>2026</v>
      </c>
      <c r="F3302" s="11">
        <f t="shared" si="205"/>
        <v>4</v>
      </c>
      <c r="G3302" s="11" t="str">
        <f t="shared" si="206"/>
        <v>202604</v>
      </c>
      <c r="I3302" s="5">
        <v>9999</v>
      </c>
      <c r="J3302" s="5">
        <v>333.3</v>
      </c>
      <c r="K3302" s="5">
        <f t="shared" si="207"/>
        <v>0</v>
      </c>
      <c r="L3302" s="5">
        <v>0</v>
      </c>
      <c r="M3302" s="5">
        <v>0</v>
      </c>
      <c r="N3302" t="s">
        <v>9</v>
      </c>
      <c r="O3302" s="8">
        <v>26.698630136986303</v>
      </c>
      <c r="P3302" t="s">
        <v>34</v>
      </c>
      <c r="Q3302">
        <v>3</v>
      </c>
      <c r="R3302" s="2">
        <v>36380</v>
      </c>
    </row>
    <row r="3303" spans="1:18" x14ac:dyDescent="0.3">
      <c r="A3303" t="s">
        <v>7</v>
      </c>
      <c r="B3303">
        <v>19016465</v>
      </c>
      <c r="C3303" t="s">
        <v>8</v>
      </c>
      <c r="D3303" s="4">
        <v>46125</v>
      </c>
      <c r="E3303" s="11">
        <f t="shared" si="204"/>
        <v>2026</v>
      </c>
      <c r="F3303" s="11">
        <f t="shared" si="205"/>
        <v>4</v>
      </c>
      <c r="G3303" s="11" t="str">
        <f t="shared" si="206"/>
        <v>202604</v>
      </c>
      <c r="H3303" s="4">
        <v>46127</v>
      </c>
      <c r="I3303" s="5">
        <v>2</v>
      </c>
      <c r="J3303" s="5">
        <v>6.6666666666666666E-2</v>
      </c>
      <c r="K3303" s="5">
        <f t="shared" si="207"/>
        <v>1</v>
      </c>
      <c r="L3303" s="5">
        <v>1</v>
      </c>
      <c r="M3303" s="5">
        <v>1</v>
      </c>
      <c r="N3303" t="s">
        <v>12</v>
      </c>
      <c r="O3303" s="8">
        <v>37.454794520547942</v>
      </c>
      <c r="P3303" t="s">
        <v>35</v>
      </c>
      <c r="Q3303">
        <v>4</v>
      </c>
      <c r="R3303" s="2">
        <v>32454</v>
      </c>
    </row>
    <row r="3304" spans="1:18" x14ac:dyDescent="0.3">
      <c r="A3304" t="s">
        <v>11</v>
      </c>
      <c r="B3304">
        <v>19016474</v>
      </c>
      <c r="C3304" t="s">
        <v>8</v>
      </c>
      <c r="D3304" s="4">
        <v>46125</v>
      </c>
      <c r="E3304" s="11">
        <f t="shared" si="204"/>
        <v>2026</v>
      </c>
      <c r="F3304" s="11">
        <f t="shared" si="205"/>
        <v>4</v>
      </c>
      <c r="G3304" s="11" t="str">
        <f t="shared" si="206"/>
        <v>202604</v>
      </c>
      <c r="H3304" s="4">
        <v>46173</v>
      </c>
      <c r="I3304" s="5">
        <v>48</v>
      </c>
      <c r="J3304" s="5">
        <v>1.6</v>
      </c>
      <c r="K3304" s="5">
        <f t="shared" si="207"/>
        <v>0</v>
      </c>
      <c r="L3304" s="5">
        <v>1</v>
      </c>
      <c r="M3304" s="5">
        <v>1</v>
      </c>
      <c r="N3304" t="s">
        <v>12</v>
      </c>
      <c r="O3304" s="8">
        <v>22.241095890410961</v>
      </c>
      <c r="P3304" t="s">
        <v>33</v>
      </c>
      <c r="Q3304">
        <v>2</v>
      </c>
      <c r="R3304" s="2">
        <v>38007</v>
      </c>
    </row>
    <row r="3305" spans="1:18" x14ac:dyDescent="0.3">
      <c r="A3305" t="s">
        <v>7</v>
      </c>
      <c r="B3305">
        <v>19016490</v>
      </c>
      <c r="C3305" t="s">
        <v>8</v>
      </c>
      <c r="D3305" s="4">
        <v>46125</v>
      </c>
      <c r="E3305" s="11">
        <f t="shared" si="204"/>
        <v>2026</v>
      </c>
      <c r="F3305" s="11">
        <f t="shared" si="205"/>
        <v>4</v>
      </c>
      <c r="G3305" s="11" t="str">
        <f t="shared" si="206"/>
        <v>202604</v>
      </c>
      <c r="I3305" s="5">
        <v>9999</v>
      </c>
      <c r="J3305" s="5">
        <v>333.3</v>
      </c>
      <c r="K3305" s="5">
        <f t="shared" si="207"/>
        <v>0</v>
      </c>
      <c r="L3305" s="5">
        <v>0</v>
      </c>
      <c r="M3305" s="5">
        <v>0</v>
      </c>
      <c r="N3305" t="s">
        <v>12</v>
      </c>
      <c r="O3305" s="8">
        <v>28.043835616438358</v>
      </c>
      <c r="P3305" t="s">
        <v>34</v>
      </c>
      <c r="Q3305">
        <v>3</v>
      </c>
      <c r="R3305" s="2">
        <v>35889</v>
      </c>
    </row>
    <row r="3306" spans="1:18" x14ac:dyDescent="0.3">
      <c r="A3306" t="s">
        <v>7</v>
      </c>
      <c r="B3306">
        <v>19016659</v>
      </c>
      <c r="C3306" t="s">
        <v>8</v>
      </c>
      <c r="D3306" s="4">
        <v>46125</v>
      </c>
      <c r="E3306" s="11">
        <f t="shared" si="204"/>
        <v>2026</v>
      </c>
      <c r="F3306" s="11">
        <f t="shared" si="205"/>
        <v>4</v>
      </c>
      <c r="G3306" s="11" t="str">
        <f t="shared" si="206"/>
        <v>202604</v>
      </c>
      <c r="I3306" s="5">
        <v>9999</v>
      </c>
      <c r="J3306" s="5">
        <v>333.3</v>
      </c>
      <c r="K3306" s="5">
        <f t="shared" si="207"/>
        <v>0</v>
      </c>
      <c r="L3306" s="5">
        <v>0</v>
      </c>
      <c r="M3306" s="5">
        <v>0</v>
      </c>
      <c r="N3306" t="s">
        <v>9</v>
      </c>
      <c r="O3306" s="8">
        <v>20.035616438356165</v>
      </c>
      <c r="P3306" t="s">
        <v>32</v>
      </c>
      <c r="Q3306">
        <v>1</v>
      </c>
      <c r="R3306" s="2">
        <v>38812</v>
      </c>
    </row>
    <row r="3307" spans="1:18" x14ac:dyDescent="0.3">
      <c r="A3307" t="s">
        <v>7</v>
      </c>
      <c r="B3307">
        <v>19016665</v>
      </c>
      <c r="C3307" t="s">
        <v>8</v>
      </c>
      <c r="D3307" s="4">
        <v>46125</v>
      </c>
      <c r="E3307" s="11">
        <f t="shared" si="204"/>
        <v>2026</v>
      </c>
      <c r="F3307" s="11">
        <f t="shared" si="205"/>
        <v>4</v>
      </c>
      <c r="G3307" s="11" t="str">
        <f t="shared" si="206"/>
        <v>202604</v>
      </c>
      <c r="I3307" s="5">
        <v>9999</v>
      </c>
      <c r="J3307" s="5">
        <v>333.3</v>
      </c>
      <c r="K3307" s="5">
        <f t="shared" si="207"/>
        <v>0</v>
      </c>
      <c r="L3307" s="5">
        <v>0</v>
      </c>
      <c r="M3307" s="5">
        <v>0</v>
      </c>
      <c r="N3307" t="s">
        <v>9</v>
      </c>
      <c r="O3307" s="8">
        <v>20.038356164383561</v>
      </c>
      <c r="P3307" t="s">
        <v>32</v>
      </c>
      <c r="Q3307">
        <v>1</v>
      </c>
      <c r="R3307" s="2">
        <v>38811</v>
      </c>
    </row>
    <row r="3308" spans="1:18" x14ac:dyDescent="0.3">
      <c r="A3308" t="s">
        <v>7</v>
      </c>
      <c r="B3308">
        <v>19016704</v>
      </c>
      <c r="C3308" t="s">
        <v>8</v>
      </c>
      <c r="D3308" s="4">
        <v>46125</v>
      </c>
      <c r="E3308" s="11">
        <f t="shared" si="204"/>
        <v>2026</v>
      </c>
      <c r="F3308" s="11">
        <f t="shared" si="205"/>
        <v>4</v>
      </c>
      <c r="G3308" s="11" t="str">
        <f t="shared" si="206"/>
        <v>202604</v>
      </c>
      <c r="I3308" s="5">
        <v>9999</v>
      </c>
      <c r="J3308" s="5">
        <v>333.3</v>
      </c>
      <c r="K3308" s="5">
        <f t="shared" si="207"/>
        <v>0</v>
      </c>
      <c r="L3308" s="5">
        <v>0</v>
      </c>
      <c r="M3308" s="5">
        <v>0</v>
      </c>
      <c r="N3308" t="s">
        <v>9</v>
      </c>
      <c r="O3308" s="8">
        <v>18.493150684931507</v>
      </c>
      <c r="P3308" t="s">
        <v>32</v>
      </c>
      <c r="Q3308">
        <v>1</v>
      </c>
      <c r="R3308" s="2">
        <v>39375</v>
      </c>
    </row>
    <row r="3309" spans="1:18" x14ac:dyDescent="0.3">
      <c r="A3309" t="s">
        <v>7</v>
      </c>
      <c r="B3309">
        <v>19016984</v>
      </c>
      <c r="C3309" t="s">
        <v>8</v>
      </c>
      <c r="D3309" s="4">
        <v>46126</v>
      </c>
      <c r="E3309" s="11">
        <f t="shared" si="204"/>
        <v>2026</v>
      </c>
      <c r="F3309" s="11">
        <f t="shared" si="205"/>
        <v>4</v>
      </c>
      <c r="G3309" s="11" t="str">
        <f t="shared" si="206"/>
        <v>202604</v>
      </c>
      <c r="I3309" s="5">
        <v>9999</v>
      </c>
      <c r="J3309" s="5">
        <v>333.3</v>
      </c>
      <c r="K3309" s="5">
        <f t="shared" si="207"/>
        <v>0</v>
      </c>
      <c r="L3309" s="5">
        <v>0</v>
      </c>
      <c r="M3309" s="5">
        <v>0</v>
      </c>
      <c r="N3309" t="s">
        <v>9</v>
      </c>
      <c r="O3309" s="8">
        <v>31.775342465753425</v>
      </c>
      <c r="P3309" t="s">
        <v>35</v>
      </c>
      <c r="Q3309">
        <v>4</v>
      </c>
      <c r="R3309" s="2">
        <v>34528</v>
      </c>
    </row>
    <row r="3310" spans="1:18" x14ac:dyDescent="0.3">
      <c r="A3310" t="s">
        <v>11</v>
      </c>
      <c r="B3310">
        <v>19017026</v>
      </c>
      <c r="C3310" t="s">
        <v>10</v>
      </c>
      <c r="D3310" s="4">
        <v>46126</v>
      </c>
      <c r="E3310" s="11">
        <f t="shared" si="204"/>
        <v>2026</v>
      </c>
      <c r="F3310" s="11">
        <f t="shared" si="205"/>
        <v>4</v>
      </c>
      <c r="G3310" s="11" t="str">
        <f t="shared" si="206"/>
        <v>202604</v>
      </c>
      <c r="I3310" s="5">
        <v>9999</v>
      </c>
      <c r="J3310" s="5">
        <v>333.3</v>
      </c>
      <c r="K3310" s="5">
        <f t="shared" si="207"/>
        <v>0</v>
      </c>
      <c r="L3310" s="5">
        <v>0</v>
      </c>
      <c r="M3310" s="5">
        <v>0</v>
      </c>
      <c r="N3310" t="s">
        <v>9</v>
      </c>
      <c r="O3310" s="8">
        <v>20.241095890410961</v>
      </c>
      <c r="P3310" t="s">
        <v>32</v>
      </c>
      <c r="Q3310">
        <v>1</v>
      </c>
      <c r="R3310" s="2">
        <v>38738</v>
      </c>
    </row>
    <row r="3311" spans="1:18" x14ac:dyDescent="0.3">
      <c r="A3311" t="s">
        <v>7</v>
      </c>
      <c r="B3311">
        <v>19017065</v>
      </c>
      <c r="C3311" t="s">
        <v>10</v>
      </c>
      <c r="D3311" s="4">
        <v>46126</v>
      </c>
      <c r="E3311" s="11">
        <f t="shared" si="204"/>
        <v>2026</v>
      </c>
      <c r="F3311" s="11">
        <f t="shared" si="205"/>
        <v>4</v>
      </c>
      <c r="G3311" s="11" t="str">
        <f t="shared" si="206"/>
        <v>202604</v>
      </c>
      <c r="I3311" s="5">
        <v>9999</v>
      </c>
      <c r="J3311" s="5">
        <v>333.3</v>
      </c>
      <c r="K3311" s="5">
        <f t="shared" si="207"/>
        <v>0</v>
      </c>
      <c r="L3311" s="5">
        <v>0</v>
      </c>
      <c r="M3311" s="5">
        <v>0</v>
      </c>
      <c r="N3311" t="s">
        <v>9</v>
      </c>
      <c r="O3311" s="8">
        <v>18.857534246575341</v>
      </c>
      <c r="P3311" t="s">
        <v>32</v>
      </c>
      <c r="Q3311">
        <v>1</v>
      </c>
      <c r="R3311" s="2">
        <v>39243</v>
      </c>
    </row>
    <row r="3312" spans="1:18" x14ac:dyDescent="0.3">
      <c r="A3312" t="s">
        <v>7</v>
      </c>
      <c r="B3312">
        <v>19017324</v>
      </c>
      <c r="C3312" t="s">
        <v>8</v>
      </c>
      <c r="D3312" s="4">
        <v>46127</v>
      </c>
      <c r="E3312" s="11">
        <f t="shared" si="204"/>
        <v>2026</v>
      </c>
      <c r="F3312" s="11">
        <f t="shared" si="205"/>
        <v>4</v>
      </c>
      <c r="G3312" s="11" t="str">
        <f t="shared" si="206"/>
        <v>202604</v>
      </c>
      <c r="H3312" s="4">
        <v>46146</v>
      </c>
      <c r="I3312" s="5">
        <v>19</v>
      </c>
      <c r="J3312" s="5">
        <v>0.6333333333333333</v>
      </c>
      <c r="K3312" s="5">
        <f t="shared" si="207"/>
        <v>1</v>
      </c>
      <c r="L3312" s="5">
        <v>1</v>
      </c>
      <c r="M3312" s="5">
        <v>1</v>
      </c>
      <c r="N3312" t="s">
        <v>9</v>
      </c>
      <c r="O3312" s="8">
        <v>29.030136986301368</v>
      </c>
      <c r="P3312" t="s">
        <v>34</v>
      </c>
      <c r="Q3312">
        <v>3</v>
      </c>
      <c r="R3312" s="2">
        <v>35531</v>
      </c>
    </row>
    <row r="3313" spans="1:18" x14ac:dyDescent="0.3">
      <c r="A3313" t="s">
        <v>7</v>
      </c>
      <c r="B3313">
        <v>19017357</v>
      </c>
      <c r="C3313" t="s">
        <v>8</v>
      </c>
      <c r="D3313" s="4">
        <v>46127</v>
      </c>
      <c r="E3313" s="11">
        <f t="shared" si="204"/>
        <v>2026</v>
      </c>
      <c r="F3313" s="11">
        <f t="shared" si="205"/>
        <v>4</v>
      </c>
      <c r="G3313" s="11" t="str">
        <f t="shared" si="206"/>
        <v>202604</v>
      </c>
      <c r="I3313" s="5">
        <v>9999</v>
      </c>
      <c r="J3313" s="5">
        <v>333.3</v>
      </c>
      <c r="K3313" s="5">
        <f t="shared" si="207"/>
        <v>0</v>
      </c>
      <c r="L3313" s="5">
        <v>0</v>
      </c>
      <c r="M3313" s="5">
        <v>0</v>
      </c>
      <c r="N3313" t="s">
        <v>9</v>
      </c>
      <c r="O3313" s="8">
        <v>18.106849315068494</v>
      </c>
      <c r="P3313" t="s">
        <v>32</v>
      </c>
      <c r="Q3313">
        <v>1</v>
      </c>
      <c r="R3313" s="2">
        <v>39518</v>
      </c>
    </row>
    <row r="3314" spans="1:18" x14ac:dyDescent="0.3">
      <c r="A3314" t="s">
        <v>7</v>
      </c>
      <c r="B3314">
        <v>19017359</v>
      </c>
      <c r="C3314" t="s">
        <v>8</v>
      </c>
      <c r="D3314" s="4">
        <v>46127</v>
      </c>
      <c r="E3314" s="11">
        <f t="shared" si="204"/>
        <v>2026</v>
      </c>
      <c r="F3314" s="11">
        <f t="shared" si="205"/>
        <v>4</v>
      </c>
      <c r="G3314" s="11" t="str">
        <f t="shared" si="206"/>
        <v>202604</v>
      </c>
      <c r="I3314" s="5">
        <v>9999</v>
      </c>
      <c r="J3314" s="5">
        <v>333.3</v>
      </c>
      <c r="K3314" s="5">
        <f t="shared" si="207"/>
        <v>0</v>
      </c>
      <c r="L3314" s="5">
        <v>0</v>
      </c>
      <c r="M3314" s="5">
        <v>0</v>
      </c>
      <c r="N3314" t="s">
        <v>9</v>
      </c>
      <c r="O3314" s="8">
        <v>22.068493150684933</v>
      </c>
      <c r="P3314" t="s">
        <v>33</v>
      </c>
      <c r="Q3314">
        <v>2</v>
      </c>
      <c r="R3314" s="2">
        <v>38072</v>
      </c>
    </row>
    <row r="3315" spans="1:18" x14ac:dyDescent="0.3">
      <c r="A3315" t="s">
        <v>7</v>
      </c>
      <c r="B3315">
        <v>19017361</v>
      </c>
      <c r="C3315" t="s">
        <v>8</v>
      </c>
      <c r="D3315" s="4">
        <v>46127</v>
      </c>
      <c r="E3315" s="11">
        <f t="shared" si="204"/>
        <v>2026</v>
      </c>
      <c r="F3315" s="11">
        <f t="shared" si="205"/>
        <v>4</v>
      </c>
      <c r="G3315" s="11" t="str">
        <f t="shared" si="206"/>
        <v>202604</v>
      </c>
      <c r="I3315" s="5">
        <v>9999</v>
      </c>
      <c r="J3315" s="5">
        <v>333.3</v>
      </c>
      <c r="K3315" s="5">
        <f t="shared" si="207"/>
        <v>0</v>
      </c>
      <c r="L3315" s="5">
        <v>0</v>
      </c>
      <c r="M3315" s="5">
        <v>0</v>
      </c>
      <c r="N3315" t="s">
        <v>9</v>
      </c>
      <c r="O3315" s="8">
        <v>20.580821917808219</v>
      </c>
      <c r="P3315" t="s">
        <v>32</v>
      </c>
      <c r="Q3315">
        <v>1</v>
      </c>
      <c r="R3315" s="2">
        <v>38615</v>
      </c>
    </row>
    <row r="3316" spans="1:18" x14ac:dyDescent="0.3">
      <c r="A3316" t="s">
        <v>7</v>
      </c>
      <c r="B3316">
        <v>19017393</v>
      </c>
      <c r="C3316" t="s">
        <v>8</v>
      </c>
      <c r="D3316" s="4">
        <v>46127</v>
      </c>
      <c r="E3316" s="11">
        <f t="shared" si="204"/>
        <v>2026</v>
      </c>
      <c r="F3316" s="11">
        <f t="shared" si="205"/>
        <v>4</v>
      </c>
      <c r="G3316" s="11" t="str">
        <f t="shared" si="206"/>
        <v>202604</v>
      </c>
      <c r="H3316" s="4">
        <v>46146</v>
      </c>
      <c r="I3316" s="5">
        <v>19</v>
      </c>
      <c r="J3316" s="5">
        <v>0.6333333333333333</v>
      </c>
      <c r="K3316" s="5">
        <f t="shared" si="207"/>
        <v>1</v>
      </c>
      <c r="L3316" s="5">
        <v>1</v>
      </c>
      <c r="M3316" s="5">
        <v>1</v>
      </c>
      <c r="N3316" t="s">
        <v>9</v>
      </c>
      <c r="O3316" s="8">
        <v>19.065753424657533</v>
      </c>
      <c r="P3316" t="s">
        <v>32</v>
      </c>
      <c r="Q3316">
        <v>1</v>
      </c>
      <c r="R3316" s="2">
        <v>39168</v>
      </c>
    </row>
    <row r="3317" spans="1:18" x14ac:dyDescent="0.3">
      <c r="A3317" t="s">
        <v>7</v>
      </c>
      <c r="B3317">
        <v>19017541</v>
      </c>
      <c r="C3317" t="s">
        <v>8</v>
      </c>
      <c r="D3317" s="4">
        <v>46127</v>
      </c>
      <c r="E3317" s="11">
        <f t="shared" si="204"/>
        <v>2026</v>
      </c>
      <c r="F3317" s="11">
        <f t="shared" si="205"/>
        <v>4</v>
      </c>
      <c r="G3317" s="11" t="str">
        <f t="shared" si="206"/>
        <v>202604</v>
      </c>
      <c r="I3317" s="5">
        <v>9999</v>
      </c>
      <c r="J3317" s="5">
        <v>333.3</v>
      </c>
      <c r="K3317" s="5">
        <f t="shared" si="207"/>
        <v>0</v>
      </c>
      <c r="L3317" s="5">
        <v>0</v>
      </c>
      <c r="M3317" s="5">
        <v>0</v>
      </c>
      <c r="N3317" t="s">
        <v>12</v>
      </c>
      <c r="O3317" s="8">
        <v>18.950684931506849</v>
      </c>
      <c r="P3317" t="s">
        <v>32</v>
      </c>
      <c r="Q3317">
        <v>1</v>
      </c>
      <c r="R3317" s="2">
        <v>39210</v>
      </c>
    </row>
    <row r="3318" spans="1:18" x14ac:dyDescent="0.3">
      <c r="A3318" t="s">
        <v>7</v>
      </c>
      <c r="B3318">
        <v>19017542</v>
      </c>
      <c r="C3318" t="s">
        <v>8</v>
      </c>
      <c r="D3318" s="4">
        <v>46127</v>
      </c>
      <c r="E3318" s="11">
        <f t="shared" si="204"/>
        <v>2026</v>
      </c>
      <c r="F3318" s="11">
        <f t="shared" si="205"/>
        <v>4</v>
      </c>
      <c r="G3318" s="11" t="str">
        <f t="shared" si="206"/>
        <v>202604</v>
      </c>
      <c r="H3318" s="4">
        <v>46173</v>
      </c>
      <c r="I3318" s="5">
        <v>46</v>
      </c>
      <c r="J3318" s="5">
        <v>1.5333333333333334</v>
      </c>
      <c r="K3318" s="5">
        <f t="shared" si="207"/>
        <v>0</v>
      </c>
      <c r="L3318" s="5">
        <v>1</v>
      </c>
      <c r="M3318" s="5">
        <v>1</v>
      </c>
      <c r="N3318" t="s">
        <v>12</v>
      </c>
      <c r="O3318" s="8">
        <v>31.230136986301371</v>
      </c>
      <c r="P3318" t="s">
        <v>35</v>
      </c>
      <c r="Q3318">
        <v>4</v>
      </c>
      <c r="R3318" s="2">
        <v>34728</v>
      </c>
    </row>
    <row r="3319" spans="1:18" x14ac:dyDescent="0.3">
      <c r="A3319" t="s">
        <v>7</v>
      </c>
      <c r="B3319">
        <v>19017551</v>
      </c>
      <c r="C3319" t="s">
        <v>8</v>
      </c>
      <c r="D3319" s="4">
        <v>46127</v>
      </c>
      <c r="E3319" s="11">
        <f t="shared" si="204"/>
        <v>2026</v>
      </c>
      <c r="F3319" s="11">
        <f t="shared" si="205"/>
        <v>4</v>
      </c>
      <c r="G3319" s="11" t="str">
        <f t="shared" si="206"/>
        <v>202604</v>
      </c>
      <c r="I3319" s="5">
        <v>9999</v>
      </c>
      <c r="J3319" s="5">
        <v>333.3</v>
      </c>
      <c r="K3319" s="5">
        <f t="shared" si="207"/>
        <v>0</v>
      </c>
      <c r="L3319" s="5">
        <v>0</v>
      </c>
      <c r="M3319" s="5">
        <v>0</v>
      </c>
      <c r="N3319" t="s">
        <v>9</v>
      </c>
      <c r="O3319" s="8">
        <v>19.953424657534246</v>
      </c>
      <c r="P3319" t="s">
        <v>32</v>
      </c>
      <c r="Q3319">
        <v>1</v>
      </c>
      <c r="R3319" s="2">
        <v>38844</v>
      </c>
    </row>
    <row r="3320" spans="1:18" x14ac:dyDescent="0.3">
      <c r="A3320" t="s">
        <v>7</v>
      </c>
      <c r="B3320">
        <v>19017563</v>
      </c>
      <c r="C3320" t="s">
        <v>8</v>
      </c>
      <c r="D3320" s="4">
        <v>46127</v>
      </c>
      <c r="E3320" s="11">
        <f t="shared" si="204"/>
        <v>2026</v>
      </c>
      <c r="F3320" s="11">
        <f t="shared" si="205"/>
        <v>4</v>
      </c>
      <c r="G3320" s="11" t="str">
        <f t="shared" si="206"/>
        <v>202604</v>
      </c>
      <c r="I3320" s="5">
        <v>9999</v>
      </c>
      <c r="J3320" s="5">
        <v>333.3</v>
      </c>
      <c r="K3320" s="5">
        <f t="shared" si="207"/>
        <v>0</v>
      </c>
      <c r="L3320" s="5">
        <v>0</v>
      </c>
      <c r="M3320" s="5">
        <v>0</v>
      </c>
      <c r="N3320" t="s">
        <v>9</v>
      </c>
      <c r="O3320" s="8">
        <v>20.087671232876712</v>
      </c>
      <c r="P3320" t="s">
        <v>32</v>
      </c>
      <c r="Q3320">
        <v>1</v>
      </c>
      <c r="R3320" s="2">
        <v>38795</v>
      </c>
    </row>
    <row r="3321" spans="1:18" x14ac:dyDescent="0.3">
      <c r="A3321" t="s">
        <v>7</v>
      </c>
      <c r="B3321">
        <v>19017565</v>
      </c>
      <c r="C3321" t="s">
        <v>8</v>
      </c>
      <c r="D3321" s="4">
        <v>46127</v>
      </c>
      <c r="E3321" s="11">
        <f t="shared" si="204"/>
        <v>2026</v>
      </c>
      <c r="F3321" s="11">
        <f t="shared" si="205"/>
        <v>4</v>
      </c>
      <c r="G3321" s="11" t="str">
        <f t="shared" si="206"/>
        <v>202604</v>
      </c>
      <c r="I3321" s="5">
        <v>9999</v>
      </c>
      <c r="J3321" s="5">
        <v>333.3</v>
      </c>
      <c r="K3321" s="5">
        <f t="shared" si="207"/>
        <v>0</v>
      </c>
      <c r="L3321" s="5">
        <v>0</v>
      </c>
      <c r="M3321" s="5">
        <v>0</v>
      </c>
      <c r="N3321" t="s">
        <v>9</v>
      </c>
      <c r="O3321" s="8">
        <v>31.701369863013699</v>
      </c>
      <c r="P3321" t="s">
        <v>35</v>
      </c>
      <c r="Q3321">
        <v>4</v>
      </c>
      <c r="R3321" s="2">
        <v>34556</v>
      </c>
    </row>
    <row r="3322" spans="1:18" x14ac:dyDescent="0.3">
      <c r="A3322" t="s">
        <v>7</v>
      </c>
      <c r="B3322">
        <v>19017597</v>
      </c>
      <c r="C3322" t="s">
        <v>8</v>
      </c>
      <c r="D3322" s="4">
        <v>46127</v>
      </c>
      <c r="E3322" s="11">
        <f t="shared" si="204"/>
        <v>2026</v>
      </c>
      <c r="F3322" s="11">
        <f t="shared" si="205"/>
        <v>4</v>
      </c>
      <c r="G3322" s="11" t="str">
        <f t="shared" si="206"/>
        <v>202604</v>
      </c>
      <c r="H3322" s="4">
        <v>46143</v>
      </c>
      <c r="I3322" s="5">
        <v>16</v>
      </c>
      <c r="J3322" s="5">
        <v>0.53333333333333333</v>
      </c>
      <c r="K3322" s="5">
        <f t="shared" si="207"/>
        <v>1</v>
      </c>
      <c r="L3322" s="5">
        <v>1</v>
      </c>
      <c r="M3322" s="5">
        <v>1</v>
      </c>
      <c r="N3322" t="s">
        <v>9</v>
      </c>
      <c r="O3322" s="8">
        <v>20.252054794520546</v>
      </c>
      <c r="P3322" t="s">
        <v>32</v>
      </c>
      <c r="Q3322">
        <v>1</v>
      </c>
      <c r="R3322" s="2">
        <v>38735</v>
      </c>
    </row>
    <row r="3323" spans="1:18" x14ac:dyDescent="0.3">
      <c r="A3323" t="s">
        <v>7</v>
      </c>
      <c r="B3323">
        <v>19017604</v>
      </c>
      <c r="C3323" t="s">
        <v>8</v>
      </c>
      <c r="D3323" s="4">
        <v>46127</v>
      </c>
      <c r="E3323" s="11">
        <f t="shared" si="204"/>
        <v>2026</v>
      </c>
      <c r="F3323" s="11">
        <f t="shared" si="205"/>
        <v>4</v>
      </c>
      <c r="G3323" s="11" t="str">
        <f t="shared" si="206"/>
        <v>202604</v>
      </c>
      <c r="I3323" s="5">
        <v>9999</v>
      </c>
      <c r="J3323" s="5">
        <v>333.3</v>
      </c>
      <c r="K3323" s="5">
        <f t="shared" si="207"/>
        <v>0</v>
      </c>
      <c r="L3323" s="5">
        <v>0</v>
      </c>
      <c r="M3323" s="5">
        <v>0</v>
      </c>
      <c r="N3323" t="s">
        <v>12</v>
      </c>
      <c r="O3323" s="8">
        <v>18.649315068493152</v>
      </c>
      <c r="P3323" t="s">
        <v>32</v>
      </c>
      <c r="Q3323">
        <v>1</v>
      </c>
      <c r="R3323" s="2">
        <v>39320</v>
      </c>
    </row>
    <row r="3324" spans="1:18" x14ac:dyDescent="0.3">
      <c r="A3324" t="s">
        <v>7</v>
      </c>
      <c r="B3324">
        <v>19017629</v>
      </c>
      <c r="C3324" t="s">
        <v>8</v>
      </c>
      <c r="D3324" s="4">
        <v>46127</v>
      </c>
      <c r="E3324" s="11">
        <f t="shared" si="204"/>
        <v>2026</v>
      </c>
      <c r="F3324" s="11">
        <f t="shared" si="205"/>
        <v>4</v>
      </c>
      <c r="G3324" s="11" t="str">
        <f t="shared" si="206"/>
        <v>202604</v>
      </c>
      <c r="I3324" s="5">
        <v>9999</v>
      </c>
      <c r="J3324" s="5">
        <v>333.3</v>
      </c>
      <c r="K3324" s="5">
        <f t="shared" si="207"/>
        <v>0</v>
      </c>
      <c r="L3324" s="5">
        <v>0</v>
      </c>
      <c r="M3324" s="5">
        <v>0</v>
      </c>
      <c r="N3324" t="s">
        <v>12</v>
      </c>
      <c r="O3324" s="8">
        <v>20.512328767123286</v>
      </c>
      <c r="P3324" t="s">
        <v>32</v>
      </c>
      <c r="Q3324">
        <v>1</v>
      </c>
      <c r="R3324" s="2">
        <v>38640</v>
      </c>
    </row>
    <row r="3325" spans="1:18" x14ac:dyDescent="0.3">
      <c r="A3325" t="s">
        <v>7</v>
      </c>
      <c r="B3325">
        <v>19017684</v>
      </c>
      <c r="C3325" t="s">
        <v>8</v>
      </c>
      <c r="D3325" s="4">
        <v>46128</v>
      </c>
      <c r="E3325" s="11">
        <f t="shared" si="204"/>
        <v>2026</v>
      </c>
      <c r="F3325" s="11">
        <f t="shared" si="205"/>
        <v>4</v>
      </c>
      <c r="G3325" s="11" t="str">
        <f t="shared" si="206"/>
        <v>202604</v>
      </c>
      <c r="I3325" s="5">
        <v>9999</v>
      </c>
      <c r="J3325" s="5">
        <v>333.3</v>
      </c>
      <c r="K3325" s="5">
        <f t="shared" si="207"/>
        <v>0</v>
      </c>
      <c r="L3325" s="5">
        <v>0</v>
      </c>
      <c r="M3325" s="5">
        <v>0</v>
      </c>
      <c r="N3325" t="s">
        <v>9</v>
      </c>
      <c r="O3325" s="8">
        <v>23.339726027397262</v>
      </c>
      <c r="P3325" t="s">
        <v>33</v>
      </c>
      <c r="Q3325">
        <v>2</v>
      </c>
      <c r="R3325" s="2">
        <v>37609</v>
      </c>
    </row>
    <row r="3326" spans="1:18" x14ac:dyDescent="0.3">
      <c r="A3326" t="s">
        <v>7</v>
      </c>
      <c r="B3326">
        <v>19017685</v>
      </c>
      <c r="C3326" t="s">
        <v>8</v>
      </c>
      <c r="D3326" s="4">
        <v>46128</v>
      </c>
      <c r="E3326" s="11">
        <f t="shared" si="204"/>
        <v>2026</v>
      </c>
      <c r="F3326" s="11">
        <f t="shared" si="205"/>
        <v>4</v>
      </c>
      <c r="G3326" s="11" t="str">
        <f t="shared" si="206"/>
        <v>202604</v>
      </c>
      <c r="I3326" s="5">
        <v>9999</v>
      </c>
      <c r="J3326" s="5">
        <v>333.3</v>
      </c>
      <c r="K3326" s="5">
        <f t="shared" si="207"/>
        <v>0</v>
      </c>
      <c r="L3326" s="5">
        <v>0</v>
      </c>
      <c r="M3326" s="5">
        <v>0</v>
      </c>
      <c r="N3326" t="s">
        <v>12</v>
      </c>
      <c r="O3326" s="8">
        <v>18.950684931506849</v>
      </c>
      <c r="P3326" t="s">
        <v>32</v>
      </c>
      <c r="Q3326">
        <v>1</v>
      </c>
      <c r="R3326" s="2">
        <v>39211</v>
      </c>
    </row>
    <row r="3327" spans="1:18" x14ac:dyDescent="0.3">
      <c r="A3327" t="s">
        <v>7</v>
      </c>
      <c r="B3327">
        <v>19017689</v>
      </c>
      <c r="C3327" t="s">
        <v>8</v>
      </c>
      <c r="D3327" s="4">
        <v>46128</v>
      </c>
      <c r="E3327" s="11">
        <f t="shared" si="204"/>
        <v>2026</v>
      </c>
      <c r="F3327" s="11">
        <f t="shared" si="205"/>
        <v>4</v>
      </c>
      <c r="G3327" s="11" t="str">
        <f t="shared" si="206"/>
        <v>202604</v>
      </c>
      <c r="I3327" s="5">
        <v>9999</v>
      </c>
      <c r="J3327" s="5">
        <v>333.3</v>
      </c>
      <c r="K3327" s="5">
        <f t="shared" si="207"/>
        <v>0</v>
      </c>
      <c r="L3327" s="5">
        <v>0</v>
      </c>
      <c r="M3327" s="5">
        <v>0</v>
      </c>
      <c r="N3327" t="s">
        <v>12</v>
      </c>
      <c r="O3327" s="8">
        <v>21.016438356164382</v>
      </c>
      <c r="P3327" t="s">
        <v>33</v>
      </c>
      <c r="Q3327">
        <v>2</v>
      </c>
      <c r="R3327" s="2">
        <v>38457</v>
      </c>
    </row>
    <row r="3328" spans="1:18" x14ac:dyDescent="0.3">
      <c r="A3328" t="s">
        <v>7</v>
      </c>
      <c r="B3328">
        <v>19017699</v>
      </c>
      <c r="C3328" t="s">
        <v>8</v>
      </c>
      <c r="D3328" s="4">
        <v>46128</v>
      </c>
      <c r="E3328" s="11">
        <f t="shared" si="204"/>
        <v>2026</v>
      </c>
      <c r="F3328" s="11">
        <f t="shared" si="205"/>
        <v>4</v>
      </c>
      <c r="G3328" s="11" t="str">
        <f t="shared" si="206"/>
        <v>202604</v>
      </c>
      <c r="I3328" s="5">
        <v>9999</v>
      </c>
      <c r="J3328" s="5">
        <v>333.3</v>
      </c>
      <c r="K3328" s="5">
        <f t="shared" si="207"/>
        <v>0</v>
      </c>
      <c r="L3328" s="5">
        <v>0</v>
      </c>
      <c r="M3328" s="5">
        <v>0</v>
      </c>
      <c r="N3328" t="s">
        <v>9</v>
      </c>
      <c r="O3328" s="8">
        <v>33.61643835616438</v>
      </c>
      <c r="P3328" t="s">
        <v>35</v>
      </c>
      <c r="Q3328">
        <v>4</v>
      </c>
      <c r="R3328" s="2">
        <v>33858</v>
      </c>
    </row>
    <row r="3329" spans="1:18" x14ac:dyDescent="0.3">
      <c r="A3329" t="s">
        <v>7</v>
      </c>
      <c r="B3329">
        <v>19017733</v>
      </c>
      <c r="C3329" t="s">
        <v>10</v>
      </c>
      <c r="D3329" s="4">
        <v>46128</v>
      </c>
      <c r="E3329" s="11">
        <f t="shared" si="204"/>
        <v>2026</v>
      </c>
      <c r="F3329" s="11">
        <f t="shared" si="205"/>
        <v>4</v>
      </c>
      <c r="G3329" s="11" t="str">
        <f t="shared" si="206"/>
        <v>202604</v>
      </c>
      <c r="I3329" s="5">
        <v>9999</v>
      </c>
      <c r="J3329" s="5">
        <v>333.3</v>
      </c>
      <c r="K3329" s="5">
        <f t="shared" si="207"/>
        <v>0</v>
      </c>
      <c r="L3329" s="5">
        <v>0</v>
      </c>
      <c r="M3329" s="5">
        <v>0</v>
      </c>
      <c r="N3329" t="s">
        <v>12</v>
      </c>
      <c r="O3329" s="8">
        <v>19.109589041095891</v>
      </c>
      <c r="P3329" t="s">
        <v>32</v>
      </c>
      <c r="Q3329">
        <v>1</v>
      </c>
      <c r="R3329" s="2">
        <v>39153</v>
      </c>
    </row>
    <row r="3330" spans="1:18" x14ac:dyDescent="0.3">
      <c r="A3330" t="s">
        <v>7</v>
      </c>
      <c r="B3330">
        <v>19017740</v>
      </c>
      <c r="C3330" t="s">
        <v>8</v>
      </c>
      <c r="D3330" s="4">
        <v>46128</v>
      </c>
      <c r="E3330" s="11">
        <f t="shared" si="204"/>
        <v>2026</v>
      </c>
      <c r="F3330" s="11">
        <f t="shared" si="205"/>
        <v>4</v>
      </c>
      <c r="G3330" s="11" t="str">
        <f t="shared" si="206"/>
        <v>202604</v>
      </c>
      <c r="I3330" s="5">
        <v>9999</v>
      </c>
      <c r="J3330" s="5">
        <v>333.3</v>
      </c>
      <c r="K3330" s="5">
        <f t="shared" si="207"/>
        <v>0</v>
      </c>
      <c r="L3330" s="5">
        <v>0</v>
      </c>
      <c r="M3330" s="5">
        <v>0</v>
      </c>
      <c r="N3330" t="s">
        <v>9</v>
      </c>
      <c r="O3330" s="8">
        <v>21.383561643835616</v>
      </c>
      <c r="P3330" t="s">
        <v>33</v>
      </c>
      <c r="Q3330">
        <v>2</v>
      </c>
      <c r="R3330" s="2">
        <v>38323</v>
      </c>
    </row>
    <row r="3331" spans="1:18" x14ac:dyDescent="0.3">
      <c r="A3331" t="s">
        <v>7</v>
      </c>
      <c r="B3331">
        <v>19018027</v>
      </c>
      <c r="C3331" t="s">
        <v>10</v>
      </c>
      <c r="D3331" s="4">
        <v>46129</v>
      </c>
      <c r="E3331" s="11">
        <f t="shared" ref="E3331:E3394" si="208">+YEAR(D3331)</f>
        <v>2026</v>
      </c>
      <c r="F3331" s="11">
        <f t="shared" ref="F3331:F3394" si="209">+MONTH(D3331)</f>
        <v>4</v>
      </c>
      <c r="G3331" s="11" t="str">
        <f t="shared" ref="G3331:G3394" si="210">+TEXT(D3331, "yyymm")</f>
        <v>202604</v>
      </c>
      <c r="I3331" s="5">
        <v>9999</v>
      </c>
      <c r="J3331" s="5">
        <v>333.3</v>
      </c>
      <c r="K3331" s="5">
        <f t="shared" ref="K3331:K3394" si="211">IF(J3331&lt;=1,1,0)</f>
        <v>0</v>
      </c>
      <c r="L3331" s="5">
        <v>0</v>
      </c>
      <c r="M3331" s="5">
        <v>0</v>
      </c>
      <c r="N3331" t="s">
        <v>12</v>
      </c>
      <c r="O3331" s="8">
        <v>19.276712328767122</v>
      </c>
      <c r="P3331" t="s">
        <v>32</v>
      </c>
      <c r="Q3331">
        <v>1</v>
      </c>
      <c r="R3331" s="2">
        <v>39093</v>
      </c>
    </row>
    <row r="3332" spans="1:18" x14ac:dyDescent="0.3">
      <c r="A3332" t="s">
        <v>7</v>
      </c>
      <c r="B3332">
        <v>19018029</v>
      </c>
      <c r="C3332" t="s">
        <v>8</v>
      </c>
      <c r="D3332" s="4">
        <v>46129</v>
      </c>
      <c r="E3332" s="11">
        <f t="shared" si="208"/>
        <v>2026</v>
      </c>
      <c r="F3332" s="11">
        <f t="shared" si="209"/>
        <v>4</v>
      </c>
      <c r="G3332" s="11" t="str">
        <f t="shared" si="210"/>
        <v>202604</v>
      </c>
      <c r="I3332" s="5">
        <v>9999</v>
      </c>
      <c r="J3332" s="5">
        <v>333.3</v>
      </c>
      <c r="K3332" s="5">
        <f t="shared" si="211"/>
        <v>0</v>
      </c>
      <c r="L3332" s="5">
        <v>0</v>
      </c>
      <c r="M3332" s="5">
        <v>0</v>
      </c>
      <c r="N3332" t="s">
        <v>12</v>
      </c>
      <c r="O3332" s="8">
        <v>31.786301369863015</v>
      </c>
      <c r="P3332" t="s">
        <v>35</v>
      </c>
      <c r="Q3332">
        <v>4</v>
      </c>
      <c r="R3332" s="2">
        <v>34527</v>
      </c>
    </row>
    <row r="3333" spans="1:18" x14ac:dyDescent="0.3">
      <c r="A3333" t="s">
        <v>7</v>
      </c>
      <c r="B3333">
        <v>19018031</v>
      </c>
      <c r="C3333" t="s">
        <v>8</v>
      </c>
      <c r="D3333" s="4">
        <v>46129</v>
      </c>
      <c r="E3333" s="11">
        <f t="shared" si="208"/>
        <v>2026</v>
      </c>
      <c r="F3333" s="11">
        <f t="shared" si="209"/>
        <v>4</v>
      </c>
      <c r="G3333" s="11" t="str">
        <f t="shared" si="210"/>
        <v>202604</v>
      </c>
      <c r="I3333" s="5">
        <v>9999</v>
      </c>
      <c r="J3333" s="5">
        <v>333.3</v>
      </c>
      <c r="K3333" s="5">
        <f t="shared" si="211"/>
        <v>0</v>
      </c>
      <c r="L3333" s="5">
        <v>0</v>
      </c>
      <c r="M3333" s="5">
        <v>0</v>
      </c>
      <c r="N3333" t="s">
        <v>12</v>
      </c>
      <c r="O3333" s="8">
        <v>20.556164383561644</v>
      </c>
      <c r="P3333" t="s">
        <v>32</v>
      </c>
      <c r="Q3333">
        <v>1</v>
      </c>
      <c r="R3333" s="2">
        <v>38626</v>
      </c>
    </row>
    <row r="3334" spans="1:18" x14ac:dyDescent="0.3">
      <c r="A3334" t="s">
        <v>7</v>
      </c>
      <c r="B3334">
        <v>19018033</v>
      </c>
      <c r="C3334" t="s">
        <v>10</v>
      </c>
      <c r="D3334" s="4">
        <v>46129</v>
      </c>
      <c r="E3334" s="11">
        <f t="shared" si="208"/>
        <v>2026</v>
      </c>
      <c r="F3334" s="11">
        <f t="shared" si="209"/>
        <v>4</v>
      </c>
      <c r="G3334" s="11" t="str">
        <f t="shared" si="210"/>
        <v>202604</v>
      </c>
      <c r="I3334" s="5">
        <v>9999</v>
      </c>
      <c r="J3334" s="5">
        <v>333.3</v>
      </c>
      <c r="K3334" s="5">
        <f t="shared" si="211"/>
        <v>0</v>
      </c>
      <c r="L3334" s="5">
        <v>0</v>
      </c>
      <c r="M3334" s="5">
        <v>0</v>
      </c>
      <c r="N3334" t="s">
        <v>12</v>
      </c>
      <c r="O3334" s="8">
        <v>28.695890410958903</v>
      </c>
      <c r="P3334" t="s">
        <v>34</v>
      </c>
      <c r="Q3334">
        <v>3</v>
      </c>
      <c r="R3334" s="2">
        <v>35655</v>
      </c>
    </row>
    <row r="3335" spans="1:18" x14ac:dyDescent="0.3">
      <c r="A3335" t="s">
        <v>7</v>
      </c>
      <c r="B3335">
        <v>19018108</v>
      </c>
      <c r="C3335" t="s">
        <v>10</v>
      </c>
      <c r="D3335" s="4">
        <v>46129</v>
      </c>
      <c r="E3335" s="11">
        <f t="shared" si="208"/>
        <v>2026</v>
      </c>
      <c r="F3335" s="11">
        <f t="shared" si="209"/>
        <v>4</v>
      </c>
      <c r="G3335" s="11" t="str">
        <f t="shared" si="210"/>
        <v>202604</v>
      </c>
      <c r="I3335" s="5">
        <v>9999</v>
      </c>
      <c r="J3335" s="5">
        <v>333.3</v>
      </c>
      <c r="K3335" s="5">
        <f t="shared" si="211"/>
        <v>0</v>
      </c>
      <c r="L3335" s="5">
        <v>0</v>
      </c>
      <c r="M3335" s="5">
        <v>0</v>
      </c>
      <c r="N3335" t="s">
        <v>9</v>
      </c>
      <c r="O3335" s="8">
        <v>20.24931506849315</v>
      </c>
      <c r="P3335" t="s">
        <v>32</v>
      </c>
      <c r="Q3335">
        <v>1</v>
      </c>
      <c r="R3335" s="2">
        <v>38738</v>
      </c>
    </row>
    <row r="3336" spans="1:18" x14ac:dyDescent="0.3">
      <c r="A3336" t="s">
        <v>7</v>
      </c>
      <c r="B3336">
        <v>19018111</v>
      </c>
      <c r="C3336" t="s">
        <v>8</v>
      </c>
      <c r="D3336" s="4">
        <v>46129</v>
      </c>
      <c r="E3336" s="11">
        <f t="shared" si="208"/>
        <v>2026</v>
      </c>
      <c r="F3336" s="11">
        <f t="shared" si="209"/>
        <v>4</v>
      </c>
      <c r="G3336" s="11" t="str">
        <f t="shared" si="210"/>
        <v>202604</v>
      </c>
      <c r="H3336" s="4">
        <v>46143</v>
      </c>
      <c r="I3336" s="5">
        <v>14</v>
      </c>
      <c r="J3336" s="5">
        <v>0.46666666666666667</v>
      </c>
      <c r="K3336" s="5">
        <f t="shared" si="211"/>
        <v>1</v>
      </c>
      <c r="L3336" s="5">
        <v>1</v>
      </c>
      <c r="M3336" s="5">
        <v>1</v>
      </c>
      <c r="N3336" t="s">
        <v>9</v>
      </c>
      <c r="O3336" s="8">
        <v>19.460273972602739</v>
      </c>
      <c r="P3336" t="s">
        <v>32</v>
      </c>
      <c r="Q3336">
        <v>1</v>
      </c>
      <c r="R3336" s="2">
        <v>39026</v>
      </c>
    </row>
    <row r="3337" spans="1:18" x14ac:dyDescent="0.3">
      <c r="A3337" t="s">
        <v>11</v>
      </c>
      <c r="B3337">
        <v>19018114</v>
      </c>
      <c r="C3337" t="s">
        <v>8</v>
      </c>
      <c r="D3337" s="4">
        <v>46129</v>
      </c>
      <c r="E3337" s="11">
        <f t="shared" si="208"/>
        <v>2026</v>
      </c>
      <c r="F3337" s="11">
        <f t="shared" si="209"/>
        <v>4</v>
      </c>
      <c r="G3337" s="11" t="str">
        <f t="shared" si="210"/>
        <v>202604</v>
      </c>
      <c r="H3337" s="4">
        <v>46146</v>
      </c>
      <c r="I3337" s="5">
        <v>17</v>
      </c>
      <c r="J3337" s="5">
        <v>0.56666666666666665</v>
      </c>
      <c r="K3337" s="5">
        <f t="shared" si="211"/>
        <v>1</v>
      </c>
      <c r="L3337" s="5">
        <v>1</v>
      </c>
      <c r="M3337" s="5">
        <v>1</v>
      </c>
      <c r="N3337" t="s">
        <v>9</v>
      </c>
      <c r="O3337" s="8">
        <v>19.884931506849316</v>
      </c>
      <c r="P3337" t="s">
        <v>32</v>
      </c>
      <c r="Q3337">
        <v>1</v>
      </c>
      <c r="R3337" s="2">
        <v>38871</v>
      </c>
    </row>
    <row r="3338" spans="1:18" x14ac:dyDescent="0.3">
      <c r="A3338" t="s">
        <v>7</v>
      </c>
      <c r="B3338">
        <v>19018118</v>
      </c>
      <c r="C3338" t="s">
        <v>10</v>
      </c>
      <c r="D3338" s="4">
        <v>46129</v>
      </c>
      <c r="E3338" s="11">
        <f t="shared" si="208"/>
        <v>2026</v>
      </c>
      <c r="F3338" s="11">
        <f t="shared" si="209"/>
        <v>4</v>
      </c>
      <c r="G3338" s="11" t="str">
        <f t="shared" si="210"/>
        <v>202604</v>
      </c>
      <c r="I3338" s="5">
        <v>9999</v>
      </c>
      <c r="J3338" s="5">
        <v>333.3</v>
      </c>
      <c r="K3338" s="5">
        <f t="shared" si="211"/>
        <v>0</v>
      </c>
      <c r="L3338" s="5">
        <v>0</v>
      </c>
      <c r="M3338" s="5">
        <v>0</v>
      </c>
      <c r="N3338" t="s">
        <v>9</v>
      </c>
      <c r="O3338" s="8">
        <v>19.56986301369863</v>
      </c>
      <c r="P3338" t="s">
        <v>32</v>
      </c>
      <c r="Q3338">
        <v>1</v>
      </c>
      <c r="R3338" s="2">
        <v>38986</v>
      </c>
    </row>
    <row r="3339" spans="1:18" x14ac:dyDescent="0.3">
      <c r="A3339" t="s">
        <v>7</v>
      </c>
      <c r="B3339">
        <v>19018126</v>
      </c>
      <c r="C3339" t="s">
        <v>8</v>
      </c>
      <c r="D3339" s="4">
        <v>46129</v>
      </c>
      <c r="E3339" s="11">
        <f t="shared" si="208"/>
        <v>2026</v>
      </c>
      <c r="F3339" s="11">
        <f t="shared" si="209"/>
        <v>4</v>
      </c>
      <c r="G3339" s="11" t="str">
        <f t="shared" si="210"/>
        <v>202604</v>
      </c>
      <c r="I3339" s="5">
        <v>9999</v>
      </c>
      <c r="J3339" s="5">
        <v>333.3</v>
      </c>
      <c r="K3339" s="5">
        <f t="shared" si="211"/>
        <v>0</v>
      </c>
      <c r="L3339" s="5">
        <v>0</v>
      </c>
      <c r="M3339" s="5">
        <v>0</v>
      </c>
      <c r="N3339" t="s">
        <v>9</v>
      </c>
      <c r="O3339" s="8">
        <v>51.545205479452058</v>
      </c>
      <c r="P3339" t="s">
        <v>35</v>
      </c>
      <c r="Q3339">
        <v>4</v>
      </c>
      <c r="R3339" s="2">
        <v>27315</v>
      </c>
    </row>
    <row r="3340" spans="1:18" x14ac:dyDescent="0.3">
      <c r="A3340" t="s">
        <v>7</v>
      </c>
      <c r="B3340">
        <v>19018128</v>
      </c>
      <c r="C3340" t="s">
        <v>8</v>
      </c>
      <c r="D3340" s="4">
        <v>46129</v>
      </c>
      <c r="E3340" s="11">
        <f t="shared" si="208"/>
        <v>2026</v>
      </c>
      <c r="F3340" s="11">
        <f t="shared" si="209"/>
        <v>4</v>
      </c>
      <c r="G3340" s="11" t="str">
        <f t="shared" si="210"/>
        <v>202604</v>
      </c>
      <c r="H3340" s="4">
        <v>46143</v>
      </c>
      <c r="I3340" s="5">
        <v>14</v>
      </c>
      <c r="J3340" s="5">
        <v>0.46666666666666667</v>
      </c>
      <c r="K3340" s="5">
        <f t="shared" si="211"/>
        <v>1</v>
      </c>
      <c r="L3340" s="5">
        <v>1</v>
      </c>
      <c r="M3340" s="5">
        <v>1</v>
      </c>
      <c r="N3340" t="s">
        <v>9</v>
      </c>
      <c r="O3340" s="8">
        <v>22.482191780821918</v>
      </c>
      <c r="P3340" t="s">
        <v>33</v>
      </c>
      <c r="Q3340">
        <v>2</v>
      </c>
      <c r="R3340" s="2">
        <v>37923</v>
      </c>
    </row>
    <row r="3341" spans="1:18" x14ac:dyDescent="0.3">
      <c r="A3341" t="s">
        <v>7</v>
      </c>
      <c r="B3341">
        <v>19018153</v>
      </c>
      <c r="C3341" t="s">
        <v>8</v>
      </c>
      <c r="D3341" s="4">
        <v>46129</v>
      </c>
      <c r="E3341" s="11">
        <f t="shared" si="208"/>
        <v>2026</v>
      </c>
      <c r="F3341" s="11">
        <f t="shared" si="209"/>
        <v>4</v>
      </c>
      <c r="G3341" s="11" t="str">
        <f t="shared" si="210"/>
        <v>202604</v>
      </c>
      <c r="H3341" s="4">
        <v>46167</v>
      </c>
      <c r="I3341" s="5">
        <v>38</v>
      </c>
      <c r="J3341" s="5">
        <v>1.2666666666666666</v>
      </c>
      <c r="K3341" s="5">
        <f t="shared" si="211"/>
        <v>0</v>
      </c>
      <c r="L3341" s="5">
        <v>1</v>
      </c>
      <c r="M3341" s="5">
        <v>1</v>
      </c>
      <c r="N3341" t="s">
        <v>9</v>
      </c>
      <c r="O3341" s="8">
        <v>19.306849315068494</v>
      </c>
      <c r="P3341" t="s">
        <v>32</v>
      </c>
      <c r="Q3341">
        <v>1</v>
      </c>
      <c r="R3341" s="2">
        <v>39082</v>
      </c>
    </row>
    <row r="3342" spans="1:18" x14ac:dyDescent="0.3">
      <c r="A3342" t="s">
        <v>7</v>
      </c>
      <c r="B3342">
        <v>19018317</v>
      </c>
      <c r="C3342" t="s">
        <v>10</v>
      </c>
      <c r="D3342" s="4">
        <v>46129</v>
      </c>
      <c r="E3342" s="11">
        <f t="shared" si="208"/>
        <v>2026</v>
      </c>
      <c r="F3342" s="11">
        <f t="shared" si="209"/>
        <v>4</v>
      </c>
      <c r="G3342" s="11" t="str">
        <f t="shared" si="210"/>
        <v>202604</v>
      </c>
      <c r="I3342" s="5">
        <v>9999</v>
      </c>
      <c r="J3342" s="5">
        <v>333.3</v>
      </c>
      <c r="K3342" s="5">
        <f t="shared" si="211"/>
        <v>0</v>
      </c>
      <c r="L3342" s="5">
        <v>0</v>
      </c>
      <c r="M3342" s="5">
        <v>0</v>
      </c>
      <c r="N3342" t="s">
        <v>9</v>
      </c>
      <c r="O3342" s="8">
        <v>18.435616438356163</v>
      </c>
      <c r="P3342" t="s">
        <v>32</v>
      </c>
      <c r="Q3342">
        <v>1</v>
      </c>
      <c r="R3342" s="2">
        <v>39400</v>
      </c>
    </row>
    <row r="3343" spans="1:18" x14ac:dyDescent="0.3">
      <c r="A3343" t="s">
        <v>7</v>
      </c>
      <c r="B3343">
        <v>19018318</v>
      </c>
      <c r="C3343" t="s">
        <v>8</v>
      </c>
      <c r="D3343" s="4">
        <v>46129</v>
      </c>
      <c r="E3343" s="11">
        <f t="shared" si="208"/>
        <v>2026</v>
      </c>
      <c r="F3343" s="11">
        <f t="shared" si="209"/>
        <v>4</v>
      </c>
      <c r="G3343" s="11" t="str">
        <f t="shared" si="210"/>
        <v>202604</v>
      </c>
      <c r="I3343" s="5">
        <v>9999</v>
      </c>
      <c r="J3343" s="5">
        <v>333.3</v>
      </c>
      <c r="K3343" s="5">
        <f t="shared" si="211"/>
        <v>0</v>
      </c>
      <c r="L3343" s="5">
        <v>0</v>
      </c>
      <c r="M3343" s="5">
        <v>0</v>
      </c>
      <c r="N3343" t="s">
        <v>9</v>
      </c>
      <c r="O3343" s="8">
        <v>19.824657534246576</v>
      </c>
      <c r="P3343" t="s">
        <v>32</v>
      </c>
      <c r="Q3343">
        <v>1</v>
      </c>
      <c r="R3343" s="2">
        <v>38893</v>
      </c>
    </row>
    <row r="3344" spans="1:18" x14ac:dyDescent="0.3">
      <c r="A3344" t="s">
        <v>7</v>
      </c>
      <c r="B3344">
        <v>19018864</v>
      </c>
      <c r="C3344" t="s">
        <v>10</v>
      </c>
      <c r="D3344" s="4">
        <v>46132</v>
      </c>
      <c r="E3344" s="11">
        <f t="shared" si="208"/>
        <v>2026</v>
      </c>
      <c r="F3344" s="11">
        <f t="shared" si="209"/>
        <v>4</v>
      </c>
      <c r="G3344" s="11" t="str">
        <f t="shared" si="210"/>
        <v>202604</v>
      </c>
      <c r="I3344" s="5">
        <v>9999</v>
      </c>
      <c r="J3344" s="5">
        <v>333.3</v>
      </c>
      <c r="K3344" s="5">
        <f t="shared" si="211"/>
        <v>0</v>
      </c>
      <c r="L3344" s="5">
        <v>0</v>
      </c>
      <c r="M3344" s="5">
        <v>0</v>
      </c>
      <c r="N3344" t="s">
        <v>9</v>
      </c>
      <c r="O3344" s="8">
        <v>30.263013698630136</v>
      </c>
      <c r="P3344" t="s">
        <v>34</v>
      </c>
      <c r="Q3344">
        <v>3</v>
      </c>
      <c r="R3344" s="2">
        <v>35086</v>
      </c>
    </row>
    <row r="3345" spans="1:18" x14ac:dyDescent="0.3">
      <c r="A3345" t="s">
        <v>7</v>
      </c>
      <c r="B3345">
        <v>19018865</v>
      </c>
      <c r="C3345" t="s">
        <v>8</v>
      </c>
      <c r="D3345" s="4">
        <v>46132</v>
      </c>
      <c r="E3345" s="11">
        <f t="shared" si="208"/>
        <v>2026</v>
      </c>
      <c r="F3345" s="11">
        <f t="shared" si="209"/>
        <v>4</v>
      </c>
      <c r="G3345" s="11" t="str">
        <f t="shared" si="210"/>
        <v>202604</v>
      </c>
      <c r="I3345" s="5">
        <v>9999</v>
      </c>
      <c r="J3345" s="5">
        <v>333.3</v>
      </c>
      <c r="K3345" s="5">
        <f t="shared" si="211"/>
        <v>0</v>
      </c>
      <c r="L3345" s="5">
        <v>0</v>
      </c>
      <c r="M3345" s="5">
        <v>0</v>
      </c>
      <c r="N3345" t="s">
        <v>9</v>
      </c>
      <c r="O3345" s="8">
        <v>23.923287671232877</v>
      </c>
      <c r="P3345" t="s">
        <v>33</v>
      </c>
      <c r="Q3345">
        <v>2</v>
      </c>
      <c r="R3345" s="2">
        <v>37400</v>
      </c>
    </row>
    <row r="3346" spans="1:18" x14ac:dyDescent="0.3">
      <c r="A3346" t="s">
        <v>7</v>
      </c>
      <c r="B3346">
        <v>19018868</v>
      </c>
      <c r="C3346" t="s">
        <v>8</v>
      </c>
      <c r="D3346" s="4">
        <v>46132</v>
      </c>
      <c r="E3346" s="11">
        <f t="shared" si="208"/>
        <v>2026</v>
      </c>
      <c r="F3346" s="11">
        <f t="shared" si="209"/>
        <v>4</v>
      </c>
      <c r="G3346" s="11" t="str">
        <f t="shared" si="210"/>
        <v>202604</v>
      </c>
      <c r="I3346" s="5">
        <v>9999</v>
      </c>
      <c r="J3346" s="5">
        <v>333.3</v>
      </c>
      <c r="K3346" s="5">
        <f t="shared" si="211"/>
        <v>0</v>
      </c>
      <c r="L3346" s="5">
        <v>0</v>
      </c>
      <c r="M3346" s="5">
        <v>0</v>
      </c>
      <c r="N3346" t="s">
        <v>9</v>
      </c>
      <c r="O3346" s="8">
        <v>19.695890410958903</v>
      </c>
      <c r="P3346" t="s">
        <v>32</v>
      </c>
      <c r="Q3346">
        <v>1</v>
      </c>
      <c r="R3346" s="2">
        <v>38943</v>
      </c>
    </row>
    <row r="3347" spans="1:18" x14ac:dyDescent="0.3">
      <c r="A3347" t="s">
        <v>7</v>
      </c>
      <c r="B3347">
        <v>19018869</v>
      </c>
      <c r="C3347" t="s">
        <v>8</v>
      </c>
      <c r="D3347" s="4">
        <v>46132</v>
      </c>
      <c r="E3347" s="11">
        <f t="shared" si="208"/>
        <v>2026</v>
      </c>
      <c r="F3347" s="11">
        <f t="shared" si="209"/>
        <v>4</v>
      </c>
      <c r="G3347" s="11" t="str">
        <f t="shared" si="210"/>
        <v>202604</v>
      </c>
      <c r="I3347" s="5">
        <v>9999</v>
      </c>
      <c r="J3347" s="5">
        <v>333.3</v>
      </c>
      <c r="K3347" s="5">
        <f t="shared" si="211"/>
        <v>0</v>
      </c>
      <c r="L3347" s="5">
        <v>0</v>
      </c>
      <c r="M3347" s="5">
        <v>0</v>
      </c>
      <c r="N3347" t="s">
        <v>9</v>
      </c>
      <c r="O3347" s="8">
        <v>19.550684931506851</v>
      </c>
      <c r="P3347" t="s">
        <v>32</v>
      </c>
      <c r="Q3347">
        <v>1</v>
      </c>
      <c r="R3347" s="2">
        <v>38996</v>
      </c>
    </row>
    <row r="3348" spans="1:18" x14ac:dyDescent="0.3">
      <c r="A3348" t="s">
        <v>7</v>
      </c>
      <c r="B3348">
        <v>19018871</v>
      </c>
      <c r="C3348" t="s">
        <v>10</v>
      </c>
      <c r="D3348" s="4">
        <v>46132</v>
      </c>
      <c r="E3348" s="11">
        <f t="shared" si="208"/>
        <v>2026</v>
      </c>
      <c r="F3348" s="11">
        <f t="shared" si="209"/>
        <v>4</v>
      </c>
      <c r="G3348" s="11" t="str">
        <f t="shared" si="210"/>
        <v>202604</v>
      </c>
      <c r="I3348" s="5">
        <v>9999</v>
      </c>
      <c r="J3348" s="5">
        <v>333.3</v>
      </c>
      <c r="K3348" s="5">
        <f t="shared" si="211"/>
        <v>0</v>
      </c>
      <c r="L3348" s="5">
        <v>0</v>
      </c>
      <c r="M3348" s="5">
        <v>0</v>
      </c>
      <c r="N3348" t="s">
        <v>9</v>
      </c>
      <c r="O3348" s="8">
        <v>22.43013698630137</v>
      </c>
      <c r="P3348" t="s">
        <v>33</v>
      </c>
      <c r="Q3348">
        <v>2</v>
      </c>
      <c r="R3348" s="2">
        <v>37945</v>
      </c>
    </row>
    <row r="3349" spans="1:18" x14ac:dyDescent="0.3">
      <c r="A3349" t="s">
        <v>7</v>
      </c>
      <c r="B3349">
        <v>19018874</v>
      </c>
      <c r="C3349" t="s">
        <v>8</v>
      </c>
      <c r="D3349" s="4">
        <v>46132</v>
      </c>
      <c r="E3349" s="11">
        <f t="shared" si="208"/>
        <v>2026</v>
      </c>
      <c r="F3349" s="11">
        <f t="shared" si="209"/>
        <v>4</v>
      </c>
      <c r="G3349" s="11" t="str">
        <f t="shared" si="210"/>
        <v>202604</v>
      </c>
      <c r="I3349" s="5">
        <v>9999</v>
      </c>
      <c r="J3349" s="5">
        <v>333.3</v>
      </c>
      <c r="K3349" s="5">
        <f t="shared" si="211"/>
        <v>0</v>
      </c>
      <c r="L3349" s="5">
        <v>0</v>
      </c>
      <c r="M3349" s="5">
        <v>0</v>
      </c>
      <c r="N3349" t="s">
        <v>9</v>
      </c>
      <c r="O3349" s="8">
        <v>21.035616438356165</v>
      </c>
      <c r="P3349" t="s">
        <v>33</v>
      </c>
      <c r="Q3349">
        <v>2</v>
      </c>
      <c r="R3349" s="2">
        <v>38454</v>
      </c>
    </row>
    <row r="3350" spans="1:18" x14ac:dyDescent="0.3">
      <c r="A3350" t="s">
        <v>11</v>
      </c>
      <c r="B3350">
        <v>19018881</v>
      </c>
      <c r="C3350" t="s">
        <v>10</v>
      </c>
      <c r="D3350" s="4">
        <v>46132</v>
      </c>
      <c r="E3350" s="11">
        <f t="shared" si="208"/>
        <v>2026</v>
      </c>
      <c r="F3350" s="11">
        <f t="shared" si="209"/>
        <v>4</v>
      </c>
      <c r="G3350" s="11" t="str">
        <f t="shared" si="210"/>
        <v>202604</v>
      </c>
      <c r="H3350" s="4">
        <v>46154</v>
      </c>
      <c r="I3350" s="5">
        <v>22</v>
      </c>
      <c r="J3350" s="5">
        <v>0.73333333333333328</v>
      </c>
      <c r="K3350" s="5">
        <f t="shared" si="211"/>
        <v>1</v>
      </c>
      <c r="L3350" s="5">
        <v>1</v>
      </c>
      <c r="M3350" s="5">
        <v>1</v>
      </c>
      <c r="N3350" t="s">
        <v>9</v>
      </c>
      <c r="O3350" s="8">
        <v>24.616438356164384</v>
      </c>
      <c r="P3350" t="s">
        <v>33</v>
      </c>
      <c r="Q3350">
        <v>2</v>
      </c>
      <c r="R3350" s="2">
        <v>37147</v>
      </c>
    </row>
    <row r="3351" spans="1:18" x14ac:dyDescent="0.3">
      <c r="A3351" t="s">
        <v>7</v>
      </c>
      <c r="B3351">
        <v>19018888</v>
      </c>
      <c r="C3351" t="s">
        <v>8</v>
      </c>
      <c r="D3351" s="4">
        <v>46132</v>
      </c>
      <c r="E3351" s="11">
        <f t="shared" si="208"/>
        <v>2026</v>
      </c>
      <c r="F3351" s="11">
        <f t="shared" si="209"/>
        <v>4</v>
      </c>
      <c r="G3351" s="11" t="str">
        <f t="shared" si="210"/>
        <v>202604</v>
      </c>
      <c r="I3351" s="5">
        <v>9999</v>
      </c>
      <c r="J3351" s="5">
        <v>333.3</v>
      </c>
      <c r="K3351" s="5">
        <f t="shared" si="211"/>
        <v>0</v>
      </c>
      <c r="L3351" s="5">
        <v>0</v>
      </c>
      <c r="M3351" s="5">
        <v>0</v>
      </c>
      <c r="N3351" t="s">
        <v>9</v>
      </c>
      <c r="O3351" s="8">
        <v>18.073972602739726</v>
      </c>
      <c r="P3351" t="s">
        <v>32</v>
      </c>
      <c r="Q3351">
        <v>1</v>
      </c>
      <c r="R3351" s="2">
        <v>39535</v>
      </c>
    </row>
    <row r="3352" spans="1:18" x14ac:dyDescent="0.3">
      <c r="A3352" t="s">
        <v>7</v>
      </c>
      <c r="B3352">
        <v>19018889</v>
      </c>
      <c r="C3352" t="s">
        <v>10</v>
      </c>
      <c r="D3352" s="4">
        <v>46132</v>
      </c>
      <c r="E3352" s="11">
        <f t="shared" si="208"/>
        <v>2026</v>
      </c>
      <c r="F3352" s="11">
        <f t="shared" si="209"/>
        <v>4</v>
      </c>
      <c r="G3352" s="11" t="str">
        <f t="shared" si="210"/>
        <v>202604</v>
      </c>
      <c r="I3352" s="5">
        <v>9999</v>
      </c>
      <c r="J3352" s="5">
        <v>333.3</v>
      </c>
      <c r="K3352" s="5">
        <f t="shared" si="211"/>
        <v>0</v>
      </c>
      <c r="L3352" s="5">
        <v>0</v>
      </c>
      <c r="M3352" s="5">
        <v>0</v>
      </c>
      <c r="N3352" t="s">
        <v>9</v>
      </c>
      <c r="O3352" s="8">
        <v>19.624657534246577</v>
      </c>
      <c r="P3352" t="s">
        <v>32</v>
      </c>
      <c r="Q3352">
        <v>1</v>
      </c>
      <c r="R3352" s="2">
        <v>38969</v>
      </c>
    </row>
    <row r="3353" spans="1:18" x14ac:dyDescent="0.3">
      <c r="A3353" t="s">
        <v>7</v>
      </c>
      <c r="B3353">
        <v>19018893</v>
      </c>
      <c r="C3353" t="s">
        <v>8</v>
      </c>
      <c r="D3353" s="4">
        <v>46132</v>
      </c>
      <c r="E3353" s="11">
        <f t="shared" si="208"/>
        <v>2026</v>
      </c>
      <c r="F3353" s="11">
        <f t="shared" si="209"/>
        <v>4</v>
      </c>
      <c r="G3353" s="11" t="str">
        <f t="shared" si="210"/>
        <v>202604</v>
      </c>
      <c r="I3353" s="5">
        <v>9999</v>
      </c>
      <c r="J3353" s="5">
        <v>333.3</v>
      </c>
      <c r="K3353" s="5">
        <f t="shared" si="211"/>
        <v>0</v>
      </c>
      <c r="L3353" s="5">
        <v>0</v>
      </c>
      <c r="M3353" s="5">
        <v>0</v>
      </c>
      <c r="N3353" t="s">
        <v>9</v>
      </c>
      <c r="O3353" s="8">
        <v>32.734246575342468</v>
      </c>
      <c r="P3353" t="s">
        <v>35</v>
      </c>
      <c r="Q3353">
        <v>4</v>
      </c>
      <c r="R3353" s="2">
        <v>34184</v>
      </c>
    </row>
    <row r="3354" spans="1:18" x14ac:dyDescent="0.3">
      <c r="A3354" t="s">
        <v>7</v>
      </c>
      <c r="B3354">
        <v>19018895</v>
      </c>
      <c r="C3354" t="s">
        <v>10</v>
      </c>
      <c r="D3354" s="4">
        <v>46132</v>
      </c>
      <c r="E3354" s="11">
        <f t="shared" si="208"/>
        <v>2026</v>
      </c>
      <c r="F3354" s="11">
        <f t="shared" si="209"/>
        <v>4</v>
      </c>
      <c r="G3354" s="11" t="str">
        <f t="shared" si="210"/>
        <v>202604</v>
      </c>
      <c r="I3354" s="5">
        <v>9999</v>
      </c>
      <c r="J3354" s="5">
        <v>333.3</v>
      </c>
      <c r="K3354" s="5">
        <f t="shared" si="211"/>
        <v>0</v>
      </c>
      <c r="L3354" s="5">
        <v>0</v>
      </c>
      <c r="M3354" s="5">
        <v>0</v>
      </c>
      <c r="N3354" t="s">
        <v>9</v>
      </c>
      <c r="O3354" s="8">
        <v>19.106849315068494</v>
      </c>
      <c r="P3354" t="s">
        <v>32</v>
      </c>
      <c r="Q3354">
        <v>1</v>
      </c>
      <c r="R3354" s="2">
        <v>39158</v>
      </c>
    </row>
    <row r="3355" spans="1:18" x14ac:dyDescent="0.3">
      <c r="A3355" t="s">
        <v>7</v>
      </c>
      <c r="B3355">
        <v>19018901</v>
      </c>
      <c r="C3355" t="s">
        <v>8</v>
      </c>
      <c r="D3355" s="4">
        <v>46132</v>
      </c>
      <c r="E3355" s="11">
        <f t="shared" si="208"/>
        <v>2026</v>
      </c>
      <c r="F3355" s="11">
        <f t="shared" si="209"/>
        <v>4</v>
      </c>
      <c r="G3355" s="11" t="str">
        <f t="shared" si="210"/>
        <v>202604</v>
      </c>
      <c r="I3355" s="5">
        <v>9999</v>
      </c>
      <c r="J3355" s="5">
        <v>333.3</v>
      </c>
      <c r="K3355" s="5">
        <f t="shared" si="211"/>
        <v>0</v>
      </c>
      <c r="L3355" s="5">
        <v>0</v>
      </c>
      <c r="M3355" s="5">
        <v>0</v>
      </c>
      <c r="N3355" t="s">
        <v>9</v>
      </c>
      <c r="O3355" s="8">
        <v>18.394520547945206</v>
      </c>
      <c r="P3355" t="s">
        <v>32</v>
      </c>
      <c r="Q3355">
        <v>1</v>
      </c>
      <c r="R3355" s="2">
        <v>39418</v>
      </c>
    </row>
    <row r="3356" spans="1:18" x14ac:dyDescent="0.3">
      <c r="A3356" t="s">
        <v>7</v>
      </c>
      <c r="B3356">
        <v>19018916</v>
      </c>
      <c r="C3356" t="s">
        <v>10</v>
      </c>
      <c r="D3356" s="4">
        <v>46132</v>
      </c>
      <c r="E3356" s="11">
        <f t="shared" si="208"/>
        <v>2026</v>
      </c>
      <c r="F3356" s="11">
        <f t="shared" si="209"/>
        <v>4</v>
      </c>
      <c r="G3356" s="11" t="str">
        <f t="shared" si="210"/>
        <v>202604</v>
      </c>
      <c r="I3356" s="5">
        <v>9999</v>
      </c>
      <c r="J3356" s="5">
        <v>333.3</v>
      </c>
      <c r="K3356" s="5">
        <f t="shared" si="211"/>
        <v>0</v>
      </c>
      <c r="L3356" s="5">
        <v>0</v>
      </c>
      <c r="M3356" s="5">
        <v>0</v>
      </c>
      <c r="N3356" t="s">
        <v>9</v>
      </c>
      <c r="O3356" s="8">
        <v>20.038356164383561</v>
      </c>
      <c r="P3356" t="s">
        <v>32</v>
      </c>
      <c r="Q3356">
        <v>1</v>
      </c>
      <c r="R3356" s="2">
        <v>38818</v>
      </c>
    </row>
    <row r="3357" spans="1:18" x14ac:dyDescent="0.3">
      <c r="A3357" t="s">
        <v>11</v>
      </c>
      <c r="B3357">
        <v>19018919</v>
      </c>
      <c r="C3357" t="s">
        <v>8</v>
      </c>
      <c r="D3357" s="4">
        <v>46132</v>
      </c>
      <c r="E3357" s="11">
        <f t="shared" si="208"/>
        <v>2026</v>
      </c>
      <c r="F3357" s="11">
        <f t="shared" si="209"/>
        <v>4</v>
      </c>
      <c r="G3357" s="11" t="str">
        <f t="shared" si="210"/>
        <v>202604</v>
      </c>
      <c r="I3357" s="5">
        <v>9999</v>
      </c>
      <c r="J3357" s="5">
        <v>333.3</v>
      </c>
      <c r="K3357" s="5">
        <f t="shared" si="211"/>
        <v>0</v>
      </c>
      <c r="L3357" s="5">
        <v>0</v>
      </c>
      <c r="M3357" s="5">
        <v>0</v>
      </c>
      <c r="N3357" t="s">
        <v>9</v>
      </c>
      <c r="O3357" s="8">
        <v>19.739726027397261</v>
      </c>
      <c r="P3357" t="s">
        <v>32</v>
      </c>
      <c r="Q3357">
        <v>1</v>
      </c>
      <c r="R3357" s="2">
        <v>38927</v>
      </c>
    </row>
    <row r="3358" spans="1:18" x14ac:dyDescent="0.3">
      <c r="A3358" t="s">
        <v>11</v>
      </c>
      <c r="B3358">
        <v>19018920</v>
      </c>
      <c r="C3358" t="s">
        <v>8</v>
      </c>
      <c r="D3358" s="4">
        <v>46132</v>
      </c>
      <c r="E3358" s="11">
        <f t="shared" si="208"/>
        <v>2026</v>
      </c>
      <c r="F3358" s="11">
        <f t="shared" si="209"/>
        <v>4</v>
      </c>
      <c r="G3358" s="11" t="str">
        <f t="shared" si="210"/>
        <v>202604</v>
      </c>
      <c r="I3358" s="5">
        <v>9999</v>
      </c>
      <c r="J3358" s="5">
        <v>333.3</v>
      </c>
      <c r="K3358" s="5">
        <f t="shared" si="211"/>
        <v>0</v>
      </c>
      <c r="L3358" s="5">
        <v>0</v>
      </c>
      <c r="M3358" s="5">
        <v>0</v>
      </c>
      <c r="N3358" t="s">
        <v>9</v>
      </c>
      <c r="O3358" s="8">
        <v>38.57260273972603</v>
      </c>
      <c r="P3358" t="s">
        <v>35</v>
      </c>
      <c r="Q3358">
        <v>4</v>
      </c>
      <c r="R3358" s="2">
        <v>32053</v>
      </c>
    </row>
    <row r="3359" spans="1:18" x14ac:dyDescent="0.3">
      <c r="A3359" t="s">
        <v>7</v>
      </c>
      <c r="B3359">
        <v>19018922</v>
      </c>
      <c r="C3359" t="s">
        <v>8</v>
      </c>
      <c r="D3359" s="4">
        <v>46132</v>
      </c>
      <c r="E3359" s="11">
        <f t="shared" si="208"/>
        <v>2026</v>
      </c>
      <c r="F3359" s="11">
        <f t="shared" si="209"/>
        <v>4</v>
      </c>
      <c r="G3359" s="11" t="str">
        <f t="shared" si="210"/>
        <v>202604</v>
      </c>
      <c r="I3359" s="5">
        <v>9999</v>
      </c>
      <c r="J3359" s="5">
        <v>333.3</v>
      </c>
      <c r="K3359" s="5">
        <f t="shared" si="211"/>
        <v>0</v>
      </c>
      <c r="L3359" s="5">
        <v>0</v>
      </c>
      <c r="M3359" s="5">
        <v>0</v>
      </c>
      <c r="N3359" t="s">
        <v>9</v>
      </c>
      <c r="O3359" s="8">
        <v>19.230136986301371</v>
      </c>
      <c r="P3359" t="s">
        <v>32</v>
      </c>
      <c r="Q3359">
        <v>1</v>
      </c>
      <c r="R3359" s="2">
        <v>39113</v>
      </c>
    </row>
    <row r="3360" spans="1:18" x14ac:dyDescent="0.3">
      <c r="A3360" t="s">
        <v>11</v>
      </c>
      <c r="B3360">
        <v>19018923</v>
      </c>
      <c r="C3360" t="s">
        <v>8</v>
      </c>
      <c r="D3360" s="4">
        <v>46132</v>
      </c>
      <c r="E3360" s="11">
        <f t="shared" si="208"/>
        <v>2026</v>
      </c>
      <c r="F3360" s="11">
        <f t="shared" si="209"/>
        <v>4</v>
      </c>
      <c r="G3360" s="11" t="str">
        <f t="shared" si="210"/>
        <v>202604</v>
      </c>
      <c r="I3360" s="5">
        <v>9999</v>
      </c>
      <c r="J3360" s="5">
        <v>333.3</v>
      </c>
      <c r="K3360" s="5">
        <f t="shared" si="211"/>
        <v>0</v>
      </c>
      <c r="L3360" s="5">
        <v>0</v>
      </c>
      <c r="M3360" s="5">
        <v>0</v>
      </c>
      <c r="N3360" t="s">
        <v>9</v>
      </c>
      <c r="O3360" s="8">
        <v>51.884931506849313</v>
      </c>
      <c r="P3360" t="s">
        <v>35</v>
      </c>
      <c r="Q3360">
        <v>4</v>
      </c>
      <c r="R3360" s="2">
        <v>27194</v>
      </c>
    </row>
    <row r="3361" spans="1:18" x14ac:dyDescent="0.3">
      <c r="A3361" t="s">
        <v>11</v>
      </c>
      <c r="B3361">
        <v>19018924</v>
      </c>
      <c r="C3361" t="s">
        <v>8</v>
      </c>
      <c r="D3361" s="4">
        <v>46132</v>
      </c>
      <c r="E3361" s="11">
        <f t="shared" si="208"/>
        <v>2026</v>
      </c>
      <c r="F3361" s="11">
        <f t="shared" si="209"/>
        <v>4</v>
      </c>
      <c r="G3361" s="11" t="str">
        <f t="shared" si="210"/>
        <v>202604</v>
      </c>
      <c r="I3361" s="5">
        <v>9999</v>
      </c>
      <c r="J3361" s="5">
        <v>333.3</v>
      </c>
      <c r="K3361" s="5">
        <f t="shared" si="211"/>
        <v>0</v>
      </c>
      <c r="L3361" s="5">
        <v>0</v>
      </c>
      <c r="M3361" s="5">
        <v>0</v>
      </c>
      <c r="N3361" t="s">
        <v>9</v>
      </c>
      <c r="O3361" s="8">
        <v>23.463013698630139</v>
      </c>
      <c r="P3361" t="s">
        <v>33</v>
      </c>
      <c r="Q3361">
        <v>2</v>
      </c>
      <c r="R3361" s="2">
        <v>37568</v>
      </c>
    </row>
    <row r="3362" spans="1:18" x14ac:dyDescent="0.3">
      <c r="A3362" t="s">
        <v>7</v>
      </c>
      <c r="B3362">
        <v>19018929</v>
      </c>
      <c r="C3362" t="s">
        <v>8</v>
      </c>
      <c r="D3362" s="4">
        <v>46132</v>
      </c>
      <c r="E3362" s="11">
        <f t="shared" si="208"/>
        <v>2026</v>
      </c>
      <c r="F3362" s="11">
        <f t="shared" si="209"/>
        <v>4</v>
      </c>
      <c r="G3362" s="11" t="str">
        <f t="shared" si="210"/>
        <v>202604</v>
      </c>
      <c r="I3362" s="5">
        <v>9999</v>
      </c>
      <c r="J3362" s="5">
        <v>333.3</v>
      </c>
      <c r="K3362" s="5">
        <f t="shared" si="211"/>
        <v>0</v>
      </c>
      <c r="L3362" s="5">
        <v>0</v>
      </c>
      <c r="M3362" s="5">
        <v>0</v>
      </c>
      <c r="N3362" t="s">
        <v>9</v>
      </c>
      <c r="O3362" s="8">
        <v>19.753424657534246</v>
      </c>
      <c r="P3362" t="s">
        <v>32</v>
      </c>
      <c r="Q3362">
        <v>1</v>
      </c>
      <c r="R3362" s="2">
        <v>38922</v>
      </c>
    </row>
    <row r="3363" spans="1:18" x14ac:dyDescent="0.3">
      <c r="A3363" t="s">
        <v>7</v>
      </c>
      <c r="B3363">
        <v>19019007</v>
      </c>
      <c r="C3363" t="s">
        <v>8</v>
      </c>
      <c r="D3363" s="4">
        <v>46132</v>
      </c>
      <c r="E3363" s="11">
        <f t="shared" si="208"/>
        <v>2026</v>
      </c>
      <c r="F3363" s="11">
        <f t="shared" si="209"/>
        <v>4</v>
      </c>
      <c r="G3363" s="11" t="str">
        <f t="shared" si="210"/>
        <v>202604</v>
      </c>
      <c r="I3363" s="5">
        <v>9999</v>
      </c>
      <c r="J3363" s="5">
        <v>333.3</v>
      </c>
      <c r="K3363" s="5">
        <f t="shared" si="211"/>
        <v>0</v>
      </c>
      <c r="L3363" s="5">
        <v>0</v>
      </c>
      <c r="M3363" s="5">
        <v>0</v>
      </c>
      <c r="N3363" t="s">
        <v>9</v>
      </c>
      <c r="O3363" s="8">
        <v>19.545205479452054</v>
      </c>
      <c r="P3363" t="s">
        <v>32</v>
      </c>
      <c r="Q3363">
        <v>1</v>
      </c>
      <c r="R3363" s="2">
        <v>38998</v>
      </c>
    </row>
    <row r="3364" spans="1:18" x14ac:dyDescent="0.3">
      <c r="A3364" t="s">
        <v>7</v>
      </c>
      <c r="B3364">
        <v>19019137</v>
      </c>
      <c r="C3364" t="s">
        <v>8</v>
      </c>
      <c r="D3364" s="4">
        <v>46133</v>
      </c>
      <c r="E3364" s="11">
        <f t="shared" si="208"/>
        <v>2026</v>
      </c>
      <c r="F3364" s="11">
        <f t="shared" si="209"/>
        <v>4</v>
      </c>
      <c r="G3364" s="11" t="str">
        <f t="shared" si="210"/>
        <v>202604</v>
      </c>
      <c r="I3364" s="5">
        <v>9999</v>
      </c>
      <c r="J3364" s="5">
        <v>333.3</v>
      </c>
      <c r="K3364" s="5">
        <f t="shared" si="211"/>
        <v>0</v>
      </c>
      <c r="L3364" s="5">
        <v>0</v>
      </c>
      <c r="M3364" s="5">
        <v>0</v>
      </c>
      <c r="N3364" t="s">
        <v>9</v>
      </c>
      <c r="O3364" s="8">
        <v>21.104109589041094</v>
      </c>
      <c r="P3364" t="s">
        <v>33</v>
      </c>
      <c r="Q3364">
        <v>2</v>
      </c>
      <c r="R3364" s="2">
        <v>38430</v>
      </c>
    </row>
    <row r="3365" spans="1:18" x14ac:dyDescent="0.3">
      <c r="A3365" t="s">
        <v>11</v>
      </c>
      <c r="B3365">
        <v>19019140</v>
      </c>
      <c r="C3365" t="s">
        <v>8</v>
      </c>
      <c r="D3365" s="4">
        <v>46133</v>
      </c>
      <c r="E3365" s="11">
        <f t="shared" si="208"/>
        <v>2026</v>
      </c>
      <c r="F3365" s="11">
        <f t="shared" si="209"/>
        <v>4</v>
      </c>
      <c r="G3365" s="11" t="str">
        <f t="shared" si="210"/>
        <v>202604</v>
      </c>
      <c r="I3365" s="5">
        <v>9999</v>
      </c>
      <c r="J3365" s="5">
        <v>333.3</v>
      </c>
      <c r="K3365" s="5">
        <f t="shared" si="211"/>
        <v>0</v>
      </c>
      <c r="L3365" s="5">
        <v>0</v>
      </c>
      <c r="M3365" s="5">
        <v>0</v>
      </c>
      <c r="N3365" t="s">
        <v>9</v>
      </c>
      <c r="O3365" s="8">
        <v>23.591780821917808</v>
      </c>
      <c r="P3365" t="s">
        <v>33</v>
      </c>
      <c r="Q3365">
        <v>2</v>
      </c>
      <c r="R3365" s="2">
        <v>37522</v>
      </c>
    </row>
    <row r="3366" spans="1:18" x14ac:dyDescent="0.3">
      <c r="A3366" t="s">
        <v>7</v>
      </c>
      <c r="B3366">
        <v>19019144</v>
      </c>
      <c r="C3366" t="s">
        <v>8</v>
      </c>
      <c r="D3366" s="4">
        <v>46133</v>
      </c>
      <c r="E3366" s="11">
        <f t="shared" si="208"/>
        <v>2026</v>
      </c>
      <c r="F3366" s="11">
        <f t="shared" si="209"/>
        <v>4</v>
      </c>
      <c r="G3366" s="11" t="str">
        <f t="shared" si="210"/>
        <v>202604</v>
      </c>
      <c r="I3366" s="5">
        <v>9999</v>
      </c>
      <c r="J3366" s="5">
        <v>333.3</v>
      </c>
      <c r="K3366" s="5">
        <f t="shared" si="211"/>
        <v>0</v>
      </c>
      <c r="L3366" s="5">
        <v>0</v>
      </c>
      <c r="M3366" s="5">
        <v>0</v>
      </c>
      <c r="N3366" t="s">
        <v>12</v>
      </c>
      <c r="O3366" s="8">
        <v>21.802739726027397</v>
      </c>
      <c r="P3366" t="s">
        <v>33</v>
      </c>
      <c r="Q3366">
        <v>2</v>
      </c>
      <c r="R3366" s="2">
        <v>38175</v>
      </c>
    </row>
    <row r="3367" spans="1:18" x14ac:dyDescent="0.3">
      <c r="A3367" t="s">
        <v>7</v>
      </c>
      <c r="B3367">
        <v>19019175</v>
      </c>
      <c r="C3367" t="s">
        <v>8</v>
      </c>
      <c r="D3367" s="4">
        <v>46133</v>
      </c>
      <c r="E3367" s="11">
        <f t="shared" si="208"/>
        <v>2026</v>
      </c>
      <c r="F3367" s="11">
        <f t="shared" si="209"/>
        <v>4</v>
      </c>
      <c r="G3367" s="11" t="str">
        <f t="shared" si="210"/>
        <v>202604</v>
      </c>
      <c r="I3367" s="5">
        <v>9999</v>
      </c>
      <c r="J3367" s="5">
        <v>333.3</v>
      </c>
      <c r="K3367" s="5">
        <f t="shared" si="211"/>
        <v>0</v>
      </c>
      <c r="L3367" s="5">
        <v>0</v>
      </c>
      <c r="M3367" s="5">
        <v>0</v>
      </c>
      <c r="N3367" t="s">
        <v>12</v>
      </c>
      <c r="O3367" s="8">
        <v>18.975342465753425</v>
      </c>
      <c r="P3367" t="s">
        <v>32</v>
      </c>
      <c r="Q3367">
        <v>1</v>
      </c>
      <c r="R3367" s="2">
        <v>39207</v>
      </c>
    </row>
    <row r="3368" spans="1:18" x14ac:dyDescent="0.3">
      <c r="A3368" t="s">
        <v>7</v>
      </c>
      <c r="B3368">
        <v>19019200</v>
      </c>
      <c r="C3368" t="s">
        <v>8</v>
      </c>
      <c r="D3368" s="4">
        <v>46133</v>
      </c>
      <c r="E3368" s="11">
        <f t="shared" si="208"/>
        <v>2026</v>
      </c>
      <c r="F3368" s="11">
        <f t="shared" si="209"/>
        <v>4</v>
      </c>
      <c r="G3368" s="11" t="str">
        <f t="shared" si="210"/>
        <v>202604</v>
      </c>
      <c r="I3368" s="5">
        <v>9999</v>
      </c>
      <c r="J3368" s="5">
        <v>333.3</v>
      </c>
      <c r="K3368" s="5">
        <f t="shared" si="211"/>
        <v>0</v>
      </c>
      <c r="L3368" s="5">
        <v>0</v>
      </c>
      <c r="M3368" s="5">
        <v>0</v>
      </c>
      <c r="N3368" t="s">
        <v>9</v>
      </c>
      <c r="O3368" s="8">
        <v>37.238356164383561</v>
      </c>
      <c r="P3368" t="s">
        <v>35</v>
      </c>
      <c r="Q3368">
        <v>4</v>
      </c>
      <c r="R3368" s="2">
        <v>32541</v>
      </c>
    </row>
    <row r="3369" spans="1:18" x14ac:dyDescent="0.3">
      <c r="A3369" t="s">
        <v>7</v>
      </c>
      <c r="B3369">
        <v>19019306</v>
      </c>
      <c r="C3369" t="s">
        <v>10</v>
      </c>
      <c r="D3369" s="4">
        <v>46133</v>
      </c>
      <c r="E3369" s="11">
        <f t="shared" si="208"/>
        <v>2026</v>
      </c>
      <c r="F3369" s="11">
        <f t="shared" si="209"/>
        <v>4</v>
      </c>
      <c r="G3369" s="11" t="str">
        <f t="shared" si="210"/>
        <v>202604</v>
      </c>
      <c r="I3369" s="5">
        <v>9999</v>
      </c>
      <c r="J3369" s="5">
        <v>333.3</v>
      </c>
      <c r="K3369" s="5">
        <f t="shared" si="211"/>
        <v>0</v>
      </c>
      <c r="L3369" s="5">
        <v>0</v>
      </c>
      <c r="M3369" s="5">
        <v>0</v>
      </c>
      <c r="N3369" t="s">
        <v>12</v>
      </c>
      <c r="O3369" s="8">
        <v>24.857534246575341</v>
      </c>
      <c r="P3369" t="s">
        <v>33</v>
      </c>
      <c r="Q3369">
        <v>2</v>
      </c>
      <c r="R3369" s="2">
        <v>37060</v>
      </c>
    </row>
    <row r="3370" spans="1:18" x14ac:dyDescent="0.3">
      <c r="A3370" t="s">
        <v>7</v>
      </c>
      <c r="B3370">
        <v>19019407</v>
      </c>
      <c r="C3370" t="s">
        <v>8</v>
      </c>
      <c r="D3370" s="4">
        <v>46134</v>
      </c>
      <c r="E3370" s="11">
        <f t="shared" si="208"/>
        <v>2026</v>
      </c>
      <c r="F3370" s="11">
        <f t="shared" si="209"/>
        <v>4</v>
      </c>
      <c r="G3370" s="11" t="str">
        <f t="shared" si="210"/>
        <v>202604</v>
      </c>
      <c r="I3370" s="5">
        <v>9999</v>
      </c>
      <c r="J3370" s="5">
        <v>333.3</v>
      </c>
      <c r="K3370" s="5">
        <f t="shared" si="211"/>
        <v>0</v>
      </c>
      <c r="L3370" s="5">
        <v>0</v>
      </c>
      <c r="M3370" s="5">
        <v>0</v>
      </c>
      <c r="N3370" t="s">
        <v>12</v>
      </c>
      <c r="O3370" s="8">
        <v>23.772602739726029</v>
      </c>
      <c r="P3370" t="s">
        <v>33</v>
      </c>
      <c r="Q3370">
        <v>2</v>
      </c>
      <c r="R3370" s="2">
        <v>37457</v>
      </c>
    </row>
    <row r="3371" spans="1:18" x14ac:dyDescent="0.3">
      <c r="A3371" t="s">
        <v>7</v>
      </c>
      <c r="B3371">
        <v>19019482</v>
      </c>
      <c r="C3371" t="s">
        <v>10</v>
      </c>
      <c r="D3371" s="4">
        <v>46134</v>
      </c>
      <c r="E3371" s="11">
        <f t="shared" si="208"/>
        <v>2026</v>
      </c>
      <c r="F3371" s="11">
        <f t="shared" si="209"/>
        <v>4</v>
      </c>
      <c r="G3371" s="11" t="str">
        <f t="shared" si="210"/>
        <v>202604</v>
      </c>
      <c r="I3371" s="5">
        <v>9999</v>
      </c>
      <c r="J3371" s="5">
        <v>333.3</v>
      </c>
      <c r="K3371" s="5">
        <f t="shared" si="211"/>
        <v>0</v>
      </c>
      <c r="L3371" s="5">
        <v>0</v>
      </c>
      <c r="M3371" s="5">
        <v>0</v>
      </c>
      <c r="N3371" t="s">
        <v>12</v>
      </c>
      <c r="O3371" s="8">
        <v>19.24931506849315</v>
      </c>
      <c r="P3371" t="s">
        <v>32</v>
      </c>
      <c r="Q3371">
        <v>1</v>
      </c>
      <c r="R3371" s="2">
        <v>39108</v>
      </c>
    </row>
    <row r="3372" spans="1:18" x14ac:dyDescent="0.3">
      <c r="A3372" t="s">
        <v>7</v>
      </c>
      <c r="B3372">
        <v>19019483</v>
      </c>
      <c r="C3372" t="s">
        <v>8</v>
      </c>
      <c r="D3372" s="4">
        <v>46134</v>
      </c>
      <c r="E3372" s="11">
        <f t="shared" si="208"/>
        <v>2026</v>
      </c>
      <c r="F3372" s="11">
        <f t="shared" si="209"/>
        <v>4</v>
      </c>
      <c r="G3372" s="11" t="str">
        <f t="shared" si="210"/>
        <v>202604</v>
      </c>
      <c r="I3372" s="5">
        <v>9999</v>
      </c>
      <c r="J3372" s="5">
        <v>333.3</v>
      </c>
      <c r="K3372" s="5">
        <f t="shared" si="211"/>
        <v>0</v>
      </c>
      <c r="L3372" s="5">
        <v>0</v>
      </c>
      <c r="M3372" s="5">
        <v>0</v>
      </c>
      <c r="N3372" t="s">
        <v>9</v>
      </c>
      <c r="O3372" s="8">
        <v>20.408219178082192</v>
      </c>
      <c r="P3372" t="s">
        <v>32</v>
      </c>
      <c r="Q3372">
        <v>1</v>
      </c>
      <c r="R3372" s="2">
        <v>38685</v>
      </c>
    </row>
    <row r="3373" spans="1:18" x14ac:dyDescent="0.3">
      <c r="A3373" t="s">
        <v>7</v>
      </c>
      <c r="B3373">
        <v>19019491</v>
      </c>
      <c r="C3373" t="s">
        <v>8</v>
      </c>
      <c r="D3373" s="4">
        <v>46133</v>
      </c>
      <c r="E3373" s="11">
        <f t="shared" si="208"/>
        <v>2026</v>
      </c>
      <c r="F3373" s="11">
        <f t="shared" si="209"/>
        <v>4</v>
      </c>
      <c r="G3373" s="11" t="str">
        <f t="shared" si="210"/>
        <v>202604</v>
      </c>
      <c r="I3373" s="5">
        <v>9999</v>
      </c>
      <c r="J3373" s="5">
        <v>333.3</v>
      </c>
      <c r="K3373" s="5">
        <f t="shared" si="211"/>
        <v>0</v>
      </c>
      <c r="L3373" s="5">
        <v>0</v>
      </c>
      <c r="M3373" s="5">
        <v>0</v>
      </c>
      <c r="N3373" t="s">
        <v>12</v>
      </c>
      <c r="O3373" s="8">
        <v>26.260273972602739</v>
      </c>
      <c r="P3373" t="s">
        <v>34</v>
      </c>
      <c r="Q3373">
        <v>3</v>
      </c>
      <c r="R3373" s="2">
        <v>36548</v>
      </c>
    </row>
    <row r="3374" spans="1:18" x14ac:dyDescent="0.3">
      <c r="A3374" t="s">
        <v>7</v>
      </c>
      <c r="B3374">
        <v>19019504</v>
      </c>
      <c r="C3374" t="s">
        <v>8</v>
      </c>
      <c r="D3374" s="4">
        <v>46134</v>
      </c>
      <c r="E3374" s="11">
        <f t="shared" si="208"/>
        <v>2026</v>
      </c>
      <c r="F3374" s="11">
        <f t="shared" si="209"/>
        <v>4</v>
      </c>
      <c r="G3374" s="11" t="str">
        <f t="shared" si="210"/>
        <v>202604</v>
      </c>
      <c r="I3374" s="5">
        <v>9999</v>
      </c>
      <c r="J3374" s="5">
        <v>333.3</v>
      </c>
      <c r="K3374" s="5">
        <f t="shared" si="211"/>
        <v>0</v>
      </c>
      <c r="L3374" s="5">
        <v>0</v>
      </c>
      <c r="M3374" s="5">
        <v>0</v>
      </c>
      <c r="N3374" t="s">
        <v>12</v>
      </c>
      <c r="O3374" s="8">
        <v>24.673972602739727</v>
      </c>
      <c r="P3374" t="s">
        <v>33</v>
      </c>
      <c r="Q3374">
        <v>2</v>
      </c>
      <c r="R3374" s="2">
        <v>37128</v>
      </c>
    </row>
    <row r="3375" spans="1:18" x14ac:dyDescent="0.3">
      <c r="A3375" t="s">
        <v>7</v>
      </c>
      <c r="B3375">
        <v>19019509</v>
      </c>
      <c r="C3375" t="s">
        <v>8</v>
      </c>
      <c r="D3375" s="4">
        <v>46134</v>
      </c>
      <c r="E3375" s="11">
        <f t="shared" si="208"/>
        <v>2026</v>
      </c>
      <c r="F3375" s="11">
        <f t="shared" si="209"/>
        <v>4</v>
      </c>
      <c r="G3375" s="11" t="str">
        <f t="shared" si="210"/>
        <v>202604</v>
      </c>
      <c r="I3375" s="5">
        <v>9999</v>
      </c>
      <c r="J3375" s="5">
        <v>333.3</v>
      </c>
      <c r="K3375" s="5">
        <f t="shared" si="211"/>
        <v>0</v>
      </c>
      <c r="L3375" s="5">
        <v>0</v>
      </c>
      <c r="M3375" s="5">
        <v>0</v>
      </c>
      <c r="N3375" t="s">
        <v>12</v>
      </c>
      <c r="O3375" s="8">
        <v>26.32054794520548</v>
      </c>
      <c r="P3375" t="s">
        <v>34</v>
      </c>
      <c r="Q3375">
        <v>3</v>
      </c>
      <c r="R3375" s="2">
        <v>36527</v>
      </c>
    </row>
    <row r="3376" spans="1:18" x14ac:dyDescent="0.3">
      <c r="A3376" t="s">
        <v>7</v>
      </c>
      <c r="B3376">
        <v>19019510</v>
      </c>
      <c r="C3376" t="s">
        <v>8</v>
      </c>
      <c r="D3376" s="4">
        <v>46134</v>
      </c>
      <c r="E3376" s="11">
        <f t="shared" si="208"/>
        <v>2026</v>
      </c>
      <c r="F3376" s="11">
        <f t="shared" si="209"/>
        <v>4</v>
      </c>
      <c r="G3376" s="11" t="str">
        <f t="shared" si="210"/>
        <v>202604</v>
      </c>
      <c r="H3376" s="4">
        <v>46146</v>
      </c>
      <c r="I3376" s="5">
        <v>12</v>
      </c>
      <c r="J3376" s="5">
        <v>0.4</v>
      </c>
      <c r="K3376" s="5">
        <f t="shared" si="211"/>
        <v>1</v>
      </c>
      <c r="L3376" s="5">
        <v>1</v>
      </c>
      <c r="M3376" s="5">
        <v>1</v>
      </c>
      <c r="N3376" t="s">
        <v>9</v>
      </c>
      <c r="O3376" s="8">
        <v>20.271232876712329</v>
      </c>
      <c r="P3376" t="s">
        <v>32</v>
      </c>
      <c r="Q3376">
        <v>1</v>
      </c>
      <c r="R3376" s="2">
        <v>38735</v>
      </c>
    </row>
    <row r="3377" spans="1:18" x14ac:dyDescent="0.3">
      <c r="A3377" t="s">
        <v>7</v>
      </c>
      <c r="B3377">
        <v>19019511</v>
      </c>
      <c r="C3377" t="s">
        <v>10</v>
      </c>
      <c r="D3377" s="4">
        <v>46134</v>
      </c>
      <c r="E3377" s="11">
        <f t="shared" si="208"/>
        <v>2026</v>
      </c>
      <c r="F3377" s="11">
        <f t="shared" si="209"/>
        <v>4</v>
      </c>
      <c r="G3377" s="11" t="str">
        <f t="shared" si="210"/>
        <v>202604</v>
      </c>
      <c r="I3377" s="5">
        <v>9999</v>
      </c>
      <c r="J3377" s="5">
        <v>333.3</v>
      </c>
      <c r="K3377" s="5">
        <f t="shared" si="211"/>
        <v>0</v>
      </c>
      <c r="L3377" s="5">
        <v>0</v>
      </c>
      <c r="M3377" s="5">
        <v>0</v>
      </c>
      <c r="N3377" t="s">
        <v>9</v>
      </c>
      <c r="O3377" s="8">
        <v>19.63013698630137</v>
      </c>
      <c r="P3377" t="s">
        <v>32</v>
      </c>
      <c r="Q3377">
        <v>1</v>
      </c>
      <c r="R3377" s="2">
        <v>38969</v>
      </c>
    </row>
    <row r="3378" spans="1:18" x14ac:dyDescent="0.3">
      <c r="A3378" t="s">
        <v>7</v>
      </c>
      <c r="B3378">
        <v>19019512</v>
      </c>
      <c r="C3378" t="s">
        <v>8</v>
      </c>
      <c r="D3378" s="4">
        <v>46134</v>
      </c>
      <c r="E3378" s="11">
        <f t="shared" si="208"/>
        <v>2026</v>
      </c>
      <c r="F3378" s="11">
        <f t="shared" si="209"/>
        <v>4</v>
      </c>
      <c r="G3378" s="11" t="str">
        <f t="shared" si="210"/>
        <v>202604</v>
      </c>
      <c r="I3378" s="5">
        <v>9999</v>
      </c>
      <c r="J3378" s="5">
        <v>333.3</v>
      </c>
      <c r="K3378" s="5">
        <f t="shared" si="211"/>
        <v>0</v>
      </c>
      <c r="L3378" s="5">
        <v>0</v>
      </c>
      <c r="M3378" s="5">
        <v>0</v>
      </c>
      <c r="N3378" t="s">
        <v>12</v>
      </c>
      <c r="O3378" s="8">
        <v>20.493150684931507</v>
      </c>
      <c r="P3378" t="s">
        <v>32</v>
      </c>
      <c r="Q3378">
        <v>1</v>
      </c>
      <c r="R3378" s="2">
        <v>38654</v>
      </c>
    </row>
    <row r="3379" spans="1:18" x14ac:dyDescent="0.3">
      <c r="A3379" t="s">
        <v>7</v>
      </c>
      <c r="B3379">
        <v>19019519</v>
      </c>
      <c r="C3379" t="s">
        <v>8</v>
      </c>
      <c r="D3379" s="4">
        <v>46134</v>
      </c>
      <c r="E3379" s="11">
        <f t="shared" si="208"/>
        <v>2026</v>
      </c>
      <c r="F3379" s="11">
        <f t="shared" si="209"/>
        <v>4</v>
      </c>
      <c r="G3379" s="11" t="str">
        <f t="shared" si="210"/>
        <v>202604</v>
      </c>
      <c r="H3379" s="4">
        <v>46143</v>
      </c>
      <c r="I3379" s="5">
        <v>9</v>
      </c>
      <c r="J3379" s="5">
        <v>0.3</v>
      </c>
      <c r="K3379" s="5">
        <f t="shared" si="211"/>
        <v>1</v>
      </c>
      <c r="L3379" s="5">
        <v>1</v>
      </c>
      <c r="M3379" s="5">
        <v>1</v>
      </c>
      <c r="N3379" t="s">
        <v>12</v>
      </c>
      <c r="O3379" s="8">
        <v>26.983561643835618</v>
      </c>
      <c r="P3379" t="s">
        <v>34</v>
      </c>
      <c r="Q3379">
        <v>3</v>
      </c>
      <c r="R3379" s="2">
        <v>36285</v>
      </c>
    </row>
    <row r="3380" spans="1:18" x14ac:dyDescent="0.3">
      <c r="A3380" t="s">
        <v>7</v>
      </c>
      <c r="B3380">
        <v>19019526</v>
      </c>
      <c r="C3380" t="s">
        <v>8</v>
      </c>
      <c r="D3380" s="4">
        <v>46134</v>
      </c>
      <c r="E3380" s="11">
        <f t="shared" si="208"/>
        <v>2026</v>
      </c>
      <c r="F3380" s="11">
        <f t="shared" si="209"/>
        <v>4</v>
      </c>
      <c r="G3380" s="11" t="str">
        <f t="shared" si="210"/>
        <v>202604</v>
      </c>
      <c r="I3380" s="5">
        <v>9999</v>
      </c>
      <c r="J3380" s="5">
        <v>333.3</v>
      </c>
      <c r="K3380" s="5">
        <f t="shared" si="211"/>
        <v>0</v>
      </c>
      <c r="L3380" s="5">
        <v>0</v>
      </c>
      <c r="M3380" s="5">
        <v>0</v>
      </c>
      <c r="N3380" t="s">
        <v>9</v>
      </c>
      <c r="O3380" s="8">
        <v>24.767123287671232</v>
      </c>
      <c r="P3380" t="s">
        <v>33</v>
      </c>
      <c r="Q3380">
        <v>2</v>
      </c>
      <c r="R3380" s="2">
        <v>37094</v>
      </c>
    </row>
    <row r="3381" spans="1:18" x14ac:dyDescent="0.3">
      <c r="A3381" t="s">
        <v>7</v>
      </c>
      <c r="B3381">
        <v>19019527</v>
      </c>
      <c r="C3381" t="s">
        <v>10</v>
      </c>
      <c r="D3381" s="4">
        <v>46134</v>
      </c>
      <c r="E3381" s="11">
        <f t="shared" si="208"/>
        <v>2026</v>
      </c>
      <c r="F3381" s="11">
        <f t="shared" si="209"/>
        <v>4</v>
      </c>
      <c r="G3381" s="11" t="str">
        <f t="shared" si="210"/>
        <v>202604</v>
      </c>
      <c r="I3381" s="5">
        <v>9999</v>
      </c>
      <c r="J3381" s="5">
        <v>333.3</v>
      </c>
      <c r="K3381" s="5">
        <f t="shared" si="211"/>
        <v>0</v>
      </c>
      <c r="L3381" s="5">
        <v>0</v>
      </c>
      <c r="M3381" s="5">
        <v>0</v>
      </c>
      <c r="N3381" t="s">
        <v>9</v>
      </c>
      <c r="O3381" s="8">
        <v>19.87945205479452</v>
      </c>
      <c r="P3381" t="s">
        <v>32</v>
      </c>
      <c r="Q3381">
        <v>1</v>
      </c>
      <c r="R3381" s="2">
        <v>38878</v>
      </c>
    </row>
    <row r="3382" spans="1:18" x14ac:dyDescent="0.3">
      <c r="A3382" t="s">
        <v>7</v>
      </c>
      <c r="B3382">
        <v>19019528</v>
      </c>
      <c r="C3382" t="s">
        <v>10</v>
      </c>
      <c r="D3382" s="4">
        <v>46134</v>
      </c>
      <c r="E3382" s="11">
        <f t="shared" si="208"/>
        <v>2026</v>
      </c>
      <c r="F3382" s="11">
        <f t="shared" si="209"/>
        <v>4</v>
      </c>
      <c r="G3382" s="11" t="str">
        <f t="shared" si="210"/>
        <v>202604</v>
      </c>
      <c r="I3382" s="5">
        <v>9999</v>
      </c>
      <c r="J3382" s="5">
        <v>333.3</v>
      </c>
      <c r="K3382" s="5">
        <f t="shared" si="211"/>
        <v>0</v>
      </c>
      <c r="L3382" s="5">
        <v>0</v>
      </c>
      <c r="M3382" s="5">
        <v>0</v>
      </c>
      <c r="N3382" t="s">
        <v>9</v>
      </c>
      <c r="O3382" s="8">
        <v>21.109589041095891</v>
      </c>
      <c r="P3382" t="s">
        <v>33</v>
      </c>
      <c r="Q3382">
        <v>2</v>
      </c>
      <c r="R3382" s="2">
        <v>38429</v>
      </c>
    </row>
    <row r="3383" spans="1:18" x14ac:dyDescent="0.3">
      <c r="A3383" t="s">
        <v>7</v>
      </c>
      <c r="B3383">
        <v>19019532</v>
      </c>
      <c r="C3383" t="s">
        <v>10</v>
      </c>
      <c r="D3383" s="4">
        <v>46134</v>
      </c>
      <c r="E3383" s="11">
        <f t="shared" si="208"/>
        <v>2026</v>
      </c>
      <c r="F3383" s="11">
        <f t="shared" si="209"/>
        <v>4</v>
      </c>
      <c r="G3383" s="11" t="str">
        <f t="shared" si="210"/>
        <v>202604</v>
      </c>
      <c r="I3383" s="5">
        <v>9999</v>
      </c>
      <c r="J3383" s="5">
        <v>333.3</v>
      </c>
      <c r="K3383" s="5">
        <f t="shared" si="211"/>
        <v>0</v>
      </c>
      <c r="L3383" s="5">
        <v>0</v>
      </c>
      <c r="M3383" s="5">
        <v>0</v>
      </c>
      <c r="N3383" t="s">
        <v>9</v>
      </c>
      <c r="O3383" s="8">
        <v>24.545205479452054</v>
      </c>
      <c r="P3383" t="s">
        <v>33</v>
      </c>
      <c r="Q3383">
        <v>2</v>
      </c>
      <c r="R3383" s="2">
        <v>37175</v>
      </c>
    </row>
    <row r="3384" spans="1:18" x14ac:dyDescent="0.3">
      <c r="A3384" t="s">
        <v>7</v>
      </c>
      <c r="B3384">
        <v>19019534</v>
      </c>
      <c r="C3384" t="s">
        <v>8</v>
      </c>
      <c r="D3384" s="4">
        <v>46134</v>
      </c>
      <c r="E3384" s="11">
        <f t="shared" si="208"/>
        <v>2026</v>
      </c>
      <c r="F3384" s="11">
        <f t="shared" si="209"/>
        <v>4</v>
      </c>
      <c r="G3384" s="11" t="str">
        <f t="shared" si="210"/>
        <v>202604</v>
      </c>
      <c r="H3384" s="4">
        <v>46143</v>
      </c>
      <c r="I3384" s="5">
        <v>9</v>
      </c>
      <c r="J3384" s="5">
        <v>0.3</v>
      </c>
      <c r="K3384" s="5">
        <f t="shared" si="211"/>
        <v>1</v>
      </c>
      <c r="L3384" s="5">
        <v>1</v>
      </c>
      <c r="M3384" s="5">
        <v>1</v>
      </c>
      <c r="N3384" t="s">
        <v>9</v>
      </c>
      <c r="O3384" s="8">
        <v>21.18082191780822</v>
      </c>
      <c r="P3384" t="s">
        <v>33</v>
      </c>
      <c r="Q3384">
        <v>2</v>
      </c>
      <c r="R3384" s="2">
        <v>38403</v>
      </c>
    </row>
    <row r="3385" spans="1:18" x14ac:dyDescent="0.3">
      <c r="A3385" t="s">
        <v>7</v>
      </c>
      <c r="B3385">
        <v>19019536</v>
      </c>
      <c r="C3385" t="s">
        <v>8</v>
      </c>
      <c r="D3385" s="4">
        <v>46133</v>
      </c>
      <c r="E3385" s="11">
        <f t="shared" si="208"/>
        <v>2026</v>
      </c>
      <c r="F3385" s="11">
        <f t="shared" si="209"/>
        <v>4</v>
      </c>
      <c r="G3385" s="11" t="str">
        <f t="shared" si="210"/>
        <v>202604</v>
      </c>
      <c r="I3385" s="5">
        <v>9999</v>
      </c>
      <c r="J3385" s="5">
        <v>333.3</v>
      </c>
      <c r="K3385" s="5">
        <f t="shared" si="211"/>
        <v>0</v>
      </c>
      <c r="L3385" s="5">
        <v>0</v>
      </c>
      <c r="M3385" s="5">
        <v>0</v>
      </c>
      <c r="N3385" t="s">
        <v>9</v>
      </c>
      <c r="O3385" s="8">
        <v>28.172602739726027</v>
      </c>
      <c r="P3385" t="s">
        <v>34</v>
      </c>
      <c r="Q3385">
        <v>3</v>
      </c>
      <c r="R3385" s="2">
        <v>35850</v>
      </c>
    </row>
    <row r="3386" spans="1:18" x14ac:dyDescent="0.3">
      <c r="A3386" t="s">
        <v>7</v>
      </c>
      <c r="B3386">
        <v>19019548</v>
      </c>
      <c r="C3386" t="s">
        <v>10</v>
      </c>
      <c r="D3386" s="4">
        <v>46133</v>
      </c>
      <c r="E3386" s="11">
        <f t="shared" si="208"/>
        <v>2026</v>
      </c>
      <c r="F3386" s="11">
        <f t="shared" si="209"/>
        <v>4</v>
      </c>
      <c r="G3386" s="11" t="str">
        <f t="shared" si="210"/>
        <v>202604</v>
      </c>
      <c r="I3386" s="5">
        <v>9999</v>
      </c>
      <c r="J3386" s="5">
        <v>333.3</v>
      </c>
      <c r="K3386" s="5">
        <f t="shared" si="211"/>
        <v>0</v>
      </c>
      <c r="L3386" s="5">
        <v>0</v>
      </c>
      <c r="M3386" s="5">
        <v>0</v>
      </c>
      <c r="N3386" t="s">
        <v>9</v>
      </c>
      <c r="O3386" s="8">
        <v>24.597260273972601</v>
      </c>
      <c r="P3386" t="s">
        <v>33</v>
      </c>
      <c r="Q3386">
        <v>2</v>
      </c>
      <c r="R3386" s="2">
        <v>37155</v>
      </c>
    </row>
    <row r="3387" spans="1:18" x14ac:dyDescent="0.3">
      <c r="A3387" t="s">
        <v>7</v>
      </c>
      <c r="B3387">
        <v>19019549</v>
      </c>
      <c r="C3387" t="s">
        <v>8</v>
      </c>
      <c r="D3387" s="4">
        <v>46134</v>
      </c>
      <c r="E3387" s="11">
        <f t="shared" si="208"/>
        <v>2026</v>
      </c>
      <c r="F3387" s="11">
        <f t="shared" si="209"/>
        <v>4</v>
      </c>
      <c r="G3387" s="11" t="str">
        <f t="shared" si="210"/>
        <v>202604</v>
      </c>
      <c r="H3387" s="4">
        <v>46149</v>
      </c>
      <c r="I3387" s="5">
        <v>15</v>
      </c>
      <c r="J3387" s="5">
        <v>0.5</v>
      </c>
      <c r="K3387" s="5">
        <f t="shared" si="211"/>
        <v>1</v>
      </c>
      <c r="L3387" s="5">
        <v>1</v>
      </c>
      <c r="M3387" s="5">
        <v>1</v>
      </c>
      <c r="N3387" t="s">
        <v>9</v>
      </c>
      <c r="O3387" s="8">
        <v>24.460273972602739</v>
      </c>
      <c r="P3387" t="s">
        <v>33</v>
      </c>
      <c r="Q3387">
        <v>2</v>
      </c>
      <c r="R3387" s="2">
        <v>37206</v>
      </c>
    </row>
    <row r="3388" spans="1:18" x14ac:dyDescent="0.3">
      <c r="A3388" t="s">
        <v>7</v>
      </c>
      <c r="B3388">
        <v>19019551</v>
      </c>
      <c r="C3388" t="s">
        <v>8</v>
      </c>
      <c r="D3388" s="4">
        <v>46133</v>
      </c>
      <c r="E3388" s="11">
        <f t="shared" si="208"/>
        <v>2026</v>
      </c>
      <c r="F3388" s="11">
        <f t="shared" si="209"/>
        <v>4</v>
      </c>
      <c r="G3388" s="11" t="str">
        <f t="shared" si="210"/>
        <v>202604</v>
      </c>
      <c r="I3388" s="5">
        <v>9999</v>
      </c>
      <c r="J3388" s="5">
        <v>333.3</v>
      </c>
      <c r="K3388" s="5">
        <f t="shared" si="211"/>
        <v>0</v>
      </c>
      <c r="L3388" s="5">
        <v>0</v>
      </c>
      <c r="M3388" s="5">
        <v>0</v>
      </c>
      <c r="N3388" t="s">
        <v>12</v>
      </c>
      <c r="O3388" s="8">
        <v>19.693150684931506</v>
      </c>
      <c r="P3388" t="s">
        <v>32</v>
      </c>
      <c r="Q3388">
        <v>1</v>
      </c>
      <c r="R3388" s="2">
        <v>38945</v>
      </c>
    </row>
    <row r="3389" spans="1:18" x14ac:dyDescent="0.3">
      <c r="A3389" t="s">
        <v>7</v>
      </c>
      <c r="B3389">
        <v>19019552</v>
      </c>
      <c r="C3389" t="s">
        <v>8</v>
      </c>
      <c r="D3389" s="4">
        <v>46134</v>
      </c>
      <c r="E3389" s="11">
        <f t="shared" si="208"/>
        <v>2026</v>
      </c>
      <c r="F3389" s="11">
        <f t="shared" si="209"/>
        <v>4</v>
      </c>
      <c r="G3389" s="11" t="str">
        <f t="shared" si="210"/>
        <v>202604</v>
      </c>
      <c r="I3389" s="5">
        <v>9999</v>
      </c>
      <c r="J3389" s="5">
        <v>333.3</v>
      </c>
      <c r="K3389" s="5">
        <f t="shared" si="211"/>
        <v>0</v>
      </c>
      <c r="L3389" s="5">
        <v>0</v>
      </c>
      <c r="M3389" s="5">
        <v>0</v>
      </c>
      <c r="N3389" t="s">
        <v>9</v>
      </c>
      <c r="O3389" s="8">
        <v>29.476712328767125</v>
      </c>
      <c r="P3389" t="s">
        <v>34</v>
      </c>
      <c r="Q3389">
        <v>3</v>
      </c>
      <c r="R3389" s="2">
        <v>35375</v>
      </c>
    </row>
    <row r="3390" spans="1:18" x14ac:dyDescent="0.3">
      <c r="A3390" t="s">
        <v>7</v>
      </c>
      <c r="B3390">
        <v>19019786</v>
      </c>
      <c r="C3390" t="s">
        <v>8</v>
      </c>
      <c r="D3390" s="4">
        <v>46134</v>
      </c>
      <c r="E3390" s="11">
        <f t="shared" si="208"/>
        <v>2026</v>
      </c>
      <c r="F3390" s="11">
        <f t="shared" si="209"/>
        <v>4</v>
      </c>
      <c r="G3390" s="11" t="str">
        <f t="shared" si="210"/>
        <v>202604</v>
      </c>
      <c r="I3390" s="5">
        <v>9999</v>
      </c>
      <c r="J3390" s="5">
        <v>333.3</v>
      </c>
      <c r="K3390" s="5">
        <f t="shared" si="211"/>
        <v>0</v>
      </c>
      <c r="L3390" s="5">
        <v>0</v>
      </c>
      <c r="M3390" s="5">
        <v>0</v>
      </c>
      <c r="N3390" t="s">
        <v>9</v>
      </c>
      <c r="O3390" s="8">
        <v>32.073972602739723</v>
      </c>
      <c r="P3390" t="s">
        <v>35</v>
      </c>
      <c r="Q3390">
        <v>4</v>
      </c>
      <c r="R3390" s="2">
        <v>34427</v>
      </c>
    </row>
    <row r="3391" spans="1:18" x14ac:dyDescent="0.3">
      <c r="A3391" t="s">
        <v>7</v>
      </c>
      <c r="B3391">
        <v>19019790</v>
      </c>
      <c r="C3391" t="s">
        <v>8</v>
      </c>
      <c r="D3391" s="4">
        <v>46134</v>
      </c>
      <c r="E3391" s="11">
        <f t="shared" si="208"/>
        <v>2026</v>
      </c>
      <c r="F3391" s="11">
        <f t="shared" si="209"/>
        <v>4</v>
      </c>
      <c r="G3391" s="11" t="str">
        <f t="shared" si="210"/>
        <v>202604</v>
      </c>
      <c r="I3391" s="5">
        <v>9999</v>
      </c>
      <c r="J3391" s="5">
        <v>333.3</v>
      </c>
      <c r="K3391" s="5">
        <f t="shared" si="211"/>
        <v>0</v>
      </c>
      <c r="L3391" s="5">
        <v>0</v>
      </c>
      <c r="M3391" s="5">
        <v>0</v>
      </c>
      <c r="N3391" t="s">
        <v>9</v>
      </c>
      <c r="O3391" s="8">
        <v>18.953424657534246</v>
      </c>
      <c r="P3391" t="s">
        <v>32</v>
      </c>
      <c r="Q3391">
        <v>1</v>
      </c>
      <c r="R3391" s="2">
        <v>39216</v>
      </c>
    </row>
    <row r="3392" spans="1:18" x14ac:dyDescent="0.3">
      <c r="A3392" t="s">
        <v>7</v>
      </c>
      <c r="B3392">
        <v>19019826</v>
      </c>
      <c r="C3392" t="s">
        <v>8</v>
      </c>
      <c r="D3392" s="4">
        <v>46134</v>
      </c>
      <c r="E3392" s="11">
        <f t="shared" si="208"/>
        <v>2026</v>
      </c>
      <c r="F3392" s="11">
        <f t="shared" si="209"/>
        <v>4</v>
      </c>
      <c r="G3392" s="11" t="str">
        <f t="shared" si="210"/>
        <v>202604</v>
      </c>
      <c r="I3392" s="5">
        <v>9999</v>
      </c>
      <c r="J3392" s="5">
        <v>333.3</v>
      </c>
      <c r="K3392" s="5">
        <f t="shared" si="211"/>
        <v>0</v>
      </c>
      <c r="L3392" s="5">
        <v>0</v>
      </c>
      <c r="M3392" s="5">
        <v>0</v>
      </c>
      <c r="N3392" t="s">
        <v>12</v>
      </c>
      <c r="O3392" s="8">
        <v>22.06027397260274</v>
      </c>
      <c r="P3392" t="s">
        <v>33</v>
      </c>
      <c r="Q3392">
        <v>2</v>
      </c>
      <c r="R3392" s="2">
        <v>38082</v>
      </c>
    </row>
    <row r="3393" spans="1:18" x14ac:dyDescent="0.3">
      <c r="A3393" t="s">
        <v>7</v>
      </c>
      <c r="B3393">
        <v>19019830</v>
      </c>
      <c r="C3393" t="s">
        <v>8</v>
      </c>
      <c r="D3393" s="4">
        <v>46134</v>
      </c>
      <c r="E3393" s="11">
        <f t="shared" si="208"/>
        <v>2026</v>
      </c>
      <c r="F3393" s="11">
        <f t="shared" si="209"/>
        <v>4</v>
      </c>
      <c r="G3393" s="11" t="str">
        <f t="shared" si="210"/>
        <v>202604</v>
      </c>
      <c r="H3393" s="4">
        <v>46143</v>
      </c>
      <c r="I3393" s="5">
        <v>9</v>
      </c>
      <c r="J3393" s="5">
        <v>0.3</v>
      </c>
      <c r="K3393" s="5">
        <f t="shared" si="211"/>
        <v>1</v>
      </c>
      <c r="L3393" s="5">
        <v>1</v>
      </c>
      <c r="M3393" s="5">
        <v>1</v>
      </c>
      <c r="N3393" t="s">
        <v>9</v>
      </c>
      <c r="O3393" s="8">
        <v>20.452054794520549</v>
      </c>
      <c r="P3393" t="s">
        <v>32</v>
      </c>
      <c r="Q3393">
        <v>1</v>
      </c>
      <c r="R3393" s="2">
        <v>38669</v>
      </c>
    </row>
    <row r="3394" spans="1:18" x14ac:dyDescent="0.3">
      <c r="A3394" t="s">
        <v>7</v>
      </c>
      <c r="B3394">
        <v>19019832</v>
      </c>
      <c r="C3394" t="s">
        <v>8</v>
      </c>
      <c r="D3394" s="4">
        <v>46134</v>
      </c>
      <c r="E3394" s="11">
        <f t="shared" si="208"/>
        <v>2026</v>
      </c>
      <c r="F3394" s="11">
        <f t="shared" si="209"/>
        <v>4</v>
      </c>
      <c r="G3394" s="11" t="str">
        <f t="shared" si="210"/>
        <v>202604</v>
      </c>
      <c r="H3394" s="4">
        <v>46152</v>
      </c>
      <c r="I3394" s="5">
        <v>18</v>
      </c>
      <c r="J3394" s="5">
        <v>0.6</v>
      </c>
      <c r="K3394" s="5">
        <f t="shared" si="211"/>
        <v>1</v>
      </c>
      <c r="L3394" s="5">
        <v>1</v>
      </c>
      <c r="M3394" s="5">
        <v>1</v>
      </c>
      <c r="N3394" t="s">
        <v>9</v>
      </c>
      <c r="O3394" s="8">
        <v>20.172602739726027</v>
      </c>
      <c r="P3394" t="s">
        <v>32</v>
      </c>
      <c r="Q3394">
        <v>1</v>
      </c>
      <c r="R3394" s="2">
        <v>38771</v>
      </c>
    </row>
    <row r="3395" spans="1:18" x14ac:dyDescent="0.3">
      <c r="A3395" t="s">
        <v>7</v>
      </c>
      <c r="B3395">
        <v>19019833</v>
      </c>
      <c r="C3395" t="s">
        <v>8</v>
      </c>
      <c r="D3395" s="4">
        <v>46134</v>
      </c>
      <c r="E3395" s="11">
        <f t="shared" ref="E3395:E3458" si="212">+YEAR(D3395)</f>
        <v>2026</v>
      </c>
      <c r="F3395" s="11">
        <f t="shared" ref="F3395:F3458" si="213">+MONTH(D3395)</f>
        <v>4</v>
      </c>
      <c r="G3395" s="11" t="str">
        <f t="shared" ref="G3395:G3458" si="214">+TEXT(D3395, "yyymm")</f>
        <v>202604</v>
      </c>
      <c r="I3395" s="5">
        <v>9999</v>
      </c>
      <c r="J3395" s="5">
        <v>333.3</v>
      </c>
      <c r="K3395" s="5">
        <f t="shared" ref="K3395:K3458" si="215">IF(J3395&lt;=1,1,0)</f>
        <v>0</v>
      </c>
      <c r="L3395" s="5">
        <v>0</v>
      </c>
      <c r="M3395" s="5">
        <v>0</v>
      </c>
      <c r="N3395" t="s">
        <v>9</v>
      </c>
      <c r="O3395" s="8">
        <v>22.410958904109588</v>
      </c>
      <c r="P3395" t="s">
        <v>33</v>
      </c>
      <c r="Q3395">
        <v>2</v>
      </c>
      <c r="R3395" s="2">
        <v>37954</v>
      </c>
    </row>
    <row r="3396" spans="1:18" x14ac:dyDescent="0.3">
      <c r="A3396" t="s">
        <v>7</v>
      </c>
      <c r="B3396">
        <v>19019834</v>
      </c>
      <c r="C3396" t="s">
        <v>8</v>
      </c>
      <c r="D3396" s="4">
        <v>46134</v>
      </c>
      <c r="E3396" s="11">
        <f t="shared" si="212"/>
        <v>2026</v>
      </c>
      <c r="F3396" s="11">
        <f t="shared" si="213"/>
        <v>4</v>
      </c>
      <c r="G3396" s="11" t="str">
        <f t="shared" si="214"/>
        <v>202604</v>
      </c>
      <c r="I3396" s="5">
        <v>9999</v>
      </c>
      <c r="J3396" s="5">
        <v>333.3</v>
      </c>
      <c r="K3396" s="5">
        <f t="shared" si="215"/>
        <v>0</v>
      </c>
      <c r="L3396" s="5">
        <v>0</v>
      </c>
      <c r="M3396" s="5">
        <v>0</v>
      </c>
      <c r="N3396" t="s">
        <v>9</v>
      </c>
      <c r="O3396" s="8">
        <v>18.764383561643836</v>
      </c>
      <c r="P3396" t="s">
        <v>32</v>
      </c>
      <c r="Q3396">
        <v>1</v>
      </c>
      <c r="R3396" s="2">
        <v>39285</v>
      </c>
    </row>
    <row r="3397" spans="1:18" x14ac:dyDescent="0.3">
      <c r="A3397" t="s">
        <v>7</v>
      </c>
      <c r="B3397">
        <v>19019835</v>
      </c>
      <c r="C3397" t="s">
        <v>8</v>
      </c>
      <c r="D3397" s="4">
        <v>46134</v>
      </c>
      <c r="E3397" s="11">
        <f t="shared" si="212"/>
        <v>2026</v>
      </c>
      <c r="F3397" s="11">
        <f t="shared" si="213"/>
        <v>4</v>
      </c>
      <c r="G3397" s="11" t="str">
        <f t="shared" si="214"/>
        <v>202604</v>
      </c>
      <c r="I3397" s="5">
        <v>9999</v>
      </c>
      <c r="J3397" s="5">
        <v>333.3</v>
      </c>
      <c r="K3397" s="5">
        <f t="shared" si="215"/>
        <v>0</v>
      </c>
      <c r="L3397" s="5">
        <v>0</v>
      </c>
      <c r="M3397" s="5">
        <v>0</v>
      </c>
      <c r="N3397" t="s">
        <v>9</v>
      </c>
      <c r="O3397" s="8">
        <v>23.572602739726026</v>
      </c>
      <c r="P3397" t="s">
        <v>33</v>
      </c>
      <c r="Q3397">
        <v>2</v>
      </c>
      <c r="R3397" s="2">
        <v>37530</v>
      </c>
    </row>
    <row r="3398" spans="1:18" x14ac:dyDescent="0.3">
      <c r="A3398" t="s">
        <v>11</v>
      </c>
      <c r="B3398">
        <v>19019836</v>
      </c>
      <c r="C3398" t="s">
        <v>8</v>
      </c>
      <c r="D3398" s="4">
        <v>46134</v>
      </c>
      <c r="E3398" s="11">
        <f t="shared" si="212"/>
        <v>2026</v>
      </c>
      <c r="F3398" s="11">
        <f t="shared" si="213"/>
        <v>4</v>
      </c>
      <c r="G3398" s="11" t="str">
        <f t="shared" si="214"/>
        <v>202604</v>
      </c>
      <c r="H3398" s="4">
        <v>46146</v>
      </c>
      <c r="I3398" s="5">
        <v>12</v>
      </c>
      <c r="J3398" s="5">
        <v>0.4</v>
      </c>
      <c r="K3398" s="5">
        <f t="shared" si="215"/>
        <v>1</v>
      </c>
      <c r="L3398" s="5">
        <v>1</v>
      </c>
      <c r="M3398" s="5">
        <v>1</v>
      </c>
      <c r="N3398" t="s">
        <v>12</v>
      </c>
      <c r="O3398" s="8">
        <v>25.389041095890413</v>
      </c>
      <c r="P3398" t="s">
        <v>33</v>
      </c>
      <c r="Q3398">
        <v>2</v>
      </c>
      <c r="R3398" s="2">
        <v>36867</v>
      </c>
    </row>
    <row r="3399" spans="1:18" x14ac:dyDescent="0.3">
      <c r="A3399" t="s">
        <v>7</v>
      </c>
      <c r="B3399">
        <v>19019842</v>
      </c>
      <c r="C3399" t="s">
        <v>8</v>
      </c>
      <c r="D3399" s="4">
        <v>46134</v>
      </c>
      <c r="E3399" s="11">
        <f t="shared" si="212"/>
        <v>2026</v>
      </c>
      <c r="F3399" s="11">
        <f t="shared" si="213"/>
        <v>4</v>
      </c>
      <c r="G3399" s="11" t="str">
        <f t="shared" si="214"/>
        <v>202604</v>
      </c>
      <c r="H3399" s="4">
        <v>46143</v>
      </c>
      <c r="I3399" s="5">
        <v>9</v>
      </c>
      <c r="J3399" s="5">
        <v>0.3</v>
      </c>
      <c r="K3399" s="5">
        <f t="shared" si="215"/>
        <v>1</v>
      </c>
      <c r="L3399" s="5">
        <v>1</v>
      </c>
      <c r="M3399" s="5">
        <v>1</v>
      </c>
      <c r="N3399" t="s">
        <v>12</v>
      </c>
      <c r="O3399" s="8">
        <v>25.665753424657535</v>
      </c>
      <c r="P3399" t="s">
        <v>33</v>
      </c>
      <c r="Q3399">
        <v>2</v>
      </c>
      <c r="R3399" s="2">
        <v>36766</v>
      </c>
    </row>
    <row r="3400" spans="1:18" x14ac:dyDescent="0.3">
      <c r="A3400" t="s">
        <v>7</v>
      </c>
      <c r="B3400">
        <v>19019856</v>
      </c>
      <c r="C3400" t="s">
        <v>10</v>
      </c>
      <c r="D3400" s="4">
        <v>46133</v>
      </c>
      <c r="E3400" s="11">
        <f t="shared" si="212"/>
        <v>2026</v>
      </c>
      <c r="F3400" s="11">
        <f t="shared" si="213"/>
        <v>4</v>
      </c>
      <c r="G3400" s="11" t="str">
        <f t="shared" si="214"/>
        <v>202604</v>
      </c>
      <c r="I3400" s="5">
        <v>9999</v>
      </c>
      <c r="J3400" s="5">
        <v>333.3</v>
      </c>
      <c r="K3400" s="5">
        <f t="shared" si="215"/>
        <v>0</v>
      </c>
      <c r="L3400" s="5">
        <v>0</v>
      </c>
      <c r="M3400" s="5">
        <v>0</v>
      </c>
      <c r="N3400" t="s">
        <v>12</v>
      </c>
      <c r="O3400" s="8">
        <v>25.915068493150685</v>
      </c>
      <c r="P3400" t="s">
        <v>33</v>
      </c>
      <c r="Q3400">
        <v>2</v>
      </c>
      <c r="R3400" s="2">
        <v>36674</v>
      </c>
    </row>
    <row r="3401" spans="1:18" x14ac:dyDescent="0.3">
      <c r="A3401" t="s">
        <v>7</v>
      </c>
      <c r="B3401">
        <v>19019968</v>
      </c>
      <c r="C3401" t="s">
        <v>10</v>
      </c>
      <c r="D3401" s="4">
        <v>46135</v>
      </c>
      <c r="E3401" s="11">
        <f t="shared" si="212"/>
        <v>2026</v>
      </c>
      <c r="F3401" s="11">
        <f t="shared" si="213"/>
        <v>4</v>
      </c>
      <c r="G3401" s="11" t="str">
        <f t="shared" si="214"/>
        <v>202604</v>
      </c>
      <c r="I3401" s="5">
        <v>9999</v>
      </c>
      <c r="J3401" s="5">
        <v>333.3</v>
      </c>
      <c r="K3401" s="5">
        <f t="shared" si="215"/>
        <v>0</v>
      </c>
      <c r="L3401" s="5">
        <v>0</v>
      </c>
      <c r="M3401" s="5">
        <v>0</v>
      </c>
      <c r="N3401" t="s">
        <v>12</v>
      </c>
      <c r="O3401" s="8">
        <v>19.413698630136988</v>
      </c>
      <c r="P3401" t="s">
        <v>32</v>
      </c>
      <c r="Q3401">
        <v>1</v>
      </c>
      <c r="R3401" s="2">
        <v>39049</v>
      </c>
    </row>
    <row r="3402" spans="1:18" x14ac:dyDescent="0.3">
      <c r="A3402" t="s">
        <v>7</v>
      </c>
      <c r="B3402">
        <v>19019990</v>
      </c>
      <c r="C3402" t="s">
        <v>8</v>
      </c>
      <c r="D3402" s="4">
        <v>46135</v>
      </c>
      <c r="E3402" s="11">
        <f t="shared" si="212"/>
        <v>2026</v>
      </c>
      <c r="F3402" s="11">
        <f t="shared" si="213"/>
        <v>4</v>
      </c>
      <c r="G3402" s="11" t="str">
        <f t="shared" si="214"/>
        <v>202604</v>
      </c>
      <c r="I3402" s="5">
        <v>9999</v>
      </c>
      <c r="J3402" s="5">
        <v>333.3</v>
      </c>
      <c r="K3402" s="5">
        <f t="shared" si="215"/>
        <v>0</v>
      </c>
      <c r="L3402" s="5">
        <v>0</v>
      </c>
      <c r="M3402" s="5">
        <v>0</v>
      </c>
      <c r="N3402" t="s">
        <v>9</v>
      </c>
      <c r="O3402" s="8">
        <v>21.920547945205481</v>
      </c>
      <c r="P3402" t="s">
        <v>33</v>
      </c>
      <c r="Q3402">
        <v>2</v>
      </c>
      <c r="R3402" s="2">
        <v>38134</v>
      </c>
    </row>
    <row r="3403" spans="1:18" x14ac:dyDescent="0.3">
      <c r="A3403" t="s">
        <v>7</v>
      </c>
      <c r="B3403">
        <v>19020132</v>
      </c>
      <c r="C3403" t="s">
        <v>8</v>
      </c>
      <c r="D3403" s="4">
        <v>46136</v>
      </c>
      <c r="E3403" s="11">
        <f t="shared" si="212"/>
        <v>2026</v>
      </c>
      <c r="F3403" s="11">
        <f t="shared" si="213"/>
        <v>4</v>
      </c>
      <c r="G3403" s="11" t="str">
        <f t="shared" si="214"/>
        <v>202604</v>
      </c>
      <c r="I3403" s="5">
        <v>9999</v>
      </c>
      <c r="J3403" s="5">
        <v>333.3</v>
      </c>
      <c r="K3403" s="5">
        <f t="shared" si="215"/>
        <v>0</v>
      </c>
      <c r="L3403" s="5">
        <v>0</v>
      </c>
      <c r="M3403" s="5">
        <v>0</v>
      </c>
      <c r="N3403" t="s">
        <v>12</v>
      </c>
      <c r="O3403" s="8">
        <v>22.717808219178082</v>
      </c>
      <c r="P3403" t="s">
        <v>33</v>
      </c>
      <c r="Q3403">
        <v>2</v>
      </c>
      <c r="R3403" s="2">
        <v>37844</v>
      </c>
    </row>
    <row r="3404" spans="1:18" x14ac:dyDescent="0.3">
      <c r="A3404" t="s">
        <v>7</v>
      </c>
      <c r="B3404">
        <v>19020156</v>
      </c>
      <c r="C3404" t="s">
        <v>8</v>
      </c>
      <c r="D3404" s="4">
        <v>46136</v>
      </c>
      <c r="E3404" s="11">
        <f t="shared" si="212"/>
        <v>2026</v>
      </c>
      <c r="F3404" s="11">
        <f t="shared" si="213"/>
        <v>4</v>
      </c>
      <c r="G3404" s="11" t="str">
        <f t="shared" si="214"/>
        <v>202604</v>
      </c>
      <c r="I3404" s="5">
        <v>9999</v>
      </c>
      <c r="J3404" s="5">
        <v>333.3</v>
      </c>
      <c r="K3404" s="5">
        <f t="shared" si="215"/>
        <v>0</v>
      </c>
      <c r="L3404" s="5">
        <v>0</v>
      </c>
      <c r="M3404" s="5">
        <v>0</v>
      </c>
      <c r="N3404" t="s">
        <v>12</v>
      </c>
      <c r="O3404" s="8">
        <v>23.87123287671233</v>
      </c>
      <c r="P3404" t="s">
        <v>33</v>
      </c>
      <c r="Q3404">
        <v>2</v>
      </c>
      <c r="R3404" s="2">
        <v>37423</v>
      </c>
    </row>
    <row r="3405" spans="1:18" x14ac:dyDescent="0.3">
      <c r="A3405" t="s">
        <v>7</v>
      </c>
      <c r="B3405">
        <v>19020180</v>
      </c>
      <c r="C3405" t="s">
        <v>8</v>
      </c>
      <c r="D3405" s="4">
        <v>46136</v>
      </c>
      <c r="E3405" s="11">
        <f t="shared" si="212"/>
        <v>2026</v>
      </c>
      <c r="F3405" s="11">
        <f t="shared" si="213"/>
        <v>4</v>
      </c>
      <c r="G3405" s="11" t="str">
        <f t="shared" si="214"/>
        <v>202604</v>
      </c>
      <c r="I3405" s="5">
        <v>9999</v>
      </c>
      <c r="J3405" s="5">
        <v>333.3</v>
      </c>
      <c r="K3405" s="5">
        <f t="shared" si="215"/>
        <v>0</v>
      </c>
      <c r="L3405" s="5">
        <v>0</v>
      </c>
      <c r="M3405" s="5">
        <v>0</v>
      </c>
      <c r="N3405" t="s">
        <v>12</v>
      </c>
      <c r="O3405" s="8">
        <v>20.413698630136988</v>
      </c>
      <c r="P3405" t="s">
        <v>32</v>
      </c>
      <c r="Q3405">
        <v>1</v>
      </c>
      <c r="R3405" s="2">
        <v>38685</v>
      </c>
    </row>
    <row r="3406" spans="1:18" x14ac:dyDescent="0.3">
      <c r="A3406" t="s">
        <v>7</v>
      </c>
      <c r="B3406">
        <v>19020231</v>
      </c>
      <c r="C3406" t="s">
        <v>8</v>
      </c>
      <c r="D3406" s="4">
        <v>46136</v>
      </c>
      <c r="E3406" s="11">
        <f t="shared" si="212"/>
        <v>2026</v>
      </c>
      <c r="F3406" s="11">
        <f t="shared" si="213"/>
        <v>4</v>
      </c>
      <c r="G3406" s="11" t="str">
        <f t="shared" si="214"/>
        <v>202604</v>
      </c>
      <c r="I3406" s="5">
        <v>9999</v>
      </c>
      <c r="J3406" s="5">
        <v>333.3</v>
      </c>
      <c r="K3406" s="5">
        <f t="shared" si="215"/>
        <v>0</v>
      </c>
      <c r="L3406" s="5">
        <v>0</v>
      </c>
      <c r="M3406" s="5">
        <v>0</v>
      </c>
      <c r="N3406" t="s">
        <v>9</v>
      </c>
      <c r="O3406" s="8">
        <v>27.312328767123287</v>
      </c>
      <c r="P3406" t="s">
        <v>34</v>
      </c>
      <c r="Q3406">
        <v>3</v>
      </c>
      <c r="R3406" s="2">
        <v>36167</v>
      </c>
    </row>
    <row r="3407" spans="1:18" x14ac:dyDescent="0.3">
      <c r="A3407" t="s">
        <v>7</v>
      </c>
      <c r="B3407">
        <v>19020254</v>
      </c>
      <c r="C3407" t="s">
        <v>8</v>
      </c>
      <c r="D3407" s="4">
        <v>46136</v>
      </c>
      <c r="E3407" s="11">
        <f t="shared" si="212"/>
        <v>2026</v>
      </c>
      <c r="F3407" s="11">
        <f t="shared" si="213"/>
        <v>4</v>
      </c>
      <c r="G3407" s="11" t="str">
        <f t="shared" si="214"/>
        <v>202604</v>
      </c>
      <c r="I3407" s="5">
        <v>9999</v>
      </c>
      <c r="J3407" s="5">
        <v>333.3</v>
      </c>
      <c r="K3407" s="5">
        <f t="shared" si="215"/>
        <v>0</v>
      </c>
      <c r="L3407" s="5">
        <v>0</v>
      </c>
      <c r="M3407" s="5">
        <v>0</v>
      </c>
      <c r="N3407" t="s">
        <v>9</v>
      </c>
      <c r="O3407" s="8">
        <v>20.36986301369863</v>
      </c>
      <c r="P3407" t="s">
        <v>32</v>
      </c>
      <c r="Q3407">
        <v>1</v>
      </c>
      <c r="R3407" s="2">
        <v>38701</v>
      </c>
    </row>
    <row r="3408" spans="1:18" x14ac:dyDescent="0.3">
      <c r="A3408" t="s">
        <v>11</v>
      </c>
      <c r="B3408">
        <v>19020270</v>
      </c>
      <c r="C3408" t="s">
        <v>10</v>
      </c>
      <c r="D3408" s="4">
        <v>46136</v>
      </c>
      <c r="E3408" s="11">
        <f t="shared" si="212"/>
        <v>2026</v>
      </c>
      <c r="F3408" s="11">
        <f t="shared" si="213"/>
        <v>4</v>
      </c>
      <c r="G3408" s="11" t="str">
        <f t="shared" si="214"/>
        <v>202604</v>
      </c>
      <c r="H3408" s="4">
        <v>46143</v>
      </c>
      <c r="I3408" s="5">
        <v>7</v>
      </c>
      <c r="J3408" s="5">
        <v>0.23333333333333334</v>
      </c>
      <c r="K3408" s="5">
        <f t="shared" si="215"/>
        <v>1</v>
      </c>
      <c r="L3408" s="5">
        <v>1</v>
      </c>
      <c r="M3408" s="5">
        <v>1</v>
      </c>
      <c r="N3408" t="s">
        <v>9</v>
      </c>
      <c r="O3408" s="8">
        <v>21.123287671232877</v>
      </c>
      <c r="P3408" t="s">
        <v>33</v>
      </c>
      <c r="Q3408">
        <v>2</v>
      </c>
      <c r="R3408" s="2">
        <v>38426</v>
      </c>
    </row>
    <row r="3409" spans="1:18" x14ac:dyDescent="0.3">
      <c r="A3409" t="s">
        <v>7</v>
      </c>
      <c r="B3409">
        <v>19020337</v>
      </c>
      <c r="C3409" t="s">
        <v>8</v>
      </c>
      <c r="D3409" s="4">
        <v>46136</v>
      </c>
      <c r="E3409" s="11">
        <f t="shared" si="212"/>
        <v>2026</v>
      </c>
      <c r="F3409" s="11">
        <f t="shared" si="213"/>
        <v>4</v>
      </c>
      <c r="G3409" s="11" t="str">
        <f t="shared" si="214"/>
        <v>202604</v>
      </c>
      <c r="I3409" s="5">
        <v>9999</v>
      </c>
      <c r="J3409" s="5">
        <v>333.3</v>
      </c>
      <c r="K3409" s="5">
        <f t="shared" si="215"/>
        <v>0</v>
      </c>
      <c r="L3409" s="5">
        <v>0</v>
      </c>
      <c r="M3409" s="5">
        <v>0</v>
      </c>
      <c r="N3409" t="s">
        <v>9</v>
      </c>
      <c r="O3409" s="8">
        <v>18.531506849315068</v>
      </c>
      <c r="P3409" t="s">
        <v>32</v>
      </c>
      <c r="Q3409">
        <v>1</v>
      </c>
      <c r="R3409" s="2">
        <v>39372</v>
      </c>
    </row>
    <row r="3410" spans="1:18" x14ac:dyDescent="0.3">
      <c r="A3410" t="s">
        <v>7</v>
      </c>
      <c r="B3410">
        <v>19020385</v>
      </c>
      <c r="C3410" t="s">
        <v>8</v>
      </c>
      <c r="D3410" s="4">
        <v>46135</v>
      </c>
      <c r="E3410" s="11">
        <f t="shared" si="212"/>
        <v>2026</v>
      </c>
      <c r="F3410" s="11">
        <f t="shared" si="213"/>
        <v>4</v>
      </c>
      <c r="G3410" s="11" t="str">
        <f t="shared" si="214"/>
        <v>202604</v>
      </c>
      <c r="I3410" s="5">
        <v>9999</v>
      </c>
      <c r="J3410" s="5">
        <v>333.3</v>
      </c>
      <c r="K3410" s="5">
        <f t="shared" si="215"/>
        <v>0</v>
      </c>
      <c r="L3410" s="5">
        <v>0</v>
      </c>
      <c r="M3410" s="5">
        <v>0</v>
      </c>
      <c r="N3410" t="s">
        <v>12</v>
      </c>
      <c r="O3410" s="8">
        <v>47.112328767123287</v>
      </c>
      <c r="P3410" t="s">
        <v>35</v>
      </c>
      <c r="Q3410">
        <v>4</v>
      </c>
      <c r="R3410" s="2">
        <v>28939</v>
      </c>
    </row>
    <row r="3411" spans="1:18" x14ac:dyDescent="0.3">
      <c r="A3411" t="s">
        <v>7</v>
      </c>
      <c r="B3411">
        <v>19020526</v>
      </c>
      <c r="C3411" t="s">
        <v>8</v>
      </c>
      <c r="D3411" s="4">
        <v>46139</v>
      </c>
      <c r="E3411" s="11">
        <f t="shared" si="212"/>
        <v>2026</v>
      </c>
      <c r="F3411" s="11">
        <f t="shared" si="213"/>
        <v>4</v>
      </c>
      <c r="G3411" s="11" t="str">
        <f t="shared" si="214"/>
        <v>202604</v>
      </c>
      <c r="I3411" s="5">
        <v>9999</v>
      </c>
      <c r="J3411" s="5">
        <v>333.3</v>
      </c>
      <c r="K3411" s="5">
        <f t="shared" si="215"/>
        <v>0</v>
      </c>
      <c r="L3411" s="5">
        <v>0</v>
      </c>
      <c r="M3411" s="5">
        <v>0</v>
      </c>
      <c r="N3411" t="s">
        <v>9</v>
      </c>
      <c r="O3411" s="8">
        <v>19.427397260273974</v>
      </c>
      <c r="P3411" t="s">
        <v>32</v>
      </c>
      <c r="Q3411">
        <v>1</v>
      </c>
      <c r="R3411" s="2">
        <v>39048</v>
      </c>
    </row>
    <row r="3412" spans="1:18" x14ac:dyDescent="0.3">
      <c r="A3412" t="s">
        <v>7</v>
      </c>
      <c r="B3412">
        <v>19020628</v>
      </c>
      <c r="C3412" t="s">
        <v>8</v>
      </c>
      <c r="D3412" s="4">
        <v>46139</v>
      </c>
      <c r="E3412" s="11">
        <f t="shared" si="212"/>
        <v>2026</v>
      </c>
      <c r="F3412" s="11">
        <f t="shared" si="213"/>
        <v>4</v>
      </c>
      <c r="G3412" s="11" t="str">
        <f t="shared" si="214"/>
        <v>202604</v>
      </c>
      <c r="I3412" s="5">
        <v>9999</v>
      </c>
      <c r="J3412" s="5">
        <v>333.3</v>
      </c>
      <c r="K3412" s="5">
        <f t="shared" si="215"/>
        <v>0</v>
      </c>
      <c r="L3412" s="5">
        <v>0</v>
      </c>
      <c r="M3412" s="5">
        <v>0</v>
      </c>
      <c r="N3412" t="s">
        <v>9</v>
      </c>
      <c r="O3412" s="8">
        <v>21.846575342465755</v>
      </c>
      <c r="P3412" t="s">
        <v>33</v>
      </c>
      <c r="Q3412">
        <v>2</v>
      </c>
      <c r="R3412" s="2">
        <v>38165</v>
      </c>
    </row>
    <row r="3413" spans="1:18" x14ac:dyDescent="0.3">
      <c r="A3413" t="s">
        <v>7</v>
      </c>
      <c r="B3413">
        <v>19020886</v>
      </c>
      <c r="C3413" t="s">
        <v>10</v>
      </c>
      <c r="D3413" s="4">
        <v>46140</v>
      </c>
      <c r="E3413" s="11">
        <f t="shared" si="212"/>
        <v>2026</v>
      </c>
      <c r="F3413" s="11">
        <f t="shared" si="213"/>
        <v>4</v>
      </c>
      <c r="G3413" s="11" t="str">
        <f t="shared" si="214"/>
        <v>202604</v>
      </c>
      <c r="I3413" s="5">
        <v>9999</v>
      </c>
      <c r="J3413" s="5">
        <v>333.3</v>
      </c>
      <c r="K3413" s="5">
        <f t="shared" si="215"/>
        <v>0</v>
      </c>
      <c r="L3413" s="5">
        <v>0</v>
      </c>
      <c r="M3413" s="5">
        <v>0</v>
      </c>
      <c r="N3413" t="s">
        <v>12</v>
      </c>
      <c r="O3413" s="8">
        <v>20.452054794520549</v>
      </c>
      <c r="P3413" t="s">
        <v>32</v>
      </c>
      <c r="Q3413">
        <v>1</v>
      </c>
      <c r="R3413" s="2">
        <v>38675</v>
      </c>
    </row>
    <row r="3414" spans="1:18" x14ac:dyDescent="0.3">
      <c r="A3414" t="s">
        <v>7</v>
      </c>
      <c r="B3414">
        <v>19020951</v>
      </c>
      <c r="C3414" t="s">
        <v>8</v>
      </c>
      <c r="D3414" s="4">
        <v>46140</v>
      </c>
      <c r="E3414" s="11">
        <f t="shared" si="212"/>
        <v>2026</v>
      </c>
      <c r="F3414" s="11">
        <f t="shared" si="213"/>
        <v>4</v>
      </c>
      <c r="G3414" s="11" t="str">
        <f t="shared" si="214"/>
        <v>202604</v>
      </c>
      <c r="I3414" s="5">
        <v>9999</v>
      </c>
      <c r="J3414" s="5">
        <v>333.3</v>
      </c>
      <c r="K3414" s="5">
        <f t="shared" si="215"/>
        <v>0</v>
      </c>
      <c r="L3414" s="5">
        <v>0</v>
      </c>
      <c r="M3414" s="5">
        <v>0</v>
      </c>
      <c r="N3414" t="s">
        <v>9</v>
      </c>
      <c r="O3414" s="8">
        <v>18.241095890410961</v>
      </c>
      <c r="P3414" t="s">
        <v>32</v>
      </c>
      <c r="Q3414">
        <v>1</v>
      </c>
      <c r="R3414" s="2">
        <v>39482</v>
      </c>
    </row>
    <row r="3415" spans="1:18" x14ac:dyDescent="0.3">
      <c r="A3415" t="s">
        <v>11</v>
      </c>
      <c r="B3415">
        <v>19020959</v>
      </c>
      <c r="C3415" t="s">
        <v>8</v>
      </c>
      <c r="D3415" s="4">
        <v>46140</v>
      </c>
      <c r="E3415" s="11">
        <f t="shared" si="212"/>
        <v>2026</v>
      </c>
      <c r="F3415" s="11">
        <f t="shared" si="213"/>
        <v>4</v>
      </c>
      <c r="G3415" s="11" t="str">
        <f t="shared" si="214"/>
        <v>202604</v>
      </c>
      <c r="I3415" s="5">
        <v>9999</v>
      </c>
      <c r="J3415" s="5">
        <v>333.3</v>
      </c>
      <c r="K3415" s="5">
        <f t="shared" si="215"/>
        <v>0</v>
      </c>
      <c r="L3415" s="5">
        <v>0</v>
      </c>
      <c r="M3415" s="5">
        <v>0</v>
      </c>
      <c r="N3415" t="s">
        <v>9</v>
      </c>
      <c r="O3415" s="8">
        <v>25.356164383561644</v>
      </c>
      <c r="P3415" t="s">
        <v>33</v>
      </c>
      <c r="Q3415">
        <v>2</v>
      </c>
      <c r="R3415" s="2">
        <v>36885</v>
      </c>
    </row>
    <row r="3416" spans="1:18" x14ac:dyDescent="0.3">
      <c r="A3416" t="s">
        <v>7</v>
      </c>
      <c r="B3416">
        <v>19020975</v>
      </c>
      <c r="C3416" t="s">
        <v>8</v>
      </c>
      <c r="D3416" s="4">
        <v>46140</v>
      </c>
      <c r="E3416" s="11">
        <f t="shared" si="212"/>
        <v>2026</v>
      </c>
      <c r="F3416" s="11">
        <f t="shared" si="213"/>
        <v>4</v>
      </c>
      <c r="G3416" s="11" t="str">
        <f t="shared" si="214"/>
        <v>202604</v>
      </c>
      <c r="H3416" s="4">
        <v>46174</v>
      </c>
      <c r="I3416" s="5">
        <v>34</v>
      </c>
      <c r="J3416" s="5">
        <v>1.1333333333333333</v>
      </c>
      <c r="K3416" s="5">
        <f t="shared" si="215"/>
        <v>0</v>
      </c>
      <c r="L3416" s="5">
        <v>1</v>
      </c>
      <c r="M3416" s="5">
        <v>1</v>
      </c>
      <c r="N3416" t="s">
        <v>9</v>
      </c>
      <c r="O3416" s="8">
        <v>19.734246575342464</v>
      </c>
      <c r="P3416" t="s">
        <v>32</v>
      </c>
      <c r="Q3416">
        <v>1</v>
      </c>
      <c r="R3416" s="2">
        <v>38937</v>
      </c>
    </row>
    <row r="3417" spans="1:18" x14ac:dyDescent="0.3">
      <c r="A3417" t="s">
        <v>7</v>
      </c>
      <c r="B3417">
        <v>19021026</v>
      </c>
      <c r="C3417" t="s">
        <v>8</v>
      </c>
      <c r="D3417" s="4">
        <v>46140</v>
      </c>
      <c r="E3417" s="11">
        <f t="shared" si="212"/>
        <v>2026</v>
      </c>
      <c r="F3417" s="11">
        <f t="shared" si="213"/>
        <v>4</v>
      </c>
      <c r="G3417" s="11" t="str">
        <f t="shared" si="214"/>
        <v>202604</v>
      </c>
      <c r="I3417" s="5">
        <v>9999</v>
      </c>
      <c r="J3417" s="5">
        <v>333.3</v>
      </c>
      <c r="K3417" s="5">
        <f t="shared" si="215"/>
        <v>0</v>
      </c>
      <c r="L3417" s="5">
        <v>0</v>
      </c>
      <c r="M3417" s="5">
        <v>0</v>
      </c>
      <c r="N3417" t="s">
        <v>9</v>
      </c>
      <c r="O3417" s="8">
        <v>24.876712328767123</v>
      </c>
      <c r="P3417" t="s">
        <v>33</v>
      </c>
      <c r="Q3417">
        <v>2</v>
      </c>
      <c r="R3417" s="2">
        <v>37060</v>
      </c>
    </row>
    <row r="3418" spans="1:18" x14ac:dyDescent="0.3">
      <c r="A3418" t="s">
        <v>7</v>
      </c>
      <c r="B3418">
        <v>19021028</v>
      </c>
      <c r="C3418" t="s">
        <v>8</v>
      </c>
      <c r="D3418" s="4">
        <v>46140</v>
      </c>
      <c r="E3418" s="11">
        <f t="shared" si="212"/>
        <v>2026</v>
      </c>
      <c r="F3418" s="11">
        <f t="shared" si="213"/>
        <v>4</v>
      </c>
      <c r="G3418" s="11" t="str">
        <f t="shared" si="214"/>
        <v>202604</v>
      </c>
      <c r="I3418" s="5">
        <v>9999</v>
      </c>
      <c r="J3418" s="5">
        <v>333.3</v>
      </c>
      <c r="K3418" s="5">
        <f t="shared" si="215"/>
        <v>0</v>
      </c>
      <c r="L3418" s="5">
        <v>0</v>
      </c>
      <c r="M3418" s="5">
        <v>0</v>
      </c>
      <c r="N3418" t="s">
        <v>9</v>
      </c>
      <c r="O3418" s="8">
        <v>23.254794520547946</v>
      </c>
      <c r="P3418" t="s">
        <v>33</v>
      </c>
      <c r="Q3418">
        <v>2</v>
      </c>
      <c r="R3418" s="2">
        <v>37652</v>
      </c>
    </row>
    <row r="3419" spans="1:18" x14ac:dyDescent="0.3">
      <c r="A3419" t="s">
        <v>7</v>
      </c>
      <c r="B3419">
        <v>19021057</v>
      </c>
      <c r="C3419" t="s">
        <v>8</v>
      </c>
      <c r="D3419" s="4">
        <v>46140</v>
      </c>
      <c r="E3419" s="11">
        <f t="shared" si="212"/>
        <v>2026</v>
      </c>
      <c r="F3419" s="11">
        <f t="shared" si="213"/>
        <v>4</v>
      </c>
      <c r="G3419" s="11" t="str">
        <f t="shared" si="214"/>
        <v>202604</v>
      </c>
      <c r="H3419" s="4">
        <v>46154</v>
      </c>
      <c r="I3419" s="5">
        <v>14</v>
      </c>
      <c r="J3419" s="5">
        <v>0.46666666666666667</v>
      </c>
      <c r="K3419" s="5">
        <f t="shared" si="215"/>
        <v>1</v>
      </c>
      <c r="L3419" s="5">
        <v>1</v>
      </c>
      <c r="M3419" s="5">
        <v>1</v>
      </c>
      <c r="N3419" t="s">
        <v>9</v>
      </c>
      <c r="O3419" s="8">
        <v>47.972602739726028</v>
      </c>
      <c r="P3419" t="s">
        <v>35</v>
      </c>
      <c r="Q3419">
        <v>4</v>
      </c>
      <c r="R3419" s="2">
        <v>28630</v>
      </c>
    </row>
    <row r="3420" spans="1:18" x14ac:dyDescent="0.3">
      <c r="A3420" t="s">
        <v>7</v>
      </c>
      <c r="B3420">
        <v>19021096</v>
      </c>
      <c r="C3420" t="s">
        <v>10</v>
      </c>
      <c r="D3420" s="4">
        <v>46140</v>
      </c>
      <c r="E3420" s="11">
        <f t="shared" si="212"/>
        <v>2026</v>
      </c>
      <c r="F3420" s="11">
        <f t="shared" si="213"/>
        <v>4</v>
      </c>
      <c r="G3420" s="11" t="str">
        <f t="shared" si="214"/>
        <v>202604</v>
      </c>
      <c r="I3420" s="5">
        <v>9999</v>
      </c>
      <c r="J3420" s="5">
        <v>333.3</v>
      </c>
      <c r="K3420" s="5">
        <f t="shared" si="215"/>
        <v>0</v>
      </c>
      <c r="L3420" s="5">
        <v>0</v>
      </c>
      <c r="M3420" s="5">
        <v>0</v>
      </c>
      <c r="N3420" t="s">
        <v>12</v>
      </c>
      <c r="O3420" s="8">
        <v>20.241095890410961</v>
      </c>
      <c r="P3420" t="s">
        <v>32</v>
      </c>
      <c r="Q3420">
        <v>1</v>
      </c>
      <c r="R3420" s="2">
        <v>38752</v>
      </c>
    </row>
    <row r="3421" spans="1:18" x14ac:dyDescent="0.3">
      <c r="A3421" t="s">
        <v>7</v>
      </c>
      <c r="B3421">
        <v>19021136</v>
      </c>
      <c r="C3421" t="s">
        <v>8</v>
      </c>
      <c r="D3421" s="4">
        <v>46141</v>
      </c>
      <c r="E3421" s="11">
        <f t="shared" si="212"/>
        <v>2026</v>
      </c>
      <c r="F3421" s="11">
        <f t="shared" si="213"/>
        <v>4</v>
      </c>
      <c r="G3421" s="11" t="str">
        <f t="shared" si="214"/>
        <v>202604</v>
      </c>
      <c r="I3421" s="5">
        <v>9999</v>
      </c>
      <c r="J3421" s="5">
        <v>333.3</v>
      </c>
      <c r="K3421" s="5">
        <f t="shared" si="215"/>
        <v>0</v>
      </c>
      <c r="L3421" s="5">
        <v>0</v>
      </c>
      <c r="M3421" s="5">
        <v>0</v>
      </c>
      <c r="N3421" t="s">
        <v>12</v>
      </c>
      <c r="O3421" s="8">
        <v>20.783561643835615</v>
      </c>
      <c r="P3421" t="s">
        <v>32</v>
      </c>
      <c r="Q3421">
        <v>1</v>
      </c>
      <c r="R3421" s="2">
        <v>38555</v>
      </c>
    </row>
    <row r="3422" spans="1:18" x14ac:dyDescent="0.3">
      <c r="A3422" t="s">
        <v>7</v>
      </c>
      <c r="B3422">
        <v>19021235</v>
      </c>
      <c r="C3422" t="s">
        <v>8</v>
      </c>
      <c r="D3422" s="4">
        <v>46141</v>
      </c>
      <c r="E3422" s="11">
        <f t="shared" si="212"/>
        <v>2026</v>
      </c>
      <c r="F3422" s="11">
        <f t="shared" si="213"/>
        <v>4</v>
      </c>
      <c r="G3422" s="11" t="str">
        <f t="shared" si="214"/>
        <v>202604</v>
      </c>
      <c r="I3422" s="5">
        <v>9999</v>
      </c>
      <c r="J3422" s="5">
        <v>333.3</v>
      </c>
      <c r="K3422" s="5">
        <f t="shared" si="215"/>
        <v>0</v>
      </c>
      <c r="L3422" s="5">
        <v>0</v>
      </c>
      <c r="M3422" s="5">
        <v>0</v>
      </c>
      <c r="N3422" t="s">
        <v>9</v>
      </c>
      <c r="O3422" s="8">
        <v>24.698630136986303</v>
      </c>
      <c r="P3422" t="s">
        <v>33</v>
      </c>
      <c r="Q3422">
        <v>2</v>
      </c>
      <c r="R3422" s="2">
        <v>37126</v>
      </c>
    </row>
    <row r="3423" spans="1:18" x14ac:dyDescent="0.3">
      <c r="A3423" t="s">
        <v>7</v>
      </c>
      <c r="B3423">
        <v>19021236</v>
      </c>
      <c r="C3423" t="s">
        <v>10</v>
      </c>
      <c r="D3423" s="4">
        <v>46141</v>
      </c>
      <c r="E3423" s="11">
        <f t="shared" si="212"/>
        <v>2026</v>
      </c>
      <c r="F3423" s="11">
        <f t="shared" si="213"/>
        <v>4</v>
      </c>
      <c r="G3423" s="11" t="str">
        <f t="shared" si="214"/>
        <v>202604</v>
      </c>
      <c r="I3423" s="5">
        <v>9999</v>
      </c>
      <c r="J3423" s="5">
        <v>333.3</v>
      </c>
      <c r="K3423" s="5">
        <f t="shared" si="215"/>
        <v>0</v>
      </c>
      <c r="L3423" s="5">
        <v>0</v>
      </c>
      <c r="M3423" s="5">
        <v>0</v>
      </c>
      <c r="N3423" t="s">
        <v>9</v>
      </c>
      <c r="O3423" s="8">
        <v>21.6</v>
      </c>
      <c r="P3423" t="s">
        <v>33</v>
      </c>
      <c r="Q3423">
        <v>2</v>
      </c>
      <c r="R3423" s="2">
        <v>38257</v>
      </c>
    </row>
    <row r="3424" spans="1:18" x14ac:dyDescent="0.3">
      <c r="A3424" t="s">
        <v>7</v>
      </c>
      <c r="B3424">
        <v>19021237</v>
      </c>
      <c r="C3424" t="s">
        <v>8</v>
      </c>
      <c r="D3424" s="4">
        <v>46141</v>
      </c>
      <c r="E3424" s="11">
        <f t="shared" si="212"/>
        <v>2026</v>
      </c>
      <c r="F3424" s="11">
        <f t="shared" si="213"/>
        <v>4</v>
      </c>
      <c r="G3424" s="11" t="str">
        <f t="shared" si="214"/>
        <v>202604</v>
      </c>
      <c r="I3424" s="5">
        <v>9999</v>
      </c>
      <c r="J3424" s="5">
        <v>333.3</v>
      </c>
      <c r="K3424" s="5">
        <f t="shared" si="215"/>
        <v>0</v>
      </c>
      <c r="L3424" s="5">
        <v>0</v>
      </c>
      <c r="M3424" s="5">
        <v>0</v>
      </c>
      <c r="N3424" t="s">
        <v>12</v>
      </c>
      <c r="O3424" s="8">
        <v>21.476712328767125</v>
      </c>
      <c r="P3424" t="s">
        <v>33</v>
      </c>
      <c r="Q3424">
        <v>2</v>
      </c>
      <c r="R3424" s="2">
        <v>38302</v>
      </c>
    </row>
    <row r="3425" spans="1:18" x14ac:dyDescent="0.3">
      <c r="A3425" t="s">
        <v>7</v>
      </c>
      <c r="B3425">
        <v>19021301</v>
      </c>
      <c r="C3425" t="s">
        <v>8</v>
      </c>
      <c r="D3425" s="4">
        <v>46141</v>
      </c>
      <c r="E3425" s="11">
        <f t="shared" si="212"/>
        <v>2026</v>
      </c>
      <c r="F3425" s="11">
        <f t="shared" si="213"/>
        <v>4</v>
      </c>
      <c r="G3425" s="11" t="str">
        <f t="shared" si="214"/>
        <v>202604</v>
      </c>
      <c r="H3425" s="4">
        <v>46173</v>
      </c>
      <c r="I3425" s="5">
        <v>32</v>
      </c>
      <c r="J3425" s="5">
        <v>1.0666666666666667</v>
      </c>
      <c r="K3425" s="5">
        <f t="shared" si="215"/>
        <v>0</v>
      </c>
      <c r="L3425" s="5">
        <v>1</v>
      </c>
      <c r="M3425" s="5">
        <v>1</v>
      </c>
      <c r="N3425" t="s">
        <v>12</v>
      </c>
      <c r="O3425" s="8">
        <v>26.575342465753426</v>
      </c>
      <c r="P3425" t="s">
        <v>34</v>
      </c>
      <c r="Q3425">
        <v>3</v>
      </c>
      <c r="R3425" s="2">
        <v>36441</v>
      </c>
    </row>
    <row r="3426" spans="1:18" x14ac:dyDescent="0.3">
      <c r="A3426" t="s">
        <v>7</v>
      </c>
      <c r="B3426">
        <v>19021312</v>
      </c>
      <c r="C3426" t="s">
        <v>10</v>
      </c>
      <c r="D3426" s="4">
        <v>46141</v>
      </c>
      <c r="E3426" s="11">
        <f t="shared" si="212"/>
        <v>2026</v>
      </c>
      <c r="F3426" s="11">
        <f t="shared" si="213"/>
        <v>4</v>
      </c>
      <c r="G3426" s="11" t="str">
        <f t="shared" si="214"/>
        <v>202604</v>
      </c>
      <c r="I3426" s="5">
        <v>9999</v>
      </c>
      <c r="J3426" s="5">
        <v>333.3</v>
      </c>
      <c r="K3426" s="5">
        <f t="shared" si="215"/>
        <v>0</v>
      </c>
      <c r="L3426" s="5">
        <v>0</v>
      </c>
      <c r="M3426" s="5">
        <v>0</v>
      </c>
      <c r="N3426" t="s">
        <v>12</v>
      </c>
      <c r="O3426" s="8">
        <v>23.813698630136987</v>
      </c>
      <c r="P3426" t="s">
        <v>33</v>
      </c>
      <c r="Q3426">
        <v>2</v>
      </c>
      <c r="R3426" s="2">
        <v>37449</v>
      </c>
    </row>
    <row r="3427" spans="1:18" x14ac:dyDescent="0.3">
      <c r="A3427" t="s">
        <v>7</v>
      </c>
      <c r="B3427">
        <v>19021352</v>
      </c>
      <c r="C3427" t="s">
        <v>8</v>
      </c>
      <c r="D3427" s="4">
        <v>46141</v>
      </c>
      <c r="E3427" s="11">
        <f t="shared" si="212"/>
        <v>2026</v>
      </c>
      <c r="F3427" s="11">
        <f t="shared" si="213"/>
        <v>4</v>
      </c>
      <c r="G3427" s="11" t="str">
        <f t="shared" si="214"/>
        <v>202604</v>
      </c>
      <c r="I3427" s="5">
        <v>9999</v>
      </c>
      <c r="J3427" s="5">
        <v>333.3</v>
      </c>
      <c r="K3427" s="5">
        <f t="shared" si="215"/>
        <v>0</v>
      </c>
      <c r="L3427" s="5">
        <v>0</v>
      </c>
      <c r="M3427" s="5">
        <v>0</v>
      </c>
      <c r="N3427" t="s">
        <v>9</v>
      </c>
      <c r="O3427" s="8">
        <v>20.572602739726026</v>
      </c>
      <c r="P3427" t="s">
        <v>32</v>
      </c>
      <c r="Q3427">
        <v>1</v>
      </c>
      <c r="R3427" s="2">
        <v>38632</v>
      </c>
    </row>
    <row r="3428" spans="1:18" x14ac:dyDescent="0.3">
      <c r="A3428" t="s">
        <v>11</v>
      </c>
      <c r="B3428">
        <v>19021697</v>
      </c>
      <c r="C3428" t="s">
        <v>8</v>
      </c>
      <c r="D3428" s="4">
        <v>46144</v>
      </c>
      <c r="E3428" s="11">
        <f t="shared" si="212"/>
        <v>2026</v>
      </c>
      <c r="F3428" s="11">
        <f t="shared" si="213"/>
        <v>5</v>
      </c>
      <c r="G3428" s="11" t="str">
        <f t="shared" si="214"/>
        <v>202605</v>
      </c>
      <c r="I3428" s="5">
        <v>9999</v>
      </c>
      <c r="J3428" s="5">
        <v>333.3</v>
      </c>
      <c r="K3428" s="5">
        <f t="shared" si="215"/>
        <v>0</v>
      </c>
      <c r="L3428" s="5">
        <v>0</v>
      </c>
      <c r="M3428" s="5">
        <v>0</v>
      </c>
      <c r="N3428" t="s">
        <v>9</v>
      </c>
      <c r="O3428" s="8">
        <v>25.18904109589041</v>
      </c>
      <c r="P3428" t="s">
        <v>33</v>
      </c>
      <c r="Q3428">
        <v>2</v>
      </c>
      <c r="R3428" s="2">
        <v>36950</v>
      </c>
    </row>
    <row r="3429" spans="1:18" x14ac:dyDescent="0.3">
      <c r="A3429" t="s">
        <v>7</v>
      </c>
      <c r="B3429">
        <v>19021702</v>
      </c>
      <c r="C3429" t="s">
        <v>8</v>
      </c>
      <c r="D3429" s="4">
        <v>46144</v>
      </c>
      <c r="E3429" s="11">
        <f t="shared" si="212"/>
        <v>2026</v>
      </c>
      <c r="F3429" s="11">
        <f t="shared" si="213"/>
        <v>5</v>
      </c>
      <c r="G3429" s="11" t="str">
        <f t="shared" si="214"/>
        <v>202605</v>
      </c>
      <c r="I3429" s="5">
        <v>9999</v>
      </c>
      <c r="J3429" s="5">
        <v>333.3</v>
      </c>
      <c r="K3429" s="5">
        <f t="shared" si="215"/>
        <v>0</v>
      </c>
      <c r="L3429" s="5">
        <v>0</v>
      </c>
      <c r="M3429" s="5">
        <v>0</v>
      </c>
      <c r="N3429" t="s">
        <v>9</v>
      </c>
      <c r="O3429" s="8">
        <v>38.972602739726028</v>
      </c>
      <c r="P3429" t="s">
        <v>35</v>
      </c>
      <c r="Q3429">
        <v>4</v>
      </c>
      <c r="R3429" s="2">
        <v>31919</v>
      </c>
    </row>
    <row r="3430" spans="1:18" x14ac:dyDescent="0.3">
      <c r="A3430" t="s">
        <v>7</v>
      </c>
      <c r="B3430">
        <v>19021711</v>
      </c>
      <c r="C3430" t="s">
        <v>8</v>
      </c>
      <c r="D3430" s="4">
        <v>46144</v>
      </c>
      <c r="E3430" s="11">
        <f t="shared" si="212"/>
        <v>2026</v>
      </c>
      <c r="F3430" s="11">
        <f t="shared" si="213"/>
        <v>5</v>
      </c>
      <c r="G3430" s="11" t="str">
        <f t="shared" si="214"/>
        <v>202605</v>
      </c>
      <c r="I3430" s="5">
        <v>9999</v>
      </c>
      <c r="J3430" s="5">
        <v>333.3</v>
      </c>
      <c r="K3430" s="5">
        <f t="shared" si="215"/>
        <v>0</v>
      </c>
      <c r="L3430" s="5">
        <v>0</v>
      </c>
      <c r="M3430" s="5">
        <v>0</v>
      </c>
      <c r="N3430" t="s">
        <v>9</v>
      </c>
      <c r="O3430" s="8">
        <v>22.547945205479451</v>
      </c>
      <c r="P3430" t="s">
        <v>33</v>
      </c>
      <c r="Q3430">
        <v>2</v>
      </c>
      <c r="R3430" s="2">
        <v>37914</v>
      </c>
    </row>
    <row r="3431" spans="1:18" x14ac:dyDescent="0.3">
      <c r="A3431" t="s">
        <v>7</v>
      </c>
      <c r="B3431">
        <v>19021810</v>
      </c>
      <c r="C3431" t="s">
        <v>8</v>
      </c>
      <c r="D3431" s="4">
        <v>46146</v>
      </c>
      <c r="E3431" s="11">
        <f t="shared" si="212"/>
        <v>2026</v>
      </c>
      <c r="F3431" s="11">
        <f t="shared" si="213"/>
        <v>5</v>
      </c>
      <c r="G3431" s="11" t="str">
        <f t="shared" si="214"/>
        <v>202605</v>
      </c>
      <c r="I3431" s="5">
        <v>9999</v>
      </c>
      <c r="J3431" s="5">
        <v>333.3</v>
      </c>
      <c r="K3431" s="5">
        <f t="shared" si="215"/>
        <v>0</v>
      </c>
      <c r="L3431" s="5">
        <v>0</v>
      </c>
      <c r="M3431" s="5">
        <v>0</v>
      </c>
      <c r="N3431" t="s">
        <v>12</v>
      </c>
      <c r="O3431" s="8">
        <v>19.18904109589041</v>
      </c>
      <c r="P3431" t="s">
        <v>32</v>
      </c>
      <c r="Q3431">
        <v>1</v>
      </c>
      <c r="R3431" s="2">
        <v>39142</v>
      </c>
    </row>
    <row r="3432" spans="1:18" x14ac:dyDescent="0.3">
      <c r="A3432" t="s">
        <v>7</v>
      </c>
      <c r="B3432">
        <v>19021927</v>
      </c>
      <c r="C3432" t="s">
        <v>10</v>
      </c>
      <c r="D3432" s="4">
        <v>46146</v>
      </c>
      <c r="E3432" s="11">
        <f t="shared" si="212"/>
        <v>2026</v>
      </c>
      <c r="F3432" s="11">
        <f t="shared" si="213"/>
        <v>5</v>
      </c>
      <c r="G3432" s="11" t="str">
        <f t="shared" si="214"/>
        <v>202605</v>
      </c>
      <c r="I3432" s="5">
        <v>9999</v>
      </c>
      <c r="J3432" s="5">
        <v>333.3</v>
      </c>
      <c r="K3432" s="5">
        <f t="shared" si="215"/>
        <v>0</v>
      </c>
      <c r="L3432" s="5">
        <v>0</v>
      </c>
      <c r="M3432" s="5">
        <v>0</v>
      </c>
      <c r="N3432" t="s">
        <v>9</v>
      </c>
      <c r="O3432" s="8">
        <v>22.531506849315068</v>
      </c>
      <c r="P3432" t="s">
        <v>33</v>
      </c>
      <c r="Q3432">
        <v>2</v>
      </c>
      <c r="R3432" s="2">
        <v>37922</v>
      </c>
    </row>
    <row r="3433" spans="1:18" x14ac:dyDescent="0.3">
      <c r="A3433" t="s">
        <v>11</v>
      </c>
      <c r="B3433">
        <v>19022048</v>
      </c>
      <c r="C3433" t="s">
        <v>8</v>
      </c>
      <c r="D3433" s="4">
        <v>46146</v>
      </c>
      <c r="E3433" s="11">
        <f t="shared" si="212"/>
        <v>2026</v>
      </c>
      <c r="F3433" s="11">
        <f t="shared" si="213"/>
        <v>5</v>
      </c>
      <c r="G3433" s="11" t="str">
        <f t="shared" si="214"/>
        <v>202605</v>
      </c>
      <c r="I3433" s="5">
        <v>9999</v>
      </c>
      <c r="J3433" s="5">
        <v>333.3</v>
      </c>
      <c r="K3433" s="5">
        <f t="shared" si="215"/>
        <v>0</v>
      </c>
      <c r="L3433" s="5">
        <v>0</v>
      </c>
      <c r="M3433" s="5">
        <v>0</v>
      </c>
      <c r="N3433" t="s">
        <v>9</v>
      </c>
      <c r="O3433" s="8">
        <v>19.706849315068492</v>
      </c>
      <c r="P3433" t="s">
        <v>32</v>
      </c>
      <c r="Q3433">
        <v>1</v>
      </c>
      <c r="R3433" s="2">
        <v>38953</v>
      </c>
    </row>
    <row r="3434" spans="1:18" x14ac:dyDescent="0.3">
      <c r="A3434" t="s">
        <v>7</v>
      </c>
      <c r="B3434">
        <v>19022116</v>
      </c>
      <c r="C3434" t="s">
        <v>8</v>
      </c>
      <c r="D3434" s="4">
        <v>46147</v>
      </c>
      <c r="E3434" s="11">
        <f t="shared" si="212"/>
        <v>2026</v>
      </c>
      <c r="F3434" s="11">
        <f t="shared" si="213"/>
        <v>5</v>
      </c>
      <c r="G3434" s="11" t="str">
        <f t="shared" si="214"/>
        <v>202605</v>
      </c>
      <c r="I3434" s="5">
        <v>9999</v>
      </c>
      <c r="J3434" s="5">
        <v>333.3</v>
      </c>
      <c r="K3434" s="5">
        <f t="shared" si="215"/>
        <v>0</v>
      </c>
      <c r="L3434" s="5">
        <v>0</v>
      </c>
      <c r="M3434" s="5">
        <v>0</v>
      </c>
      <c r="N3434" t="s">
        <v>9</v>
      </c>
      <c r="O3434" s="8">
        <v>23</v>
      </c>
      <c r="P3434" t="s">
        <v>33</v>
      </c>
      <c r="Q3434">
        <v>2</v>
      </c>
      <c r="R3434" s="2">
        <v>37752</v>
      </c>
    </row>
    <row r="3435" spans="1:18" x14ac:dyDescent="0.3">
      <c r="A3435" t="s">
        <v>7</v>
      </c>
      <c r="B3435">
        <v>19022120</v>
      </c>
      <c r="C3435" t="s">
        <v>8</v>
      </c>
      <c r="D3435" s="4">
        <v>46147</v>
      </c>
      <c r="E3435" s="11">
        <f t="shared" si="212"/>
        <v>2026</v>
      </c>
      <c r="F3435" s="11">
        <f t="shared" si="213"/>
        <v>5</v>
      </c>
      <c r="G3435" s="11" t="str">
        <f t="shared" si="214"/>
        <v>202605</v>
      </c>
      <c r="I3435" s="5">
        <v>9999</v>
      </c>
      <c r="J3435" s="5">
        <v>333.3</v>
      </c>
      <c r="K3435" s="5">
        <f t="shared" si="215"/>
        <v>0</v>
      </c>
      <c r="L3435" s="5">
        <v>0</v>
      </c>
      <c r="M3435" s="5">
        <v>0</v>
      </c>
      <c r="N3435" t="s">
        <v>12</v>
      </c>
      <c r="O3435" s="8">
        <v>30.860273972602741</v>
      </c>
      <c r="P3435" t="s">
        <v>34</v>
      </c>
      <c r="Q3435">
        <v>3</v>
      </c>
      <c r="R3435" s="2">
        <v>34883</v>
      </c>
    </row>
    <row r="3436" spans="1:18" x14ac:dyDescent="0.3">
      <c r="A3436" t="s">
        <v>7</v>
      </c>
      <c r="B3436">
        <v>19022129</v>
      </c>
      <c r="C3436" t="s">
        <v>8</v>
      </c>
      <c r="D3436" s="4">
        <v>46147</v>
      </c>
      <c r="E3436" s="11">
        <f t="shared" si="212"/>
        <v>2026</v>
      </c>
      <c r="F3436" s="11">
        <f t="shared" si="213"/>
        <v>5</v>
      </c>
      <c r="G3436" s="11" t="str">
        <f t="shared" si="214"/>
        <v>202605</v>
      </c>
      <c r="I3436" s="5">
        <v>9999</v>
      </c>
      <c r="J3436" s="5">
        <v>333.3</v>
      </c>
      <c r="K3436" s="5">
        <f t="shared" si="215"/>
        <v>0</v>
      </c>
      <c r="L3436" s="5">
        <v>0</v>
      </c>
      <c r="M3436" s="5">
        <v>0</v>
      </c>
      <c r="N3436" t="s">
        <v>12</v>
      </c>
      <c r="O3436" s="8">
        <v>22.43013698630137</v>
      </c>
      <c r="P3436" t="s">
        <v>33</v>
      </c>
      <c r="Q3436">
        <v>2</v>
      </c>
      <c r="R3436" s="2">
        <v>37960</v>
      </c>
    </row>
    <row r="3437" spans="1:18" x14ac:dyDescent="0.3">
      <c r="A3437" t="s">
        <v>7</v>
      </c>
      <c r="B3437">
        <v>19022228</v>
      </c>
      <c r="C3437" t="s">
        <v>8</v>
      </c>
      <c r="D3437" s="4">
        <v>46148</v>
      </c>
      <c r="E3437" s="11">
        <f t="shared" si="212"/>
        <v>2026</v>
      </c>
      <c r="F3437" s="11">
        <f t="shared" si="213"/>
        <v>5</v>
      </c>
      <c r="G3437" s="11" t="str">
        <f t="shared" si="214"/>
        <v>202605</v>
      </c>
      <c r="I3437" s="5">
        <v>9999</v>
      </c>
      <c r="J3437" s="5">
        <v>333.3</v>
      </c>
      <c r="K3437" s="5">
        <f t="shared" si="215"/>
        <v>0</v>
      </c>
      <c r="L3437" s="5">
        <v>0</v>
      </c>
      <c r="M3437" s="5">
        <v>0</v>
      </c>
      <c r="N3437" t="s">
        <v>12</v>
      </c>
      <c r="O3437" s="8">
        <v>24.81095890410959</v>
      </c>
      <c r="P3437" t="s">
        <v>33</v>
      </c>
      <c r="Q3437">
        <v>2</v>
      </c>
      <c r="R3437" s="2">
        <v>37092</v>
      </c>
    </row>
    <row r="3438" spans="1:18" x14ac:dyDescent="0.3">
      <c r="A3438" t="s">
        <v>7</v>
      </c>
      <c r="B3438">
        <v>19022322</v>
      </c>
      <c r="C3438" t="s">
        <v>8</v>
      </c>
      <c r="D3438" s="4">
        <v>46148</v>
      </c>
      <c r="E3438" s="11">
        <f t="shared" si="212"/>
        <v>2026</v>
      </c>
      <c r="F3438" s="11">
        <f t="shared" si="213"/>
        <v>5</v>
      </c>
      <c r="G3438" s="11" t="str">
        <f t="shared" si="214"/>
        <v>202605</v>
      </c>
      <c r="I3438" s="5">
        <v>9999</v>
      </c>
      <c r="J3438" s="5">
        <v>333.3</v>
      </c>
      <c r="K3438" s="5">
        <f t="shared" si="215"/>
        <v>0</v>
      </c>
      <c r="L3438" s="5">
        <v>0</v>
      </c>
      <c r="M3438" s="5">
        <v>0</v>
      </c>
      <c r="N3438" t="s">
        <v>9</v>
      </c>
      <c r="O3438" s="8">
        <v>30.161643835616438</v>
      </c>
      <c r="P3438" t="s">
        <v>34</v>
      </c>
      <c r="Q3438">
        <v>3</v>
      </c>
      <c r="R3438" s="2">
        <v>35139</v>
      </c>
    </row>
    <row r="3439" spans="1:18" x14ac:dyDescent="0.3">
      <c r="A3439" t="s">
        <v>7</v>
      </c>
      <c r="B3439">
        <v>19022329</v>
      </c>
      <c r="C3439" t="s">
        <v>8</v>
      </c>
      <c r="D3439" s="4">
        <v>46148</v>
      </c>
      <c r="E3439" s="11">
        <f t="shared" si="212"/>
        <v>2026</v>
      </c>
      <c r="F3439" s="11">
        <f t="shared" si="213"/>
        <v>5</v>
      </c>
      <c r="G3439" s="11" t="str">
        <f t="shared" si="214"/>
        <v>202605</v>
      </c>
      <c r="I3439" s="5">
        <v>9999</v>
      </c>
      <c r="J3439" s="5">
        <v>333.3</v>
      </c>
      <c r="K3439" s="5">
        <f t="shared" si="215"/>
        <v>0</v>
      </c>
      <c r="L3439" s="5">
        <v>0</v>
      </c>
      <c r="M3439" s="5">
        <v>0</v>
      </c>
      <c r="N3439" t="s">
        <v>9</v>
      </c>
      <c r="O3439" s="8">
        <v>31.882191780821916</v>
      </c>
      <c r="P3439" t="s">
        <v>35</v>
      </c>
      <c r="Q3439">
        <v>4</v>
      </c>
      <c r="R3439" s="2">
        <v>34511</v>
      </c>
    </row>
    <row r="3440" spans="1:18" x14ac:dyDescent="0.3">
      <c r="A3440" t="s">
        <v>7</v>
      </c>
      <c r="B3440">
        <v>19022330</v>
      </c>
      <c r="C3440" t="s">
        <v>8</v>
      </c>
      <c r="D3440" s="4">
        <v>46148</v>
      </c>
      <c r="E3440" s="11">
        <f t="shared" si="212"/>
        <v>2026</v>
      </c>
      <c r="F3440" s="11">
        <f t="shared" si="213"/>
        <v>5</v>
      </c>
      <c r="G3440" s="11" t="str">
        <f t="shared" si="214"/>
        <v>202605</v>
      </c>
      <c r="I3440" s="5">
        <v>9999</v>
      </c>
      <c r="J3440" s="5">
        <v>333.3</v>
      </c>
      <c r="K3440" s="5">
        <f t="shared" si="215"/>
        <v>0</v>
      </c>
      <c r="L3440" s="5">
        <v>0</v>
      </c>
      <c r="M3440" s="5">
        <v>0</v>
      </c>
      <c r="N3440" t="s">
        <v>9</v>
      </c>
      <c r="O3440" s="8">
        <v>21.306849315068494</v>
      </c>
      <c r="P3440" t="s">
        <v>33</v>
      </c>
      <c r="Q3440">
        <v>2</v>
      </c>
      <c r="R3440" s="2">
        <v>38371</v>
      </c>
    </row>
    <row r="3441" spans="1:18" x14ac:dyDescent="0.3">
      <c r="A3441" t="s">
        <v>7</v>
      </c>
      <c r="B3441">
        <v>19022368</v>
      </c>
      <c r="C3441" t="s">
        <v>8</v>
      </c>
      <c r="D3441" s="4">
        <v>46148</v>
      </c>
      <c r="E3441" s="11">
        <f t="shared" si="212"/>
        <v>2026</v>
      </c>
      <c r="F3441" s="11">
        <f t="shared" si="213"/>
        <v>5</v>
      </c>
      <c r="G3441" s="11" t="str">
        <f t="shared" si="214"/>
        <v>202605</v>
      </c>
      <c r="H3441" s="4">
        <v>46155</v>
      </c>
      <c r="I3441" s="5">
        <v>7</v>
      </c>
      <c r="J3441" s="5">
        <v>0.23333333333333334</v>
      </c>
      <c r="K3441" s="5">
        <f t="shared" si="215"/>
        <v>1</v>
      </c>
      <c r="L3441" s="5">
        <v>1</v>
      </c>
      <c r="M3441" s="5">
        <v>1</v>
      </c>
      <c r="N3441" t="s">
        <v>9</v>
      </c>
      <c r="O3441" s="8">
        <v>32.726027397260275</v>
      </c>
      <c r="P3441" t="s">
        <v>35</v>
      </c>
      <c r="Q3441">
        <v>4</v>
      </c>
      <c r="R3441" s="2">
        <v>34203</v>
      </c>
    </row>
    <row r="3442" spans="1:18" x14ac:dyDescent="0.3">
      <c r="A3442" t="s">
        <v>7</v>
      </c>
      <c r="B3442">
        <v>19022466</v>
      </c>
      <c r="C3442" t="s">
        <v>8</v>
      </c>
      <c r="D3442" s="4">
        <v>46148</v>
      </c>
      <c r="E3442" s="11">
        <f t="shared" si="212"/>
        <v>2026</v>
      </c>
      <c r="F3442" s="11">
        <f t="shared" si="213"/>
        <v>5</v>
      </c>
      <c r="G3442" s="11" t="str">
        <f t="shared" si="214"/>
        <v>202605</v>
      </c>
      <c r="I3442" s="5">
        <v>9999</v>
      </c>
      <c r="J3442" s="5">
        <v>333.3</v>
      </c>
      <c r="K3442" s="5">
        <f t="shared" si="215"/>
        <v>0</v>
      </c>
      <c r="L3442" s="5">
        <v>0</v>
      </c>
      <c r="M3442" s="5">
        <v>0</v>
      </c>
      <c r="N3442" t="s">
        <v>9</v>
      </c>
      <c r="O3442" s="8">
        <v>23.049315068493151</v>
      </c>
      <c r="P3442" t="s">
        <v>33</v>
      </c>
      <c r="Q3442">
        <v>2</v>
      </c>
      <c r="R3442" s="2">
        <v>37735</v>
      </c>
    </row>
    <row r="3443" spans="1:18" x14ac:dyDescent="0.3">
      <c r="A3443" t="s">
        <v>7</v>
      </c>
      <c r="B3443">
        <v>19022474</v>
      </c>
      <c r="C3443" t="s">
        <v>10</v>
      </c>
      <c r="D3443" s="4">
        <v>46148</v>
      </c>
      <c r="E3443" s="11">
        <f t="shared" si="212"/>
        <v>2026</v>
      </c>
      <c r="F3443" s="11">
        <f t="shared" si="213"/>
        <v>5</v>
      </c>
      <c r="G3443" s="11" t="str">
        <f t="shared" si="214"/>
        <v>202605</v>
      </c>
      <c r="I3443" s="5">
        <v>9999</v>
      </c>
      <c r="J3443" s="5">
        <v>333.3</v>
      </c>
      <c r="K3443" s="5">
        <f t="shared" si="215"/>
        <v>0</v>
      </c>
      <c r="L3443" s="5">
        <v>0</v>
      </c>
      <c r="M3443" s="5">
        <v>0</v>
      </c>
      <c r="N3443" t="s">
        <v>9</v>
      </c>
      <c r="O3443" s="8">
        <v>21.460273972602739</v>
      </c>
      <c r="P3443" t="s">
        <v>33</v>
      </c>
      <c r="Q3443">
        <v>2</v>
      </c>
      <c r="R3443" s="2">
        <v>38315</v>
      </c>
    </row>
    <row r="3444" spans="1:18" x14ac:dyDescent="0.3">
      <c r="A3444" t="s">
        <v>7</v>
      </c>
      <c r="B3444">
        <v>19022477</v>
      </c>
      <c r="C3444" t="s">
        <v>8</v>
      </c>
      <c r="D3444" s="4">
        <v>46148</v>
      </c>
      <c r="E3444" s="11">
        <f t="shared" si="212"/>
        <v>2026</v>
      </c>
      <c r="F3444" s="11">
        <f t="shared" si="213"/>
        <v>5</v>
      </c>
      <c r="G3444" s="11" t="str">
        <f t="shared" si="214"/>
        <v>202605</v>
      </c>
      <c r="I3444" s="5">
        <v>9999</v>
      </c>
      <c r="J3444" s="5">
        <v>333.3</v>
      </c>
      <c r="K3444" s="5">
        <f t="shared" si="215"/>
        <v>0</v>
      </c>
      <c r="L3444" s="5">
        <v>0</v>
      </c>
      <c r="M3444" s="5">
        <v>0</v>
      </c>
      <c r="N3444" t="s">
        <v>9</v>
      </c>
      <c r="O3444" s="8">
        <v>24.306849315068494</v>
      </c>
      <c r="P3444" t="s">
        <v>33</v>
      </c>
      <c r="Q3444">
        <v>2</v>
      </c>
      <c r="R3444" s="2">
        <v>37276</v>
      </c>
    </row>
    <row r="3445" spans="1:18" x14ac:dyDescent="0.3">
      <c r="A3445" t="s">
        <v>7</v>
      </c>
      <c r="B3445">
        <v>19022483</v>
      </c>
      <c r="C3445" t="s">
        <v>8</v>
      </c>
      <c r="D3445" s="4">
        <v>46148</v>
      </c>
      <c r="E3445" s="11">
        <f t="shared" si="212"/>
        <v>2026</v>
      </c>
      <c r="F3445" s="11">
        <f t="shared" si="213"/>
        <v>5</v>
      </c>
      <c r="G3445" s="11" t="str">
        <f t="shared" si="214"/>
        <v>202605</v>
      </c>
      <c r="I3445" s="5">
        <v>9999</v>
      </c>
      <c r="J3445" s="5">
        <v>333.3</v>
      </c>
      <c r="K3445" s="5">
        <f t="shared" si="215"/>
        <v>0</v>
      </c>
      <c r="L3445" s="5">
        <v>0</v>
      </c>
      <c r="M3445" s="5">
        <v>0</v>
      </c>
      <c r="N3445" t="s">
        <v>9</v>
      </c>
      <c r="O3445" s="8">
        <v>20.356164383561644</v>
      </c>
      <c r="P3445" t="s">
        <v>32</v>
      </c>
      <c r="Q3445">
        <v>1</v>
      </c>
      <c r="R3445" s="2">
        <v>38718</v>
      </c>
    </row>
    <row r="3446" spans="1:18" x14ac:dyDescent="0.3">
      <c r="A3446" t="s">
        <v>7</v>
      </c>
      <c r="B3446">
        <v>19022484</v>
      </c>
      <c r="C3446" t="s">
        <v>8</v>
      </c>
      <c r="D3446" s="4">
        <v>46148</v>
      </c>
      <c r="E3446" s="11">
        <f t="shared" si="212"/>
        <v>2026</v>
      </c>
      <c r="F3446" s="11">
        <f t="shared" si="213"/>
        <v>5</v>
      </c>
      <c r="G3446" s="11" t="str">
        <f t="shared" si="214"/>
        <v>202605</v>
      </c>
      <c r="H3446" s="4">
        <v>46174</v>
      </c>
      <c r="I3446" s="5">
        <v>26</v>
      </c>
      <c r="J3446" s="5">
        <v>0.8666666666666667</v>
      </c>
      <c r="K3446" s="5">
        <f t="shared" si="215"/>
        <v>1</v>
      </c>
      <c r="L3446" s="5">
        <v>1</v>
      </c>
      <c r="M3446" s="5">
        <v>1</v>
      </c>
      <c r="N3446" t="s">
        <v>9</v>
      </c>
      <c r="O3446" s="8">
        <v>20.219178082191782</v>
      </c>
      <c r="P3446" t="s">
        <v>32</v>
      </c>
      <c r="Q3446">
        <v>1</v>
      </c>
      <c r="R3446" s="2">
        <v>38768</v>
      </c>
    </row>
    <row r="3447" spans="1:18" x14ac:dyDescent="0.3">
      <c r="A3447" t="s">
        <v>7</v>
      </c>
      <c r="B3447">
        <v>19022486</v>
      </c>
      <c r="C3447" t="s">
        <v>8</v>
      </c>
      <c r="D3447" s="4">
        <v>46148</v>
      </c>
      <c r="E3447" s="11">
        <f t="shared" si="212"/>
        <v>2026</v>
      </c>
      <c r="F3447" s="11">
        <f t="shared" si="213"/>
        <v>5</v>
      </c>
      <c r="G3447" s="11" t="str">
        <f t="shared" si="214"/>
        <v>202605</v>
      </c>
      <c r="I3447" s="5">
        <v>9999</v>
      </c>
      <c r="J3447" s="5">
        <v>333.3</v>
      </c>
      <c r="K3447" s="5">
        <f t="shared" si="215"/>
        <v>0</v>
      </c>
      <c r="L3447" s="5">
        <v>0</v>
      </c>
      <c r="M3447" s="5">
        <v>0</v>
      </c>
      <c r="N3447" t="s">
        <v>12</v>
      </c>
      <c r="O3447" s="8">
        <v>31.715068493150685</v>
      </c>
      <c r="P3447" t="s">
        <v>35</v>
      </c>
      <c r="Q3447">
        <v>4</v>
      </c>
      <c r="R3447" s="2">
        <v>34572</v>
      </c>
    </row>
    <row r="3448" spans="1:18" x14ac:dyDescent="0.3">
      <c r="A3448" t="s">
        <v>7</v>
      </c>
      <c r="B3448">
        <v>19022488</v>
      </c>
      <c r="C3448" t="s">
        <v>8</v>
      </c>
      <c r="D3448" s="4">
        <v>46148</v>
      </c>
      <c r="E3448" s="11">
        <f t="shared" si="212"/>
        <v>2026</v>
      </c>
      <c r="F3448" s="11">
        <f t="shared" si="213"/>
        <v>5</v>
      </c>
      <c r="G3448" s="11" t="str">
        <f t="shared" si="214"/>
        <v>202605</v>
      </c>
      <c r="I3448" s="5">
        <v>9999</v>
      </c>
      <c r="J3448" s="5">
        <v>333.3</v>
      </c>
      <c r="K3448" s="5">
        <f t="shared" si="215"/>
        <v>0</v>
      </c>
      <c r="L3448" s="5">
        <v>0</v>
      </c>
      <c r="M3448" s="5">
        <v>0</v>
      </c>
      <c r="N3448" t="s">
        <v>9</v>
      </c>
      <c r="O3448" s="8">
        <v>35.246575342465754</v>
      </c>
      <c r="P3448" t="s">
        <v>35</v>
      </c>
      <c r="Q3448">
        <v>4</v>
      </c>
      <c r="R3448" s="2">
        <v>33283</v>
      </c>
    </row>
    <row r="3449" spans="1:18" x14ac:dyDescent="0.3">
      <c r="A3449" t="s">
        <v>7</v>
      </c>
      <c r="B3449">
        <v>19022489</v>
      </c>
      <c r="C3449" t="s">
        <v>8</v>
      </c>
      <c r="D3449" s="4">
        <v>46148</v>
      </c>
      <c r="E3449" s="11">
        <f t="shared" si="212"/>
        <v>2026</v>
      </c>
      <c r="F3449" s="11">
        <f t="shared" si="213"/>
        <v>5</v>
      </c>
      <c r="G3449" s="11" t="str">
        <f t="shared" si="214"/>
        <v>202605</v>
      </c>
      <c r="H3449" s="4">
        <v>46150</v>
      </c>
      <c r="I3449" s="5">
        <v>2</v>
      </c>
      <c r="J3449" s="5">
        <v>6.6666666666666666E-2</v>
      </c>
      <c r="K3449" s="5">
        <f t="shared" si="215"/>
        <v>1</v>
      </c>
      <c r="L3449" s="5">
        <v>1</v>
      </c>
      <c r="M3449" s="5">
        <v>1</v>
      </c>
      <c r="N3449" t="s">
        <v>12</v>
      </c>
      <c r="O3449" s="8">
        <v>28.06027397260274</v>
      </c>
      <c r="P3449" t="s">
        <v>34</v>
      </c>
      <c r="Q3449">
        <v>3</v>
      </c>
      <c r="R3449" s="2">
        <v>35906</v>
      </c>
    </row>
    <row r="3450" spans="1:18" x14ac:dyDescent="0.3">
      <c r="A3450" t="s">
        <v>7</v>
      </c>
      <c r="B3450">
        <v>19022491</v>
      </c>
      <c r="C3450" t="s">
        <v>8</v>
      </c>
      <c r="D3450" s="4">
        <v>46148</v>
      </c>
      <c r="E3450" s="11">
        <f t="shared" si="212"/>
        <v>2026</v>
      </c>
      <c r="F3450" s="11">
        <f t="shared" si="213"/>
        <v>5</v>
      </c>
      <c r="G3450" s="11" t="str">
        <f t="shared" si="214"/>
        <v>202605</v>
      </c>
      <c r="I3450" s="5">
        <v>9999</v>
      </c>
      <c r="J3450" s="5">
        <v>333.3</v>
      </c>
      <c r="K3450" s="5">
        <f t="shared" si="215"/>
        <v>0</v>
      </c>
      <c r="L3450" s="5">
        <v>0</v>
      </c>
      <c r="M3450" s="5">
        <v>0</v>
      </c>
      <c r="N3450" t="s">
        <v>9</v>
      </c>
      <c r="O3450" s="8">
        <v>26.19178082191781</v>
      </c>
      <c r="P3450" t="s">
        <v>34</v>
      </c>
      <c r="Q3450">
        <v>3</v>
      </c>
      <c r="R3450" s="2">
        <v>36588</v>
      </c>
    </row>
    <row r="3451" spans="1:18" x14ac:dyDescent="0.3">
      <c r="A3451" t="s">
        <v>7</v>
      </c>
      <c r="B3451">
        <v>19022492</v>
      </c>
      <c r="C3451" t="s">
        <v>8</v>
      </c>
      <c r="D3451" s="4">
        <v>46148</v>
      </c>
      <c r="E3451" s="11">
        <f t="shared" si="212"/>
        <v>2026</v>
      </c>
      <c r="F3451" s="11">
        <f t="shared" si="213"/>
        <v>5</v>
      </c>
      <c r="G3451" s="11" t="str">
        <f t="shared" si="214"/>
        <v>202605</v>
      </c>
      <c r="I3451" s="5">
        <v>9999</v>
      </c>
      <c r="J3451" s="5">
        <v>333.3</v>
      </c>
      <c r="K3451" s="5">
        <f t="shared" si="215"/>
        <v>0</v>
      </c>
      <c r="L3451" s="5">
        <v>0</v>
      </c>
      <c r="M3451" s="5">
        <v>0</v>
      </c>
      <c r="N3451" t="s">
        <v>9</v>
      </c>
      <c r="O3451" s="8">
        <v>18.720547945205478</v>
      </c>
      <c r="P3451" t="s">
        <v>32</v>
      </c>
      <c r="Q3451">
        <v>1</v>
      </c>
      <c r="R3451" s="2">
        <v>39315</v>
      </c>
    </row>
    <row r="3452" spans="1:18" x14ac:dyDescent="0.3">
      <c r="A3452" t="s">
        <v>7</v>
      </c>
      <c r="B3452">
        <v>19022528</v>
      </c>
      <c r="C3452" t="s">
        <v>8</v>
      </c>
      <c r="D3452" s="4">
        <v>46148</v>
      </c>
      <c r="E3452" s="11">
        <f t="shared" si="212"/>
        <v>2026</v>
      </c>
      <c r="F3452" s="11">
        <f t="shared" si="213"/>
        <v>5</v>
      </c>
      <c r="G3452" s="11" t="str">
        <f t="shared" si="214"/>
        <v>202605</v>
      </c>
      <c r="I3452" s="5">
        <v>9999</v>
      </c>
      <c r="J3452" s="5">
        <v>333.3</v>
      </c>
      <c r="K3452" s="5">
        <f t="shared" si="215"/>
        <v>0</v>
      </c>
      <c r="L3452" s="5">
        <v>0</v>
      </c>
      <c r="M3452" s="5">
        <v>0</v>
      </c>
      <c r="N3452" t="s">
        <v>9</v>
      </c>
      <c r="O3452" s="8">
        <v>18.460273972602739</v>
      </c>
      <c r="P3452" t="s">
        <v>32</v>
      </c>
      <c r="Q3452">
        <v>1</v>
      </c>
      <c r="R3452" s="2">
        <v>39410</v>
      </c>
    </row>
    <row r="3453" spans="1:18" x14ac:dyDescent="0.3">
      <c r="A3453" t="s">
        <v>7</v>
      </c>
      <c r="B3453">
        <v>19022541</v>
      </c>
      <c r="C3453" t="s">
        <v>8</v>
      </c>
      <c r="D3453" s="4">
        <v>46148</v>
      </c>
      <c r="E3453" s="11">
        <f t="shared" si="212"/>
        <v>2026</v>
      </c>
      <c r="F3453" s="11">
        <f t="shared" si="213"/>
        <v>5</v>
      </c>
      <c r="G3453" s="11" t="str">
        <f t="shared" si="214"/>
        <v>202605</v>
      </c>
      <c r="H3453" s="4">
        <v>46154</v>
      </c>
      <c r="I3453" s="5">
        <v>6</v>
      </c>
      <c r="J3453" s="5">
        <v>0.2</v>
      </c>
      <c r="K3453" s="5">
        <f t="shared" si="215"/>
        <v>1</v>
      </c>
      <c r="L3453" s="5">
        <v>1</v>
      </c>
      <c r="M3453" s="5">
        <v>1</v>
      </c>
      <c r="N3453" t="s">
        <v>9</v>
      </c>
      <c r="O3453" s="8">
        <v>20.298630136986301</v>
      </c>
      <c r="P3453" t="s">
        <v>32</v>
      </c>
      <c r="Q3453">
        <v>1</v>
      </c>
      <c r="R3453" s="2">
        <v>38739</v>
      </c>
    </row>
    <row r="3454" spans="1:18" x14ac:dyDescent="0.3">
      <c r="A3454" t="s">
        <v>7</v>
      </c>
      <c r="B3454">
        <v>19022611</v>
      </c>
      <c r="C3454" t="s">
        <v>8</v>
      </c>
      <c r="D3454" s="4">
        <v>46149</v>
      </c>
      <c r="E3454" s="11">
        <f t="shared" si="212"/>
        <v>2026</v>
      </c>
      <c r="F3454" s="11">
        <f t="shared" si="213"/>
        <v>5</v>
      </c>
      <c r="G3454" s="11" t="str">
        <f t="shared" si="214"/>
        <v>202605</v>
      </c>
      <c r="I3454" s="5">
        <v>9999</v>
      </c>
      <c r="J3454" s="5">
        <v>333.3</v>
      </c>
      <c r="K3454" s="5">
        <f t="shared" si="215"/>
        <v>0</v>
      </c>
      <c r="L3454" s="5">
        <v>0</v>
      </c>
      <c r="M3454" s="5">
        <v>0</v>
      </c>
      <c r="N3454" t="s">
        <v>9</v>
      </c>
      <c r="O3454" s="8">
        <v>21.87123287671233</v>
      </c>
      <c r="P3454" t="s">
        <v>33</v>
      </c>
      <c r="Q3454">
        <v>2</v>
      </c>
      <c r="R3454" s="2">
        <v>38166</v>
      </c>
    </row>
    <row r="3455" spans="1:18" x14ac:dyDescent="0.3">
      <c r="A3455" t="s">
        <v>11</v>
      </c>
      <c r="B3455">
        <v>19022613</v>
      </c>
      <c r="C3455" t="s">
        <v>10</v>
      </c>
      <c r="D3455" s="4">
        <v>46149</v>
      </c>
      <c r="E3455" s="11">
        <f t="shared" si="212"/>
        <v>2026</v>
      </c>
      <c r="F3455" s="11">
        <f t="shared" si="213"/>
        <v>5</v>
      </c>
      <c r="G3455" s="11" t="str">
        <f t="shared" si="214"/>
        <v>202605</v>
      </c>
      <c r="I3455" s="5">
        <v>9999</v>
      </c>
      <c r="J3455" s="5">
        <v>333.3</v>
      </c>
      <c r="K3455" s="5">
        <f t="shared" si="215"/>
        <v>0</v>
      </c>
      <c r="L3455" s="5">
        <v>0</v>
      </c>
      <c r="M3455" s="5">
        <v>0</v>
      </c>
      <c r="N3455" t="s">
        <v>9</v>
      </c>
      <c r="O3455" s="8">
        <v>26.6</v>
      </c>
      <c r="P3455" t="s">
        <v>34</v>
      </c>
      <c r="Q3455">
        <v>3</v>
      </c>
      <c r="R3455" s="2">
        <v>36440</v>
      </c>
    </row>
    <row r="3456" spans="1:18" x14ac:dyDescent="0.3">
      <c r="A3456" t="s">
        <v>7</v>
      </c>
      <c r="B3456">
        <v>19022617</v>
      </c>
      <c r="C3456" t="s">
        <v>10</v>
      </c>
      <c r="D3456" s="4">
        <v>46149</v>
      </c>
      <c r="E3456" s="11">
        <f t="shared" si="212"/>
        <v>2026</v>
      </c>
      <c r="F3456" s="11">
        <f t="shared" si="213"/>
        <v>5</v>
      </c>
      <c r="G3456" s="11" t="str">
        <f t="shared" si="214"/>
        <v>202605</v>
      </c>
      <c r="I3456" s="5">
        <v>9999</v>
      </c>
      <c r="J3456" s="5">
        <v>333.3</v>
      </c>
      <c r="K3456" s="5">
        <f t="shared" si="215"/>
        <v>0</v>
      </c>
      <c r="L3456" s="5">
        <v>0</v>
      </c>
      <c r="M3456" s="5">
        <v>0</v>
      </c>
      <c r="N3456" t="s">
        <v>9</v>
      </c>
      <c r="O3456" s="8">
        <v>18.723287671232878</v>
      </c>
      <c r="P3456" t="s">
        <v>32</v>
      </c>
      <c r="Q3456">
        <v>1</v>
      </c>
      <c r="R3456" s="2">
        <v>39315</v>
      </c>
    </row>
    <row r="3457" spans="1:18" x14ac:dyDescent="0.3">
      <c r="A3457" t="s">
        <v>7</v>
      </c>
      <c r="B3457">
        <v>19022622</v>
      </c>
      <c r="C3457" t="s">
        <v>8</v>
      </c>
      <c r="D3457" s="4">
        <v>46149</v>
      </c>
      <c r="E3457" s="11">
        <f t="shared" si="212"/>
        <v>2026</v>
      </c>
      <c r="F3457" s="11">
        <f t="shared" si="213"/>
        <v>5</v>
      </c>
      <c r="G3457" s="11" t="str">
        <f t="shared" si="214"/>
        <v>202605</v>
      </c>
      <c r="I3457" s="5">
        <v>9999</v>
      </c>
      <c r="J3457" s="5">
        <v>333.3</v>
      </c>
      <c r="K3457" s="5">
        <f t="shared" si="215"/>
        <v>0</v>
      </c>
      <c r="L3457" s="5">
        <v>0</v>
      </c>
      <c r="M3457" s="5">
        <v>0</v>
      </c>
      <c r="N3457" t="s">
        <v>12</v>
      </c>
      <c r="O3457" s="8">
        <v>22.468493150684932</v>
      </c>
      <c r="P3457" t="s">
        <v>33</v>
      </c>
      <c r="Q3457">
        <v>2</v>
      </c>
      <c r="R3457" s="2">
        <v>37948</v>
      </c>
    </row>
    <row r="3458" spans="1:18" x14ac:dyDescent="0.3">
      <c r="A3458" t="s">
        <v>7</v>
      </c>
      <c r="B3458">
        <v>19022623</v>
      </c>
      <c r="C3458" t="s">
        <v>8</v>
      </c>
      <c r="D3458" s="4">
        <v>46149</v>
      </c>
      <c r="E3458" s="11">
        <f t="shared" si="212"/>
        <v>2026</v>
      </c>
      <c r="F3458" s="11">
        <f t="shared" si="213"/>
        <v>5</v>
      </c>
      <c r="G3458" s="11" t="str">
        <f t="shared" si="214"/>
        <v>202605</v>
      </c>
      <c r="I3458" s="5">
        <v>9999</v>
      </c>
      <c r="J3458" s="5">
        <v>333.3</v>
      </c>
      <c r="K3458" s="5">
        <f t="shared" si="215"/>
        <v>0</v>
      </c>
      <c r="L3458" s="5">
        <v>0</v>
      </c>
      <c r="M3458" s="5">
        <v>0</v>
      </c>
      <c r="N3458" t="s">
        <v>12</v>
      </c>
      <c r="O3458" s="8">
        <v>20.361643835616437</v>
      </c>
      <c r="P3458" t="s">
        <v>32</v>
      </c>
      <c r="Q3458">
        <v>1</v>
      </c>
      <c r="R3458" s="2">
        <v>38717</v>
      </c>
    </row>
    <row r="3459" spans="1:18" x14ac:dyDescent="0.3">
      <c r="A3459" t="s">
        <v>7</v>
      </c>
      <c r="B3459">
        <v>19022628</v>
      </c>
      <c r="C3459" t="s">
        <v>8</v>
      </c>
      <c r="D3459" s="4">
        <v>46149</v>
      </c>
      <c r="E3459" s="11">
        <f t="shared" ref="E3459:E3522" si="216">+YEAR(D3459)</f>
        <v>2026</v>
      </c>
      <c r="F3459" s="11">
        <f t="shared" ref="F3459:F3522" si="217">+MONTH(D3459)</f>
        <v>5</v>
      </c>
      <c r="G3459" s="11" t="str">
        <f t="shared" ref="G3459:G3522" si="218">+TEXT(D3459, "yyymm")</f>
        <v>202605</v>
      </c>
      <c r="H3459" s="4">
        <v>46161</v>
      </c>
      <c r="I3459" s="5">
        <v>12</v>
      </c>
      <c r="J3459" s="5">
        <v>0.4</v>
      </c>
      <c r="K3459" s="5">
        <f t="shared" ref="K3459:K3522" si="219">IF(J3459&lt;=1,1,0)</f>
        <v>1</v>
      </c>
      <c r="L3459" s="5">
        <v>1</v>
      </c>
      <c r="M3459" s="5">
        <v>1</v>
      </c>
      <c r="N3459" t="s">
        <v>9</v>
      </c>
      <c r="O3459" s="8">
        <v>23.427397260273974</v>
      </c>
      <c r="P3459" t="s">
        <v>33</v>
      </c>
      <c r="Q3459">
        <v>2</v>
      </c>
      <c r="R3459" s="2">
        <v>37598</v>
      </c>
    </row>
    <row r="3460" spans="1:18" x14ac:dyDescent="0.3">
      <c r="A3460" t="s">
        <v>7</v>
      </c>
      <c r="B3460">
        <v>19022665</v>
      </c>
      <c r="C3460" t="s">
        <v>8</v>
      </c>
      <c r="D3460" s="4">
        <v>46149</v>
      </c>
      <c r="E3460" s="11">
        <f t="shared" si="216"/>
        <v>2026</v>
      </c>
      <c r="F3460" s="11">
        <f t="shared" si="217"/>
        <v>5</v>
      </c>
      <c r="G3460" s="11" t="str">
        <f t="shared" si="218"/>
        <v>202605</v>
      </c>
      <c r="I3460" s="5">
        <v>9999</v>
      </c>
      <c r="J3460" s="5">
        <v>333.3</v>
      </c>
      <c r="K3460" s="5">
        <f t="shared" si="219"/>
        <v>0</v>
      </c>
      <c r="L3460" s="5">
        <v>0</v>
      </c>
      <c r="M3460" s="5">
        <v>0</v>
      </c>
      <c r="N3460" t="s">
        <v>12</v>
      </c>
      <c r="O3460" s="8">
        <v>21.115068493150684</v>
      </c>
      <c r="P3460" t="s">
        <v>33</v>
      </c>
      <c r="Q3460">
        <v>2</v>
      </c>
      <c r="R3460" s="2">
        <v>38442</v>
      </c>
    </row>
    <row r="3461" spans="1:18" x14ac:dyDescent="0.3">
      <c r="A3461" t="s">
        <v>7</v>
      </c>
      <c r="B3461">
        <v>19022682</v>
      </c>
      <c r="C3461" t="s">
        <v>8</v>
      </c>
      <c r="D3461" s="4">
        <v>46149</v>
      </c>
      <c r="E3461" s="11">
        <f t="shared" si="216"/>
        <v>2026</v>
      </c>
      <c r="F3461" s="11">
        <f t="shared" si="217"/>
        <v>5</v>
      </c>
      <c r="G3461" s="11" t="str">
        <f t="shared" si="218"/>
        <v>202605</v>
      </c>
      <c r="H3461" s="4">
        <v>46161</v>
      </c>
      <c r="I3461" s="5">
        <v>12</v>
      </c>
      <c r="J3461" s="5">
        <v>0.4</v>
      </c>
      <c r="K3461" s="5">
        <f t="shared" si="219"/>
        <v>1</v>
      </c>
      <c r="L3461" s="5">
        <v>1</v>
      </c>
      <c r="M3461" s="5">
        <v>1</v>
      </c>
      <c r="N3461" t="s">
        <v>9</v>
      </c>
      <c r="O3461" s="8">
        <v>19.268493150684932</v>
      </c>
      <c r="P3461" t="s">
        <v>32</v>
      </c>
      <c r="Q3461">
        <v>1</v>
      </c>
      <c r="R3461" s="2">
        <v>39116</v>
      </c>
    </row>
    <row r="3462" spans="1:18" x14ac:dyDescent="0.3">
      <c r="A3462" t="s">
        <v>7</v>
      </c>
      <c r="B3462">
        <v>19022683</v>
      </c>
      <c r="C3462" t="s">
        <v>8</v>
      </c>
      <c r="D3462" s="4">
        <v>46149</v>
      </c>
      <c r="E3462" s="11">
        <f t="shared" si="216"/>
        <v>2026</v>
      </c>
      <c r="F3462" s="11">
        <f t="shared" si="217"/>
        <v>5</v>
      </c>
      <c r="G3462" s="11" t="str">
        <f t="shared" si="218"/>
        <v>202605</v>
      </c>
      <c r="I3462" s="5">
        <v>9999</v>
      </c>
      <c r="J3462" s="5">
        <v>333.3</v>
      </c>
      <c r="K3462" s="5">
        <f t="shared" si="219"/>
        <v>0</v>
      </c>
      <c r="L3462" s="5">
        <v>0</v>
      </c>
      <c r="M3462" s="5">
        <v>0</v>
      </c>
      <c r="N3462" t="s">
        <v>9</v>
      </c>
      <c r="O3462" s="8">
        <v>22.043835616438358</v>
      </c>
      <c r="P3462" t="s">
        <v>33</v>
      </c>
      <c r="Q3462">
        <v>2</v>
      </c>
      <c r="R3462" s="2">
        <v>38103</v>
      </c>
    </row>
    <row r="3463" spans="1:18" x14ac:dyDescent="0.3">
      <c r="A3463" t="s">
        <v>7</v>
      </c>
      <c r="B3463">
        <v>19022709</v>
      </c>
      <c r="C3463" t="s">
        <v>8</v>
      </c>
      <c r="D3463" s="4">
        <v>46149</v>
      </c>
      <c r="E3463" s="11">
        <f t="shared" si="216"/>
        <v>2026</v>
      </c>
      <c r="F3463" s="11">
        <f t="shared" si="217"/>
        <v>5</v>
      </c>
      <c r="G3463" s="11" t="str">
        <f t="shared" si="218"/>
        <v>202605</v>
      </c>
      <c r="I3463" s="5">
        <v>9999</v>
      </c>
      <c r="J3463" s="5">
        <v>333.3</v>
      </c>
      <c r="K3463" s="5">
        <f t="shared" si="219"/>
        <v>0</v>
      </c>
      <c r="L3463" s="5">
        <v>0</v>
      </c>
      <c r="M3463" s="5">
        <v>0</v>
      </c>
      <c r="N3463" t="s">
        <v>9</v>
      </c>
      <c r="O3463" s="8">
        <v>25.257534246575343</v>
      </c>
      <c r="P3463" t="s">
        <v>33</v>
      </c>
      <c r="Q3463">
        <v>2</v>
      </c>
      <c r="R3463" s="2">
        <v>36930</v>
      </c>
    </row>
    <row r="3464" spans="1:18" x14ac:dyDescent="0.3">
      <c r="A3464" t="s">
        <v>7</v>
      </c>
      <c r="B3464">
        <v>19022849</v>
      </c>
      <c r="C3464" t="s">
        <v>8</v>
      </c>
      <c r="D3464" s="4">
        <v>46150</v>
      </c>
      <c r="E3464" s="11">
        <f t="shared" si="216"/>
        <v>2026</v>
      </c>
      <c r="F3464" s="11">
        <f t="shared" si="217"/>
        <v>5</v>
      </c>
      <c r="G3464" s="11" t="str">
        <f t="shared" si="218"/>
        <v>202605</v>
      </c>
      <c r="H3464" s="4">
        <v>46153</v>
      </c>
      <c r="I3464" s="5">
        <v>3</v>
      </c>
      <c r="J3464" s="5">
        <v>0.1</v>
      </c>
      <c r="K3464" s="5">
        <f t="shared" si="219"/>
        <v>1</v>
      </c>
      <c r="L3464" s="5">
        <v>1</v>
      </c>
      <c r="M3464" s="5">
        <v>1</v>
      </c>
      <c r="N3464" t="s">
        <v>9</v>
      </c>
      <c r="O3464" s="8">
        <v>23.093150684931508</v>
      </c>
      <c r="P3464" t="s">
        <v>33</v>
      </c>
      <c r="Q3464">
        <v>2</v>
      </c>
      <c r="R3464" s="2">
        <v>37721</v>
      </c>
    </row>
    <row r="3465" spans="1:18" x14ac:dyDescent="0.3">
      <c r="A3465" t="s">
        <v>7</v>
      </c>
      <c r="B3465">
        <v>19022870</v>
      </c>
      <c r="C3465" t="s">
        <v>8</v>
      </c>
      <c r="D3465" s="4">
        <v>46150</v>
      </c>
      <c r="E3465" s="11">
        <f t="shared" si="216"/>
        <v>2026</v>
      </c>
      <c r="F3465" s="11">
        <f t="shared" si="217"/>
        <v>5</v>
      </c>
      <c r="G3465" s="11" t="str">
        <f t="shared" si="218"/>
        <v>202605</v>
      </c>
      <c r="I3465" s="5">
        <v>9999</v>
      </c>
      <c r="J3465" s="5">
        <v>333.3</v>
      </c>
      <c r="K3465" s="5">
        <f t="shared" si="219"/>
        <v>0</v>
      </c>
      <c r="L3465" s="5">
        <v>0</v>
      </c>
      <c r="M3465" s="5">
        <v>0</v>
      </c>
      <c r="N3465" t="s">
        <v>9</v>
      </c>
      <c r="O3465" s="8">
        <v>22.602739726027398</v>
      </c>
      <c r="P3465" t="s">
        <v>33</v>
      </c>
      <c r="Q3465">
        <v>2</v>
      </c>
      <c r="R3465" s="2">
        <v>37900</v>
      </c>
    </row>
    <row r="3466" spans="1:18" x14ac:dyDescent="0.3">
      <c r="A3466" t="s">
        <v>7</v>
      </c>
      <c r="B3466">
        <v>19022873</v>
      </c>
      <c r="C3466" t="s">
        <v>8</v>
      </c>
      <c r="D3466" s="4">
        <v>46150</v>
      </c>
      <c r="E3466" s="11">
        <f t="shared" si="216"/>
        <v>2026</v>
      </c>
      <c r="F3466" s="11">
        <f t="shared" si="217"/>
        <v>5</v>
      </c>
      <c r="G3466" s="11" t="str">
        <f t="shared" si="218"/>
        <v>202605</v>
      </c>
      <c r="I3466" s="5">
        <v>9999</v>
      </c>
      <c r="J3466" s="5">
        <v>333.3</v>
      </c>
      <c r="K3466" s="5">
        <f t="shared" si="219"/>
        <v>0</v>
      </c>
      <c r="L3466" s="5">
        <v>0</v>
      </c>
      <c r="M3466" s="5">
        <v>0</v>
      </c>
      <c r="N3466" t="s">
        <v>9</v>
      </c>
      <c r="O3466" s="8">
        <v>20.263013698630136</v>
      </c>
      <c r="P3466" t="s">
        <v>32</v>
      </c>
      <c r="Q3466">
        <v>1</v>
      </c>
      <c r="R3466" s="2">
        <v>38754</v>
      </c>
    </row>
    <row r="3467" spans="1:18" x14ac:dyDescent="0.3">
      <c r="A3467" t="s">
        <v>7</v>
      </c>
      <c r="B3467">
        <v>19022874</v>
      </c>
      <c r="C3467" t="s">
        <v>8</v>
      </c>
      <c r="D3467" s="4">
        <v>46150</v>
      </c>
      <c r="E3467" s="11">
        <f t="shared" si="216"/>
        <v>2026</v>
      </c>
      <c r="F3467" s="11">
        <f t="shared" si="217"/>
        <v>5</v>
      </c>
      <c r="G3467" s="11" t="str">
        <f t="shared" si="218"/>
        <v>202605</v>
      </c>
      <c r="H3467" s="4">
        <v>46156</v>
      </c>
      <c r="I3467" s="5">
        <v>6</v>
      </c>
      <c r="J3467" s="5">
        <v>0.2</v>
      </c>
      <c r="K3467" s="5">
        <f t="shared" si="219"/>
        <v>1</v>
      </c>
      <c r="L3467" s="5">
        <v>1</v>
      </c>
      <c r="M3467" s="5">
        <v>1</v>
      </c>
      <c r="N3467" t="s">
        <v>9</v>
      </c>
      <c r="O3467" s="8">
        <v>23.55890410958904</v>
      </c>
      <c r="P3467" t="s">
        <v>33</v>
      </c>
      <c r="Q3467">
        <v>2</v>
      </c>
      <c r="R3467" s="2">
        <v>37551</v>
      </c>
    </row>
    <row r="3468" spans="1:18" x14ac:dyDescent="0.3">
      <c r="A3468" t="s">
        <v>7</v>
      </c>
      <c r="B3468">
        <v>19022898</v>
      </c>
      <c r="C3468" t="s">
        <v>8</v>
      </c>
      <c r="D3468" s="4">
        <v>46150</v>
      </c>
      <c r="E3468" s="11">
        <f t="shared" si="216"/>
        <v>2026</v>
      </c>
      <c r="F3468" s="11">
        <f t="shared" si="217"/>
        <v>5</v>
      </c>
      <c r="G3468" s="11" t="str">
        <f t="shared" si="218"/>
        <v>202605</v>
      </c>
      <c r="I3468" s="5">
        <v>9999</v>
      </c>
      <c r="J3468" s="5">
        <v>333.3</v>
      </c>
      <c r="K3468" s="5">
        <f t="shared" si="219"/>
        <v>0</v>
      </c>
      <c r="L3468" s="5">
        <v>0</v>
      </c>
      <c r="M3468" s="5">
        <v>0</v>
      </c>
      <c r="N3468" t="s">
        <v>12</v>
      </c>
      <c r="O3468" s="8">
        <v>30.917808219178081</v>
      </c>
      <c r="P3468" t="s">
        <v>34</v>
      </c>
      <c r="Q3468">
        <v>3</v>
      </c>
      <c r="R3468" s="2">
        <v>34865</v>
      </c>
    </row>
    <row r="3469" spans="1:18" x14ac:dyDescent="0.3">
      <c r="A3469" t="s">
        <v>7</v>
      </c>
      <c r="B3469">
        <v>19022915</v>
      </c>
      <c r="C3469" t="s">
        <v>8</v>
      </c>
      <c r="D3469" s="4">
        <v>46150</v>
      </c>
      <c r="E3469" s="11">
        <f t="shared" si="216"/>
        <v>2026</v>
      </c>
      <c r="F3469" s="11">
        <f t="shared" si="217"/>
        <v>5</v>
      </c>
      <c r="G3469" s="11" t="str">
        <f t="shared" si="218"/>
        <v>202605</v>
      </c>
      <c r="I3469" s="5">
        <v>9999</v>
      </c>
      <c r="J3469" s="5">
        <v>333.3</v>
      </c>
      <c r="K3469" s="5">
        <f t="shared" si="219"/>
        <v>0</v>
      </c>
      <c r="L3469" s="5">
        <v>0</v>
      </c>
      <c r="M3469" s="5">
        <v>0</v>
      </c>
      <c r="N3469" t="s">
        <v>9</v>
      </c>
      <c r="O3469" s="8">
        <v>32.769863013698632</v>
      </c>
      <c r="P3469" t="s">
        <v>35</v>
      </c>
      <c r="Q3469">
        <v>4</v>
      </c>
      <c r="R3469" s="2">
        <v>34189</v>
      </c>
    </row>
    <row r="3470" spans="1:18" x14ac:dyDescent="0.3">
      <c r="A3470" t="s">
        <v>7</v>
      </c>
      <c r="B3470">
        <v>19022917</v>
      </c>
      <c r="C3470" t="s">
        <v>10</v>
      </c>
      <c r="D3470" s="4">
        <v>46150</v>
      </c>
      <c r="E3470" s="11">
        <f t="shared" si="216"/>
        <v>2026</v>
      </c>
      <c r="F3470" s="11">
        <f t="shared" si="217"/>
        <v>5</v>
      </c>
      <c r="G3470" s="11" t="str">
        <f t="shared" si="218"/>
        <v>202605</v>
      </c>
      <c r="I3470" s="5">
        <v>9999</v>
      </c>
      <c r="J3470" s="5">
        <v>333.3</v>
      </c>
      <c r="K3470" s="5">
        <f t="shared" si="219"/>
        <v>0</v>
      </c>
      <c r="L3470" s="5">
        <v>0</v>
      </c>
      <c r="M3470" s="5">
        <v>0</v>
      </c>
      <c r="N3470" t="s">
        <v>9</v>
      </c>
      <c r="O3470" s="8">
        <v>18.232876712328768</v>
      </c>
      <c r="P3470" t="s">
        <v>32</v>
      </c>
      <c r="Q3470">
        <v>1</v>
      </c>
      <c r="R3470" s="2">
        <v>39495</v>
      </c>
    </row>
    <row r="3471" spans="1:18" x14ac:dyDescent="0.3">
      <c r="A3471" t="s">
        <v>7</v>
      </c>
      <c r="B3471">
        <v>19022919</v>
      </c>
      <c r="C3471" t="s">
        <v>8</v>
      </c>
      <c r="D3471" s="4">
        <v>46150</v>
      </c>
      <c r="E3471" s="11">
        <f t="shared" si="216"/>
        <v>2026</v>
      </c>
      <c r="F3471" s="11">
        <f t="shared" si="217"/>
        <v>5</v>
      </c>
      <c r="G3471" s="11" t="str">
        <f t="shared" si="218"/>
        <v>202605</v>
      </c>
      <c r="I3471" s="5">
        <v>9999</v>
      </c>
      <c r="J3471" s="5">
        <v>333.3</v>
      </c>
      <c r="K3471" s="5">
        <f t="shared" si="219"/>
        <v>0</v>
      </c>
      <c r="L3471" s="5">
        <v>0</v>
      </c>
      <c r="M3471" s="5">
        <v>0</v>
      </c>
      <c r="N3471" t="s">
        <v>9</v>
      </c>
      <c r="O3471" s="8">
        <v>21.101369863013698</v>
      </c>
      <c r="P3471" t="s">
        <v>33</v>
      </c>
      <c r="Q3471">
        <v>2</v>
      </c>
      <c r="R3471" s="2">
        <v>38448</v>
      </c>
    </row>
    <row r="3472" spans="1:18" x14ac:dyDescent="0.3">
      <c r="A3472" t="s">
        <v>7</v>
      </c>
      <c r="B3472">
        <v>19022928</v>
      </c>
      <c r="C3472" t="s">
        <v>8</v>
      </c>
      <c r="D3472" s="4">
        <v>46150</v>
      </c>
      <c r="E3472" s="11">
        <f t="shared" si="216"/>
        <v>2026</v>
      </c>
      <c r="F3472" s="11">
        <f t="shared" si="217"/>
        <v>5</v>
      </c>
      <c r="G3472" s="11" t="str">
        <f t="shared" si="218"/>
        <v>202605</v>
      </c>
      <c r="I3472" s="5">
        <v>9999</v>
      </c>
      <c r="J3472" s="5">
        <v>333.3</v>
      </c>
      <c r="K3472" s="5">
        <f t="shared" si="219"/>
        <v>0</v>
      </c>
      <c r="L3472" s="5">
        <v>0</v>
      </c>
      <c r="M3472" s="5">
        <v>0</v>
      </c>
      <c r="N3472" t="s">
        <v>9</v>
      </c>
      <c r="O3472" s="8">
        <v>23.463013698630139</v>
      </c>
      <c r="P3472" t="s">
        <v>33</v>
      </c>
      <c r="Q3472">
        <v>2</v>
      </c>
      <c r="R3472" s="2">
        <v>37586</v>
      </c>
    </row>
    <row r="3473" spans="1:18" x14ac:dyDescent="0.3">
      <c r="A3473" t="s">
        <v>7</v>
      </c>
      <c r="B3473">
        <v>19022929</v>
      </c>
      <c r="C3473" t="s">
        <v>10</v>
      </c>
      <c r="D3473" s="4">
        <v>46150</v>
      </c>
      <c r="E3473" s="11">
        <f t="shared" si="216"/>
        <v>2026</v>
      </c>
      <c r="F3473" s="11">
        <f t="shared" si="217"/>
        <v>5</v>
      </c>
      <c r="G3473" s="11" t="str">
        <f t="shared" si="218"/>
        <v>202605</v>
      </c>
      <c r="H3473" s="4">
        <v>46174</v>
      </c>
      <c r="I3473" s="5">
        <v>24</v>
      </c>
      <c r="J3473" s="5">
        <v>0.8</v>
      </c>
      <c r="K3473" s="5">
        <f t="shared" si="219"/>
        <v>1</v>
      </c>
      <c r="L3473" s="5">
        <v>1</v>
      </c>
      <c r="M3473" s="5">
        <v>1</v>
      </c>
      <c r="N3473" t="s">
        <v>9</v>
      </c>
      <c r="O3473" s="8">
        <v>18.339726027397262</v>
      </c>
      <c r="P3473" t="s">
        <v>32</v>
      </c>
      <c r="Q3473">
        <v>1</v>
      </c>
      <c r="R3473" s="2">
        <v>39456</v>
      </c>
    </row>
    <row r="3474" spans="1:18" x14ac:dyDescent="0.3">
      <c r="A3474" t="s">
        <v>7</v>
      </c>
      <c r="B3474">
        <v>19022930</v>
      </c>
      <c r="C3474" t="s">
        <v>8</v>
      </c>
      <c r="D3474" s="4">
        <v>46150</v>
      </c>
      <c r="E3474" s="11">
        <f t="shared" si="216"/>
        <v>2026</v>
      </c>
      <c r="F3474" s="11">
        <f t="shared" si="217"/>
        <v>5</v>
      </c>
      <c r="G3474" s="11" t="str">
        <f t="shared" si="218"/>
        <v>202605</v>
      </c>
      <c r="I3474" s="5">
        <v>9999</v>
      </c>
      <c r="J3474" s="5">
        <v>333.3</v>
      </c>
      <c r="K3474" s="5">
        <f t="shared" si="219"/>
        <v>0</v>
      </c>
      <c r="L3474" s="5">
        <v>0</v>
      </c>
      <c r="M3474" s="5">
        <v>0</v>
      </c>
      <c r="N3474" t="s">
        <v>9</v>
      </c>
      <c r="O3474" s="8">
        <v>22.227397260273971</v>
      </c>
      <c r="P3474" t="s">
        <v>33</v>
      </c>
      <c r="Q3474">
        <v>2</v>
      </c>
      <c r="R3474" s="2">
        <v>38037</v>
      </c>
    </row>
    <row r="3475" spans="1:18" x14ac:dyDescent="0.3">
      <c r="A3475" t="s">
        <v>7</v>
      </c>
      <c r="B3475">
        <v>19022936</v>
      </c>
      <c r="C3475" t="s">
        <v>8</v>
      </c>
      <c r="D3475" s="4">
        <v>46150</v>
      </c>
      <c r="E3475" s="11">
        <f t="shared" si="216"/>
        <v>2026</v>
      </c>
      <c r="F3475" s="11">
        <f t="shared" si="217"/>
        <v>5</v>
      </c>
      <c r="G3475" s="11" t="str">
        <f t="shared" si="218"/>
        <v>202605</v>
      </c>
      <c r="I3475" s="5">
        <v>9999</v>
      </c>
      <c r="J3475" s="5">
        <v>333.3</v>
      </c>
      <c r="K3475" s="5">
        <f t="shared" si="219"/>
        <v>0</v>
      </c>
      <c r="L3475" s="5">
        <v>0</v>
      </c>
      <c r="M3475" s="5">
        <v>0</v>
      </c>
      <c r="N3475" t="s">
        <v>9</v>
      </c>
      <c r="O3475" s="8">
        <v>18.87123287671233</v>
      </c>
      <c r="P3475" t="s">
        <v>32</v>
      </c>
      <c r="Q3475">
        <v>1</v>
      </c>
      <c r="R3475" s="2">
        <v>39262</v>
      </c>
    </row>
    <row r="3476" spans="1:18" x14ac:dyDescent="0.3">
      <c r="A3476" t="s">
        <v>7</v>
      </c>
      <c r="B3476">
        <v>19022938</v>
      </c>
      <c r="C3476" t="s">
        <v>8</v>
      </c>
      <c r="D3476" s="4">
        <v>46150</v>
      </c>
      <c r="E3476" s="11">
        <f t="shared" si="216"/>
        <v>2026</v>
      </c>
      <c r="F3476" s="11">
        <f t="shared" si="217"/>
        <v>5</v>
      </c>
      <c r="G3476" s="11" t="str">
        <f t="shared" si="218"/>
        <v>202605</v>
      </c>
      <c r="I3476" s="5">
        <v>9999</v>
      </c>
      <c r="J3476" s="5">
        <v>333.3</v>
      </c>
      <c r="K3476" s="5">
        <f t="shared" si="219"/>
        <v>0</v>
      </c>
      <c r="L3476" s="5">
        <v>0</v>
      </c>
      <c r="M3476" s="5">
        <v>0</v>
      </c>
      <c r="N3476" t="s">
        <v>9</v>
      </c>
      <c r="O3476" s="8">
        <v>19.304109589041097</v>
      </c>
      <c r="P3476" t="s">
        <v>32</v>
      </c>
      <c r="Q3476">
        <v>1</v>
      </c>
      <c r="R3476" s="2">
        <v>39104</v>
      </c>
    </row>
    <row r="3477" spans="1:18" x14ac:dyDescent="0.3">
      <c r="A3477" t="s">
        <v>7</v>
      </c>
      <c r="B3477">
        <v>19022939</v>
      </c>
      <c r="C3477" t="s">
        <v>10</v>
      </c>
      <c r="D3477" s="4">
        <v>46150</v>
      </c>
      <c r="E3477" s="11">
        <f t="shared" si="216"/>
        <v>2026</v>
      </c>
      <c r="F3477" s="11">
        <f t="shared" si="217"/>
        <v>5</v>
      </c>
      <c r="G3477" s="11" t="str">
        <f t="shared" si="218"/>
        <v>202605</v>
      </c>
      <c r="I3477" s="5">
        <v>9999</v>
      </c>
      <c r="J3477" s="5">
        <v>333.3</v>
      </c>
      <c r="K3477" s="5">
        <f t="shared" si="219"/>
        <v>0</v>
      </c>
      <c r="L3477" s="5">
        <v>0</v>
      </c>
      <c r="M3477" s="5">
        <v>0</v>
      </c>
      <c r="N3477" t="s">
        <v>9</v>
      </c>
      <c r="O3477" s="8">
        <v>20.424657534246574</v>
      </c>
      <c r="P3477" t="s">
        <v>32</v>
      </c>
      <c r="Q3477">
        <v>1</v>
      </c>
      <c r="R3477" s="2">
        <v>38695</v>
      </c>
    </row>
    <row r="3478" spans="1:18" x14ac:dyDescent="0.3">
      <c r="A3478" t="s">
        <v>7</v>
      </c>
      <c r="B3478">
        <v>19022968</v>
      </c>
      <c r="C3478" t="s">
        <v>8</v>
      </c>
      <c r="D3478" s="4">
        <v>46150</v>
      </c>
      <c r="E3478" s="11">
        <f t="shared" si="216"/>
        <v>2026</v>
      </c>
      <c r="F3478" s="11">
        <f t="shared" si="217"/>
        <v>5</v>
      </c>
      <c r="G3478" s="11" t="str">
        <f t="shared" si="218"/>
        <v>202605</v>
      </c>
      <c r="H3478" s="4">
        <v>46173</v>
      </c>
      <c r="I3478" s="5">
        <v>23</v>
      </c>
      <c r="J3478" s="5">
        <v>0.76666666666666672</v>
      </c>
      <c r="K3478" s="5">
        <f t="shared" si="219"/>
        <v>1</v>
      </c>
      <c r="L3478" s="5">
        <v>1</v>
      </c>
      <c r="M3478" s="5">
        <v>1</v>
      </c>
      <c r="N3478" t="s">
        <v>9</v>
      </c>
      <c r="O3478" s="8">
        <v>22.830136986301369</v>
      </c>
      <c r="P3478" t="s">
        <v>33</v>
      </c>
      <c r="Q3478">
        <v>2</v>
      </c>
      <c r="R3478" s="2">
        <v>37817</v>
      </c>
    </row>
    <row r="3479" spans="1:18" x14ac:dyDescent="0.3">
      <c r="A3479" t="s">
        <v>7</v>
      </c>
      <c r="B3479">
        <v>19022970</v>
      </c>
      <c r="C3479" t="s">
        <v>8</v>
      </c>
      <c r="D3479" s="4">
        <v>46150</v>
      </c>
      <c r="E3479" s="11">
        <f t="shared" si="216"/>
        <v>2026</v>
      </c>
      <c r="F3479" s="11">
        <f t="shared" si="217"/>
        <v>5</v>
      </c>
      <c r="G3479" s="11" t="str">
        <f t="shared" si="218"/>
        <v>202605</v>
      </c>
      <c r="I3479" s="5">
        <v>9999</v>
      </c>
      <c r="J3479" s="5">
        <v>333.3</v>
      </c>
      <c r="K3479" s="5">
        <f t="shared" si="219"/>
        <v>0</v>
      </c>
      <c r="L3479" s="5">
        <v>0</v>
      </c>
      <c r="M3479" s="5">
        <v>0</v>
      </c>
      <c r="N3479" t="s">
        <v>9</v>
      </c>
      <c r="O3479" s="8">
        <v>18.024657534246575</v>
      </c>
      <c r="P3479" t="s">
        <v>32</v>
      </c>
      <c r="Q3479">
        <v>1</v>
      </c>
      <c r="R3479" s="2">
        <v>39571</v>
      </c>
    </row>
    <row r="3480" spans="1:18" x14ac:dyDescent="0.3">
      <c r="A3480" t="s">
        <v>7</v>
      </c>
      <c r="B3480">
        <v>19022971</v>
      </c>
      <c r="C3480" t="s">
        <v>8</v>
      </c>
      <c r="D3480" s="4">
        <v>46150</v>
      </c>
      <c r="E3480" s="11">
        <f t="shared" si="216"/>
        <v>2026</v>
      </c>
      <c r="F3480" s="11">
        <f t="shared" si="217"/>
        <v>5</v>
      </c>
      <c r="G3480" s="11" t="str">
        <f t="shared" si="218"/>
        <v>202605</v>
      </c>
      <c r="I3480" s="5">
        <v>9999</v>
      </c>
      <c r="J3480" s="5">
        <v>333.3</v>
      </c>
      <c r="K3480" s="5">
        <f t="shared" si="219"/>
        <v>0</v>
      </c>
      <c r="L3480" s="5">
        <v>0</v>
      </c>
      <c r="M3480" s="5">
        <v>0</v>
      </c>
      <c r="N3480" t="s">
        <v>9</v>
      </c>
      <c r="O3480" s="8">
        <v>26.997260273972604</v>
      </c>
      <c r="P3480" t="s">
        <v>34</v>
      </c>
      <c r="Q3480">
        <v>3</v>
      </c>
      <c r="R3480" s="2">
        <v>36296</v>
      </c>
    </row>
    <row r="3481" spans="1:18" x14ac:dyDescent="0.3">
      <c r="A3481" t="s">
        <v>7</v>
      </c>
      <c r="B3481">
        <v>19022972</v>
      </c>
      <c r="C3481" t="s">
        <v>8</v>
      </c>
      <c r="D3481" s="4">
        <v>46150</v>
      </c>
      <c r="E3481" s="11">
        <f t="shared" si="216"/>
        <v>2026</v>
      </c>
      <c r="F3481" s="11">
        <f t="shared" si="217"/>
        <v>5</v>
      </c>
      <c r="G3481" s="11" t="str">
        <f t="shared" si="218"/>
        <v>202605</v>
      </c>
      <c r="I3481" s="5">
        <v>9999</v>
      </c>
      <c r="J3481" s="5">
        <v>333.3</v>
      </c>
      <c r="K3481" s="5">
        <f t="shared" si="219"/>
        <v>0</v>
      </c>
      <c r="L3481" s="5">
        <v>0</v>
      </c>
      <c r="M3481" s="5">
        <v>0</v>
      </c>
      <c r="N3481" t="s">
        <v>9</v>
      </c>
      <c r="O3481" s="8">
        <v>26.323287671232876</v>
      </c>
      <c r="P3481" t="s">
        <v>34</v>
      </c>
      <c r="Q3481">
        <v>3</v>
      </c>
      <c r="R3481" s="2">
        <v>36542</v>
      </c>
    </row>
    <row r="3482" spans="1:18" x14ac:dyDescent="0.3">
      <c r="A3482" t="s">
        <v>7</v>
      </c>
      <c r="B3482">
        <v>19022974</v>
      </c>
      <c r="C3482" t="s">
        <v>8</v>
      </c>
      <c r="D3482" s="4">
        <v>46150</v>
      </c>
      <c r="E3482" s="11">
        <f t="shared" si="216"/>
        <v>2026</v>
      </c>
      <c r="F3482" s="11">
        <f t="shared" si="217"/>
        <v>5</v>
      </c>
      <c r="G3482" s="11" t="str">
        <f t="shared" si="218"/>
        <v>202605</v>
      </c>
      <c r="I3482" s="5">
        <v>9999</v>
      </c>
      <c r="J3482" s="5">
        <v>333.3</v>
      </c>
      <c r="K3482" s="5">
        <f t="shared" si="219"/>
        <v>0</v>
      </c>
      <c r="L3482" s="5">
        <v>0</v>
      </c>
      <c r="M3482" s="5">
        <v>0</v>
      </c>
      <c r="N3482" t="s">
        <v>9</v>
      </c>
      <c r="O3482" s="8">
        <v>21.126027397260273</v>
      </c>
      <c r="P3482" t="s">
        <v>33</v>
      </c>
      <c r="Q3482">
        <v>2</v>
      </c>
      <c r="R3482" s="2">
        <v>38439</v>
      </c>
    </row>
    <row r="3483" spans="1:18" x14ac:dyDescent="0.3">
      <c r="A3483" t="s">
        <v>7</v>
      </c>
      <c r="B3483">
        <v>19022975</v>
      </c>
      <c r="C3483" t="s">
        <v>8</v>
      </c>
      <c r="D3483" s="4">
        <v>46150</v>
      </c>
      <c r="E3483" s="11">
        <f t="shared" si="216"/>
        <v>2026</v>
      </c>
      <c r="F3483" s="11">
        <f t="shared" si="217"/>
        <v>5</v>
      </c>
      <c r="G3483" s="11" t="str">
        <f t="shared" si="218"/>
        <v>202605</v>
      </c>
      <c r="I3483" s="5">
        <v>9999</v>
      </c>
      <c r="J3483" s="5">
        <v>333.3</v>
      </c>
      <c r="K3483" s="5">
        <f t="shared" si="219"/>
        <v>0</v>
      </c>
      <c r="L3483" s="5">
        <v>0</v>
      </c>
      <c r="M3483" s="5">
        <v>0</v>
      </c>
      <c r="N3483" t="s">
        <v>9</v>
      </c>
      <c r="O3483" s="8">
        <v>21.989041095890411</v>
      </c>
      <c r="P3483" t="s">
        <v>33</v>
      </c>
      <c r="Q3483">
        <v>2</v>
      </c>
      <c r="R3483" s="2">
        <v>38124</v>
      </c>
    </row>
    <row r="3484" spans="1:18" x14ac:dyDescent="0.3">
      <c r="A3484" t="s">
        <v>7</v>
      </c>
      <c r="B3484">
        <v>19022986</v>
      </c>
      <c r="C3484" t="s">
        <v>8</v>
      </c>
      <c r="D3484" s="4">
        <v>46150</v>
      </c>
      <c r="E3484" s="11">
        <f t="shared" si="216"/>
        <v>2026</v>
      </c>
      <c r="F3484" s="11">
        <f t="shared" si="217"/>
        <v>5</v>
      </c>
      <c r="G3484" s="11" t="str">
        <f t="shared" si="218"/>
        <v>202605</v>
      </c>
      <c r="I3484" s="5">
        <v>9999</v>
      </c>
      <c r="J3484" s="5">
        <v>333.3</v>
      </c>
      <c r="K3484" s="5">
        <f t="shared" si="219"/>
        <v>0</v>
      </c>
      <c r="L3484" s="5">
        <v>0</v>
      </c>
      <c r="M3484" s="5">
        <v>0</v>
      </c>
      <c r="N3484" t="s">
        <v>9</v>
      </c>
      <c r="O3484" s="8">
        <v>23.312328767123287</v>
      </c>
      <c r="P3484" t="s">
        <v>33</v>
      </c>
      <c r="Q3484">
        <v>2</v>
      </c>
      <c r="R3484" s="2">
        <v>37641</v>
      </c>
    </row>
    <row r="3485" spans="1:18" x14ac:dyDescent="0.3">
      <c r="A3485" t="s">
        <v>7</v>
      </c>
      <c r="B3485">
        <v>19022987</v>
      </c>
      <c r="C3485" t="s">
        <v>10</v>
      </c>
      <c r="D3485" s="4">
        <v>46148</v>
      </c>
      <c r="E3485" s="11">
        <f t="shared" si="216"/>
        <v>2026</v>
      </c>
      <c r="F3485" s="11">
        <f t="shared" si="217"/>
        <v>5</v>
      </c>
      <c r="G3485" s="11" t="str">
        <f t="shared" si="218"/>
        <v>202605</v>
      </c>
      <c r="I3485" s="5">
        <v>9999</v>
      </c>
      <c r="J3485" s="5">
        <v>333.3</v>
      </c>
      <c r="K3485" s="5">
        <f t="shared" si="219"/>
        <v>0</v>
      </c>
      <c r="L3485" s="5">
        <v>0</v>
      </c>
      <c r="M3485" s="5">
        <v>0</v>
      </c>
      <c r="N3485" t="s">
        <v>9</v>
      </c>
      <c r="O3485" s="8">
        <v>18.882191780821916</v>
      </c>
      <c r="P3485" t="s">
        <v>32</v>
      </c>
      <c r="Q3485">
        <v>1</v>
      </c>
      <c r="R3485" s="2">
        <v>39256</v>
      </c>
    </row>
    <row r="3486" spans="1:18" x14ac:dyDescent="0.3">
      <c r="A3486" t="s">
        <v>7</v>
      </c>
      <c r="B3486">
        <v>19022988</v>
      </c>
      <c r="C3486" t="s">
        <v>8</v>
      </c>
      <c r="D3486" s="4">
        <v>46150</v>
      </c>
      <c r="E3486" s="11">
        <f t="shared" si="216"/>
        <v>2026</v>
      </c>
      <c r="F3486" s="11">
        <f t="shared" si="217"/>
        <v>5</v>
      </c>
      <c r="G3486" s="11" t="str">
        <f t="shared" si="218"/>
        <v>202605</v>
      </c>
      <c r="I3486" s="5">
        <v>9999</v>
      </c>
      <c r="J3486" s="5">
        <v>333.3</v>
      </c>
      <c r="K3486" s="5">
        <f t="shared" si="219"/>
        <v>0</v>
      </c>
      <c r="L3486" s="5">
        <v>0</v>
      </c>
      <c r="M3486" s="5">
        <v>0</v>
      </c>
      <c r="N3486" t="s">
        <v>9</v>
      </c>
      <c r="O3486" s="8">
        <v>20.287671232876711</v>
      </c>
      <c r="P3486" t="s">
        <v>32</v>
      </c>
      <c r="Q3486">
        <v>1</v>
      </c>
      <c r="R3486" s="2">
        <v>38745</v>
      </c>
    </row>
    <row r="3487" spans="1:18" x14ac:dyDescent="0.3">
      <c r="A3487" t="s">
        <v>7</v>
      </c>
      <c r="B3487">
        <v>19022992</v>
      </c>
      <c r="C3487" t="s">
        <v>8</v>
      </c>
      <c r="D3487" s="4">
        <v>46148</v>
      </c>
      <c r="E3487" s="11">
        <f t="shared" si="216"/>
        <v>2026</v>
      </c>
      <c r="F3487" s="11">
        <f t="shared" si="217"/>
        <v>5</v>
      </c>
      <c r="G3487" s="11" t="str">
        <f t="shared" si="218"/>
        <v>202605</v>
      </c>
      <c r="H3487" s="4">
        <v>46157</v>
      </c>
      <c r="I3487" s="5">
        <v>9</v>
      </c>
      <c r="J3487" s="5">
        <v>0.3</v>
      </c>
      <c r="K3487" s="5">
        <f t="shared" si="219"/>
        <v>1</v>
      </c>
      <c r="L3487" s="5">
        <v>1</v>
      </c>
      <c r="M3487" s="5">
        <v>1</v>
      </c>
      <c r="N3487" t="s">
        <v>9</v>
      </c>
      <c r="O3487" s="8">
        <v>25.652054794520549</v>
      </c>
      <c r="P3487" t="s">
        <v>33</v>
      </c>
      <c r="Q3487">
        <v>2</v>
      </c>
      <c r="R3487" s="2">
        <v>36785</v>
      </c>
    </row>
    <row r="3488" spans="1:18" x14ac:dyDescent="0.3">
      <c r="A3488" t="s">
        <v>7</v>
      </c>
      <c r="B3488">
        <v>19023002</v>
      </c>
      <c r="C3488" t="s">
        <v>10</v>
      </c>
      <c r="D3488" s="4">
        <v>46150</v>
      </c>
      <c r="E3488" s="11">
        <f t="shared" si="216"/>
        <v>2026</v>
      </c>
      <c r="F3488" s="11">
        <f t="shared" si="217"/>
        <v>5</v>
      </c>
      <c r="G3488" s="11" t="str">
        <f t="shared" si="218"/>
        <v>202605</v>
      </c>
      <c r="I3488" s="5">
        <v>9999</v>
      </c>
      <c r="J3488" s="5">
        <v>333.3</v>
      </c>
      <c r="K3488" s="5">
        <f t="shared" si="219"/>
        <v>0</v>
      </c>
      <c r="L3488" s="5">
        <v>0</v>
      </c>
      <c r="M3488" s="5">
        <v>0</v>
      </c>
      <c r="N3488" t="s">
        <v>9</v>
      </c>
      <c r="O3488" s="8">
        <v>20.221917808219178</v>
      </c>
      <c r="P3488" t="s">
        <v>32</v>
      </c>
      <c r="Q3488">
        <v>1</v>
      </c>
      <c r="R3488" s="2">
        <v>38769</v>
      </c>
    </row>
    <row r="3489" spans="1:18" x14ac:dyDescent="0.3">
      <c r="A3489" t="s">
        <v>7</v>
      </c>
      <c r="B3489">
        <v>19023009</v>
      </c>
      <c r="C3489" t="s">
        <v>8</v>
      </c>
      <c r="D3489" s="4">
        <v>46150</v>
      </c>
      <c r="E3489" s="11">
        <f t="shared" si="216"/>
        <v>2026</v>
      </c>
      <c r="F3489" s="11">
        <f t="shared" si="217"/>
        <v>5</v>
      </c>
      <c r="G3489" s="11" t="str">
        <f t="shared" si="218"/>
        <v>202605</v>
      </c>
      <c r="I3489" s="5">
        <v>9999</v>
      </c>
      <c r="J3489" s="5">
        <v>333.3</v>
      </c>
      <c r="K3489" s="5">
        <f t="shared" si="219"/>
        <v>0</v>
      </c>
      <c r="L3489" s="5">
        <v>0</v>
      </c>
      <c r="M3489" s="5">
        <v>0</v>
      </c>
      <c r="N3489" t="s">
        <v>9</v>
      </c>
      <c r="O3489" s="8">
        <v>19.19178082191781</v>
      </c>
      <c r="P3489" t="s">
        <v>32</v>
      </c>
      <c r="Q3489">
        <v>1</v>
      </c>
      <c r="R3489" s="2">
        <v>39145</v>
      </c>
    </row>
    <row r="3490" spans="1:18" x14ac:dyDescent="0.3">
      <c r="A3490" t="s">
        <v>7</v>
      </c>
      <c r="B3490">
        <v>19023010</v>
      </c>
      <c r="C3490" t="s">
        <v>8</v>
      </c>
      <c r="D3490" s="4">
        <v>46148</v>
      </c>
      <c r="E3490" s="11">
        <f t="shared" si="216"/>
        <v>2026</v>
      </c>
      <c r="F3490" s="11">
        <f t="shared" si="217"/>
        <v>5</v>
      </c>
      <c r="G3490" s="11" t="str">
        <f t="shared" si="218"/>
        <v>202605</v>
      </c>
      <c r="I3490" s="5">
        <v>9999</v>
      </c>
      <c r="J3490" s="5">
        <v>333.3</v>
      </c>
      <c r="K3490" s="5">
        <f t="shared" si="219"/>
        <v>0</v>
      </c>
      <c r="L3490" s="5">
        <v>0</v>
      </c>
      <c r="M3490" s="5">
        <v>0</v>
      </c>
      <c r="N3490" t="s">
        <v>9</v>
      </c>
      <c r="O3490" s="8">
        <v>19.747945205479454</v>
      </c>
      <c r="P3490" t="s">
        <v>32</v>
      </c>
      <c r="Q3490">
        <v>1</v>
      </c>
      <c r="R3490" s="2">
        <v>38940</v>
      </c>
    </row>
    <row r="3491" spans="1:18" x14ac:dyDescent="0.3">
      <c r="A3491" t="s">
        <v>7</v>
      </c>
      <c r="B3491">
        <v>19023084</v>
      </c>
      <c r="C3491" t="s">
        <v>8</v>
      </c>
      <c r="D3491" s="4">
        <v>46150</v>
      </c>
      <c r="E3491" s="11">
        <f t="shared" si="216"/>
        <v>2026</v>
      </c>
      <c r="F3491" s="11">
        <f t="shared" si="217"/>
        <v>5</v>
      </c>
      <c r="G3491" s="11" t="str">
        <f t="shared" si="218"/>
        <v>202605</v>
      </c>
      <c r="H3491" s="4">
        <v>46153</v>
      </c>
      <c r="I3491" s="5">
        <v>3</v>
      </c>
      <c r="J3491" s="5">
        <v>0.1</v>
      </c>
      <c r="K3491" s="5">
        <f t="shared" si="219"/>
        <v>1</v>
      </c>
      <c r="L3491" s="5">
        <v>1</v>
      </c>
      <c r="M3491" s="5">
        <v>1</v>
      </c>
      <c r="N3491" t="s">
        <v>9</v>
      </c>
      <c r="O3491" s="8">
        <v>19.789041095890411</v>
      </c>
      <c r="P3491" t="s">
        <v>32</v>
      </c>
      <c r="Q3491">
        <v>1</v>
      </c>
      <c r="R3491" s="2">
        <v>38927</v>
      </c>
    </row>
    <row r="3492" spans="1:18" x14ac:dyDescent="0.3">
      <c r="A3492" t="s">
        <v>7</v>
      </c>
      <c r="B3492">
        <v>19023088</v>
      </c>
      <c r="C3492" t="s">
        <v>10</v>
      </c>
      <c r="D3492" s="4">
        <v>46150</v>
      </c>
      <c r="E3492" s="11">
        <f t="shared" si="216"/>
        <v>2026</v>
      </c>
      <c r="F3492" s="11">
        <f t="shared" si="217"/>
        <v>5</v>
      </c>
      <c r="G3492" s="11" t="str">
        <f t="shared" si="218"/>
        <v>202605</v>
      </c>
      <c r="I3492" s="5">
        <v>9999</v>
      </c>
      <c r="J3492" s="5">
        <v>333.3</v>
      </c>
      <c r="K3492" s="5">
        <f t="shared" si="219"/>
        <v>0</v>
      </c>
      <c r="L3492" s="5">
        <v>0</v>
      </c>
      <c r="M3492" s="5">
        <v>0</v>
      </c>
      <c r="N3492" t="s">
        <v>9</v>
      </c>
      <c r="O3492" s="8">
        <v>25.663013698630138</v>
      </c>
      <c r="P3492" t="s">
        <v>33</v>
      </c>
      <c r="Q3492">
        <v>2</v>
      </c>
      <c r="R3492" s="2">
        <v>36783</v>
      </c>
    </row>
    <row r="3493" spans="1:18" x14ac:dyDescent="0.3">
      <c r="A3493" t="s">
        <v>7</v>
      </c>
      <c r="B3493">
        <v>19023116</v>
      </c>
      <c r="C3493" t="s">
        <v>8</v>
      </c>
      <c r="D3493" s="4">
        <v>46150</v>
      </c>
      <c r="E3493" s="11">
        <f t="shared" si="216"/>
        <v>2026</v>
      </c>
      <c r="F3493" s="11">
        <f t="shared" si="217"/>
        <v>5</v>
      </c>
      <c r="G3493" s="11" t="str">
        <f t="shared" si="218"/>
        <v>202605</v>
      </c>
      <c r="I3493" s="5">
        <v>9999</v>
      </c>
      <c r="J3493" s="5">
        <v>333.3</v>
      </c>
      <c r="K3493" s="5">
        <f t="shared" si="219"/>
        <v>0</v>
      </c>
      <c r="L3493" s="5">
        <v>0</v>
      </c>
      <c r="M3493" s="5">
        <v>0</v>
      </c>
      <c r="N3493" t="s">
        <v>9</v>
      </c>
      <c r="O3493" s="8">
        <v>19.791780821917808</v>
      </c>
      <c r="P3493" t="s">
        <v>32</v>
      </c>
      <c r="Q3493">
        <v>1</v>
      </c>
      <c r="R3493" s="2">
        <v>38926</v>
      </c>
    </row>
    <row r="3494" spans="1:18" x14ac:dyDescent="0.3">
      <c r="A3494" t="s">
        <v>7</v>
      </c>
      <c r="B3494">
        <v>19023250</v>
      </c>
      <c r="C3494" t="s">
        <v>8</v>
      </c>
      <c r="D3494" s="4">
        <v>46151</v>
      </c>
      <c r="E3494" s="11">
        <f t="shared" si="216"/>
        <v>2026</v>
      </c>
      <c r="F3494" s="11">
        <f t="shared" si="217"/>
        <v>5</v>
      </c>
      <c r="G3494" s="11" t="str">
        <f t="shared" si="218"/>
        <v>202605</v>
      </c>
      <c r="I3494" s="5">
        <v>9999</v>
      </c>
      <c r="J3494" s="5">
        <v>333.3</v>
      </c>
      <c r="K3494" s="5">
        <f t="shared" si="219"/>
        <v>0</v>
      </c>
      <c r="L3494" s="5">
        <v>0</v>
      </c>
      <c r="M3494" s="5">
        <v>0</v>
      </c>
      <c r="N3494" t="s">
        <v>9</v>
      </c>
      <c r="O3494" s="8">
        <v>19.290410958904111</v>
      </c>
      <c r="P3494" t="s">
        <v>32</v>
      </c>
      <c r="Q3494">
        <v>1</v>
      </c>
      <c r="R3494" s="2">
        <v>39110</v>
      </c>
    </row>
    <row r="3495" spans="1:18" x14ac:dyDescent="0.3">
      <c r="A3495" t="s">
        <v>7</v>
      </c>
      <c r="B3495">
        <v>19023251</v>
      </c>
      <c r="C3495" t="s">
        <v>8</v>
      </c>
      <c r="D3495" s="4">
        <v>46151</v>
      </c>
      <c r="E3495" s="11">
        <f t="shared" si="216"/>
        <v>2026</v>
      </c>
      <c r="F3495" s="11">
        <f t="shared" si="217"/>
        <v>5</v>
      </c>
      <c r="G3495" s="11" t="str">
        <f t="shared" si="218"/>
        <v>202605</v>
      </c>
      <c r="I3495" s="5">
        <v>9999</v>
      </c>
      <c r="J3495" s="5">
        <v>333.3</v>
      </c>
      <c r="K3495" s="5">
        <f t="shared" si="219"/>
        <v>0</v>
      </c>
      <c r="L3495" s="5">
        <v>0</v>
      </c>
      <c r="M3495" s="5">
        <v>0</v>
      </c>
      <c r="N3495" t="s">
        <v>9</v>
      </c>
      <c r="O3495" s="8">
        <v>35.953424657534249</v>
      </c>
      <c r="P3495" t="s">
        <v>35</v>
      </c>
      <c r="Q3495">
        <v>4</v>
      </c>
      <c r="R3495" s="2">
        <v>33028</v>
      </c>
    </row>
    <row r="3496" spans="1:18" x14ac:dyDescent="0.3">
      <c r="A3496" t="s">
        <v>7</v>
      </c>
      <c r="B3496">
        <v>19023290</v>
      </c>
      <c r="C3496" t="s">
        <v>10</v>
      </c>
      <c r="D3496" s="4">
        <v>46151</v>
      </c>
      <c r="E3496" s="11">
        <f t="shared" si="216"/>
        <v>2026</v>
      </c>
      <c r="F3496" s="11">
        <f t="shared" si="217"/>
        <v>5</v>
      </c>
      <c r="G3496" s="11" t="str">
        <f t="shared" si="218"/>
        <v>202605</v>
      </c>
      <c r="I3496" s="5">
        <v>9999</v>
      </c>
      <c r="J3496" s="5">
        <v>333.3</v>
      </c>
      <c r="K3496" s="5">
        <f t="shared" si="219"/>
        <v>0</v>
      </c>
      <c r="L3496" s="5">
        <v>0</v>
      </c>
      <c r="M3496" s="5">
        <v>0</v>
      </c>
      <c r="N3496" t="s">
        <v>9</v>
      </c>
      <c r="O3496" s="8">
        <v>18.24931506849315</v>
      </c>
      <c r="P3496" t="s">
        <v>32</v>
      </c>
      <c r="Q3496">
        <v>1</v>
      </c>
      <c r="R3496" s="2">
        <v>39490</v>
      </c>
    </row>
    <row r="3497" spans="1:18" x14ac:dyDescent="0.3">
      <c r="A3497" t="s">
        <v>7</v>
      </c>
      <c r="B3497">
        <v>19023294</v>
      </c>
      <c r="C3497" t="s">
        <v>10</v>
      </c>
      <c r="D3497" s="4">
        <v>46151</v>
      </c>
      <c r="E3497" s="11">
        <f t="shared" si="216"/>
        <v>2026</v>
      </c>
      <c r="F3497" s="11">
        <f t="shared" si="217"/>
        <v>5</v>
      </c>
      <c r="G3497" s="11" t="str">
        <f t="shared" si="218"/>
        <v>202605</v>
      </c>
      <c r="I3497" s="5">
        <v>9999</v>
      </c>
      <c r="J3497" s="5">
        <v>333.3</v>
      </c>
      <c r="K3497" s="5">
        <f t="shared" si="219"/>
        <v>0</v>
      </c>
      <c r="L3497" s="5">
        <v>0</v>
      </c>
      <c r="M3497" s="5">
        <v>0</v>
      </c>
      <c r="N3497" t="s">
        <v>9</v>
      </c>
      <c r="O3497" s="8">
        <v>21.643835616438356</v>
      </c>
      <c r="P3497" t="s">
        <v>33</v>
      </c>
      <c r="Q3497">
        <v>2</v>
      </c>
      <c r="R3497" s="2">
        <v>38251</v>
      </c>
    </row>
    <row r="3498" spans="1:18" x14ac:dyDescent="0.3">
      <c r="A3498" t="s">
        <v>7</v>
      </c>
      <c r="B3498">
        <v>19023309</v>
      </c>
      <c r="C3498" t="s">
        <v>8</v>
      </c>
      <c r="D3498" s="4">
        <v>46151</v>
      </c>
      <c r="E3498" s="11">
        <f t="shared" si="216"/>
        <v>2026</v>
      </c>
      <c r="F3498" s="11">
        <f t="shared" si="217"/>
        <v>5</v>
      </c>
      <c r="G3498" s="11" t="str">
        <f t="shared" si="218"/>
        <v>202605</v>
      </c>
      <c r="I3498" s="5">
        <v>9999</v>
      </c>
      <c r="J3498" s="5">
        <v>333.3</v>
      </c>
      <c r="K3498" s="5">
        <f t="shared" si="219"/>
        <v>0</v>
      </c>
      <c r="L3498" s="5">
        <v>0</v>
      </c>
      <c r="M3498" s="5">
        <v>0</v>
      </c>
      <c r="N3498" t="s">
        <v>9</v>
      </c>
      <c r="O3498" s="8">
        <v>20.69041095890411</v>
      </c>
      <c r="P3498" t="s">
        <v>32</v>
      </c>
      <c r="Q3498">
        <v>1</v>
      </c>
      <c r="R3498" s="2">
        <v>38599</v>
      </c>
    </row>
    <row r="3499" spans="1:18" x14ac:dyDescent="0.3">
      <c r="A3499" t="s">
        <v>11</v>
      </c>
      <c r="B3499">
        <v>19023358</v>
      </c>
      <c r="C3499" t="s">
        <v>8</v>
      </c>
      <c r="D3499" s="4">
        <v>46153</v>
      </c>
      <c r="E3499" s="11">
        <f t="shared" si="216"/>
        <v>2026</v>
      </c>
      <c r="F3499" s="11">
        <f t="shared" si="217"/>
        <v>5</v>
      </c>
      <c r="G3499" s="11" t="str">
        <f t="shared" si="218"/>
        <v>202605</v>
      </c>
      <c r="I3499" s="5">
        <v>9999</v>
      </c>
      <c r="J3499" s="5">
        <v>333.3</v>
      </c>
      <c r="K3499" s="5">
        <f t="shared" si="219"/>
        <v>0</v>
      </c>
      <c r="L3499" s="5">
        <v>0</v>
      </c>
      <c r="M3499" s="5">
        <v>0</v>
      </c>
      <c r="N3499" t="s">
        <v>9</v>
      </c>
      <c r="O3499" s="8">
        <v>21.375342465753423</v>
      </c>
      <c r="P3499" t="s">
        <v>33</v>
      </c>
      <c r="Q3499">
        <v>2</v>
      </c>
      <c r="R3499" s="2">
        <v>38351</v>
      </c>
    </row>
    <row r="3500" spans="1:18" x14ac:dyDescent="0.3">
      <c r="A3500" t="s">
        <v>7</v>
      </c>
      <c r="B3500">
        <v>19023360</v>
      </c>
      <c r="C3500" t="s">
        <v>10</v>
      </c>
      <c r="D3500" s="4">
        <v>46153</v>
      </c>
      <c r="E3500" s="11">
        <f t="shared" si="216"/>
        <v>2026</v>
      </c>
      <c r="F3500" s="11">
        <f t="shared" si="217"/>
        <v>5</v>
      </c>
      <c r="G3500" s="11" t="str">
        <f t="shared" si="218"/>
        <v>202605</v>
      </c>
      <c r="I3500" s="5">
        <v>9999</v>
      </c>
      <c r="J3500" s="5">
        <v>333.3</v>
      </c>
      <c r="K3500" s="5">
        <f t="shared" si="219"/>
        <v>0</v>
      </c>
      <c r="L3500" s="5">
        <v>0</v>
      </c>
      <c r="M3500" s="5">
        <v>0</v>
      </c>
      <c r="N3500" t="s">
        <v>9</v>
      </c>
      <c r="O3500" s="8">
        <v>20.6</v>
      </c>
      <c r="P3500" t="s">
        <v>32</v>
      </c>
      <c r="Q3500">
        <v>1</v>
      </c>
      <c r="R3500" s="2">
        <v>38634</v>
      </c>
    </row>
    <row r="3501" spans="1:18" x14ac:dyDescent="0.3">
      <c r="A3501" t="s">
        <v>7</v>
      </c>
      <c r="B3501">
        <v>19023363</v>
      </c>
      <c r="C3501" t="s">
        <v>8</v>
      </c>
      <c r="D3501" s="4">
        <v>46153</v>
      </c>
      <c r="E3501" s="11">
        <f t="shared" si="216"/>
        <v>2026</v>
      </c>
      <c r="F3501" s="11">
        <f t="shared" si="217"/>
        <v>5</v>
      </c>
      <c r="G3501" s="11" t="str">
        <f t="shared" si="218"/>
        <v>202605</v>
      </c>
      <c r="H3501" s="4">
        <v>46157</v>
      </c>
      <c r="I3501" s="5">
        <v>4</v>
      </c>
      <c r="J3501" s="5">
        <v>0.13333333333333333</v>
      </c>
      <c r="K3501" s="5">
        <f t="shared" si="219"/>
        <v>1</v>
      </c>
      <c r="L3501" s="5">
        <v>1</v>
      </c>
      <c r="M3501" s="5">
        <v>1</v>
      </c>
      <c r="N3501" t="s">
        <v>9</v>
      </c>
      <c r="O3501" s="8">
        <v>55.208219178082189</v>
      </c>
      <c r="P3501" t="s">
        <v>35</v>
      </c>
      <c r="Q3501">
        <v>4</v>
      </c>
      <c r="R3501" s="2">
        <v>26002</v>
      </c>
    </row>
    <row r="3502" spans="1:18" x14ac:dyDescent="0.3">
      <c r="A3502" t="s">
        <v>7</v>
      </c>
      <c r="B3502">
        <v>19023364</v>
      </c>
      <c r="C3502" t="s">
        <v>8</v>
      </c>
      <c r="D3502" s="4">
        <v>46153</v>
      </c>
      <c r="E3502" s="11">
        <f t="shared" si="216"/>
        <v>2026</v>
      </c>
      <c r="F3502" s="11">
        <f t="shared" si="217"/>
        <v>5</v>
      </c>
      <c r="G3502" s="11" t="str">
        <f t="shared" si="218"/>
        <v>202605</v>
      </c>
      <c r="I3502" s="5">
        <v>9999</v>
      </c>
      <c r="J3502" s="5">
        <v>333.3</v>
      </c>
      <c r="K3502" s="5">
        <f t="shared" si="219"/>
        <v>0</v>
      </c>
      <c r="L3502" s="5">
        <v>0</v>
      </c>
      <c r="M3502" s="5">
        <v>0</v>
      </c>
      <c r="N3502" t="s">
        <v>12</v>
      </c>
      <c r="O3502" s="8">
        <v>18.07123287671233</v>
      </c>
      <c r="P3502" t="s">
        <v>32</v>
      </c>
      <c r="Q3502">
        <v>1</v>
      </c>
      <c r="R3502" s="2">
        <v>39557</v>
      </c>
    </row>
    <row r="3503" spans="1:18" x14ac:dyDescent="0.3">
      <c r="A3503" t="s">
        <v>11</v>
      </c>
      <c r="B3503">
        <v>19023365</v>
      </c>
      <c r="C3503" t="s">
        <v>8</v>
      </c>
      <c r="D3503" s="4">
        <v>46153</v>
      </c>
      <c r="E3503" s="11">
        <f t="shared" si="216"/>
        <v>2026</v>
      </c>
      <c r="F3503" s="11">
        <f t="shared" si="217"/>
        <v>5</v>
      </c>
      <c r="G3503" s="11" t="str">
        <f t="shared" si="218"/>
        <v>202605</v>
      </c>
      <c r="I3503" s="5">
        <v>9999</v>
      </c>
      <c r="J3503" s="5">
        <v>333.3</v>
      </c>
      <c r="K3503" s="5">
        <f t="shared" si="219"/>
        <v>0</v>
      </c>
      <c r="L3503" s="5">
        <v>0</v>
      </c>
      <c r="M3503" s="5">
        <v>0</v>
      </c>
      <c r="N3503" t="s">
        <v>9</v>
      </c>
      <c r="O3503" s="8">
        <v>21.556164383561644</v>
      </c>
      <c r="P3503" t="s">
        <v>33</v>
      </c>
      <c r="Q3503">
        <v>2</v>
      </c>
      <c r="R3503" s="2">
        <v>38285</v>
      </c>
    </row>
    <row r="3504" spans="1:18" x14ac:dyDescent="0.3">
      <c r="A3504" t="s">
        <v>11</v>
      </c>
      <c r="B3504">
        <v>19023401</v>
      </c>
      <c r="C3504" t="s">
        <v>10</v>
      </c>
      <c r="D3504" s="4">
        <v>46153</v>
      </c>
      <c r="E3504" s="11">
        <f t="shared" si="216"/>
        <v>2026</v>
      </c>
      <c r="F3504" s="11">
        <f t="shared" si="217"/>
        <v>5</v>
      </c>
      <c r="G3504" s="11" t="str">
        <f t="shared" si="218"/>
        <v>202605</v>
      </c>
      <c r="I3504" s="5">
        <v>9999</v>
      </c>
      <c r="J3504" s="5">
        <v>333.3</v>
      </c>
      <c r="K3504" s="5">
        <f t="shared" si="219"/>
        <v>0</v>
      </c>
      <c r="L3504" s="5">
        <v>0</v>
      </c>
      <c r="M3504" s="5">
        <v>0</v>
      </c>
      <c r="N3504" t="s">
        <v>9</v>
      </c>
      <c r="O3504" s="8">
        <v>23.136986301369863</v>
      </c>
      <c r="P3504" t="s">
        <v>33</v>
      </c>
      <c r="Q3504">
        <v>2</v>
      </c>
      <c r="R3504" s="2">
        <v>37708</v>
      </c>
    </row>
    <row r="3505" spans="1:18" x14ac:dyDescent="0.3">
      <c r="A3505" t="s">
        <v>7</v>
      </c>
      <c r="B3505">
        <v>19023448</v>
      </c>
      <c r="C3505" t="s">
        <v>8</v>
      </c>
      <c r="D3505" s="4">
        <v>46153</v>
      </c>
      <c r="E3505" s="11">
        <f t="shared" si="216"/>
        <v>2026</v>
      </c>
      <c r="F3505" s="11">
        <f t="shared" si="217"/>
        <v>5</v>
      </c>
      <c r="G3505" s="11" t="str">
        <f t="shared" si="218"/>
        <v>202605</v>
      </c>
      <c r="H3505" s="4">
        <v>46155</v>
      </c>
      <c r="I3505" s="5">
        <v>2</v>
      </c>
      <c r="J3505" s="5">
        <v>6.6666666666666666E-2</v>
      </c>
      <c r="K3505" s="5">
        <f t="shared" si="219"/>
        <v>1</v>
      </c>
      <c r="L3505" s="5">
        <v>1</v>
      </c>
      <c r="M3505" s="5">
        <v>1</v>
      </c>
      <c r="N3505" t="s">
        <v>12</v>
      </c>
      <c r="O3505" s="8">
        <v>19.476712328767125</v>
      </c>
      <c r="P3505" t="s">
        <v>32</v>
      </c>
      <c r="Q3505">
        <v>1</v>
      </c>
      <c r="R3505" s="2">
        <v>39044</v>
      </c>
    </row>
    <row r="3506" spans="1:18" x14ac:dyDescent="0.3">
      <c r="A3506" t="s">
        <v>11</v>
      </c>
      <c r="B3506">
        <v>19023468</v>
      </c>
      <c r="C3506" t="s">
        <v>8</v>
      </c>
      <c r="D3506" s="4">
        <v>46149</v>
      </c>
      <c r="E3506" s="11">
        <f t="shared" si="216"/>
        <v>2026</v>
      </c>
      <c r="F3506" s="11">
        <f t="shared" si="217"/>
        <v>5</v>
      </c>
      <c r="G3506" s="11" t="str">
        <f t="shared" si="218"/>
        <v>202605</v>
      </c>
      <c r="I3506" s="5">
        <v>9999</v>
      </c>
      <c r="J3506" s="5">
        <v>333.3</v>
      </c>
      <c r="K3506" s="5">
        <f t="shared" si="219"/>
        <v>0</v>
      </c>
      <c r="L3506" s="5">
        <v>0</v>
      </c>
      <c r="M3506" s="5">
        <v>0</v>
      </c>
      <c r="N3506" t="s">
        <v>9</v>
      </c>
      <c r="O3506" s="8">
        <v>22.304109589041097</v>
      </c>
      <c r="P3506" t="s">
        <v>33</v>
      </c>
      <c r="Q3506">
        <v>2</v>
      </c>
      <c r="R3506" s="2">
        <v>38008</v>
      </c>
    </row>
    <row r="3507" spans="1:18" x14ac:dyDescent="0.3">
      <c r="A3507" t="s">
        <v>7</v>
      </c>
      <c r="B3507">
        <v>19023471</v>
      </c>
      <c r="C3507" t="s">
        <v>8</v>
      </c>
      <c r="D3507" s="4">
        <v>46153</v>
      </c>
      <c r="E3507" s="11">
        <f t="shared" si="216"/>
        <v>2026</v>
      </c>
      <c r="F3507" s="11">
        <f t="shared" si="217"/>
        <v>5</v>
      </c>
      <c r="G3507" s="11" t="str">
        <f t="shared" si="218"/>
        <v>202605</v>
      </c>
      <c r="H3507" s="4">
        <v>46156</v>
      </c>
      <c r="I3507" s="5">
        <v>3</v>
      </c>
      <c r="J3507" s="5">
        <v>0.1</v>
      </c>
      <c r="K3507" s="5">
        <f t="shared" si="219"/>
        <v>1</v>
      </c>
      <c r="L3507" s="5">
        <v>1</v>
      </c>
      <c r="M3507" s="5">
        <v>1</v>
      </c>
      <c r="N3507" t="s">
        <v>12</v>
      </c>
      <c r="O3507" s="8">
        <v>19.931506849315067</v>
      </c>
      <c r="P3507" t="s">
        <v>32</v>
      </c>
      <c r="Q3507">
        <v>1</v>
      </c>
      <c r="R3507" s="2">
        <v>38878</v>
      </c>
    </row>
    <row r="3508" spans="1:18" x14ac:dyDescent="0.3">
      <c r="A3508" t="s">
        <v>7</v>
      </c>
      <c r="B3508">
        <v>19023479</v>
      </c>
      <c r="C3508" t="s">
        <v>8</v>
      </c>
      <c r="D3508" s="4">
        <v>46153</v>
      </c>
      <c r="E3508" s="11">
        <f t="shared" si="216"/>
        <v>2026</v>
      </c>
      <c r="F3508" s="11">
        <f t="shared" si="217"/>
        <v>5</v>
      </c>
      <c r="G3508" s="11" t="str">
        <f t="shared" si="218"/>
        <v>202605</v>
      </c>
      <c r="I3508" s="5">
        <v>9999</v>
      </c>
      <c r="J3508" s="5">
        <v>333.3</v>
      </c>
      <c r="K3508" s="5">
        <f t="shared" si="219"/>
        <v>0</v>
      </c>
      <c r="L3508" s="5">
        <v>0</v>
      </c>
      <c r="M3508" s="5">
        <v>0</v>
      </c>
      <c r="N3508" t="s">
        <v>9</v>
      </c>
      <c r="O3508" s="8">
        <v>21.246575342465754</v>
      </c>
      <c r="P3508" t="s">
        <v>33</v>
      </c>
      <c r="Q3508">
        <v>2</v>
      </c>
      <c r="R3508" s="2">
        <v>38398</v>
      </c>
    </row>
    <row r="3509" spans="1:18" x14ac:dyDescent="0.3">
      <c r="A3509" t="s">
        <v>7</v>
      </c>
      <c r="B3509">
        <v>19023500</v>
      </c>
      <c r="C3509" t="s">
        <v>8</v>
      </c>
      <c r="D3509" s="4">
        <v>46153</v>
      </c>
      <c r="E3509" s="11">
        <f t="shared" si="216"/>
        <v>2026</v>
      </c>
      <c r="F3509" s="11">
        <f t="shared" si="217"/>
        <v>5</v>
      </c>
      <c r="G3509" s="11" t="str">
        <f t="shared" si="218"/>
        <v>202605</v>
      </c>
      <c r="I3509" s="5">
        <v>9999</v>
      </c>
      <c r="J3509" s="5">
        <v>333.3</v>
      </c>
      <c r="K3509" s="5">
        <f t="shared" si="219"/>
        <v>0</v>
      </c>
      <c r="L3509" s="5">
        <v>0</v>
      </c>
      <c r="M3509" s="5">
        <v>0</v>
      </c>
      <c r="N3509" t="s">
        <v>12</v>
      </c>
      <c r="O3509" s="8">
        <v>18.901369863013699</v>
      </c>
      <c r="P3509" t="s">
        <v>32</v>
      </c>
      <c r="Q3509">
        <v>1</v>
      </c>
      <c r="R3509" s="2">
        <v>39254</v>
      </c>
    </row>
    <row r="3510" spans="1:18" x14ac:dyDescent="0.3">
      <c r="A3510" t="s">
        <v>7</v>
      </c>
      <c r="B3510">
        <v>19023501</v>
      </c>
      <c r="C3510" t="s">
        <v>10</v>
      </c>
      <c r="D3510" s="4">
        <v>46153</v>
      </c>
      <c r="E3510" s="11">
        <f t="shared" si="216"/>
        <v>2026</v>
      </c>
      <c r="F3510" s="11">
        <f t="shared" si="217"/>
        <v>5</v>
      </c>
      <c r="G3510" s="11" t="str">
        <f t="shared" si="218"/>
        <v>202605</v>
      </c>
      <c r="H3510" s="4">
        <v>46158</v>
      </c>
      <c r="I3510" s="5">
        <v>5</v>
      </c>
      <c r="J3510" s="5">
        <v>0.16666666666666666</v>
      </c>
      <c r="K3510" s="5">
        <f t="shared" si="219"/>
        <v>1</v>
      </c>
      <c r="L3510" s="5">
        <v>1</v>
      </c>
      <c r="M3510" s="5">
        <v>1</v>
      </c>
      <c r="N3510" t="s">
        <v>9</v>
      </c>
      <c r="O3510" s="8">
        <v>21.43013698630137</v>
      </c>
      <c r="P3510" t="s">
        <v>33</v>
      </c>
      <c r="Q3510">
        <v>2</v>
      </c>
      <c r="R3510" s="2">
        <v>38331</v>
      </c>
    </row>
    <row r="3511" spans="1:18" x14ac:dyDescent="0.3">
      <c r="A3511" t="s">
        <v>7</v>
      </c>
      <c r="B3511">
        <v>19023527</v>
      </c>
      <c r="C3511" t="s">
        <v>8</v>
      </c>
      <c r="D3511" s="4">
        <v>46153</v>
      </c>
      <c r="E3511" s="11">
        <f t="shared" si="216"/>
        <v>2026</v>
      </c>
      <c r="F3511" s="11">
        <f t="shared" si="217"/>
        <v>5</v>
      </c>
      <c r="G3511" s="11" t="str">
        <f t="shared" si="218"/>
        <v>202605</v>
      </c>
      <c r="I3511" s="5">
        <v>9999</v>
      </c>
      <c r="J3511" s="5">
        <v>333.3</v>
      </c>
      <c r="K3511" s="5">
        <f t="shared" si="219"/>
        <v>0</v>
      </c>
      <c r="L3511" s="5">
        <v>0</v>
      </c>
      <c r="M3511" s="5">
        <v>0</v>
      </c>
      <c r="N3511" t="s">
        <v>12</v>
      </c>
      <c r="O3511" s="8">
        <v>21.63013698630137</v>
      </c>
      <c r="P3511" t="s">
        <v>33</v>
      </c>
      <c r="Q3511">
        <v>2</v>
      </c>
      <c r="R3511" s="2">
        <v>38258</v>
      </c>
    </row>
    <row r="3512" spans="1:18" x14ac:dyDescent="0.3">
      <c r="A3512" t="s">
        <v>7</v>
      </c>
      <c r="B3512">
        <v>19023598</v>
      </c>
      <c r="C3512" t="s">
        <v>8</v>
      </c>
      <c r="D3512" s="4">
        <v>46149</v>
      </c>
      <c r="E3512" s="11">
        <f t="shared" si="216"/>
        <v>2026</v>
      </c>
      <c r="F3512" s="11">
        <f t="shared" si="217"/>
        <v>5</v>
      </c>
      <c r="G3512" s="11" t="str">
        <f t="shared" si="218"/>
        <v>202605</v>
      </c>
      <c r="I3512" s="5">
        <v>9999</v>
      </c>
      <c r="J3512" s="5">
        <v>333.3</v>
      </c>
      <c r="K3512" s="5">
        <f t="shared" si="219"/>
        <v>0</v>
      </c>
      <c r="L3512" s="5">
        <v>0</v>
      </c>
      <c r="M3512" s="5">
        <v>0</v>
      </c>
      <c r="N3512" t="s">
        <v>9</v>
      </c>
      <c r="O3512" s="8">
        <v>21.739726027397261</v>
      </c>
      <c r="P3512" t="s">
        <v>33</v>
      </c>
      <c r="Q3512">
        <v>2</v>
      </c>
      <c r="R3512" s="2">
        <v>38214</v>
      </c>
    </row>
    <row r="3513" spans="1:18" x14ac:dyDescent="0.3">
      <c r="A3513" t="s">
        <v>7</v>
      </c>
      <c r="B3513">
        <v>19023787</v>
      </c>
      <c r="C3513" t="s">
        <v>8</v>
      </c>
      <c r="D3513" s="4">
        <v>46154</v>
      </c>
      <c r="E3513" s="11">
        <f t="shared" si="216"/>
        <v>2026</v>
      </c>
      <c r="F3513" s="11">
        <f t="shared" si="217"/>
        <v>5</v>
      </c>
      <c r="G3513" s="11" t="str">
        <f t="shared" si="218"/>
        <v>202605</v>
      </c>
      <c r="I3513" s="5">
        <v>9999</v>
      </c>
      <c r="J3513" s="5">
        <v>333.3</v>
      </c>
      <c r="K3513" s="5">
        <f t="shared" si="219"/>
        <v>0</v>
      </c>
      <c r="L3513" s="5">
        <v>0</v>
      </c>
      <c r="M3513" s="5">
        <v>0</v>
      </c>
      <c r="N3513" t="s">
        <v>9</v>
      </c>
      <c r="O3513" s="8">
        <v>20.5013698630137</v>
      </c>
      <c r="P3513" t="s">
        <v>32</v>
      </c>
      <c r="Q3513">
        <v>1</v>
      </c>
      <c r="R3513" s="2">
        <v>38671</v>
      </c>
    </row>
    <row r="3514" spans="1:18" x14ac:dyDescent="0.3">
      <c r="A3514" t="s">
        <v>7</v>
      </c>
      <c r="B3514">
        <v>19023826</v>
      </c>
      <c r="C3514" t="s">
        <v>8</v>
      </c>
      <c r="D3514" s="4">
        <v>46154</v>
      </c>
      <c r="E3514" s="11">
        <f t="shared" si="216"/>
        <v>2026</v>
      </c>
      <c r="F3514" s="11">
        <f t="shared" si="217"/>
        <v>5</v>
      </c>
      <c r="G3514" s="11" t="str">
        <f t="shared" si="218"/>
        <v>202605</v>
      </c>
      <c r="I3514" s="5">
        <v>9999</v>
      </c>
      <c r="J3514" s="5">
        <v>333.3</v>
      </c>
      <c r="K3514" s="5">
        <f t="shared" si="219"/>
        <v>0</v>
      </c>
      <c r="L3514" s="5">
        <v>0</v>
      </c>
      <c r="M3514" s="5">
        <v>0</v>
      </c>
      <c r="N3514" t="s">
        <v>9</v>
      </c>
      <c r="O3514" s="8">
        <v>20.476712328767125</v>
      </c>
      <c r="P3514" t="s">
        <v>32</v>
      </c>
      <c r="Q3514">
        <v>1</v>
      </c>
      <c r="R3514" s="2">
        <v>38680</v>
      </c>
    </row>
    <row r="3515" spans="1:18" x14ac:dyDescent="0.3">
      <c r="A3515" t="s">
        <v>7</v>
      </c>
      <c r="B3515">
        <v>19023827</v>
      </c>
      <c r="C3515" t="s">
        <v>8</v>
      </c>
      <c r="D3515" s="4">
        <v>46154</v>
      </c>
      <c r="E3515" s="11">
        <f t="shared" si="216"/>
        <v>2026</v>
      </c>
      <c r="F3515" s="11">
        <f t="shared" si="217"/>
        <v>5</v>
      </c>
      <c r="G3515" s="11" t="str">
        <f t="shared" si="218"/>
        <v>202605</v>
      </c>
      <c r="H3515" s="4">
        <v>46157</v>
      </c>
      <c r="I3515" s="5">
        <v>3</v>
      </c>
      <c r="J3515" s="5">
        <v>0.1</v>
      </c>
      <c r="K3515" s="5">
        <f t="shared" si="219"/>
        <v>1</v>
      </c>
      <c r="L3515" s="5">
        <v>1</v>
      </c>
      <c r="M3515" s="5">
        <v>1</v>
      </c>
      <c r="N3515" t="s">
        <v>9</v>
      </c>
      <c r="O3515" s="8">
        <v>18.465753424657535</v>
      </c>
      <c r="P3515" t="s">
        <v>32</v>
      </c>
      <c r="Q3515">
        <v>1</v>
      </c>
      <c r="R3515" s="2">
        <v>39414</v>
      </c>
    </row>
    <row r="3516" spans="1:18" x14ac:dyDescent="0.3">
      <c r="A3516" t="s">
        <v>7</v>
      </c>
      <c r="B3516">
        <v>19023842</v>
      </c>
      <c r="C3516" t="s">
        <v>8</v>
      </c>
      <c r="D3516" s="4">
        <v>46154</v>
      </c>
      <c r="E3516" s="11">
        <f t="shared" si="216"/>
        <v>2026</v>
      </c>
      <c r="F3516" s="11">
        <f t="shared" si="217"/>
        <v>5</v>
      </c>
      <c r="G3516" s="11" t="str">
        <f t="shared" si="218"/>
        <v>202605</v>
      </c>
      <c r="I3516" s="5">
        <v>9999</v>
      </c>
      <c r="J3516" s="5">
        <v>333.3</v>
      </c>
      <c r="K3516" s="5">
        <f t="shared" si="219"/>
        <v>0</v>
      </c>
      <c r="L3516" s="5">
        <v>0</v>
      </c>
      <c r="M3516" s="5">
        <v>0</v>
      </c>
      <c r="N3516" t="s">
        <v>12</v>
      </c>
      <c r="O3516" s="8">
        <v>21.849315068493151</v>
      </c>
      <c r="P3516" t="s">
        <v>33</v>
      </c>
      <c r="Q3516">
        <v>2</v>
      </c>
      <c r="R3516" s="2">
        <v>38179</v>
      </c>
    </row>
    <row r="3517" spans="1:18" x14ac:dyDescent="0.3">
      <c r="A3517" t="s">
        <v>7</v>
      </c>
      <c r="B3517">
        <v>19023848</v>
      </c>
      <c r="C3517" t="s">
        <v>8</v>
      </c>
      <c r="D3517" s="4">
        <v>46154</v>
      </c>
      <c r="E3517" s="11">
        <f t="shared" si="216"/>
        <v>2026</v>
      </c>
      <c r="F3517" s="11">
        <f t="shared" si="217"/>
        <v>5</v>
      </c>
      <c r="G3517" s="11" t="str">
        <f t="shared" si="218"/>
        <v>202605</v>
      </c>
      <c r="I3517" s="5">
        <v>9999</v>
      </c>
      <c r="J3517" s="5">
        <v>333.3</v>
      </c>
      <c r="K3517" s="5">
        <f t="shared" si="219"/>
        <v>0</v>
      </c>
      <c r="L3517" s="5">
        <v>0</v>
      </c>
      <c r="M3517" s="5">
        <v>0</v>
      </c>
      <c r="N3517" t="s">
        <v>12</v>
      </c>
      <c r="O3517" s="8">
        <v>21.246575342465754</v>
      </c>
      <c r="P3517" t="s">
        <v>33</v>
      </c>
      <c r="Q3517">
        <v>2</v>
      </c>
      <c r="R3517" s="2">
        <v>38399</v>
      </c>
    </row>
    <row r="3518" spans="1:18" x14ac:dyDescent="0.3">
      <c r="A3518" t="s">
        <v>7</v>
      </c>
      <c r="B3518">
        <v>19023851</v>
      </c>
      <c r="C3518" t="s">
        <v>8</v>
      </c>
      <c r="D3518" s="4">
        <v>46154</v>
      </c>
      <c r="E3518" s="11">
        <f t="shared" si="216"/>
        <v>2026</v>
      </c>
      <c r="F3518" s="11">
        <f t="shared" si="217"/>
        <v>5</v>
      </c>
      <c r="G3518" s="11" t="str">
        <f t="shared" si="218"/>
        <v>202605</v>
      </c>
      <c r="I3518" s="5">
        <v>9999</v>
      </c>
      <c r="J3518" s="5">
        <v>333.3</v>
      </c>
      <c r="K3518" s="5">
        <f t="shared" si="219"/>
        <v>0</v>
      </c>
      <c r="L3518" s="5">
        <v>0</v>
      </c>
      <c r="M3518" s="5">
        <v>0</v>
      </c>
      <c r="N3518" t="s">
        <v>12</v>
      </c>
      <c r="O3518" s="8">
        <v>19.18082191780822</v>
      </c>
      <c r="P3518" t="s">
        <v>32</v>
      </c>
      <c r="Q3518">
        <v>1</v>
      </c>
      <c r="R3518" s="2">
        <v>39153</v>
      </c>
    </row>
    <row r="3519" spans="1:18" x14ac:dyDescent="0.3">
      <c r="A3519" t="s">
        <v>7</v>
      </c>
      <c r="B3519">
        <v>19023907</v>
      </c>
      <c r="C3519" t="s">
        <v>10</v>
      </c>
      <c r="D3519" s="4">
        <v>46154</v>
      </c>
      <c r="E3519" s="11">
        <f t="shared" si="216"/>
        <v>2026</v>
      </c>
      <c r="F3519" s="11">
        <f t="shared" si="217"/>
        <v>5</v>
      </c>
      <c r="G3519" s="11" t="str">
        <f t="shared" si="218"/>
        <v>202605</v>
      </c>
      <c r="I3519" s="5">
        <v>9999</v>
      </c>
      <c r="J3519" s="5">
        <v>333.3</v>
      </c>
      <c r="K3519" s="5">
        <f t="shared" si="219"/>
        <v>0</v>
      </c>
      <c r="L3519" s="5">
        <v>0</v>
      </c>
      <c r="M3519" s="5">
        <v>0</v>
      </c>
      <c r="N3519" t="s">
        <v>9</v>
      </c>
      <c r="O3519" s="8">
        <v>25.115068493150684</v>
      </c>
      <c r="P3519" t="s">
        <v>33</v>
      </c>
      <c r="Q3519">
        <v>2</v>
      </c>
      <c r="R3519" s="2">
        <v>36987</v>
      </c>
    </row>
    <row r="3520" spans="1:18" x14ac:dyDescent="0.3">
      <c r="A3520" t="s">
        <v>7</v>
      </c>
      <c r="B3520">
        <v>19023910</v>
      </c>
      <c r="C3520" t="s">
        <v>8</v>
      </c>
      <c r="D3520" s="4">
        <v>46154</v>
      </c>
      <c r="E3520" s="11">
        <f t="shared" si="216"/>
        <v>2026</v>
      </c>
      <c r="F3520" s="11">
        <f t="shared" si="217"/>
        <v>5</v>
      </c>
      <c r="G3520" s="11" t="str">
        <f t="shared" si="218"/>
        <v>202605</v>
      </c>
      <c r="I3520" s="5">
        <v>9999</v>
      </c>
      <c r="J3520" s="5">
        <v>333.3</v>
      </c>
      <c r="K3520" s="5">
        <f t="shared" si="219"/>
        <v>0</v>
      </c>
      <c r="L3520" s="5">
        <v>0</v>
      </c>
      <c r="M3520" s="5">
        <v>0</v>
      </c>
      <c r="N3520" t="s">
        <v>9</v>
      </c>
      <c r="O3520" s="8">
        <v>19.158904109589042</v>
      </c>
      <c r="P3520" t="s">
        <v>32</v>
      </c>
      <c r="Q3520">
        <v>1</v>
      </c>
      <c r="R3520" s="2">
        <v>39161</v>
      </c>
    </row>
    <row r="3521" spans="1:18" x14ac:dyDescent="0.3">
      <c r="A3521" t="s">
        <v>7</v>
      </c>
      <c r="B3521">
        <v>19023915</v>
      </c>
      <c r="C3521" t="s">
        <v>8</v>
      </c>
      <c r="D3521" s="4">
        <v>46154</v>
      </c>
      <c r="E3521" s="11">
        <f t="shared" si="216"/>
        <v>2026</v>
      </c>
      <c r="F3521" s="11">
        <f t="shared" si="217"/>
        <v>5</v>
      </c>
      <c r="G3521" s="11" t="str">
        <f t="shared" si="218"/>
        <v>202605</v>
      </c>
      <c r="H3521" s="4">
        <v>46173</v>
      </c>
      <c r="I3521" s="5">
        <v>19</v>
      </c>
      <c r="J3521" s="5">
        <v>0.6333333333333333</v>
      </c>
      <c r="K3521" s="5">
        <f t="shared" si="219"/>
        <v>1</v>
      </c>
      <c r="L3521" s="5">
        <v>1</v>
      </c>
      <c r="M3521" s="5">
        <v>1</v>
      </c>
      <c r="N3521" t="s">
        <v>9</v>
      </c>
      <c r="O3521" s="8">
        <v>21.482191780821918</v>
      </c>
      <c r="P3521" t="s">
        <v>33</v>
      </c>
      <c r="Q3521">
        <v>2</v>
      </c>
      <c r="R3521" s="2">
        <v>38313</v>
      </c>
    </row>
    <row r="3522" spans="1:18" x14ac:dyDescent="0.3">
      <c r="A3522" t="s">
        <v>11</v>
      </c>
      <c r="B3522">
        <v>19024183</v>
      </c>
      <c r="C3522" t="s">
        <v>8</v>
      </c>
      <c r="D3522" s="4">
        <v>46155</v>
      </c>
      <c r="E3522" s="11">
        <f t="shared" si="216"/>
        <v>2026</v>
      </c>
      <c r="F3522" s="11">
        <f t="shared" si="217"/>
        <v>5</v>
      </c>
      <c r="G3522" s="11" t="str">
        <f t="shared" si="218"/>
        <v>202605</v>
      </c>
      <c r="I3522" s="5">
        <v>9999</v>
      </c>
      <c r="J3522" s="5">
        <v>333.3</v>
      </c>
      <c r="K3522" s="5">
        <f t="shared" si="219"/>
        <v>0</v>
      </c>
      <c r="L3522" s="5">
        <v>0</v>
      </c>
      <c r="M3522" s="5">
        <v>0</v>
      </c>
      <c r="N3522" t="s">
        <v>9</v>
      </c>
      <c r="O3522" s="8">
        <v>21.375342465753423</v>
      </c>
      <c r="P3522" t="s">
        <v>33</v>
      </c>
      <c r="Q3522">
        <v>2</v>
      </c>
      <c r="R3522" s="2">
        <v>38353</v>
      </c>
    </row>
    <row r="3523" spans="1:18" x14ac:dyDescent="0.3">
      <c r="A3523" t="s">
        <v>7</v>
      </c>
      <c r="B3523">
        <v>19024184</v>
      </c>
      <c r="C3523" t="s">
        <v>10</v>
      </c>
      <c r="D3523" s="4">
        <v>46155</v>
      </c>
      <c r="E3523" s="11">
        <f t="shared" ref="E3523:E3586" si="220">+YEAR(D3523)</f>
        <v>2026</v>
      </c>
      <c r="F3523" s="11">
        <f t="shared" ref="F3523:F3586" si="221">+MONTH(D3523)</f>
        <v>5</v>
      </c>
      <c r="G3523" s="11" t="str">
        <f t="shared" ref="G3523:G3586" si="222">+TEXT(D3523, "yyymm")</f>
        <v>202605</v>
      </c>
      <c r="I3523" s="5">
        <v>9999</v>
      </c>
      <c r="J3523" s="5">
        <v>333.3</v>
      </c>
      <c r="K3523" s="5">
        <f t="shared" ref="K3523:K3586" si="223">IF(J3523&lt;=1,1,0)</f>
        <v>0</v>
      </c>
      <c r="L3523" s="5">
        <v>0</v>
      </c>
      <c r="M3523" s="5">
        <v>0</v>
      </c>
      <c r="N3523" t="s">
        <v>9</v>
      </c>
      <c r="O3523" s="8">
        <v>19.895890410958906</v>
      </c>
      <c r="P3523" t="s">
        <v>32</v>
      </c>
      <c r="Q3523">
        <v>1</v>
      </c>
      <c r="R3523" s="2">
        <v>38893</v>
      </c>
    </row>
    <row r="3524" spans="1:18" x14ac:dyDescent="0.3">
      <c r="A3524" t="s">
        <v>7</v>
      </c>
      <c r="B3524">
        <v>19024188</v>
      </c>
      <c r="C3524" t="s">
        <v>8</v>
      </c>
      <c r="D3524" s="4">
        <v>46155</v>
      </c>
      <c r="E3524" s="11">
        <f t="shared" si="220"/>
        <v>2026</v>
      </c>
      <c r="F3524" s="11">
        <f t="shared" si="221"/>
        <v>5</v>
      </c>
      <c r="G3524" s="11" t="str">
        <f t="shared" si="222"/>
        <v>202605</v>
      </c>
      <c r="I3524" s="5">
        <v>9999</v>
      </c>
      <c r="J3524" s="5">
        <v>333.3</v>
      </c>
      <c r="K3524" s="5">
        <f t="shared" si="223"/>
        <v>0</v>
      </c>
      <c r="L3524" s="5">
        <v>0</v>
      </c>
      <c r="M3524" s="5">
        <v>0</v>
      </c>
      <c r="N3524" t="s">
        <v>12</v>
      </c>
      <c r="O3524" s="8">
        <v>25.298630136986301</v>
      </c>
      <c r="P3524" t="s">
        <v>33</v>
      </c>
      <c r="Q3524">
        <v>2</v>
      </c>
      <c r="R3524" s="2">
        <v>36921</v>
      </c>
    </row>
    <row r="3525" spans="1:18" x14ac:dyDescent="0.3">
      <c r="A3525" t="s">
        <v>7</v>
      </c>
      <c r="B3525">
        <v>19024202</v>
      </c>
      <c r="C3525" t="s">
        <v>8</v>
      </c>
      <c r="D3525" s="4">
        <v>46155</v>
      </c>
      <c r="E3525" s="11">
        <f t="shared" si="220"/>
        <v>2026</v>
      </c>
      <c r="F3525" s="11">
        <f t="shared" si="221"/>
        <v>5</v>
      </c>
      <c r="G3525" s="11" t="str">
        <f t="shared" si="222"/>
        <v>202605</v>
      </c>
      <c r="I3525" s="5">
        <v>9999</v>
      </c>
      <c r="J3525" s="5">
        <v>333.3</v>
      </c>
      <c r="K3525" s="5">
        <f t="shared" si="223"/>
        <v>0</v>
      </c>
      <c r="L3525" s="5">
        <v>0</v>
      </c>
      <c r="M3525" s="5">
        <v>0</v>
      </c>
      <c r="N3525" t="s">
        <v>9</v>
      </c>
      <c r="O3525" s="8">
        <v>20.745205479452054</v>
      </c>
      <c r="P3525" t="s">
        <v>32</v>
      </c>
      <c r="Q3525">
        <v>1</v>
      </c>
      <c r="R3525" s="2">
        <v>38583</v>
      </c>
    </row>
    <row r="3526" spans="1:18" x14ac:dyDescent="0.3">
      <c r="A3526" t="s">
        <v>7</v>
      </c>
      <c r="B3526">
        <v>19024207</v>
      </c>
      <c r="C3526" t="s">
        <v>8</v>
      </c>
      <c r="D3526" s="4">
        <v>46155</v>
      </c>
      <c r="E3526" s="11">
        <f t="shared" si="220"/>
        <v>2026</v>
      </c>
      <c r="F3526" s="11">
        <f t="shared" si="221"/>
        <v>5</v>
      </c>
      <c r="G3526" s="11" t="str">
        <f t="shared" si="222"/>
        <v>202605</v>
      </c>
      <c r="H3526" s="4">
        <v>46173</v>
      </c>
      <c r="I3526" s="5">
        <v>18</v>
      </c>
      <c r="J3526" s="5">
        <v>0.6</v>
      </c>
      <c r="K3526" s="5">
        <f t="shared" si="223"/>
        <v>1</v>
      </c>
      <c r="L3526" s="5">
        <v>1</v>
      </c>
      <c r="M3526" s="5">
        <v>1</v>
      </c>
      <c r="N3526" t="s">
        <v>12</v>
      </c>
      <c r="O3526" s="8">
        <v>26.767123287671232</v>
      </c>
      <c r="P3526" t="s">
        <v>34</v>
      </c>
      <c r="Q3526">
        <v>3</v>
      </c>
      <c r="R3526" s="2">
        <v>36385</v>
      </c>
    </row>
    <row r="3527" spans="1:18" x14ac:dyDescent="0.3">
      <c r="A3527" t="s">
        <v>7</v>
      </c>
      <c r="B3527">
        <v>19024208</v>
      </c>
      <c r="C3527" t="s">
        <v>10</v>
      </c>
      <c r="D3527" s="4">
        <v>46155</v>
      </c>
      <c r="E3527" s="11">
        <f t="shared" si="220"/>
        <v>2026</v>
      </c>
      <c r="F3527" s="11">
        <f t="shared" si="221"/>
        <v>5</v>
      </c>
      <c r="G3527" s="11" t="str">
        <f t="shared" si="222"/>
        <v>202605</v>
      </c>
      <c r="I3527" s="5">
        <v>9999</v>
      </c>
      <c r="J3527" s="5">
        <v>333.3</v>
      </c>
      <c r="K3527" s="5">
        <f t="shared" si="223"/>
        <v>0</v>
      </c>
      <c r="L3527" s="5">
        <v>0</v>
      </c>
      <c r="M3527" s="5">
        <v>0</v>
      </c>
      <c r="N3527" t="s">
        <v>12</v>
      </c>
      <c r="O3527" s="8">
        <v>19.643835616438356</v>
      </c>
      <c r="P3527" t="s">
        <v>32</v>
      </c>
      <c r="Q3527">
        <v>1</v>
      </c>
      <c r="R3527" s="2">
        <v>38985</v>
      </c>
    </row>
    <row r="3528" spans="1:18" x14ac:dyDescent="0.3">
      <c r="A3528" t="s">
        <v>7</v>
      </c>
      <c r="B3528">
        <v>19024210</v>
      </c>
      <c r="C3528" t="s">
        <v>8</v>
      </c>
      <c r="D3528" s="4">
        <v>46155</v>
      </c>
      <c r="E3528" s="11">
        <f t="shared" si="220"/>
        <v>2026</v>
      </c>
      <c r="F3528" s="11">
        <f t="shared" si="221"/>
        <v>5</v>
      </c>
      <c r="G3528" s="11" t="str">
        <f t="shared" si="222"/>
        <v>202605</v>
      </c>
      <c r="I3528" s="5">
        <v>9999</v>
      </c>
      <c r="J3528" s="5">
        <v>333.3</v>
      </c>
      <c r="K3528" s="5">
        <f t="shared" si="223"/>
        <v>0</v>
      </c>
      <c r="L3528" s="5">
        <v>0</v>
      </c>
      <c r="M3528" s="5">
        <v>0</v>
      </c>
      <c r="N3528" t="s">
        <v>12</v>
      </c>
      <c r="O3528" s="8">
        <v>25.339726027397262</v>
      </c>
      <c r="P3528" t="s">
        <v>33</v>
      </c>
      <c r="Q3528">
        <v>2</v>
      </c>
      <c r="R3528" s="2">
        <v>36906</v>
      </c>
    </row>
    <row r="3529" spans="1:18" x14ac:dyDescent="0.3">
      <c r="A3529" t="s">
        <v>7</v>
      </c>
      <c r="B3529">
        <v>19024212</v>
      </c>
      <c r="C3529" t="s">
        <v>8</v>
      </c>
      <c r="D3529" s="4">
        <v>46155</v>
      </c>
      <c r="E3529" s="11">
        <f t="shared" si="220"/>
        <v>2026</v>
      </c>
      <c r="F3529" s="11">
        <f t="shared" si="221"/>
        <v>5</v>
      </c>
      <c r="G3529" s="11" t="str">
        <f t="shared" si="222"/>
        <v>202605</v>
      </c>
      <c r="I3529" s="5">
        <v>9999</v>
      </c>
      <c r="J3529" s="5">
        <v>333.3</v>
      </c>
      <c r="K3529" s="5">
        <f t="shared" si="223"/>
        <v>0</v>
      </c>
      <c r="L3529" s="5">
        <v>0</v>
      </c>
      <c r="M3529" s="5">
        <v>0</v>
      </c>
      <c r="N3529" t="s">
        <v>12</v>
      </c>
      <c r="O3529" s="8">
        <v>37.528767123287672</v>
      </c>
      <c r="P3529" t="s">
        <v>35</v>
      </c>
      <c r="Q3529">
        <v>4</v>
      </c>
      <c r="R3529" s="2">
        <v>32457</v>
      </c>
    </row>
    <row r="3530" spans="1:18" x14ac:dyDescent="0.3">
      <c r="A3530" t="s">
        <v>7</v>
      </c>
      <c r="B3530">
        <v>19024213</v>
      </c>
      <c r="C3530" t="s">
        <v>8</v>
      </c>
      <c r="D3530" s="4">
        <v>46155</v>
      </c>
      <c r="E3530" s="11">
        <f t="shared" si="220"/>
        <v>2026</v>
      </c>
      <c r="F3530" s="11">
        <f t="shared" si="221"/>
        <v>5</v>
      </c>
      <c r="G3530" s="11" t="str">
        <f t="shared" si="222"/>
        <v>202605</v>
      </c>
      <c r="I3530" s="5">
        <v>9999</v>
      </c>
      <c r="J3530" s="5">
        <v>333.3</v>
      </c>
      <c r="K3530" s="5">
        <f t="shared" si="223"/>
        <v>0</v>
      </c>
      <c r="L3530" s="5">
        <v>0</v>
      </c>
      <c r="M3530" s="5">
        <v>0</v>
      </c>
      <c r="N3530" t="s">
        <v>12</v>
      </c>
      <c r="O3530" s="8">
        <v>44.846575342465755</v>
      </c>
      <c r="P3530" t="s">
        <v>35</v>
      </c>
      <c r="Q3530">
        <v>4</v>
      </c>
      <c r="R3530" s="2">
        <v>29786</v>
      </c>
    </row>
    <row r="3531" spans="1:18" x14ac:dyDescent="0.3">
      <c r="A3531" t="s">
        <v>7</v>
      </c>
      <c r="B3531">
        <v>19024227</v>
      </c>
      <c r="C3531" t="s">
        <v>8</v>
      </c>
      <c r="D3531" s="4">
        <v>46155</v>
      </c>
      <c r="E3531" s="11">
        <f t="shared" si="220"/>
        <v>2026</v>
      </c>
      <c r="F3531" s="11">
        <f t="shared" si="221"/>
        <v>5</v>
      </c>
      <c r="G3531" s="11" t="str">
        <f t="shared" si="222"/>
        <v>202605</v>
      </c>
      <c r="I3531" s="5">
        <v>9999</v>
      </c>
      <c r="J3531" s="5">
        <v>333.3</v>
      </c>
      <c r="K3531" s="5">
        <f t="shared" si="223"/>
        <v>0</v>
      </c>
      <c r="L3531" s="5">
        <v>0</v>
      </c>
      <c r="M3531" s="5">
        <v>0</v>
      </c>
      <c r="N3531" t="s">
        <v>9</v>
      </c>
      <c r="O3531" s="8">
        <v>20.728767123287671</v>
      </c>
      <c r="P3531" t="s">
        <v>32</v>
      </c>
      <c r="Q3531">
        <v>1</v>
      </c>
      <c r="R3531" s="2">
        <v>38589</v>
      </c>
    </row>
    <row r="3532" spans="1:18" x14ac:dyDescent="0.3">
      <c r="A3532" t="s">
        <v>7</v>
      </c>
      <c r="B3532">
        <v>19024230</v>
      </c>
      <c r="C3532" t="s">
        <v>8</v>
      </c>
      <c r="D3532" s="4">
        <v>46155</v>
      </c>
      <c r="E3532" s="11">
        <f t="shared" si="220"/>
        <v>2026</v>
      </c>
      <c r="F3532" s="11">
        <f t="shared" si="221"/>
        <v>5</v>
      </c>
      <c r="G3532" s="11" t="str">
        <f t="shared" si="222"/>
        <v>202605</v>
      </c>
      <c r="I3532" s="5">
        <v>9999</v>
      </c>
      <c r="J3532" s="5">
        <v>333.3</v>
      </c>
      <c r="K3532" s="5">
        <f t="shared" si="223"/>
        <v>0</v>
      </c>
      <c r="L3532" s="5">
        <v>0</v>
      </c>
      <c r="M3532" s="5">
        <v>0</v>
      </c>
      <c r="N3532" t="s">
        <v>9</v>
      </c>
      <c r="O3532" s="8">
        <v>19.654794520547945</v>
      </c>
      <c r="P3532" t="s">
        <v>32</v>
      </c>
      <c r="Q3532">
        <v>1</v>
      </c>
      <c r="R3532" s="2">
        <v>38981</v>
      </c>
    </row>
    <row r="3533" spans="1:18" x14ac:dyDescent="0.3">
      <c r="A3533" t="s">
        <v>7</v>
      </c>
      <c r="B3533">
        <v>19024233</v>
      </c>
      <c r="C3533" t="s">
        <v>8</v>
      </c>
      <c r="D3533" s="4">
        <v>46155</v>
      </c>
      <c r="E3533" s="11">
        <f t="shared" si="220"/>
        <v>2026</v>
      </c>
      <c r="F3533" s="11">
        <f t="shared" si="221"/>
        <v>5</v>
      </c>
      <c r="G3533" s="11" t="str">
        <f t="shared" si="222"/>
        <v>202605</v>
      </c>
      <c r="I3533" s="5">
        <v>9999</v>
      </c>
      <c r="J3533" s="5">
        <v>333.3</v>
      </c>
      <c r="K3533" s="5">
        <f t="shared" si="223"/>
        <v>0</v>
      </c>
      <c r="L3533" s="5">
        <v>0</v>
      </c>
      <c r="M3533" s="5">
        <v>0</v>
      </c>
      <c r="N3533" t="s">
        <v>9</v>
      </c>
      <c r="O3533" s="8">
        <v>18.205479452054796</v>
      </c>
      <c r="P3533" t="s">
        <v>32</v>
      </c>
      <c r="Q3533">
        <v>1</v>
      </c>
      <c r="R3533" s="2">
        <v>39510</v>
      </c>
    </row>
    <row r="3534" spans="1:18" x14ac:dyDescent="0.3">
      <c r="A3534" t="s">
        <v>7</v>
      </c>
      <c r="B3534">
        <v>19024289</v>
      </c>
      <c r="C3534" t="s">
        <v>8</v>
      </c>
      <c r="D3534" s="4">
        <v>46155</v>
      </c>
      <c r="E3534" s="11">
        <f t="shared" si="220"/>
        <v>2026</v>
      </c>
      <c r="F3534" s="11">
        <f t="shared" si="221"/>
        <v>5</v>
      </c>
      <c r="G3534" s="11" t="str">
        <f t="shared" si="222"/>
        <v>202605</v>
      </c>
      <c r="I3534" s="5">
        <v>9999</v>
      </c>
      <c r="J3534" s="5">
        <v>333.3</v>
      </c>
      <c r="K3534" s="5">
        <f t="shared" si="223"/>
        <v>0</v>
      </c>
      <c r="L3534" s="5">
        <v>0</v>
      </c>
      <c r="M3534" s="5">
        <v>0</v>
      </c>
      <c r="N3534" t="s">
        <v>9</v>
      </c>
      <c r="O3534" s="8">
        <v>23.926027397260274</v>
      </c>
      <c r="P3534" t="s">
        <v>33</v>
      </c>
      <c r="Q3534">
        <v>2</v>
      </c>
      <c r="R3534" s="2">
        <v>37422</v>
      </c>
    </row>
    <row r="3535" spans="1:18" x14ac:dyDescent="0.3">
      <c r="A3535" t="s">
        <v>7</v>
      </c>
      <c r="B3535">
        <v>19024291</v>
      </c>
      <c r="C3535" t="s">
        <v>10</v>
      </c>
      <c r="D3535" s="4">
        <v>46155</v>
      </c>
      <c r="E3535" s="11">
        <f t="shared" si="220"/>
        <v>2026</v>
      </c>
      <c r="F3535" s="11">
        <f t="shared" si="221"/>
        <v>5</v>
      </c>
      <c r="G3535" s="11" t="str">
        <f t="shared" si="222"/>
        <v>202605</v>
      </c>
      <c r="I3535" s="5">
        <v>9999</v>
      </c>
      <c r="J3535" s="5">
        <v>333.3</v>
      </c>
      <c r="K3535" s="5">
        <f t="shared" si="223"/>
        <v>0</v>
      </c>
      <c r="L3535" s="5">
        <v>0</v>
      </c>
      <c r="M3535" s="5">
        <v>0</v>
      </c>
      <c r="N3535" t="s">
        <v>9</v>
      </c>
      <c r="O3535" s="8">
        <v>18.673972602739727</v>
      </c>
      <c r="P3535" t="s">
        <v>32</v>
      </c>
      <c r="Q3535">
        <v>1</v>
      </c>
      <c r="R3535" s="2">
        <v>39339</v>
      </c>
    </row>
    <row r="3536" spans="1:18" x14ac:dyDescent="0.3">
      <c r="A3536" t="s">
        <v>7</v>
      </c>
      <c r="B3536">
        <v>19024387</v>
      </c>
      <c r="C3536" t="s">
        <v>8</v>
      </c>
      <c r="D3536" s="4">
        <v>46156</v>
      </c>
      <c r="E3536" s="11">
        <f t="shared" si="220"/>
        <v>2026</v>
      </c>
      <c r="F3536" s="11">
        <f t="shared" si="221"/>
        <v>5</v>
      </c>
      <c r="G3536" s="11" t="str">
        <f t="shared" si="222"/>
        <v>202605</v>
      </c>
      <c r="I3536" s="5">
        <v>9999</v>
      </c>
      <c r="J3536" s="5">
        <v>333.3</v>
      </c>
      <c r="K3536" s="5">
        <f t="shared" si="223"/>
        <v>0</v>
      </c>
      <c r="L3536" s="5">
        <v>0</v>
      </c>
      <c r="M3536" s="5">
        <v>0</v>
      </c>
      <c r="N3536" t="s">
        <v>9</v>
      </c>
      <c r="O3536" s="8">
        <v>23.068493150684933</v>
      </c>
      <c r="P3536" t="s">
        <v>33</v>
      </c>
      <c r="Q3536">
        <v>2</v>
      </c>
      <c r="R3536" s="2">
        <v>37736</v>
      </c>
    </row>
    <row r="3537" spans="1:18" x14ac:dyDescent="0.3">
      <c r="A3537" t="s">
        <v>7</v>
      </c>
      <c r="B3537">
        <v>19024388</v>
      </c>
      <c r="C3537" t="s">
        <v>8</v>
      </c>
      <c r="D3537" s="4">
        <v>46156</v>
      </c>
      <c r="E3537" s="11">
        <f t="shared" si="220"/>
        <v>2026</v>
      </c>
      <c r="F3537" s="11">
        <f t="shared" si="221"/>
        <v>5</v>
      </c>
      <c r="G3537" s="11" t="str">
        <f t="shared" si="222"/>
        <v>202605</v>
      </c>
      <c r="I3537" s="5">
        <v>9999</v>
      </c>
      <c r="J3537" s="5">
        <v>333.3</v>
      </c>
      <c r="K3537" s="5">
        <f t="shared" si="223"/>
        <v>0</v>
      </c>
      <c r="L3537" s="5">
        <v>0</v>
      </c>
      <c r="M3537" s="5">
        <v>0</v>
      </c>
      <c r="N3537" t="s">
        <v>9</v>
      </c>
      <c r="O3537" s="8">
        <v>18.312328767123287</v>
      </c>
      <c r="P3537" t="s">
        <v>32</v>
      </c>
      <c r="Q3537">
        <v>1</v>
      </c>
      <c r="R3537" s="2">
        <v>39472</v>
      </c>
    </row>
    <row r="3538" spans="1:18" x14ac:dyDescent="0.3">
      <c r="A3538" t="s">
        <v>7</v>
      </c>
      <c r="B3538">
        <v>19024389</v>
      </c>
      <c r="C3538" t="s">
        <v>8</v>
      </c>
      <c r="D3538" s="4">
        <v>46156</v>
      </c>
      <c r="E3538" s="11">
        <f t="shared" si="220"/>
        <v>2026</v>
      </c>
      <c r="F3538" s="11">
        <f t="shared" si="221"/>
        <v>5</v>
      </c>
      <c r="G3538" s="11" t="str">
        <f t="shared" si="222"/>
        <v>202605</v>
      </c>
      <c r="I3538" s="5">
        <v>9999</v>
      </c>
      <c r="J3538" s="5">
        <v>333.3</v>
      </c>
      <c r="K3538" s="5">
        <f t="shared" si="223"/>
        <v>0</v>
      </c>
      <c r="L3538" s="5">
        <v>0</v>
      </c>
      <c r="M3538" s="5">
        <v>0</v>
      </c>
      <c r="N3538" t="s">
        <v>9</v>
      </c>
      <c r="O3538" s="8">
        <v>21.728767123287671</v>
      </c>
      <c r="P3538" t="s">
        <v>33</v>
      </c>
      <c r="Q3538">
        <v>2</v>
      </c>
      <c r="R3538" s="2">
        <v>38225</v>
      </c>
    </row>
    <row r="3539" spans="1:18" x14ac:dyDescent="0.3">
      <c r="A3539" t="s">
        <v>7</v>
      </c>
      <c r="B3539">
        <v>19024394</v>
      </c>
      <c r="C3539" t="s">
        <v>10</v>
      </c>
      <c r="D3539" s="4">
        <v>46156</v>
      </c>
      <c r="E3539" s="11">
        <f t="shared" si="220"/>
        <v>2026</v>
      </c>
      <c r="F3539" s="11">
        <f t="shared" si="221"/>
        <v>5</v>
      </c>
      <c r="G3539" s="11" t="str">
        <f t="shared" si="222"/>
        <v>202605</v>
      </c>
      <c r="I3539" s="5">
        <v>9999</v>
      </c>
      <c r="J3539" s="5">
        <v>333.3</v>
      </c>
      <c r="K3539" s="5">
        <f t="shared" si="223"/>
        <v>0</v>
      </c>
      <c r="L3539" s="5">
        <v>0</v>
      </c>
      <c r="M3539" s="5">
        <v>0</v>
      </c>
      <c r="N3539" t="s">
        <v>12</v>
      </c>
      <c r="O3539" s="8">
        <v>20.052054794520547</v>
      </c>
      <c r="P3539" t="s">
        <v>32</v>
      </c>
      <c r="Q3539">
        <v>1</v>
      </c>
      <c r="R3539" s="2">
        <v>38837</v>
      </c>
    </row>
    <row r="3540" spans="1:18" x14ac:dyDescent="0.3">
      <c r="A3540" t="s">
        <v>7</v>
      </c>
      <c r="B3540">
        <v>19024416</v>
      </c>
      <c r="C3540" t="s">
        <v>10</v>
      </c>
      <c r="D3540" s="4">
        <v>46156</v>
      </c>
      <c r="E3540" s="11">
        <f t="shared" si="220"/>
        <v>2026</v>
      </c>
      <c r="F3540" s="11">
        <f t="shared" si="221"/>
        <v>5</v>
      </c>
      <c r="G3540" s="11" t="str">
        <f t="shared" si="222"/>
        <v>202605</v>
      </c>
      <c r="I3540" s="5">
        <v>9999</v>
      </c>
      <c r="J3540" s="5">
        <v>333.3</v>
      </c>
      <c r="K3540" s="5">
        <f t="shared" si="223"/>
        <v>0</v>
      </c>
      <c r="L3540" s="5">
        <v>0</v>
      </c>
      <c r="M3540" s="5">
        <v>0</v>
      </c>
      <c r="N3540" t="s">
        <v>9</v>
      </c>
      <c r="O3540" s="8">
        <v>21.419178082191781</v>
      </c>
      <c r="P3540" t="s">
        <v>33</v>
      </c>
      <c r="Q3540">
        <v>2</v>
      </c>
      <c r="R3540" s="2">
        <v>38338</v>
      </c>
    </row>
    <row r="3541" spans="1:18" x14ac:dyDescent="0.3">
      <c r="A3541" t="s">
        <v>7</v>
      </c>
      <c r="B3541">
        <v>19024422</v>
      </c>
      <c r="C3541" t="s">
        <v>8</v>
      </c>
      <c r="D3541" s="4">
        <v>46156</v>
      </c>
      <c r="E3541" s="11">
        <f t="shared" si="220"/>
        <v>2026</v>
      </c>
      <c r="F3541" s="11">
        <f t="shared" si="221"/>
        <v>5</v>
      </c>
      <c r="G3541" s="11" t="str">
        <f t="shared" si="222"/>
        <v>202605</v>
      </c>
      <c r="I3541" s="5">
        <v>9999</v>
      </c>
      <c r="J3541" s="5">
        <v>333.3</v>
      </c>
      <c r="K3541" s="5">
        <f t="shared" si="223"/>
        <v>0</v>
      </c>
      <c r="L3541" s="5">
        <v>0</v>
      </c>
      <c r="M3541" s="5">
        <v>0</v>
      </c>
      <c r="N3541" t="s">
        <v>9</v>
      </c>
      <c r="O3541" s="8">
        <v>18.205479452054796</v>
      </c>
      <c r="P3541" t="s">
        <v>32</v>
      </c>
      <c r="Q3541">
        <v>1</v>
      </c>
      <c r="R3541" s="2">
        <v>39511</v>
      </c>
    </row>
    <row r="3542" spans="1:18" x14ac:dyDescent="0.3">
      <c r="A3542" t="s">
        <v>7</v>
      </c>
      <c r="B3542">
        <v>19024431</v>
      </c>
      <c r="C3542" t="s">
        <v>8</v>
      </c>
      <c r="D3542" s="4">
        <v>46156</v>
      </c>
      <c r="E3542" s="11">
        <f t="shared" si="220"/>
        <v>2026</v>
      </c>
      <c r="F3542" s="11">
        <f t="shared" si="221"/>
        <v>5</v>
      </c>
      <c r="G3542" s="11" t="str">
        <f t="shared" si="222"/>
        <v>202605</v>
      </c>
      <c r="I3542" s="5">
        <v>9999</v>
      </c>
      <c r="J3542" s="5">
        <v>333.3</v>
      </c>
      <c r="K3542" s="5">
        <f t="shared" si="223"/>
        <v>0</v>
      </c>
      <c r="L3542" s="5">
        <v>0</v>
      </c>
      <c r="M3542" s="5">
        <v>0</v>
      </c>
      <c r="N3542" t="s">
        <v>9</v>
      </c>
      <c r="O3542" s="8">
        <v>20.435616438356163</v>
      </c>
      <c r="P3542" t="s">
        <v>32</v>
      </c>
      <c r="Q3542">
        <v>1</v>
      </c>
      <c r="R3542" s="2">
        <v>38697</v>
      </c>
    </row>
    <row r="3543" spans="1:18" x14ac:dyDescent="0.3">
      <c r="A3543" t="s">
        <v>7</v>
      </c>
      <c r="B3543">
        <v>19024442</v>
      </c>
      <c r="C3543" t="s">
        <v>8</v>
      </c>
      <c r="D3543" s="4">
        <v>46156</v>
      </c>
      <c r="E3543" s="11">
        <f t="shared" si="220"/>
        <v>2026</v>
      </c>
      <c r="F3543" s="11">
        <f t="shared" si="221"/>
        <v>5</v>
      </c>
      <c r="G3543" s="11" t="str">
        <f t="shared" si="222"/>
        <v>202605</v>
      </c>
      <c r="I3543" s="5">
        <v>9999</v>
      </c>
      <c r="J3543" s="5">
        <v>333.3</v>
      </c>
      <c r="K3543" s="5">
        <f t="shared" si="223"/>
        <v>0</v>
      </c>
      <c r="L3543" s="5">
        <v>0</v>
      </c>
      <c r="M3543" s="5">
        <v>0</v>
      </c>
      <c r="N3543" t="s">
        <v>9</v>
      </c>
      <c r="O3543" s="8">
        <v>18.687671232876713</v>
      </c>
      <c r="P3543" t="s">
        <v>32</v>
      </c>
      <c r="Q3543">
        <v>1</v>
      </c>
      <c r="R3543" s="2">
        <v>39335</v>
      </c>
    </row>
    <row r="3544" spans="1:18" x14ac:dyDescent="0.3">
      <c r="A3544" t="s">
        <v>7</v>
      </c>
      <c r="B3544">
        <v>19024460</v>
      </c>
      <c r="C3544" t="s">
        <v>8</v>
      </c>
      <c r="D3544" s="4">
        <v>46156</v>
      </c>
      <c r="E3544" s="11">
        <f t="shared" si="220"/>
        <v>2026</v>
      </c>
      <c r="F3544" s="11">
        <f t="shared" si="221"/>
        <v>5</v>
      </c>
      <c r="G3544" s="11" t="str">
        <f t="shared" si="222"/>
        <v>202605</v>
      </c>
      <c r="I3544" s="5">
        <v>9999</v>
      </c>
      <c r="J3544" s="5">
        <v>333.3</v>
      </c>
      <c r="K3544" s="5">
        <f t="shared" si="223"/>
        <v>0</v>
      </c>
      <c r="L3544" s="5">
        <v>0</v>
      </c>
      <c r="M3544" s="5">
        <v>0</v>
      </c>
      <c r="N3544" t="s">
        <v>9</v>
      </c>
      <c r="O3544" s="8">
        <v>52.750684931506846</v>
      </c>
      <c r="P3544" t="s">
        <v>35</v>
      </c>
      <c r="Q3544">
        <v>4</v>
      </c>
      <c r="R3544" s="2">
        <v>26902</v>
      </c>
    </row>
    <row r="3545" spans="1:18" x14ac:dyDescent="0.3">
      <c r="A3545" t="s">
        <v>7</v>
      </c>
      <c r="B3545">
        <v>19024527</v>
      </c>
      <c r="C3545" t="s">
        <v>8</v>
      </c>
      <c r="D3545" s="4">
        <v>46156</v>
      </c>
      <c r="E3545" s="11">
        <f t="shared" si="220"/>
        <v>2026</v>
      </c>
      <c r="F3545" s="11">
        <f t="shared" si="221"/>
        <v>5</v>
      </c>
      <c r="G3545" s="11" t="str">
        <f t="shared" si="222"/>
        <v>202605</v>
      </c>
      <c r="I3545" s="5">
        <v>9999</v>
      </c>
      <c r="J3545" s="5">
        <v>333.3</v>
      </c>
      <c r="K3545" s="5">
        <f t="shared" si="223"/>
        <v>0</v>
      </c>
      <c r="L3545" s="5">
        <v>0</v>
      </c>
      <c r="M3545" s="5">
        <v>0</v>
      </c>
      <c r="N3545" t="s">
        <v>9</v>
      </c>
      <c r="O3545" s="8">
        <v>33.052054794520551</v>
      </c>
      <c r="P3545" t="s">
        <v>35</v>
      </c>
      <c r="Q3545">
        <v>4</v>
      </c>
      <c r="R3545" s="2">
        <v>34092</v>
      </c>
    </row>
    <row r="3546" spans="1:18" x14ac:dyDescent="0.3">
      <c r="A3546" t="s">
        <v>7</v>
      </c>
      <c r="B3546">
        <v>19024604</v>
      </c>
      <c r="C3546" t="s">
        <v>10</v>
      </c>
      <c r="D3546" s="4">
        <v>46156</v>
      </c>
      <c r="E3546" s="11">
        <f t="shared" si="220"/>
        <v>2026</v>
      </c>
      <c r="F3546" s="11">
        <f t="shared" si="221"/>
        <v>5</v>
      </c>
      <c r="G3546" s="11" t="str">
        <f t="shared" si="222"/>
        <v>202605</v>
      </c>
      <c r="I3546" s="5">
        <v>9999</v>
      </c>
      <c r="J3546" s="5">
        <v>333.3</v>
      </c>
      <c r="K3546" s="5">
        <f t="shared" si="223"/>
        <v>0</v>
      </c>
      <c r="L3546" s="5">
        <v>0</v>
      </c>
      <c r="M3546" s="5">
        <v>0</v>
      </c>
      <c r="N3546" t="s">
        <v>9</v>
      </c>
      <c r="O3546" s="8">
        <v>19.632876712328766</v>
      </c>
      <c r="P3546" t="s">
        <v>32</v>
      </c>
      <c r="Q3546">
        <v>1</v>
      </c>
      <c r="R3546" s="2">
        <v>38990</v>
      </c>
    </row>
    <row r="3547" spans="1:18" x14ac:dyDescent="0.3">
      <c r="A3547" t="s">
        <v>7</v>
      </c>
      <c r="B3547">
        <v>19024645</v>
      </c>
      <c r="C3547" t="s">
        <v>10</v>
      </c>
      <c r="D3547" s="4">
        <v>46157</v>
      </c>
      <c r="E3547" s="11">
        <f t="shared" si="220"/>
        <v>2026</v>
      </c>
      <c r="F3547" s="11">
        <f t="shared" si="221"/>
        <v>5</v>
      </c>
      <c r="G3547" s="11" t="str">
        <f t="shared" si="222"/>
        <v>202605</v>
      </c>
      <c r="I3547" s="5">
        <v>9999</v>
      </c>
      <c r="J3547" s="5">
        <v>333.3</v>
      </c>
      <c r="K3547" s="5">
        <f t="shared" si="223"/>
        <v>0</v>
      </c>
      <c r="L3547" s="5">
        <v>0</v>
      </c>
      <c r="M3547" s="5">
        <v>0</v>
      </c>
      <c r="N3547" t="s">
        <v>9</v>
      </c>
      <c r="O3547" s="8">
        <v>18.295890410958904</v>
      </c>
      <c r="P3547" t="s">
        <v>32</v>
      </c>
      <c r="Q3547">
        <v>1</v>
      </c>
      <c r="R3547" s="2">
        <v>39479</v>
      </c>
    </row>
    <row r="3548" spans="1:18" x14ac:dyDescent="0.3">
      <c r="A3548" t="s">
        <v>7</v>
      </c>
      <c r="B3548">
        <v>19024656</v>
      </c>
      <c r="C3548" t="s">
        <v>8</v>
      </c>
      <c r="D3548" s="4">
        <v>46157</v>
      </c>
      <c r="E3548" s="11">
        <f t="shared" si="220"/>
        <v>2026</v>
      </c>
      <c r="F3548" s="11">
        <f t="shared" si="221"/>
        <v>5</v>
      </c>
      <c r="G3548" s="11" t="str">
        <f t="shared" si="222"/>
        <v>202605</v>
      </c>
      <c r="I3548" s="5">
        <v>9999</v>
      </c>
      <c r="J3548" s="5">
        <v>333.3</v>
      </c>
      <c r="K3548" s="5">
        <f t="shared" si="223"/>
        <v>0</v>
      </c>
      <c r="L3548" s="5">
        <v>0</v>
      </c>
      <c r="M3548" s="5">
        <v>0</v>
      </c>
      <c r="N3548" t="s">
        <v>9</v>
      </c>
      <c r="O3548" s="8">
        <v>18.298630136986301</v>
      </c>
      <c r="P3548" t="s">
        <v>32</v>
      </c>
      <c r="Q3548">
        <v>1</v>
      </c>
      <c r="R3548" s="2">
        <v>39478</v>
      </c>
    </row>
    <row r="3549" spans="1:18" x14ac:dyDescent="0.3">
      <c r="A3549" t="s">
        <v>7</v>
      </c>
      <c r="B3549">
        <v>19024662</v>
      </c>
      <c r="C3549" t="s">
        <v>8</v>
      </c>
      <c r="D3549" s="4">
        <v>46157</v>
      </c>
      <c r="E3549" s="11">
        <f t="shared" si="220"/>
        <v>2026</v>
      </c>
      <c r="F3549" s="11">
        <f t="shared" si="221"/>
        <v>5</v>
      </c>
      <c r="G3549" s="11" t="str">
        <f t="shared" si="222"/>
        <v>202605</v>
      </c>
      <c r="I3549" s="5">
        <v>9999</v>
      </c>
      <c r="J3549" s="5">
        <v>333.3</v>
      </c>
      <c r="K3549" s="5">
        <f t="shared" si="223"/>
        <v>0</v>
      </c>
      <c r="L3549" s="5">
        <v>0</v>
      </c>
      <c r="M3549" s="5">
        <v>0</v>
      </c>
      <c r="N3549" t="s">
        <v>9</v>
      </c>
      <c r="O3549" s="8">
        <v>20.210958904109589</v>
      </c>
      <c r="P3549" t="s">
        <v>32</v>
      </c>
      <c r="Q3549">
        <v>1</v>
      </c>
      <c r="R3549" s="2">
        <v>38780</v>
      </c>
    </row>
    <row r="3550" spans="1:18" x14ac:dyDescent="0.3">
      <c r="A3550" t="s">
        <v>7</v>
      </c>
      <c r="B3550">
        <v>19024663</v>
      </c>
      <c r="C3550" t="s">
        <v>8</v>
      </c>
      <c r="D3550" s="4">
        <v>46157</v>
      </c>
      <c r="E3550" s="11">
        <f t="shared" si="220"/>
        <v>2026</v>
      </c>
      <c r="F3550" s="11">
        <f t="shared" si="221"/>
        <v>5</v>
      </c>
      <c r="G3550" s="11" t="str">
        <f t="shared" si="222"/>
        <v>202605</v>
      </c>
      <c r="I3550" s="5">
        <v>9999</v>
      </c>
      <c r="J3550" s="5">
        <v>333.3</v>
      </c>
      <c r="K3550" s="5">
        <f t="shared" si="223"/>
        <v>0</v>
      </c>
      <c r="L3550" s="5">
        <v>0</v>
      </c>
      <c r="M3550" s="5">
        <v>0</v>
      </c>
      <c r="N3550" t="s">
        <v>12</v>
      </c>
      <c r="O3550" s="8">
        <v>18.838356164383562</v>
      </c>
      <c r="P3550" t="s">
        <v>32</v>
      </c>
      <c r="Q3550">
        <v>1</v>
      </c>
      <c r="R3550" s="2">
        <v>39281</v>
      </c>
    </row>
    <row r="3551" spans="1:18" x14ac:dyDescent="0.3">
      <c r="A3551" t="s">
        <v>7</v>
      </c>
      <c r="B3551">
        <v>19024664</v>
      </c>
      <c r="C3551" t="s">
        <v>8</v>
      </c>
      <c r="D3551" s="4">
        <v>46157</v>
      </c>
      <c r="E3551" s="11">
        <f t="shared" si="220"/>
        <v>2026</v>
      </c>
      <c r="F3551" s="11">
        <f t="shared" si="221"/>
        <v>5</v>
      </c>
      <c r="G3551" s="11" t="str">
        <f t="shared" si="222"/>
        <v>202605</v>
      </c>
      <c r="I3551" s="5">
        <v>9999</v>
      </c>
      <c r="J3551" s="5">
        <v>333.3</v>
      </c>
      <c r="K3551" s="5">
        <f t="shared" si="223"/>
        <v>0</v>
      </c>
      <c r="L3551" s="5">
        <v>0</v>
      </c>
      <c r="M3551" s="5">
        <v>0</v>
      </c>
      <c r="N3551" t="s">
        <v>12</v>
      </c>
      <c r="O3551" s="8">
        <v>18.273972602739725</v>
      </c>
      <c r="P3551" t="s">
        <v>32</v>
      </c>
      <c r="Q3551">
        <v>1</v>
      </c>
      <c r="R3551" s="2">
        <v>39487</v>
      </c>
    </row>
    <row r="3552" spans="1:18" x14ac:dyDescent="0.3">
      <c r="A3552" t="s">
        <v>7</v>
      </c>
      <c r="B3552">
        <v>19024666</v>
      </c>
      <c r="C3552" t="s">
        <v>8</v>
      </c>
      <c r="D3552" s="4">
        <v>46157</v>
      </c>
      <c r="E3552" s="11">
        <f t="shared" si="220"/>
        <v>2026</v>
      </c>
      <c r="F3552" s="11">
        <f t="shared" si="221"/>
        <v>5</v>
      </c>
      <c r="G3552" s="11" t="str">
        <f t="shared" si="222"/>
        <v>202605</v>
      </c>
      <c r="I3552" s="5">
        <v>9999</v>
      </c>
      <c r="J3552" s="5">
        <v>333.3</v>
      </c>
      <c r="K3552" s="5">
        <f t="shared" si="223"/>
        <v>0</v>
      </c>
      <c r="L3552" s="5">
        <v>0</v>
      </c>
      <c r="M3552" s="5">
        <v>0</v>
      </c>
      <c r="N3552" t="s">
        <v>12</v>
      </c>
      <c r="O3552" s="8">
        <v>19.506849315068493</v>
      </c>
      <c r="P3552" t="s">
        <v>32</v>
      </c>
      <c r="Q3552">
        <v>1</v>
      </c>
      <c r="R3552" s="2">
        <v>39037</v>
      </c>
    </row>
    <row r="3553" spans="1:18" x14ac:dyDescent="0.3">
      <c r="A3553" t="s">
        <v>7</v>
      </c>
      <c r="B3553">
        <v>19024678</v>
      </c>
      <c r="C3553" t="s">
        <v>10</v>
      </c>
      <c r="D3553" s="4">
        <v>46157</v>
      </c>
      <c r="E3553" s="11">
        <f t="shared" si="220"/>
        <v>2026</v>
      </c>
      <c r="F3553" s="11">
        <f t="shared" si="221"/>
        <v>5</v>
      </c>
      <c r="G3553" s="11" t="str">
        <f t="shared" si="222"/>
        <v>202605</v>
      </c>
      <c r="I3553" s="5">
        <v>9999</v>
      </c>
      <c r="J3553" s="5">
        <v>333.3</v>
      </c>
      <c r="K3553" s="5">
        <f t="shared" si="223"/>
        <v>0</v>
      </c>
      <c r="L3553" s="5">
        <v>0</v>
      </c>
      <c r="M3553" s="5">
        <v>0</v>
      </c>
      <c r="N3553" t="s">
        <v>9</v>
      </c>
      <c r="O3553" s="8">
        <v>18.221917808219178</v>
      </c>
      <c r="P3553" t="s">
        <v>32</v>
      </c>
      <c r="Q3553">
        <v>1</v>
      </c>
      <c r="R3553" s="2">
        <v>39506</v>
      </c>
    </row>
    <row r="3554" spans="1:18" x14ac:dyDescent="0.3">
      <c r="A3554" t="s">
        <v>7</v>
      </c>
      <c r="B3554">
        <v>19024683</v>
      </c>
      <c r="C3554" t="s">
        <v>8</v>
      </c>
      <c r="D3554" s="4">
        <v>46157</v>
      </c>
      <c r="E3554" s="11">
        <f t="shared" si="220"/>
        <v>2026</v>
      </c>
      <c r="F3554" s="11">
        <f t="shared" si="221"/>
        <v>5</v>
      </c>
      <c r="G3554" s="11" t="str">
        <f t="shared" si="222"/>
        <v>202605</v>
      </c>
      <c r="H3554" s="4">
        <v>46161</v>
      </c>
      <c r="I3554" s="5">
        <v>4</v>
      </c>
      <c r="J3554" s="5">
        <v>0.13333333333333333</v>
      </c>
      <c r="K3554" s="5">
        <f t="shared" si="223"/>
        <v>1</v>
      </c>
      <c r="L3554" s="5">
        <v>1</v>
      </c>
      <c r="M3554" s="5">
        <v>1</v>
      </c>
      <c r="N3554" t="s">
        <v>9</v>
      </c>
      <c r="O3554" s="8">
        <v>18.263013698630136</v>
      </c>
      <c r="P3554" t="s">
        <v>32</v>
      </c>
      <c r="Q3554">
        <v>1</v>
      </c>
      <c r="R3554" s="2">
        <v>39491</v>
      </c>
    </row>
    <row r="3555" spans="1:18" x14ac:dyDescent="0.3">
      <c r="A3555" t="s">
        <v>7</v>
      </c>
      <c r="B3555">
        <v>19024684</v>
      </c>
      <c r="C3555" t="s">
        <v>8</v>
      </c>
      <c r="D3555" s="4">
        <v>46157</v>
      </c>
      <c r="E3555" s="11">
        <f t="shared" si="220"/>
        <v>2026</v>
      </c>
      <c r="F3555" s="11">
        <f t="shared" si="221"/>
        <v>5</v>
      </c>
      <c r="G3555" s="11" t="str">
        <f t="shared" si="222"/>
        <v>202605</v>
      </c>
      <c r="I3555" s="5">
        <v>9999</v>
      </c>
      <c r="J3555" s="5">
        <v>333.3</v>
      </c>
      <c r="K3555" s="5">
        <f t="shared" si="223"/>
        <v>0</v>
      </c>
      <c r="L3555" s="5">
        <v>0</v>
      </c>
      <c r="M3555" s="5">
        <v>0</v>
      </c>
      <c r="N3555" t="s">
        <v>9</v>
      </c>
      <c r="O3555" s="8">
        <v>18.44109589041096</v>
      </c>
      <c r="P3555" t="s">
        <v>32</v>
      </c>
      <c r="Q3555">
        <v>1</v>
      </c>
      <c r="R3555" s="2">
        <v>39426</v>
      </c>
    </row>
    <row r="3556" spans="1:18" x14ac:dyDescent="0.3">
      <c r="A3556" t="s">
        <v>7</v>
      </c>
      <c r="B3556">
        <v>19024699</v>
      </c>
      <c r="C3556" t="s">
        <v>8</v>
      </c>
      <c r="D3556" s="4">
        <v>46157</v>
      </c>
      <c r="E3556" s="11">
        <f t="shared" si="220"/>
        <v>2026</v>
      </c>
      <c r="F3556" s="11">
        <f t="shared" si="221"/>
        <v>5</v>
      </c>
      <c r="G3556" s="11" t="str">
        <f t="shared" si="222"/>
        <v>202605</v>
      </c>
      <c r="I3556" s="5">
        <v>9999</v>
      </c>
      <c r="J3556" s="5">
        <v>333.3</v>
      </c>
      <c r="K3556" s="5">
        <f t="shared" si="223"/>
        <v>0</v>
      </c>
      <c r="L3556" s="5">
        <v>0</v>
      </c>
      <c r="M3556" s="5">
        <v>0</v>
      </c>
      <c r="N3556" t="s">
        <v>9</v>
      </c>
      <c r="O3556" s="8">
        <v>23.720547945205478</v>
      </c>
      <c r="P3556" t="s">
        <v>33</v>
      </c>
      <c r="Q3556">
        <v>2</v>
      </c>
      <c r="R3556" s="2">
        <v>37499</v>
      </c>
    </row>
    <row r="3557" spans="1:18" x14ac:dyDescent="0.3">
      <c r="A3557" t="s">
        <v>7</v>
      </c>
      <c r="B3557">
        <v>19024700</v>
      </c>
      <c r="C3557" t="s">
        <v>8</v>
      </c>
      <c r="D3557" s="4">
        <v>46157</v>
      </c>
      <c r="E3557" s="11">
        <f t="shared" si="220"/>
        <v>2026</v>
      </c>
      <c r="F3557" s="11">
        <f t="shared" si="221"/>
        <v>5</v>
      </c>
      <c r="G3557" s="11" t="str">
        <f t="shared" si="222"/>
        <v>202605</v>
      </c>
      <c r="I3557" s="5">
        <v>9999</v>
      </c>
      <c r="J3557" s="5">
        <v>333.3</v>
      </c>
      <c r="K3557" s="5">
        <f t="shared" si="223"/>
        <v>0</v>
      </c>
      <c r="L3557" s="5">
        <v>0</v>
      </c>
      <c r="M3557" s="5">
        <v>0</v>
      </c>
      <c r="N3557" t="s">
        <v>9</v>
      </c>
      <c r="O3557" s="8">
        <v>20.802739726027397</v>
      </c>
      <c r="P3557" t="s">
        <v>32</v>
      </c>
      <c r="Q3557">
        <v>1</v>
      </c>
      <c r="R3557" s="2">
        <v>38564</v>
      </c>
    </row>
    <row r="3558" spans="1:18" x14ac:dyDescent="0.3">
      <c r="A3558" t="s">
        <v>7</v>
      </c>
      <c r="B3558">
        <v>19024702</v>
      </c>
      <c r="C3558" t="s">
        <v>8</v>
      </c>
      <c r="D3558" s="4">
        <v>46157</v>
      </c>
      <c r="E3558" s="11">
        <f t="shared" si="220"/>
        <v>2026</v>
      </c>
      <c r="F3558" s="11">
        <f t="shared" si="221"/>
        <v>5</v>
      </c>
      <c r="G3558" s="11" t="str">
        <f t="shared" si="222"/>
        <v>202605</v>
      </c>
      <c r="I3558" s="5">
        <v>9999</v>
      </c>
      <c r="J3558" s="5">
        <v>333.3</v>
      </c>
      <c r="K3558" s="5">
        <f t="shared" si="223"/>
        <v>0</v>
      </c>
      <c r="L3558" s="5">
        <v>0</v>
      </c>
      <c r="M3558" s="5">
        <v>0</v>
      </c>
      <c r="N3558" t="s">
        <v>9</v>
      </c>
      <c r="O3558" s="8">
        <v>22.789041095890411</v>
      </c>
      <c r="P3558" t="s">
        <v>33</v>
      </c>
      <c r="Q3558">
        <v>2</v>
      </c>
      <c r="R3558" s="2">
        <v>37839</v>
      </c>
    </row>
    <row r="3559" spans="1:18" x14ac:dyDescent="0.3">
      <c r="A3559" t="s">
        <v>7</v>
      </c>
      <c r="B3559">
        <v>19024704</v>
      </c>
      <c r="C3559" t="s">
        <v>8</v>
      </c>
      <c r="D3559" s="4">
        <v>46157</v>
      </c>
      <c r="E3559" s="11">
        <f t="shared" si="220"/>
        <v>2026</v>
      </c>
      <c r="F3559" s="11">
        <f t="shared" si="221"/>
        <v>5</v>
      </c>
      <c r="G3559" s="11" t="str">
        <f t="shared" si="222"/>
        <v>202605</v>
      </c>
      <c r="I3559" s="5">
        <v>9999</v>
      </c>
      <c r="J3559" s="5">
        <v>333.3</v>
      </c>
      <c r="K3559" s="5">
        <f t="shared" si="223"/>
        <v>0</v>
      </c>
      <c r="L3559" s="5">
        <v>0</v>
      </c>
      <c r="M3559" s="5">
        <v>0</v>
      </c>
      <c r="N3559" t="s">
        <v>9</v>
      </c>
      <c r="O3559" s="8">
        <v>24.86849315068493</v>
      </c>
      <c r="P3559" t="s">
        <v>33</v>
      </c>
      <c r="Q3559">
        <v>2</v>
      </c>
      <c r="R3559" s="2">
        <v>37080</v>
      </c>
    </row>
    <row r="3560" spans="1:18" x14ac:dyDescent="0.3">
      <c r="A3560" t="s">
        <v>7</v>
      </c>
      <c r="B3560">
        <v>19024727</v>
      </c>
      <c r="C3560" t="s">
        <v>8</v>
      </c>
      <c r="D3560" s="4">
        <v>46157</v>
      </c>
      <c r="E3560" s="11">
        <f t="shared" si="220"/>
        <v>2026</v>
      </c>
      <c r="F3560" s="11">
        <f t="shared" si="221"/>
        <v>5</v>
      </c>
      <c r="G3560" s="11" t="str">
        <f t="shared" si="222"/>
        <v>202605</v>
      </c>
      <c r="I3560" s="5">
        <v>9999</v>
      </c>
      <c r="J3560" s="5">
        <v>333.3</v>
      </c>
      <c r="K3560" s="5">
        <f t="shared" si="223"/>
        <v>0</v>
      </c>
      <c r="L3560" s="5">
        <v>0</v>
      </c>
      <c r="M3560" s="5">
        <v>0</v>
      </c>
      <c r="N3560" t="s">
        <v>9</v>
      </c>
      <c r="O3560" s="8">
        <v>21.82191780821918</v>
      </c>
      <c r="P3560" t="s">
        <v>33</v>
      </c>
      <c r="Q3560">
        <v>2</v>
      </c>
      <c r="R3560" s="2">
        <v>38192</v>
      </c>
    </row>
    <row r="3561" spans="1:18" x14ac:dyDescent="0.3">
      <c r="A3561" t="s">
        <v>7</v>
      </c>
      <c r="B3561">
        <v>19024823</v>
      </c>
      <c r="C3561" t="s">
        <v>10</v>
      </c>
      <c r="D3561" s="4">
        <v>46157</v>
      </c>
      <c r="E3561" s="11">
        <f t="shared" si="220"/>
        <v>2026</v>
      </c>
      <c r="F3561" s="11">
        <f t="shared" si="221"/>
        <v>5</v>
      </c>
      <c r="G3561" s="11" t="str">
        <f t="shared" si="222"/>
        <v>202605</v>
      </c>
      <c r="I3561" s="5">
        <v>9999</v>
      </c>
      <c r="J3561" s="5">
        <v>333.3</v>
      </c>
      <c r="K3561" s="5">
        <f t="shared" si="223"/>
        <v>0</v>
      </c>
      <c r="L3561" s="5">
        <v>0</v>
      </c>
      <c r="M3561" s="5">
        <v>0</v>
      </c>
      <c r="N3561" t="s">
        <v>9</v>
      </c>
      <c r="O3561" s="8">
        <v>22.353424657534248</v>
      </c>
      <c r="P3561" t="s">
        <v>33</v>
      </c>
      <c r="Q3561">
        <v>2</v>
      </c>
      <c r="R3561" s="2">
        <v>37998</v>
      </c>
    </row>
    <row r="3562" spans="1:18" x14ac:dyDescent="0.3">
      <c r="A3562" t="s">
        <v>7</v>
      </c>
      <c r="B3562">
        <v>19024828</v>
      </c>
      <c r="C3562" t="s">
        <v>8</v>
      </c>
      <c r="D3562" s="4">
        <v>46157</v>
      </c>
      <c r="E3562" s="11">
        <f t="shared" si="220"/>
        <v>2026</v>
      </c>
      <c r="F3562" s="11">
        <f t="shared" si="221"/>
        <v>5</v>
      </c>
      <c r="G3562" s="11" t="str">
        <f t="shared" si="222"/>
        <v>202605</v>
      </c>
      <c r="I3562" s="5">
        <v>9999</v>
      </c>
      <c r="J3562" s="5">
        <v>333.3</v>
      </c>
      <c r="K3562" s="5">
        <f t="shared" si="223"/>
        <v>0</v>
      </c>
      <c r="L3562" s="5">
        <v>0</v>
      </c>
      <c r="M3562" s="5">
        <v>0</v>
      </c>
      <c r="N3562" t="s">
        <v>12</v>
      </c>
      <c r="O3562" s="8">
        <v>30.43013698630137</v>
      </c>
      <c r="P3562" t="s">
        <v>34</v>
      </c>
      <c r="Q3562">
        <v>3</v>
      </c>
      <c r="R3562" s="2">
        <v>35050</v>
      </c>
    </row>
    <row r="3563" spans="1:18" x14ac:dyDescent="0.3">
      <c r="A3563" t="s">
        <v>7</v>
      </c>
      <c r="B3563">
        <v>19024836</v>
      </c>
      <c r="C3563" t="s">
        <v>8</v>
      </c>
      <c r="D3563" s="4">
        <v>46157</v>
      </c>
      <c r="E3563" s="11">
        <f t="shared" si="220"/>
        <v>2026</v>
      </c>
      <c r="F3563" s="11">
        <f t="shared" si="221"/>
        <v>5</v>
      </c>
      <c r="G3563" s="11" t="str">
        <f t="shared" si="222"/>
        <v>202605</v>
      </c>
      <c r="I3563" s="5">
        <v>9999</v>
      </c>
      <c r="J3563" s="5">
        <v>333.3</v>
      </c>
      <c r="K3563" s="5">
        <f t="shared" si="223"/>
        <v>0</v>
      </c>
      <c r="L3563" s="5">
        <v>0</v>
      </c>
      <c r="M3563" s="5">
        <v>0</v>
      </c>
      <c r="N3563" t="s">
        <v>9</v>
      </c>
      <c r="O3563" s="8">
        <v>20.873972602739727</v>
      </c>
      <c r="P3563" t="s">
        <v>32</v>
      </c>
      <c r="Q3563">
        <v>1</v>
      </c>
      <c r="R3563" s="2">
        <v>38538</v>
      </c>
    </row>
    <row r="3564" spans="1:18" x14ac:dyDescent="0.3">
      <c r="A3564" t="s">
        <v>7</v>
      </c>
      <c r="B3564">
        <v>19024883</v>
      </c>
      <c r="C3564" t="s">
        <v>10</v>
      </c>
      <c r="D3564" s="4">
        <v>46158</v>
      </c>
      <c r="E3564" s="11">
        <f t="shared" si="220"/>
        <v>2026</v>
      </c>
      <c r="F3564" s="11">
        <f t="shared" si="221"/>
        <v>5</v>
      </c>
      <c r="G3564" s="11" t="str">
        <f t="shared" si="222"/>
        <v>202605</v>
      </c>
      <c r="I3564" s="5">
        <v>9999</v>
      </c>
      <c r="J3564" s="5">
        <v>333.3</v>
      </c>
      <c r="K3564" s="5">
        <f t="shared" si="223"/>
        <v>0</v>
      </c>
      <c r="L3564" s="5">
        <v>0</v>
      </c>
      <c r="M3564" s="5">
        <v>0</v>
      </c>
      <c r="N3564" t="s">
        <v>9</v>
      </c>
      <c r="O3564" s="8">
        <v>18.268493150684932</v>
      </c>
      <c r="P3564" t="s">
        <v>32</v>
      </c>
      <c r="Q3564">
        <v>1</v>
      </c>
      <c r="R3564" s="2">
        <v>39490</v>
      </c>
    </row>
    <row r="3565" spans="1:18" x14ac:dyDescent="0.3">
      <c r="A3565" t="s">
        <v>7</v>
      </c>
      <c r="B3565">
        <v>19024890</v>
      </c>
      <c r="C3565" t="s">
        <v>10</v>
      </c>
      <c r="D3565" s="4">
        <v>46158</v>
      </c>
      <c r="E3565" s="11">
        <f t="shared" si="220"/>
        <v>2026</v>
      </c>
      <c r="F3565" s="11">
        <f t="shared" si="221"/>
        <v>5</v>
      </c>
      <c r="G3565" s="11" t="str">
        <f t="shared" si="222"/>
        <v>202605</v>
      </c>
      <c r="I3565" s="5">
        <v>9999</v>
      </c>
      <c r="J3565" s="5">
        <v>333.3</v>
      </c>
      <c r="K3565" s="5">
        <f t="shared" si="223"/>
        <v>0</v>
      </c>
      <c r="L3565" s="5">
        <v>0</v>
      </c>
      <c r="M3565" s="5">
        <v>0</v>
      </c>
      <c r="N3565" t="s">
        <v>9</v>
      </c>
      <c r="O3565" s="8">
        <v>20.016438356164382</v>
      </c>
      <c r="P3565" t="s">
        <v>32</v>
      </c>
      <c r="Q3565">
        <v>1</v>
      </c>
      <c r="R3565" s="2">
        <v>38852</v>
      </c>
    </row>
    <row r="3566" spans="1:18" x14ac:dyDescent="0.3">
      <c r="A3566" t="s">
        <v>11</v>
      </c>
      <c r="B3566">
        <v>19024895</v>
      </c>
      <c r="C3566" t="s">
        <v>8</v>
      </c>
      <c r="D3566" s="4">
        <v>46158</v>
      </c>
      <c r="E3566" s="11">
        <f t="shared" si="220"/>
        <v>2026</v>
      </c>
      <c r="F3566" s="11">
        <f t="shared" si="221"/>
        <v>5</v>
      </c>
      <c r="G3566" s="11" t="str">
        <f t="shared" si="222"/>
        <v>202605</v>
      </c>
      <c r="I3566" s="5">
        <v>9999</v>
      </c>
      <c r="J3566" s="5">
        <v>333.3</v>
      </c>
      <c r="K3566" s="5">
        <f t="shared" si="223"/>
        <v>0</v>
      </c>
      <c r="L3566" s="5">
        <v>0</v>
      </c>
      <c r="M3566" s="5">
        <v>0</v>
      </c>
      <c r="N3566" t="s">
        <v>9</v>
      </c>
      <c r="O3566" s="8">
        <v>19.153424657534245</v>
      </c>
      <c r="P3566" t="s">
        <v>32</v>
      </c>
      <c r="Q3566">
        <v>1</v>
      </c>
      <c r="R3566" s="2">
        <v>39167</v>
      </c>
    </row>
    <row r="3567" spans="1:18" x14ac:dyDescent="0.3">
      <c r="A3567" t="s">
        <v>7</v>
      </c>
      <c r="B3567">
        <v>19024896</v>
      </c>
      <c r="C3567" t="s">
        <v>10</v>
      </c>
      <c r="D3567" s="4">
        <v>46158</v>
      </c>
      <c r="E3567" s="11">
        <f t="shared" si="220"/>
        <v>2026</v>
      </c>
      <c r="F3567" s="11">
        <f t="shared" si="221"/>
        <v>5</v>
      </c>
      <c r="G3567" s="11" t="str">
        <f t="shared" si="222"/>
        <v>202605</v>
      </c>
      <c r="I3567" s="5">
        <v>9999</v>
      </c>
      <c r="J3567" s="5">
        <v>333.3</v>
      </c>
      <c r="K3567" s="5">
        <f t="shared" si="223"/>
        <v>0</v>
      </c>
      <c r="L3567" s="5">
        <v>0</v>
      </c>
      <c r="M3567" s="5">
        <v>0</v>
      </c>
      <c r="N3567" t="s">
        <v>9</v>
      </c>
      <c r="O3567" s="8">
        <v>20.983561643835618</v>
      </c>
      <c r="P3567" t="s">
        <v>32</v>
      </c>
      <c r="Q3567">
        <v>1</v>
      </c>
      <c r="R3567" s="2">
        <v>38499</v>
      </c>
    </row>
    <row r="3568" spans="1:18" x14ac:dyDescent="0.3">
      <c r="A3568" t="s">
        <v>7</v>
      </c>
      <c r="B3568">
        <v>19024900</v>
      </c>
      <c r="C3568" t="s">
        <v>8</v>
      </c>
      <c r="D3568" s="4">
        <v>46158</v>
      </c>
      <c r="E3568" s="11">
        <f t="shared" si="220"/>
        <v>2026</v>
      </c>
      <c r="F3568" s="11">
        <f t="shared" si="221"/>
        <v>5</v>
      </c>
      <c r="G3568" s="11" t="str">
        <f t="shared" si="222"/>
        <v>202605</v>
      </c>
      <c r="I3568" s="5">
        <v>9999</v>
      </c>
      <c r="J3568" s="5">
        <v>333.3</v>
      </c>
      <c r="K3568" s="5">
        <f t="shared" si="223"/>
        <v>0</v>
      </c>
      <c r="L3568" s="5">
        <v>0</v>
      </c>
      <c r="M3568" s="5">
        <v>0</v>
      </c>
      <c r="N3568" t="s">
        <v>9</v>
      </c>
      <c r="O3568" s="8">
        <v>19.347945205479451</v>
      </c>
      <c r="P3568" t="s">
        <v>32</v>
      </c>
      <c r="Q3568">
        <v>1</v>
      </c>
      <c r="R3568" s="2">
        <v>39096</v>
      </c>
    </row>
    <row r="3569" spans="1:18" x14ac:dyDescent="0.3">
      <c r="A3569" t="s">
        <v>7</v>
      </c>
      <c r="B3569">
        <v>19024903</v>
      </c>
      <c r="C3569" t="s">
        <v>8</v>
      </c>
      <c r="D3569" s="4">
        <v>46158</v>
      </c>
      <c r="E3569" s="11">
        <f t="shared" si="220"/>
        <v>2026</v>
      </c>
      <c r="F3569" s="11">
        <f t="shared" si="221"/>
        <v>5</v>
      </c>
      <c r="G3569" s="11" t="str">
        <f t="shared" si="222"/>
        <v>202605</v>
      </c>
      <c r="I3569" s="5">
        <v>9999</v>
      </c>
      <c r="J3569" s="5">
        <v>333.3</v>
      </c>
      <c r="K3569" s="5">
        <f t="shared" si="223"/>
        <v>0</v>
      </c>
      <c r="L3569" s="5">
        <v>0</v>
      </c>
      <c r="M3569" s="5">
        <v>0</v>
      </c>
      <c r="N3569" t="s">
        <v>9</v>
      </c>
      <c r="O3569" s="8">
        <v>19.526027397260275</v>
      </c>
      <c r="P3569" t="s">
        <v>32</v>
      </c>
      <c r="Q3569">
        <v>1</v>
      </c>
      <c r="R3569" s="2">
        <v>39031</v>
      </c>
    </row>
    <row r="3570" spans="1:18" x14ac:dyDescent="0.3">
      <c r="A3570" t="s">
        <v>7</v>
      </c>
      <c r="B3570">
        <v>19024941</v>
      </c>
      <c r="C3570" t="s">
        <v>8</v>
      </c>
      <c r="D3570" s="4">
        <v>46160</v>
      </c>
      <c r="E3570" s="11">
        <f t="shared" si="220"/>
        <v>2026</v>
      </c>
      <c r="F3570" s="11">
        <f t="shared" si="221"/>
        <v>5</v>
      </c>
      <c r="G3570" s="11" t="str">
        <f t="shared" si="222"/>
        <v>202605</v>
      </c>
      <c r="I3570" s="5">
        <v>9999</v>
      </c>
      <c r="J3570" s="5">
        <v>333.3</v>
      </c>
      <c r="K3570" s="5">
        <f t="shared" si="223"/>
        <v>0</v>
      </c>
      <c r="L3570" s="5">
        <v>0</v>
      </c>
      <c r="M3570" s="5">
        <v>0</v>
      </c>
      <c r="N3570" t="s">
        <v>12</v>
      </c>
      <c r="O3570" s="8">
        <v>19.898630136986302</v>
      </c>
      <c r="P3570" t="s">
        <v>32</v>
      </c>
      <c r="Q3570">
        <v>1</v>
      </c>
      <c r="R3570" s="2">
        <v>38897</v>
      </c>
    </row>
    <row r="3571" spans="1:18" x14ac:dyDescent="0.3">
      <c r="A3571" t="s">
        <v>7</v>
      </c>
      <c r="B3571">
        <v>19024976</v>
      </c>
      <c r="C3571" t="s">
        <v>10</v>
      </c>
      <c r="D3571" s="4">
        <v>46160</v>
      </c>
      <c r="E3571" s="11">
        <f t="shared" si="220"/>
        <v>2026</v>
      </c>
      <c r="F3571" s="11">
        <f t="shared" si="221"/>
        <v>5</v>
      </c>
      <c r="G3571" s="11" t="str">
        <f t="shared" si="222"/>
        <v>202605</v>
      </c>
      <c r="I3571" s="5">
        <v>9999</v>
      </c>
      <c r="J3571" s="5">
        <v>333.3</v>
      </c>
      <c r="K3571" s="5">
        <f t="shared" si="223"/>
        <v>0</v>
      </c>
      <c r="L3571" s="5">
        <v>0</v>
      </c>
      <c r="M3571" s="5">
        <v>0</v>
      </c>
      <c r="N3571" t="s">
        <v>9</v>
      </c>
      <c r="O3571" s="8">
        <v>20.81917808219178</v>
      </c>
      <c r="P3571" t="s">
        <v>32</v>
      </c>
      <c r="Q3571">
        <v>1</v>
      </c>
      <c r="R3571" s="2">
        <v>38561</v>
      </c>
    </row>
    <row r="3572" spans="1:18" x14ac:dyDescent="0.3">
      <c r="A3572" t="s">
        <v>7</v>
      </c>
      <c r="B3572">
        <v>19024978</v>
      </c>
      <c r="C3572" t="s">
        <v>8</v>
      </c>
      <c r="D3572" s="4">
        <v>46160</v>
      </c>
      <c r="E3572" s="11">
        <f t="shared" si="220"/>
        <v>2026</v>
      </c>
      <c r="F3572" s="11">
        <f t="shared" si="221"/>
        <v>5</v>
      </c>
      <c r="G3572" s="11" t="str">
        <f t="shared" si="222"/>
        <v>202605</v>
      </c>
      <c r="I3572" s="5">
        <v>9999</v>
      </c>
      <c r="J3572" s="5">
        <v>333.3</v>
      </c>
      <c r="K3572" s="5">
        <f t="shared" si="223"/>
        <v>0</v>
      </c>
      <c r="L3572" s="5">
        <v>0</v>
      </c>
      <c r="M3572" s="5">
        <v>0</v>
      </c>
      <c r="N3572" t="s">
        <v>9</v>
      </c>
      <c r="O3572" s="8">
        <v>22.032876712328768</v>
      </c>
      <c r="P3572" t="s">
        <v>33</v>
      </c>
      <c r="Q3572">
        <v>2</v>
      </c>
      <c r="R3572" s="2">
        <v>38118</v>
      </c>
    </row>
    <row r="3573" spans="1:18" x14ac:dyDescent="0.3">
      <c r="A3573" t="s">
        <v>7</v>
      </c>
      <c r="B3573">
        <v>19024996</v>
      </c>
      <c r="C3573" t="s">
        <v>8</v>
      </c>
      <c r="D3573" s="4">
        <v>46158</v>
      </c>
      <c r="E3573" s="11">
        <f t="shared" si="220"/>
        <v>2026</v>
      </c>
      <c r="F3573" s="11">
        <f t="shared" si="221"/>
        <v>5</v>
      </c>
      <c r="G3573" s="11" t="str">
        <f t="shared" si="222"/>
        <v>202605</v>
      </c>
      <c r="I3573" s="5">
        <v>9999</v>
      </c>
      <c r="J3573" s="5">
        <v>333.3</v>
      </c>
      <c r="K3573" s="5">
        <f t="shared" si="223"/>
        <v>0</v>
      </c>
      <c r="L3573" s="5">
        <v>0</v>
      </c>
      <c r="M3573" s="5">
        <v>0</v>
      </c>
      <c r="N3573" t="s">
        <v>9</v>
      </c>
      <c r="O3573" s="8">
        <v>20.86849315068493</v>
      </c>
      <c r="P3573" t="s">
        <v>32</v>
      </c>
      <c r="Q3573">
        <v>1</v>
      </c>
      <c r="R3573" s="2">
        <v>38541</v>
      </c>
    </row>
    <row r="3574" spans="1:18" x14ac:dyDescent="0.3">
      <c r="A3574" t="s">
        <v>7</v>
      </c>
      <c r="B3574">
        <v>19025037</v>
      </c>
      <c r="C3574" t="s">
        <v>8</v>
      </c>
      <c r="D3574" s="4">
        <v>46160</v>
      </c>
      <c r="E3574" s="11">
        <f t="shared" si="220"/>
        <v>2026</v>
      </c>
      <c r="F3574" s="11">
        <f t="shared" si="221"/>
        <v>5</v>
      </c>
      <c r="G3574" s="11" t="str">
        <f t="shared" si="222"/>
        <v>202605</v>
      </c>
      <c r="I3574" s="5">
        <v>9999</v>
      </c>
      <c r="J3574" s="5">
        <v>333.3</v>
      </c>
      <c r="K3574" s="5">
        <f t="shared" si="223"/>
        <v>0</v>
      </c>
      <c r="L3574" s="5">
        <v>0</v>
      </c>
      <c r="M3574" s="5">
        <v>0</v>
      </c>
      <c r="N3574" t="s">
        <v>9</v>
      </c>
      <c r="O3574" s="8">
        <v>50.539726027397258</v>
      </c>
      <c r="P3574" t="s">
        <v>35</v>
      </c>
      <c r="Q3574">
        <v>4</v>
      </c>
      <c r="R3574" s="2">
        <v>27713</v>
      </c>
    </row>
    <row r="3575" spans="1:18" x14ac:dyDescent="0.3">
      <c r="A3575" t="s">
        <v>7</v>
      </c>
      <c r="B3575">
        <v>19025083</v>
      </c>
      <c r="C3575" t="s">
        <v>10</v>
      </c>
      <c r="D3575" s="4">
        <v>46160</v>
      </c>
      <c r="E3575" s="11">
        <f t="shared" si="220"/>
        <v>2026</v>
      </c>
      <c r="F3575" s="11">
        <f t="shared" si="221"/>
        <v>5</v>
      </c>
      <c r="G3575" s="11" t="str">
        <f t="shared" si="222"/>
        <v>202605</v>
      </c>
      <c r="I3575" s="5">
        <v>9999</v>
      </c>
      <c r="J3575" s="5">
        <v>333.3</v>
      </c>
      <c r="K3575" s="5">
        <f t="shared" si="223"/>
        <v>0</v>
      </c>
      <c r="L3575" s="5">
        <v>0</v>
      </c>
      <c r="M3575" s="5">
        <v>0</v>
      </c>
      <c r="N3575" t="s">
        <v>9</v>
      </c>
      <c r="O3575" s="8">
        <v>20.2</v>
      </c>
      <c r="P3575" t="s">
        <v>32</v>
      </c>
      <c r="Q3575">
        <v>1</v>
      </c>
      <c r="R3575" s="2">
        <v>38787</v>
      </c>
    </row>
    <row r="3576" spans="1:18" x14ac:dyDescent="0.3">
      <c r="A3576" t="s">
        <v>7</v>
      </c>
      <c r="B3576">
        <v>19025084</v>
      </c>
      <c r="C3576" t="s">
        <v>10</v>
      </c>
      <c r="D3576" s="4">
        <v>46160</v>
      </c>
      <c r="E3576" s="11">
        <f t="shared" si="220"/>
        <v>2026</v>
      </c>
      <c r="F3576" s="11">
        <f t="shared" si="221"/>
        <v>5</v>
      </c>
      <c r="G3576" s="11" t="str">
        <f t="shared" si="222"/>
        <v>202605</v>
      </c>
      <c r="I3576" s="5">
        <v>9999</v>
      </c>
      <c r="J3576" s="5">
        <v>333.3</v>
      </c>
      <c r="K3576" s="5">
        <f t="shared" si="223"/>
        <v>0</v>
      </c>
      <c r="L3576" s="5">
        <v>0</v>
      </c>
      <c r="M3576" s="5">
        <v>0</v>
      </c>
      <c r="N3576" t="s">
        <v>9</v>
      </c>
      <c r="O3576" s="8">
        <v>19.36986301369863</v>
      </c>
      <c r="P3576" t="s">
        <v>32</v>
      </c>
      <c r="Q3576">
        <v>1</v>
      </c>
      <c r="R3576" s="2">
        <v>39090</v>
      </c>
    </row>
    <row r="3577" spans="1:18" x14ac:dyDescent="0.3">
      <c r="A3577" t="s">
        <v>7</v>
      </c>
      <c r="B3577">
        <v>19025321</v>
      </c>
      <c r="C3577" t="s">
        <v>8</v>
      </c>
      <c r="D3577" s="4">
        <v>46161</v>
      </c>
      <c r="E3577" s="11">
        <f t="shared" si="220"/>
        <v>2026</v>
      </c>
      <c r="F3577" s="11">
        <f t="shared" si="221"/>
        <v>5</v>
      </c>
      <c r="G3577" s="11" t="str">
        <f t="shared" si="222"/>
        <v>202605</v>
      </c>
      <c r="I3577" s="5">
        <v>9999</v>
      </c>
      <c r="J3577" s="5">
        <v>333.3</v>
      </c>
      <c r="K3577" s="5">
        <f t="shared" si="223"/>
        <v>0</v>
      </c>
      <c r="L3577" s="5">
        <v>0</v>
      </c>
      <c r="M3577" s="5">
        <v>0</v>
      </c>
      <c r="N3577" t="s">
        <v>9</v>
      </c>
      <c r="O3577" s="8">
        <v>18.621917808219177</v>
      </c>
      <c r="P3577" t="s">
        <v>32</v>
      </c>
      <c r="Q3577">
        <v>1</v>
      </c>
      <c r="R3577" s="2">
        <v>39364</v>
      </c>
    </row>
    <row r="3578" spans="1:18" x14ac:dyDescent="0.3">
      <c r="A3578" t="s">
        <v>7</v>
      </c>
      <c r="B3578">
        <v>19025323</v>
      </c>
      <c r="C3578" t="s">
        <v>8</v>
      </c>
      <c r="D3578" s="4">
        <v>46161</v>
      </c>
      <c r="E3578" s="11">
        <f t="shared" si="220"/>
        <v>2026</v>
      </c>
      <c r="F3578" s="11">
        <f t="shared" si="221"/>
        <v>5</v>
      </c>
      <c r="G3578" s="11" t="str">
        <f t="shared" si="222"/>
        <v>202605</v>
      </c>
      <c r="H3578" s="4">
        <v>46174</v>
      </c>
      <c r="I3578" s="5">
        <v>13</v>
      </c>
      <c r="J3578" s="5">
        <v>0.43333333333333335</v>
      </c>
      <c r="K3578" s="5">
        <f t="shared" si="223"/>
        <v>1</v>
      </c>
      <c r="L3578" s="5">
        <v>1</v>
      </c>
      <c r="M3578" s="5">
        <v>1</v>
      </c>
      <c r="N3578" t="s">
        <v>12</v>
      </c>
      <c r="O3578" s="8">
        <v>28.589041095890412</v>
      </c>
      <c r="P3578" t="s">
        <v>34</v>
      </c>
      <c r="Q3578">
        <v>3</v>
      </c>
      <c r="R3578" s="2">
        <v>35726</v>
      </c>
    </row>
    <row r="3579" spans="1:18" x14ac:dyDescent="0.3">
      <c r="A3579" t="s">
        <v>7</v>
      </c>
      <c r="B3579">
        <v>19025336</v>
      </c>
      <c r="C3579" t="s">
        <v>8</v>
      </c>
      <c r="D3579" s="4">
        <v>46161</v>
      </c>
      <c r="E3579" s="11">
        <f t="shared" si="220"/>
        <v>2026</v>
      </c>
      <c r="F3579" s="11">
        <f t="shared" si="221"/>
        <v>5</v>
      </c>
      <c r="G3579" s="11" t="str">
        <f t="shared" si="222"/>
        <v>202605</v>
      </c>
      <c r="H3579" s="4">
        <v>46174</v>
      </c>
      <c r="I3579" s="5">
        <v>13</v>
      </c>
      <c r="J3579" s="5">
        <v>0.43333333333333335</v>
      </c>
      <c r="K3579" s="5">
        <f t="shared" si="223"/>
        <v>1</v>
      </c>
      <c r="L3579" s="5">
        <v>1</v>
      </c>
      <c r="M3579" s="5">
        <v>1</v>
      </c>
      <c r="N3579" t="s">
        <v>12</v>
      </c>
      <c r="O3579" s="8">
        <v>22.536986301369861</v>
      </c>
      <c r="P3579" t="s">
        <v>33</v>
      </c>
      <c r="Q3579">
        <v>2</v>
      </c>
      <c r="R3579" s="2">
        <v>37935</v>
      </c>
    </row>
    <row r="3580" spans="1:18" x14ac:dyDescent="0.3">
      <c r="A3580" t="s">
        <v>7</v>
      </c>
      <c r="B3580">
        <v>19025337</v>
      </c>
      <c r="C3580" t="s">
        <v>8</v>
      </c>
      <c r="D3580" s="4">
        <v>46161</v>
      </c>
      <c r="E3580" s="11">
        <f t="shared" si="220"/>
        <v>2026</v>
      </c>
      <c r="F3580" s="11">
        <f t="shared" si="221"/>
        <v>5</v>
      </c>
      <c r="G3580" s="11" t="str">
        <f t="shared" si="222"/>
        <v>202605</v>
      </c>
      <c r="I3580" s="5">
        <v>9999</v>
      </c>
      <c r="J3580" s="5">
        <v>333.3</v>
      </c>
      <c r="K3580" s="5">
        <f t="shared" si="223"/>
        <v>0</v>
      </c>
      <c r="L3580" s="5">
        <v>0</v>
      </c>
      <c r="M3580" s="5">
        <v>0</v>
      </c>
      <c r="N3580" t="s">
        <v>12</v>
      </c>
      <c r="O3580" s="8">
        <v>26.86849315068493</v>
      </c>
      <c r="P3580" t="s">
        <v>34</v>
      </c>
      <c r="Q3580">
        <v>3</v>
      </c>
      <c r="R3580" s="2">
        <v>36354</v>
      </c>
    </row>
    <row r="3581" spans="1:18" x14ac:dyDescent="0.3">
      <c r="A3581" t="s">
        <v>7</v>
      </c>
      <c r="B3581">
        <v>19025342</v>
      </c>
      <c r="C3581" t="s">
        <v>8</v>
      </c>
      <c r="D3581" s="4">
        <v>46161</v>
      </c>
      <c r="E3581" s="11">
        <f t="shared" si="220"/>
        <v>2026</v>
      </c>
      <c r="F3581" s="11">
        <f t="shared" si="221"/>
        <v>5</v>
      </c>
      <c r="G3581" s="11" t="str">
        <f t="shared" si="222"/>
        <v>202605</v>
      </c>
      <c r="I3581" s="5">
        <v>9999</v>
      </c>
      <c r="J3581" s="5">
        <v>333.3</v>
      </c>
      <c r="K3581" s="5">
        <f t="shared" si="223"/>
        <v>0</v>
      </c>
      <c r="L3581" s="5">
        <v>0</v>
      </c>
      <c r="M3581" s="5">
        <v>0</v>
      </c>
      <c r="N3581" t="s">
        <v>12</v>
      </c>
      <c r="O3581" s="8">
        <v>21.136986301369863</v>
      </c>
      <c r="P3581" t="s">
        <v>33</v>
      </c>
      <c r="Q3581">
        <v>2</v>
      </c>
      <c r="R3581" s="2">
        <v>38446</v>
      </c>
    </row>
    <row r="3582" spans="1:18" x14ac:dyDescent="0.3">
      <c r="A3582" t="s">
        <v>7</v>
      </c>
      <c r="B3582">
        <v>19025345</v>
      </c>
      <c r="C3582" t="s">
        <v>8</v>
      </c>
      <c r="D3582" s="4">
        <v>46161</v>
      </c>
      <c r="E3582" s="11">
        <f t="shared" si="220"/>
        <v>2026</v>
      </c>
      <c r="F3582" s="11">
        <f t="shared" si="221"/>
        <v>5</v>
      </c>
      <c r="G3582" s="11" t="str">
        <f t="shared" si="222"/>
        <v>202605</v>
      </c>
      <c r="I3582" s="5">
        <v>9999</v>
      </c>
      <c r="J3582" s="5">
        <v>333.3</v>
      </c>
      <c r="K3582" s="5">
        <f t="shared" si="223"/>
        <v>0</v>
      </c>
      <c r="L3582" s="5">
        <v>0</v>
      </c>
      <c r="M3582" s="5">
        <v>0</v>
      </c>
      <c r="N3582" t="s">
        <v>12</v>
      </c>
      <c r="O3582" s="8">
        <v>20.391780821917809</v>
      </c>
      <c r="P3582" t="s">
        <v>32</v>
      </c>
      <c r="Q3582">
        <v>1</v>
      </c>
      <c r="R3582" s="2">
        <v>38718</v>
      </c>
    </row>
    <row r="3583" spans="1:18" x14ac:dyDescent="0.3">
      <c r="A3583" t="s">
        <v>7</v>
      </c>
      <c r="B3583">
        <v>19025356</v>
      </c>
      <c r="C3583" t="s">
        <v>8</v>
      </c>
      <c r="D3583" s="4">
        <v>46161</v>
      </c>
      <c r="E3583" s="11">
        <f t="shared" si="220"/>
        <v>2026</v>
      </c>
      <c r="F3583" s="11">
        <f t="shared" si="221"/>
        <v>5</v>
      </c>
      <c r="G3583" s="11" t="str">
        <f t="shared" si="222"/>
        <v>202605</v>
      </c>
      <c r="I3583" s="5">
        <v>9999</v>
      </c>
      <c r="J3583" s="5">
        <v>333.3</v>
      </c>
      <c r="K3583" s="5">
        <f t="shared" si="223"/>
        <v>0</v>
      </c>
      <c r="L3583" s="5">
        <v>0</v>
      </c>
      <c r="M3583" s="5">
        <v>0</v>
      </c>
      <c r="N3583" t="s">
        <v>12</v>
      </c>
      <c r="O3583" s="8">
        <v>25.282191780821918</v>
      </c>
      <c r="P3583" t="s">
        <v>33</v>
      </c>
      <c r="Q3583">
        <v>2</v>
      </c>
      <c r="R3583" s="2">
        <v>36933</v>
      </c>
    </row>
    <row r="3584" spans="1:18" x14ac:dyDescent="0.3">
      <c r="A3584" t="s">
        <v>7</v>
      </c>
      <c r="B3584">
        <v>19025360</v>
      </c>
      <c r="C3584" t="s">
        <v>10</v>
      </c>
      <c r="D3584" s="4">
        <v>46161</v>
      </c>
      <c r="E3584" s="11">
        <f t="shared" si="220"/>
        <v>2026</v>
      </c>
      <c r="F3584" s="11">
        <f t="shared" si="221"/>
        <v>5</v>
      </c>
      <c r="G3584" s="11" t="str">
        <f t="shared" si="222"/>
        <v>202605</v>
      </c>
      <c r="I3584" s="5">
        <v>9999</v>
      </c>
      <c r="J3584" s="5">
        <v>333.3</v>
      </c>
      <c r="K3584" s="5">
        <f t="shared" si="223"/>
        <v>0</v>
      </c>
      <c r="L3584" s="5">
        <v>0</v>
      </c>
      <c r="M3584" s="5">
        <v>0</v>
      </c>
      <c r="N3584" t="s">
        <v>9</v>
      </c>
      <c r="O3584" s="8">
        <v>22.476712328767125</v>
      </c>
      <c r="P3584" t="s">
        <v>33</v>
      </c>
      <c r="Q3584">
        <v>2</v>
      </c>
      <c r="R3584" s="2">
        <v>37957</v>
      </c>
    </row>
    <row r="3585" spans="1:18" x14ac:dyDescent="0.3">
      <c r="A3585" t="s">
        <v>7</v>
      </c>
      <c r="B3585">
        <v>19025474</v>
      </c>
      <c r="C3585" t="s">
        <v>10</v>
      </c>
      <c r="D3585" s="4">
        <v>46162</v>
      </c>
      <c r="E3585" s="11">
        <f t="shared" si="220"/>
        <v>2026</v>
      </c>
      <c r="F3585" s="11">
        <f t="shared" si="221"/>
        <v>5</v>
      </c>
      <c r="G3585" s="11" t="str">
        <f t="shared" si="222"/>
        <v>202605</v>
      </c>
      <c r="I3585" s="5">
        <v>9999</v>
      </c>
      <c r="J3585" s="5">
        <v>333.3</v>
      </c>
      <c r="K3585" s="5">
        <f t="shared" si="223"/>
        <v>0</v>
      </c>
      <c r="L3585" s="5">
        <v>0</v>
      </c>
      <c r="M3585" s="5">
        <v>0</v>
      </c>
      <c r="N3585" t="s">
        <v>9</v>
      </c>
      <c r="O3585" s="8">
        <v>18.452054794520549</v>
      </c>
      <c r="P3585" t="s">
        <v>32</v>
      </c>
      <c r="Q3585">
        <v>1</v>
      </c>
      <c r="R3585" s="2">
        <v>39427</v>
      </c>
    </row>
    <row r="3586" spans="1:18" x14ac:dyDescent="0.3">
      <c r="A3586" t="s">
        <v>7</v>
      </c>
      <c r="B3586">
        <v>19025490</v>
      </c>
      <c r="C3586" t="s">
        <v>8</v>
      </c>
      <c r="D3586" s="4">
        <v>46162</v>
      </c>
      <c r="E3586" s="11">
        <f t="shared" si="220"/>
        <v>2026</v>
      </c>
      <c r="F3586" s="11">
        <f t="shared" si="221"/>
        <v>5</v>
      </c>
      <c r="G3586" s="11" t="str">
        <f t="shared" si="222"/>
        <v>202605</v>
      </c>
      <c r="I3586" s="5">
        <v>9999</v>
      </c>
      <c r="J3586" s="5">
        <v>333.3</v>
      </c>
      <c r="K3586" s="5">
        <f t="shared" si="223"/>
        <v>0</v>
      </c>
      <c r="L3586" s="5">
        <v>0</v>
      </c>
      <c r="M3586" s="5">
        <v>0</v>
      </c>
      <c r="N3586" t="s">
        <v>12</v>
      </c>
      <c r="O3586" s="8">
        <v>25.024657534246575</v>
      </c>
      <c r="P3586" t="s">
        <v>33</v>
      </c>
      <c r="Q3586">
        <v>2</v>
      </c>
      <c r="R3586" s="2">
        <v>37028</v>
      </c>
    </row>
    <row r="3587" spans="1:18" x14ac:dyDescent="0.3">
      <c r="A3587" t="s">
        <v>7</v>
      </c>
      <c r="B3587">
        <v>19025491</v>
      </c>
      <c r="C3587" t="s">
        <v>8</v>
      </c>
      <c r="D3587" s="4">
        <v>46162</v>
      </c>
      <c r="E3587" s="11">
        <f t="shared" ref="E3587:E3647" si="224">+YEAR(D3587)</f>
        <v>2026</v>
      </c>
      <c r="F3587" s="11">
        <f t="shared" ref="F3587:F3647" si="225">+MONTH(D3587)</f>
        <v>5</v>
      </c>
      <c r="G3587" s="11" t="str">
        <f t="shared" ref="G3587:G3647" si="226">+TEXT(D3587, "yyymm")</f>
        <v>202605</v>
      </c>
      <c r="I3587" s="5">
        <v>9999</v>
      </c>
      <c r="J3587" s="5">
        <v>333.3</v>
      </c>
      <c r="K3587" s="5">
        <f t="shared" ref="K3587:K3647" si="227">IF(J3587&lt;=1,1,0)</f>
        <v>0</v>
      </c>
      <c r="L3587" s="5">
        <v>0</v>
      </c>
      <c r="M3587" s="5">
        <v>0</v>
      </c>
      <c r="N3587" t="s">
        <v>12</v>
      </c>
      <c r="O3587" s="8">
        <v>26.4986301369863</v>
      </c>
      <c r="P3587" t="s">
        <v>34</v>
      </c>
      <c r="Q3587">
        <v>3</v>
      </c>
      <c r="R3587" s="2">
        <v>36490</v>
      </c>
    </row>
    <row r="3588" spans="1:18" x14ac:dyDescent="0.3">
      <c r="A3588" t="s">
        <v>7</v>
      </c>
      <c r="B3588">
        <v>19025501</v>
      </c>
      <c r="C3588" t="s">
        <v>8</v>
      </c>
      <c r="D3588" s="4">
        <v>46162</v>
      </c>
      <c r="E3588" s="11">
        <f t="shared" si="224"/>
        <v>2026</v>
      </c>
      <c r="F3588" s="11">
        <f t="shared" si="225"/>
        <v>5</v>
      </c>
      <c r="G3588" s="11" t="str">
        <f t="shared" si="226"/>
        <v>202605</v>
      </c>
      <c r="I3588" s="5">
        <v>9999</v>
      </c>
      <c r="J3588" s="5">
        <v>333.3</v>
      </c>
      <c r="K3588" s="5">
        <f t="shared" si="227"/>
        <v>0</v>
      </c>
      <c r="L3588" s="5">
        <v>0</v>
      </c>
      <c r="M3588" s="5">
        <v>0</v>
      </c>
      <c r="N3588" t="s">
        <v>9</v>
      </c>
      <c r="O3588" s="8">
        <v>33.041095890410958</v>
      </c>
      <c r="P3588" t="s">
        <v>35</v>
      </c>
      <c r="Q3588">
        <v>4</v>
      </c>
      <c r="R3588" s="2">
        <v>34102</v>
      </c>
    </row>
    <row r="3589" spans="1:18" x14ac:dyDescent="0.3">
      <c r="A3589" t="s">
        <v>7</v>
      </c>
      <c r="B3589">
        <v>19025504</v>
      </c>
      <c r="C3589" t="s">
        <v>10</v>
      </c>
      <c r="D3589" s="4">
        <v>46162</v>
      </c>
      <c r="E3589" s="11">
        <f t="shared" si="224"/>
        <v>2026</v>
      </c>
      <c r="F3589" s="11">
        <f t="shared" si="225"/>
        <v>5</v>
      </c>
      <c r="G3589" s="11" t="str">
        <f t="shared" si="226"/>
        <v>202605</v>
      </c>
      <c r="I3589" s="5">
        <v>9999</v>
      </c>
      <c r="J3589" s="5">
        <v>333.3</v>
      </c>
      <c r="K3589" s="5">
        <f t="shared" si="227"/>
        <v>0</v>
      </c>
      <c r="L3589" s="5">
        <v>0</v>
      </c>
      <c r="M3589" s="5">
        <v>0</v>
      </c>
      <c r="N3589" t="s">
        <v>9</v>
      </c>
      <c r="O3589" s="8">
        <v>22.082191780821919</v>
      </c>
      <c r="P3589" t="s">
        <v>33</v>
      </c>
      <c r="Q3589">
        <v>2</v>
      </c>
      <c r="R3589" s="2">
        <v>38102</v>
      </c>
    </row>
    <row r="3590" spans="1:18" x14ac:dyDescent="0.3">
      <c r="A3590" t="s">
        <v>7</v>
      </c>
      <c r="B3590">
        <v>19025572</v>
      </c>
      <c r="C3590" t="s">
        <v>8</v>
      </c>
      <c r="D3590" s="4">
        <v>46162</v>
      </c>
      <c r="E3590" s="11">
        <f t="shared" si="224"/>
        <v>2026</v>
      </c>
      <c r="F3590" s="11">
        <f t="shared" si="225"/>
        <v>5</v>
      </c>
      <c r="G3590" s="11" t="str">
        <f t="shared" si="226"/>
        <v>202605</v>
      </c>
      <c r="I3590" s="5">
        <v>9999</v>
      </c>
      <c r="J3590" s="5">
        <v>333.3</v>
      </c>
      <c r="K3590" s="5">
        <f t="shared" si="227"/>
        <v>0</v>
      </c>
      <c r="L3590" s="5">
        <v>0</v>
      </c>
      <c r="M3590" s="5">
        <v>0</v>
      </c>
      <c r="N3590" t="s">
        <v>12</v>
      </c>
      <c r="O3590" s="8">
        <v>24.841095890410958</v>
      </c>
      <c r="P3590" t="s">
        <v>33</v>
      </c>
      <c r="Q3590">
        <v>2</v>
      </c>
      <c r="R3590" s="2">
        <v>37095</v>
      </c>
    </row>
    <row r="3591" spans="1:18" x14ac:dyDescent="0.3">
      <c r="A3591" t="s">
        <v>7</v>
      </c>
      <c r="B3591">
        <v>19025581</v>
      </c>
      <c r="C3591" t="s">
        <v>8</v>
      </c>
      <c r="D3591" s="4">
        <v>46162</v>
      </c>
      <c r="E3591" s="11">
        <f t="shared" si="224"/>
        <v>2026</v>
      </c>
      <c r="F3591" s="11">
        <f t="shared" si="225"/>
        <v>5</v>
      </c>
      <c r="G3591" s="11" t="str">
        <f t="shared" si="226"/>
        <v>202605</v>
      </c>
      <c r="I3591" s="5">
        <v>9999</v>
      </c>
      <c r="J3591" s="5">
        <v>333.3</v>
      </c>
      <c r="K3591" s="5">
        <f t="shared" si="227"/>
        <v>0</v>
      </c>
      <c r="L3591" s="5">
        <v>0</v>
      </c>
      <c r="M3591" s="5">
        <v>0</v>
      </c>
      <c r="N3591" t="s">
        <v>12</v>
      </c>
      <c r="O3591" s="8">
        <v>19.232876712328768</v>
      </c>
      <c r="P3591" t="s">
        <v>32</v>
      </c>
      <c r="Q3591">
        <v>1</v>
      </c>
      <c r="R3591" s="2">
        <v>39142</v>
      </c>
    </row>
    <row r="3592" spans="1:18" x14ac:dyDescent="0.3">
      <c r="A3592" t="s">
        <v>7</v>
      </c>
      <c r="B3592">
        <v>19025583</v>
      </c>
      <c r="C3592" t="s">
        <v>10</v>
      </c>
      <c r="D3592" s="4">
        <v>46162</v>
      </c>
      <c r="E3592" s="11">
        <f t="shared" si="224"/>
        <v>2026</v>
      </c>
      <c r="F3592" s="11">
        <f t="shared" si="225"/>
        <v>5</v>
      </c>
      <c r="G3592" s="11" t="str">
        <f t="shared" si="226"/>
        <v>202605</v>
      </c>
      <c r="I3592" s="5">
        <v>9999</v>
      </c>
      <c r="J3592" s="5">
        <v>333.3</v>
      </c>
      <c r="K3592" s="5">
        <f t="shared" si="227"/>
        <v>0</v>
      </c>
      <c r="L3592" s="5">
        <v>0</v>
      </c>
      <c r="M3592" s="5">
        <v>0</v>
      </c>
      <c r="N3592" t="s">
        <v>12</v>
      </c>
      <c r="O3592" s="8">
        <v>18.849315068493151</v>
      </c>
      <c r="P3592" t="s">
        <v>32</v>
      </c>
      <c r="Q3592">
        <v>1</v>
      </c>
      <c r="R3592" s="2">
        <v>39282</v>
      </c>
    </row>
    <row r="3593" spans="1:18" x14ac:dyDescent="0.3">
      <c r="A3593" t="s">
        <v>7</v>
      </c>
      <c r="B3593">
        <v>19025697</v>
      </c>
      <c r="C3593" t="s">
        <v>10</v>
      </c>
      <c r="D3593" s="4">
        <v>46163</v>
      </c>
      <c r="E3593" s="11">
        <f t="shared" si="224"/>
        <v>2026</v>
      </c>
      <c r="F3593" s="11">
        <f t="shared" si="225"/>
        <v>5</v>
      </c>
      <c r="G3593" s="11" t="str">
        <f t="shared" si="226"/>
        <v>202605</v>
      </c>
      <c r="I3593" s="5">
        <v>9999</v>
      </c>
      <c r="J3593" s="5">
        <v>333.3</v>
      </c>
      <c r="K3593" s="5">
        <f t="shared" si="227"/>
        <v>0</v>
      </c>
      <c r="L3593" s="5">
        <v>0</v>
      </c>
      <c r="M3593" s="5">
        <v>0</v>
      </c>
      <c r="N3593" t="s">
        <v>9</v>
      </c>
      <c r="O3593" s="8">
        <v>24.67945205479452</v>
      </c>
      <c r="P3593" t="s">
        <v>33</v>
      </c>
      <c r="Q3593">
        <v>2</v>
      </c>
      <c r="R3593" s="2">
        <v>37155</v>
      </c>
    </row>
    <row r="3594" spans="1:18" x14ac:dyDescent="0.3">
      <c r="A3594" t="s">
        <v>7</v>
      </c>
      <c r="B3594">
        <v>19025706</v>
      </c>
      <c r="C3594" t="s">
        <v>8</v>
      </c>
      <c r="D3594" s="4">
        <v>46163</v>
      </c>
      <c r="E3594" s="11">
        <f t="shared" si="224"/>
        <v>2026</v>
      </c>
      <c r="F3594" s="11">
        <f t="shared" si="225"/>
        <v>5</v>
      </c>
      <c r="G3594" s="11" t="str">
        <f t="shared" si="226"/>
        <v>202605</v>
      </c>
      <c r="I3594" s="5">
        <v>9999</v>
      </c>
      <c r="J3594" s="5">
        <v>333.3</v>
      </c>
      <c r="K3594" s="5">
        <f t="shared" si="227"/>
        <v>0</v>
      </c>
      <c r="L3594" s="5">
        <v>0</v>
      </c>
      <c r="M3594" s="5">
        <v>0</v>
      </c>
      <c r="N3594" t="s">
        <v>9</v>
      </c>
      <c r="O3594" s="8">
        <v>18.657534246575342</v>
      </c>
      <c r="P3594" t="s">
        <v>32</v>
      </c>
      <c r="Q3594">
        <v>1</v>
      </c>
      <c r="R3594" s="2">
        <v>39353</v>
      </c>
    </row>
    <row r="3595" spans="1:18" x14ac:dyDescent="0.3">
      <c r="A3595" t="s">
        <v>7</v>
      </c>
      <c r="B3595">
        <v>19025707</v>
      </c>
      <c r="C3595" t="s">
        <v>8</v>
      </c>
      <c r="D3595" s="4">
        <v>46163</v>
      </c>
      <c r="E3595" s="11">
        <f t="shared" si="224"/>
        <v>2026</v>
      </c>
      <c r="F3595" s="11">
        <f t="shared" si="225"/>
        <v>5</v>
      </c>
      <c r="G3595" s="11" t="str">
        <f t="shared" si="226"/>
        <v>202605</v>
      </c>
      <c r="I3595" s="5">
        <v>9999</v>
      </c>
      <c r="J3595" s="5">
        <v>333.3</v>
      </c>
      <c r="K3595" s="5">
        <f t="shared" si="227"/>
        <v>0</v>
      </c>
      <c r="L3595" s="5">
        <v>0</v>
      </c>
      <c r="M3595" s="5">
        <v>0</v>
      </c>
      <c r="N3595" t="s">
        <v>9</v>
      </c>
      <c r="O3595" s="8">
        <v>20.139726027397259</v>
      </c>
      <c r="P3595" t="s">
        <v>32</v>
      </c>
      <c r="Q3595">
        <v>1</v>
      </c>
      <c r="R3595" s="2">
        <v>38812</v>
      </c>
    </row>
    <row r="3596" spans="1:18" x14ac:dyDescent="0.3">
      <c r="A3596" t="s">
        <v>7</v>
      </c>
      <c r="B3596">
        <v>19025719</v>
      </c>
      <c r="C3596" t="s">
        <v>8</v>
      </c>
      <c r="D3596" s="4">
        <v>46163</v>
      </c>
      <c r="E3596" s="11">
        <f t="shared" si="224"/>
        <v>2026</v>
      </c>
      <c r="F3596" s="11">
        <f t="shared" si="225"/>
        <v>5</v>
      </c>
      <c r="G3596" s="11" t="str">
        <f t="shared" si="226"/>
        <v>202605</v>
      </c>
      <c r="I3596" s="5">
        <v>9999</v>
      </c>
      <c r="J3596" s="5">
        <v>333.3</v>
      </c>
      <c r="K3596" s="5">
        <f t="shared" si="227"/>
        <v>0</v>
      </c>
      <c r="L3596" s="5">
        <v>0</v>
      </c>
      <c r="M3596" s="5">
        <v>0</v>
      </c>
      <c r="N3596" t="s">
        <v>12</v>
      </c>
      <c r="O3596" s="8">
        <v>18.046575342465754</v>
      </c>
      <c r="P3596" t="s">
        <v>32</v>
      </c>
      <c r="Q3596">
        <v>1</v>
      </c>
      <c r="R3596" s="2">
        <v>39576</v>
      </c>
    </row>
    <row r="3597" spans="1:18" x14ac:dyDescent="0.3">
      <c r="A3597" t="s">
        <v>7</v>
      </c>
      <c r="B3597">
        <v>19025720</v>
      </c>
      <c r="C3597" t="s">
        <v>8</v>
      </c>
      <c r="D3597" s="4">
        <v>46163</v>
      </c>
      <c r="E3597" s="11">
        <f t="shared" si="224"/>
        <v>2026</v>
      </c>
      <c r="F3597" s="11">
        <f t="shared" si="225"/>
        <v>5</v>
      </c>
      <c r="G3597" s="11" t="str">
        <f t="shared" si="226"/>
        <v>202605</v>
      </c>
      <c r="I3597" s="5">
        <v>9999</v>
      </c>
      <c r="J3597" s="5">
        <v>333.3</v>
      </c>
      <c r="K3597" s="5">
        <f t="shared" si="227"/>
        <v>0</v>
      </c>
      <c r="L3597" s="5">
        <v>0</v>
      </c>
      <c r="M3597" s="5">
        <v>0</v>
      </c>
      <c r="N3597" t="s">
        <v>12</v>
      </c>
      <c r="O3597" s="8">
        <v>22.224657534246575</v>
      </c>
      <c r="P3597" t="s">
        <v>33</v>
      </c>
      <c r="Q3597">
        <v>2</v>
      </c>
      <c r="R3597" s="2">
        <v>38051</v>
      </c>
    </row>
    <row r="3598" spans="1:18" x14ac:dyDescent="0.3">
      <c r="A3598" t="s">
        <v>7</v>
      </c>
      <c r="B3598">
        <v>19025729</v>
      </c>
      <c r="C3598" t="s">
        <v>8</v>
      </c>
      <c r="D3598" s="4">
        <v>46163</v>
      </c>
      <c r="E3598" s="11">
        <f t="shared" si="224"/>
        <v>2026</v>
      </c>
      <c r="F3598" s="11">
        <f t="shared" si="225"/>
        <v>5</v>
      </c>
      <c r="G3598" s="11" t="str">
        <f t="shared" si="226"/>
        <v>202605</v>
      </c>
      <c r="I3598" s="5">
        <v>9999</v>
      </c>
      <c r="J3598" s="5">
        <v>333.3</v>
      </c>
      <c r="K3598" s="5">
        <f t="shared" si="227"/>
        <v>0</v>
      </c>
      <c r="L3598" s="5">
        <v>0</v>
      </c>
      <c r="M3598" s="5">
        <v>0</v>
      </c>
      <c r="N3598" t="s">
        <v>12</v>
      </c>
      <c r="O3598" s="8">
        <v>23.079452054794519</v>
      </c>
      <c r="P3598" t="s">
        <v>33</v>
      </c>
      <c r="Q3598">
        <v>2</v>
      </c>
      <c r="R3598" s="2">
        <v>37739</v>
      </c>
    </row>
    <row r="3599" spans="1:18" x14ac:dyDescent="0.3">
      <c r="A3599" t="s">
        <v>7</v>
      </c>
      <c r="B3599">
        <v>19025768</v>
      </c>
      <c r="C3599" t="s">
        <v>8</v>
      </c>
      <c r="D3599" s="4">
        <v>46163</v>
      </c>
      <c r="E3599" s="11">
        <f t="shared" si="224"/>
        <v>2026</v>
      </c>
      <c r="F3599" s="11">
        <f t="shared" si="225"/>
        <v>5</v>
      </c>
      <c r="G3599" s="11" t="str">
        <f t="shared" si="226"/>
        <v>202605</v>
      </c>
      <c r="H3599" s="4">
        <v>46174</v>
      </c>
      <c r="I3599" s="5">
        <v>11</v>
      </c>
      <c r="J3599" s="5">
        <v>0.36666666666666664</v>
      </c>
      <c r="K3599" s="5">
        <f t="shared" si="227"/>
        <v>1</v>
      </c>
      <c r="L3599" s="5">
        <v>1</v>
      </c>
      <c r="M3599" s="5">
        <v>1</v>
      </c>
      <c r="N3599" t="s">
        <v>12</v>
      </c>
      <c r="O3599" s="8">
        <v>33.323287671232876</v>
      </c>
      <c r="P3599" t="s">
        <v>35</v>
      </c>
      <c r="Q3599">
        <v>4</v>
      </c>
      <c r="R3599" s="2">
        <v>34000</v>
      </c>
    </row>
    <row r="3600" spans="1:18" x14ac:dyDescent="0.3">
      <c r="A3600" t="s">
        <v>7</v>
      </c>
      <c r="B3600">
        <v>19025796</v>
      </c>
      <c r="C3600" t="s">
        <v>8</v>
      </c>
      <c r="D3600" s="4">
        <v>46163</v>
      </c>
      <c r="E3600" s="11">
        <f t="shared" si="224"/>
        <v>2026</v>
      </c>
      <c r="F3600" s="11">
        <f t="shared" si="225"/>
        <v>5</v>
      </c>
      <c r="G3600" s="11" t="str">
        <f t="shared" si="226"/>
        <v>202605</v>
      </c>
      <c r="I3600" s="5">
        <v>9999</v>
      </c>
      <c r="J3600" s="5">
        <v>333.3</v>
      </c>
      <c r="K3600" s="5">
        <f t="shared" si="227"/>
        <v>0</v>
      </c>
      <c r="L3600" s="5">
        <v>0</v>
      </c>
      <c r="M3600" s="5">
        <v>0</v>
      </c>
      <c r="N3600" t="s">
        <v>12</v>
      </c>
      <c r="O3600" s="8">
        <v>19.260273972602739</v>
      </c>
      <c r="P3600" t="s">
        <v>32</v>
      </c>
      <c r="Q3600">
        <v>1</v>
      </c>
      <c r="R3600" s="2">
        <v>39133</v>
      </c>
    </row>
    <row r="3601" spans="1:18" x14ac:dyDescent="0.3">
      <c r="A3601" t="s">
        <v>7</v>
      </c>
      <c r="B3601">
        <v>19025823</v>
      </c>
      <c r="C3601" t="s">
        <v>10</v>
      </c>
      <c r="D3601" s="4">
        <v>46163</v>
      </c>
      <c r="E3601" s="11">
        <f t="shared" si="224"/>
        <v>2026</v>
      </c>
      <c r="F3601" s="11">
        <f t="shared" si="225"/>
        <v>5</v>
      </c>
      <c r="G3601" s="11" t="str">
        <f t="shared" si="226"/>
        <v>202605</v>
      </c>
      <c r="I3601" s="5">
        <v>9999</v>
      </c>
      <c r="J3601" s="5">
        <v>333.3</v>
      </c>
      <c r="K3601" s="5">
        <f t="shared" si="227"/>
        <v>0</v>
      </c>
      <c r="L3601" s="5">
        <v>0</v>
      </c>
      <c r="M3601" s="5">
        <v>0</v>
      </c>
      <c r="N3601" t="s">
        <v>12</v>
      </c>
      <c r="O3601" s="8">
        <v>39.106849315068494</v>
      </c>
      <c r="P3601" t="s">
        <v>35</v>
      </c>
      <c r="Q3601">
        <v>4</v>
      </c>
      <c r="R3601" s="2">
        <v>31889</v>
      </c>
    </row>
    <row r="3602" spans="1:18" x14ac:dyDescent="0.3">
      <c r="A3602" t="s">
        <v>7</v>
      </c>
      <c r="B3602">
        <v>19025824</v>
      </c>
      <c r="C3602" t="s">
        <v>8</v>
      </c>
      <c r="D3602" s="4">
        <v>46163</v>
      </c>
      <c r="E3602" s="11">
        <f t="shared" si="224"/>
        <v>2026</v>
      </c>
      <c r="F3602" s="11">
        <f t="shared" si="225"/>
        <v>5</v>
      </c>
      <c r="G3602" s="11" t="str">
        <f t="shared" si="226"/>
        <v>202605</v>
      </c>
      <c r="I3602" s="5">
        <v>9999</v>
      </c>
      <c r="J3602" s="5">
        <v>333.3</v>
      </c>
      <c r="K3602" s="5">
        <f t="shared" si="227"/>
        <v>0</v>
      </c>
      <c r="L3602" s="5">
        <v>0</v>
      </c>
      <c r="M3602" s="5">
        <v>0</v>
      </c>
      <c r="N3602" t="s">
        <v>12</v>
      </c>
      <c r="O3602" s="8">
        <v>28.397260273972602</v>
      </c>
      <c r="P3602" t="s">
        <v>34</v>
      </c>
      <c r="Q3602">
        <v>3</v>
      </c>
      <c r="R3602" s="2">
        <v>35798</v>
      </c>
    </row>
    <row r="3603" spans="1:18" x14ac:dyDescent="0.3">
      <c r="A3603" t="s">
        <v>7</v>
      </c>
      <c r="B3603">
        <v>19025825</v>
      </c>
      <c r="C3603" t="s">
        <v>8</v>
      </c>
      <c r="D3603" s="4">
        <v>46163</v>
      </c>
      <c r="E3603" s="11">
        <f t="shared" si="224"/>
        <v>2026</v>
      </c>
      <c r="F3603" s="11">
        <f t="shared" si="225"/>
        <v>5</v>
      </c>
      <c r="G3603" s="11" t="str">
        <f t="shared" si="226"/>
        <v>202605</v>
      </c>
      <c r="I3603" s="5">
        <v>9999</v>
      </c>
      <c r="J3603" s="5">
        <v>333.3</v>
      </c>
      <c r="K3603" s="5">
        <f t="shared" si="227"/>
        <v>0</v>
      </c>
      <c r="L3603" s="5">
        <v>0</v>
      </c>
      <c r="M3603" s="5">
        <v>0</v>
      </c>
      <c r="N3603" t="s">
        <v>12</v>
      </c>
      <c r="O3603" s="8">
        <v>18.906849315068492</v>
      </c>
      <c r="P3603" t="s">
        <v>32</v>
      </c>
      <c r="Q3603">
        <v>1</v>
      </c>
      <c r="R3603" s="2">
        <v>39262</v>
      </c>
    </row>
    <row r="3604" spans="1:18" x14ac:dyDescent="0.3">
      <c r="A3604" t="s">
        <v>7</v>
      </c>
      <c r="B3604">
        <v>19025916</v>
      </c>
      <c r="C3604" t="s">
        <v>8</v>
      </c>
      <c r="D3604" s="4">
        <v>46164</v>
      </c>
      <c r="E3604" s="11">
        <f t="shared" si="224"/>
        <v>2026</v>
      </c>
      <c r="F3604" s="11">
        <f t="shared" si="225"/>
        <v>5</v>
      </c>
      <c r="G3604" s="11" t="str">
        <f t="shared" si="226"/>
        <v>202605</v>
      </c>
      <c r="I3604" s="5">
        <v>9999</v>
      </c>
      <c r="J3604" s="5">
        <v>333.3</v>
      </c>
      <c r="K3604" s="5">
        <f t="shared" si="227"/>
        <v>0</v>
      </c>
      <c r="L3604" s="5">
        <v>0</v>
      </c>
      <c r="M3604" s="5">
        <v>0</v>
      </c>
      <c r="N3604" t="s">
        <v>12</v>
      </c>
      <c r="O3604" s="8">
        <v>33.832876712328769</v>
      </c>
      <c r="P3604" t="s">
        <v>35</v>
      </c>
      <c r="Q3604">
        <v>4</v>
      </c>
      <c r="R3604" s="2">
        <v>33815</v>
      </c>
    </row>
    <row r="3605" spans="1:18" x14ac:dyDescent="0.3">
      <c r="A3605" t="s">
        <v>7</v>
      </c>
      <c r="B3605">
        <v>19025917</v>
      </c>
      <c r="C3605" t="s">
        <v>8</v>
      </c>
      <c r="D3605" s="4">
        <v>46164</v>
      </c>
      <c r="E3605" s="11">
        <f t="shared" si="224"/>
        <v>2026</v>
      </c>
      <c r="F3605" s="11">
        <f t="shared" si="225"/>
        <v>5</v>
      </c>
      <c r="G3605" s="11" t="str">
        <f t="shared" si="226"/>
        <v>202605</v>
      </c>
      <c r="I3605" s="5">
        <v>9999</v>
      </c>
      <c r="J3605" s="5">
        <v>333.3</v>
      </c>
      <c r="K3605" s="5">
        <f t="shared" si="227"/>
        <v>0</v>
      </c>
      <c r="L3605" s="5">
        <v>0</v>
      </c>
      <c r="M3605" s="5">
        <v>0</v>
      </c>
      <c r="N3605" t="s">
        <v>12</v>
      </c>
      <c r="O3605" s="8">
        <v>35.983561643835614</v>
      </c>
      <c r="P3605" t="s">
        <v>35</v>
      </c>
      <c r="Q3605">
        <v>4</v>
      </c>
      <c r="R3605" s="2">
        <v>33030</v>
      </c>
    </row>
    <row r="3606" spans="1:18" x14ac:dyDescent="0.3">
      <c r="A3606" t="s">
        <v>7</v>
      </c>
      <c r="B3606">
        <v>19025943</v>
      </c>
      <c r="C3606" t="s">
        <v>8</v>
      </c>
      <c r="D3606" s="4">
        <v>46164</v>
      </c>
      <c r="E3606" s="11">
        <f t="shared" si="224"/>
        <v>2026</v>
      </c>
      <c r="F3606" s="11">
        <f t="shared" si="225"/>
        <v>5</v>
      </c>
      <c r="G3606" s="11" t="str">
        <f t="shared" si="226"/>
        <v>202605</v>
      </c>
      <c r="I3606" s="5">
        <v>9999</v>
      </c>
      <c r="J3606" s="5">
        <v>333.3</v>
      </c>
      <c r="K3606" s="5">
        <f t="shared" si="227"/>
        <v>0</v>
      </c>
      <c r="L3606" s="5">
        <v>0</v>
      </c>
      <c r="M3606" s="5">
        <v>0</v>
      </c>
      <c r="N3606" t="s">
        <v>9</v>
      </c>
      <c r="O3606" s="8">
        <v>20.947945205479453</v>
      </c>
      <c r="P3606" t="s">
        <v>32</v>
      </c>
      <c r="Q3606">
        <v>1</v>
      </c>
      <c r="R3606" s="2">
        <v>38518</v>
      </c>
    </row>
    <row r="3607" spans="1:18" x14ac:dyDescent="0.3">
      <c r="A3607" t="s">
        <v>7</v>
      </c>
      <c r="B3607">
        <v>19025978</v>
      </c>
      <c r="C3607" t="s">
        <v>8</v>
      </c>
      <c r="D3607" s="4">
        <v>46164</v>
      </c>
      <c r="E3607" s="11">
        <f t="shared" si="224"/>
        <v>2026</v>
      </c>
      <c r="F3607" s="11">
        <f t="shared" si="225"/>
        <v>5</v>
      </c>
      <c r="G3607" s="11" t="str">
        <f t="shared" si="226"/>
        <v>202605</v>
      </c>
      <c r="I3607" s="5">
        <v>9999</v>
      </c>
      <c r="J3607" s="5">
        <v>333.3</v>
      </c>
      <c r="K3607" s="5">
        <f t="shared" si="227"/>
        <v>0</v>
      </c>
      <c r="L3607" s="5">
        <v>0</v>
      </c>
      <c r="M3607" s="5">
        <v>0</v>
      </c>
      <c r="N3607" t="s">
        <v>9</v>
      </c>
      <c r="O3607" s="8">
        <v>50.134246575342466</v>
      </c>
      <c r="P3607" t="s">
        <v>35</v>
      </c>
      <c r="Q3607">
        <v>4</v>
      </c>
      <c r="R3607" s="2">
        <v>27865</v>
      </c>
    </row>
    <row r="3608" spans="1:18" x14ac:dyDescent="0.3">
      <c r="A3608" t="s">
        <v>7</v>
      </c>
      <c r="B3608">
        <v>19026094</v>
      </c>
      <c r="C3608" t="s">
        <v>8</v>
      </c>
      <c r="D3608" s="4">
        <v>46165</v>
      </c>
      <c r="E3608" s="11">
        <f t="shared" si="224"/>
        <v>2026</v>
      </c>
      <c r="F3608" s="11">
        <f t="shared" si="225"/>
        <v>5</v>
      </c>
      <c r="G3608" s="11" t="str">
        <f t="shared" si="226"/>
        <v>202605</v>
      </c>
      <c r="I3608" s="5">
        <v>9999</v>
      </c>
      <c r="J3608" s="5">
        <v>333.3</v>
      </c>
      <c r="K3608" s="5">
        <f t="shared" si="227"/>
        <v>0</v>
      </c>
      <c r="L3608" s="5">
        <v>0</v>
      </c>
      <c r="M3608" s="5">
        <v>0</v>
      </c>
      <c r="N3608" t="s">
        <v>9</v>
      </c>
      <c r="O3608" s="8">
        <v>22.397260273972602</v>
      </c>
      <c r="P3608" t="s">
        <v>33</v>
      </c>
      <c r="Q3608">
        <v>2</v>
      </c>
      <c r="R3608" s="2">
        <v>37990</v>
      </c>
    </row>
    <row r="3609" spans="1:18" x14ac:dyDescent="0.3">
      <c r="A3609" t="s">
        <v>7</v>
      </c>
      <c r="B3609">
        <v>19026179</v>
      </c>
      <c r="C3609" t="s">
        <v>10</v>
      </c>
      <c r="D3609" s="4">
        <v>46167</v>
      </c>
      <c r="E3609" s="11">
        <f t="shared" si="224"/>
        <v>2026</v>
      </c>
      <c r="F3609" s="11">
        <f t="shared" si="225"/>
        <v>5</v>
      </c>
      <c r="G3609" s="11" t="str">
        <f t="shared" si="226"/>
        <v>202605</v>
      </c>
      <c r="I3609" s="5">
        <v>9999</v>
      </c>
      <c r="J3609" s="5">
        <v>333.3</v>
      </c>
      <c r="K3609" s="5">
        <f t="shared" si="227"/>
        <v>0</v>
      </c>
      <c r="L3609" s="5">
        <v>0</v>
      </c>
      <c r="M3609" s="5">
        <v>0</v>
      </c>
      <c r="N3609" t="s">
        <v>9</v>
      </c>
      <c r="O3609" s="8">
        <v>20.221917808219178</v>
      </c>
      <c r="P3609" t="s">
        <v>32</v>
      </c>
      <c r="Q3609">
        <v>1</v>
      </c>
      <c r="R3609" s="2">
        <v>38786</v>
      </c>
    </row>
    <row r="3610" spans="1:18" x14ac:dyDescent="0.3">
      <c r="A3610" t="s">
        <v>11</v>
      </c>
      <c r="B3610">
        <v>19026180</v>
      </c>
      <c r="C3610" t="s">
        <v>8</v>
      </c>
      <c r="D3610" s="4">
        <v>46165</v>
      </c>
      <c r="E3610" s="11">
        <f t="shared" si="224"/>
        <v>2026</v>
      </c>
      <c r="F3610" s="11">
        <f t="shared" si="225"/>
        <v>5</v>
      </c>
      <c r="G3610" s="11" t="str">
        <f t="shared" si="226"/>
        <v>202605</v>
      </c>
      <c r="I3610" s="5">
        <v>9999</v>
      </c>
      <c r="J3610" s="5">
        <v>333.3</v>
      </c>
      <c r="K3610" s="5">
        <f t="shared" si="227"/>
        <v>0</v>
      </c>
      <c r="L3610" s="5">
        <v>0</v>
      </c>
      <c r="M3610" s="5">
        <v>0</v>
      </c>
      <c r="N3610" t="s">
        <v>9</v>
      </c>
      <c r="O3610" s="8">
        <v>18.846575342465755</v>
      </c>
      <c r="P3610" t="s">
        <v>32</v>
      </c>
      <c r="Q3610">
        <v>1</v>
      </c>
      <c r="R3610" s="2">
        <v>39286</v>
      </c>
    </row>
    <row r="3611" spans="1:18" x14ac:dyDescent="0.3">
      <c r="A3611" t="s">
        <v>7</v>
      </c>
      <c r="B3611">
        <v>19026181</v>
      </c>
      <c r="C3611" t="s">
        <v>10</v>
      </c>
      <c r="D3611" s="4">
        <v>46167</v>
      </c>
      <c r="E3611" s="11">
        <f t="shared" si="224"/>
        <v>2026</v>
      </c>
      <c r="F3611" s="11">
        <f t="shared" si="225"/>
        <v>5</v>
      </c>
      <c r="G3611" s="11" t="str">
        <f t="shared" si="226"/>
        <v>202605</v>
      </c>
      <c r="I3611" s="5">
        <v>9999</v>
      </c>
      <c r="J3611" s="5">
        <v>333.3</v>
      </c>
      <c r="K3611" s="5">
        <f t="shared" si="227"/>
        <v>0</v>
      </c>
      <c r="L3611" s="5">
        <v>0</v>
      </c>
      <c r="M3611" s="5">
        <v>0</v>
      </c>
      <c r="N3611" t="s">
        <v>9</v>
      </c>
      <c r="O3611" s="8">
        <v>19.55890410958904</v>
      </c>
      <c r="P3611" t="s">
        <v>32</v>
      </c>
      <c r="Q3611">
        <v>1</v>
      </c>
      <c r="R3611" s="2">
        <v>39028</v>
      </c>
    </row>
    <row r="3612" spans="1:18" x14ac:dyDescent="0.3">
      <c r="A3612" t="s">
        <v>7</v>
      </c>
      <c r="B3612">
        <v>19026194</v>
      </c>
      <c r="C3612" t="s">
        <v>8</v>
      </c>
      <c r="D3612" s="4">
        <v>46167</v>
      </c>
      <c r="E3612" s="11">
        <f t="shared" si="224"/>
        <v>2026</v>
      </c>
      <c r="F3612" s="11">
        <f t="shared" si="225"/>
        <v>5</v>
      </c>
      <c r="G3612" s="11" t="str">
        <f t="shared" si="226"/>
        <v>202605</v>
      </c>
      <c r="I3612" s="5">
        <v>9999</v>
      </c>
      <c r="J3612" s="5">
        <v>333.3</v>
      </c>
      <c r="K3612" s="5">
        <f t="shared" si="227"/>
        <v>0</v>
      </c>
      <c r="L3612" s="5">
        <v>0</v>
      </c>
      <c r="M3612" s="5">
        <v>0</v>
      </c>
      <c r="N3612" t="s">
        <v>9</v>
      </c>
      <c r="O3612" s="8">
        <v>21.358904109589041</v>
      </c>
      <c r="P3612" t="s">
        <v>33</v>
      </c>
      <c r="Q3612">
        <v>2</v>
      </c>
      <c r="R3612" s="2">
        <v>38371</v>
      </c>
    </row>
    <row r="3613" spans="1:18" x14ac:dyDescent="0.3">
      <c r="A3613" t="s">
        <v>7</v>
      </c>
      <c r="B3613">
        <v>19026196</v>
      </c>
      <c r="C3613" t="s">
        <v>8</v>
      </c>
      <c r="D3613" s="4">
        <v>46167</v>
      </c>
      <c r="E3613" s="11">
        <f t="shared" si="224"/>
        <v>2026</v>
      </c>
      <c r="F3613" s="11">
        <f t="shared" si="225"/>
        <v>5</v>
      </c>
      <c r="G3613" s="11" t="str">
        <f t="shared" si="226"/>
        <v>202605</v>
      </c>
      <c r="I3613" s="5">
        <v>9999</v>
      </c>
      <c r="J3613" s="5">
        <v>333.3</v>
      </c>
      <c r="K3613" s="5">
        <f t="shared" si="227"/>
        <v>0</v>
      </c>
      <c r="L3613" s="5">
        <v>0</v>
      </c>
      <c r="M3613" s="5">
        <v>0</v>
      </c>
      <c r="N3613" t="s">
        <v>9</v>
      </c>
      <c r="O3613" s="8">
        <v>22.621917808219177</v>
      </c>
      <c r="P3613" t="s">
        <v>33</v>
      </c>
      <c r="Q3613">
        <v>2</v>
      </c>
      <c r="R3613" s="2">
        <v>37910</v>
      </c>
    </row>
    <row r="3614" spans="1:18" x14ac:dyDescent="0.3">
      <c r="A3614" t="s">
        <v>7</v>
      </c>
      <c r="B3614">
        <v>19026287</v>
      </c>
      <c r="C3614" t="s">
        <v>8</v>
      </c>
      <c r="D3614" s="4">
        <v>46167</v>
      </c>
      <c r="E3614" s="11">
        <f t="shared" si="224"/>
        <v>2026</v>
      </c>
      <c r="F3614" s="11">
        <f t="shared" si="225"/>
        <v>5</v>
      </c>
      <c r="G3614" s="11" t="str">
        <f t="shared" si="226"/>
        <v>202605</v>
      </c>
      <c r="I3614" s="5">
        <v>9999</v>
      </c>
      <c r="J3614" s="5">
        <v>333.3</v>
      </c>
      <c r="K3614" s="5">
        <f t="shared" si="227"/>
        <v>0</v>
      </c>
      <c r="L3614" s="5">
        <v>0</v>
      </c>
      <c r="M3614" s="5">
        <v>0</v>
      </c>
      <c r="N3614" t="s">
        <v>9</v>
      </c>
      <c r="O3614" s="8">
        <v>20.126027397260273</v>
      </c>
      <c r="P3614" t="s">
        <v>32</v>
      </c>
      <c r="Q3614">
        <v>1</v>
      </c>
      <c r="R3614" s="2">
        <v>38821</v>
      </c>
    </row>
    <row r="3615" spans="1:18" x14ac:dyDescent="0.3">
      <c r="A3615" t="s">
        <v>7</v>
      </c>
      <c r="B3615">
        <v>19026329</v>
      </c>
      <c r="C3615" t="s">
        <v>10</v>
      </c>
      <c r="D3615" s="4">
        <v>46167</v>
      </c>
      <c r="E3615" s="11">
        <f t="shared" si="224"/>
        <v>2026</v>
      </c>
      <c r="F3615" s="11">
        <f t="shared" si="225"/>
        <v>5</v>
      </c>
      <c r="G3615" s="11" t="str">
        <f t="shared" si="226"/>
        <v>202605</v>
      </c>
      <c r="I3615" s="5">
        <v>9999</v>
      </c>
      <c r="J3615" s="5">
        <v>333.3</v>
      </c>
      <c r="K3615" s="5">
        <f t="shared" si="227"/>
        <v>0</v>
      </c>
      <c r="L3615" s="5">
        <v>0</v>
      </c>
      <c r="M3615" s="5">
        <v>0</v>
      </c>
      <c r="N3615" t="s">
        <v>9</v>
      </c>
      <c r="O3615" s="8">
        <v>23.783561643835615</v>
      </c>
      <c r="P3615" t="s">
        <v>33</v>
      </c>
      <c r="Q3615">
        <v>2</v>
      </c>
      <c r="R3615" s="2">
        <v>37486</v>
      </c>
    </row>
    <row r="3616" spans="1:18" x14ac:dyDescent="0.3">
      <c r="A3616" t="s">
        <v>7</v>
      </c>
      <c r="B3616">
        <v>19026352</v>
      </c>
      <c r="C3616" t="s">
        <v>8</v>
      </c>
      <c r="D3616" s="4">
        <v>46167</v>
      </c>
      <c r="E3616" s="11">
        <f t="shared" si="224"/>
        <v>2026</v>
      </c>
      <c r="F3616" s="11">
        <f t="shared" si="225"/>
        <v>5</v>
      </c>
      <c r="G3616" s="11" t="str">
        <f t="shared" si="226"/>
        <v>202605</v>
      </c>
      <c r="I3616" s="5">
        <v>9999</v>
      </c>
      <c r="J3616" s="5">
        <v>333.3</v>
      </c>
      <c r="K3616" s="5">
        <f t="shared" si="227"/>
        <v>0</v>
      </c>
      <c r="L3616" s="5">
        <v>0</v>
      </c>
      <c r="M3616" s="5">
        <v>0</v>
      </c>
      <c r="N3616" t="s">
        <v>9</v>
      </c>
      <c r="O3616" s="8">
        <v>29.183561643835617</v>
      </c>
      <c r="P3616" t="s">
        <v>34</v>
      </c>
      <c r="Q3616">
        <v>3</v>
      </c>
      <c r="R3616" s="2">
        <v>35515</v>
      </c>
    </row>
    <row r="3617" spans="1:18" x14ac:dyDescent="0.3">
      <c r="A3617" t="s">
        <v>7</v>
      </c>
      <c r="B3617">
        <v>19026360</v>
      </c>
      <c r="C3617" t="s">
        <v>8</v>
      </c>
      <c r="D3617" s="4">
        <v>46167</v>
      </c>
      <c r="E3617" s="11">
        <f t="shared" si="224"/>
        <v>2026</v>
      </c>
      <c r="F3617" s="11">
        <f t="shared" si="225"/>
        <v>5</v>
      </c>
      <c r="G3617" s="11" t="str">
        <f t="shared" si="226"/>
        <v>202605</v>
      </c>
      <c r="I3617" s="5">
        <v>9999</v>
      </c>
      <c r="J3617" s="5">
        <v>333.3</v>
      </c>
      <c r="K3617" s="5">
        <f t="shared" si="227"/>
        <v>0</v>
      </c>
      <c r="L3617" s="5">
        <v>0</v>
      </c>
      <c r="M3617" s="5">
        <v>0</v>
      </c>
      <c r="N3617" t="s">
        <v>9</v>
      </c>
      <c r="O3617" s="8">
        <v>19.909589041095892</v>
      </c>
      <c r="P3617" t="s">
        <v>32</v>
      </c>
      <c r="Q3617">
        <v>1</v>
      </c>
      <c r="R3617" s="2">
        <v>38900</v>
      </c>
    </row>
    <row r="3618" spans="1:18" x14ac:dyDescent="0.3">
      <c r="A3618" t="s">
        <v>7</v>
      </c>
      <c r="B3618">
        <v>19026367</v>
      </c>
      <c r="C3618" t="s">
        <v>10</v>
      </c>
      <c r="D3618" s="4">
        <v>46167</v>
      </c>
      <c r="E3618" s="11">
        <f t="shared" si="224"/>
        <v>2026</v>
      </c>
      <c r="F3618" s="11">
        <f t="shared" si="225"/>
        <v>5</v>
      </c>
      <c r="G3618" s="11" t="str">
        <f t="shared" si="226"/>
        <v>202605</v>
      </c>
      <c r="I3618" s="5">
        <v>9999</v>
      </c>
      <c r="J3618" s="5">
        <v>333.3</v>
      </c>
      <c r="K3618" s="5">
        <f t="shared" si="227"/>
        <v>0</v>
      </c>
      <c r="L3618" s="5">
        <v>0</v>
      </c>
      <c r="M3618" s="5">
        <v>0</v>
      </c>
      <c r="N3618" t="s">
        <v>9</v>
      </c>
      <c r="O3618" s="8">
        <v>20.75068493150685</v>
      </c>
      <c r="P3618" t="s">
        <v>32</v>
      </c>
      <c r="Q3618">
        <v>1</v>
      </c>
      <c r="R3618" s="2">
        <v>38593</v>
      </c>
    </row>
    <row r="3619" spans="1:18" x14ac:dyDescent="0.3">
      <c r="A3619" t="s">
        <v>7</v>
      </c>
      <c r="B3619">
        <v>19026368</v>
      </c>
      <c r="C3619" t="s">
        <v>8</v>
      </c>
      <c r="D3619" s="4">
        <v>46167</v>
      </c>
      <c r="E3619" s="11">
        <f t="shared" si="224"/>
        <v>2026</v>
      </c>
      <c r="F3619" s="11">
        <f t="shared" si="225"/>
        <v>5</v>
      </c>
      <c r="G3619" s="11" t="str">
        <f t="shared" si="226"/>
        <v>202605</v>
      </c>
      <c r="I3619" s="5">
        <v>9999</v>
      </c>
      <c r="J3619" s="5">
        <v>333.3</v>
      </c>
      <c r="K3619" s="5">
        <f t="shared" si="227"/>
        <v>0</v>
      </c>
      <c r="L3619" s="5">
        <v>0</v>
      </c>
      <c r="M3619" s="5">
        <v>0</v>
      </c>
      <c r="N3619" t="s">
        <v>9</v>
      </c>
      <c r="O3619" s="8">
        <v>18.342465753424658</v>
      </c>
      <c r="P3619" t="s">
        <v>32</v>
      </c>
      <c r="Q3619">
        <v>1</v>
      </c>
      <c r="R3619" s="2">
        <v>39472</v>
      </c>
    </row>
    <row r="3620" spans="1:18" x14ac:dyDescent="0.3">
      <c r="A3620" t="s">
        <v>11</v>
      </c>
      <c r="B3620">
        <v>19026376</v>
      </c>
      <c r="C3620" t="s">
        <v>8</v>
      </c>
      <c r="D3620" s="4">
        <v>46167</v>
      </c>
      <c r="E3620" s="11">
        <f t="shared" si="224"/>
        <v>2026</v>
      </c>
      <c r="F3620" s="11">
        <f t="shared" si="225"/>
        <v>5</v>
      </c>
      <c r="G3620" s="11" t="str">
        <f t="shared" si="226"/>
        <v>202605</v>
      </c>
      <c r="I3620" s="5">
        <v>9999</v>
      </c>
      <c r="J3620" s="5">
        <v>333.3</v>
      </c>
      <c r="K3620" s="5">
        <f t="shared" si="227"/>
        <v>0</v>
      </c>
      <c r="L3620" s="5">
        <v>0</v>
      </c>
      <c r="M3620" s="5">
        <v>0</v>
      </c>
      <c r="N3620" t="s">
        <v>9</v>
      </c>
      <c r="O3620" s="8">
        <v>33.391780821917806</v>
      </c>
      <c r="P3620" t="s">
        <v>35</v>
      </c>
      <c r="Q3620">
        <v>4</v>
      </c>
      <c r="R3620" s="2">
        <v>33979</v>
      </c>
    </row>
    <row r="3621" spans="1:18" x14ac:dyDescent="0.3">
      <c r="A3621" t="s">
        <v>11</v>
      </c>
      <c r="B3621">
        <v>19026399</v>
      </c>
      <c r="C3621" t="s">
        <v>10</v>
      </c>
      <c r="D3621" s="4">
        <v>46165</v>
      </c>
      <c r="E3621" s="11">
        <f t="shared" si="224"/>
        <v>2026</v>
      </c>
      <c r="F3621" s="11">
        <f t="shared" si="225"/>
        <v>5</v>
      </c>
      <c r="G3621" s="11" t="str">
        <f t="shared" si="226"/>
        <v>202605</v>
      </c>
      <c r="I3621" s="5">
        <v>9999</v>
      </c>
      <c r="J3621" s="5">
        <v>333.3</v>
      </c>
      <c r="K3621" s="5">
        <f t="shared" si="227"/>
        <v>0</v>
      </c>
      <c r="L3621" s="5">
        <v>0</v>
      </c>
      <c r="M3621" s="5">
        <v>0</v>
      </c>
      <c r="N3621" t="s">
        <v>9</v>
      </c>
      <c r="O3621" s="8">
        <v>25.312328767123287</v>
      </c>
      <c r="P3621" t="s">
        <v>33</v>
      </c>
      <c r="Q3621">
        <v>2</v>
      </c>
      <c r="R3621" s="2">
        <v>36926</v>
      </c>
    </row>
    <row r="3622" spans="1:18" x14ac:dyDescent="0.3">
      <c r="A3622" t="s">
        <v>7</v>
      </c>
      <c r="B3622">
        <v>19026436</v>
      </c>
      <c r="C3622" t="s">
        <v>8</v>
      </c>
      <c r="D3622" s="4">
        <v>46167</v>
      </c>
      <c r="E3622" s="11">
        <f t="shared" si="224"/>
        <v>2026</v>
      </c>
      <c r="F3622" s="11">
        <f t="shared" si="225"/>
        <v>5</v>
      </c>
      <c r="G3622" s="11" t="str">
        <f t="shared" si="226"/>
        <v>202605</v>
      </c>
      <c r="I3622" s="5">
        <v>9999</v>
      </c>
      <c r="J3622" s="5">
        <v>333.3</v>
      </c>
      <c r="K3622" s="5">
        <f t="shared" si="227"/>
        <v>0</v>
      </c>
      <c r="L3622" s="5">
        <v>0</v>
      </c>
      <c r="M3622" s="5">
        <v>0</v>
      </c>
      <c r="N3622" t="s">
        <v>9</v>
      </c>
      <c r="O3622" s="8">
        <v>19.684931506849313</v>
      </c>
      <c r="P3622" t="s">
        <v>32</v>
      </c>
      <c r="Q3622">
        <v>1</v>
      </c>
      <c r="R3622" s="2">
        <v>38982</v>
      </c>
    </row>
    <row r="3623" spans="1:18" x14ac:dyDescent="0.3">
      <c r="A3623" t="s">
        <v>7</v>
      </c>
      <c r="B3623">
        <v>19026439</v>
      </c>
      <c r="C3623" t="s">
        <v>8</v>
      </c>
      <c r="D3623" s="4">
        <v>46167</v>
      </c>
      <c r="E3623" s="11">
        <f t="shared" si="224"/>
        <v>2026</v>
      </c>
      <c r="F3623" s="11">
        <f t="shared" si="225"/>
        <v>5</v>
      </c>
      <c r="G3623" s="11" t="str">
        <f t="shared" si="226"/>
        <v>202605</v>
      </c>
      <c r="I3623" s="5">
        <v>9999</v>
      </c>
      <c r="J3623" s="5">
        <v>333.3</v>
      </c>
      <c r="K3623" s="5">
        <f t="shared" si="227"/>
        <v>0</v>
      </c>
      <c r="L3623" s="5">
        <v>0</v>
      </c>
      <c r="M3623" s="5">
        <v>0</v>
      </c>
      <c r="N3623" t="s">
        <v>9</v>
      </c>
      <c r="O3623" s="8">
        <v>31.704109589041096</v>
      </c>
      <c r="P3623" t="s">
        <v>35</v>
      </c>
      <c r="Q3623">
        <v>4</v>
      </c>
      <c r="R3623" s="2">
        <v>34595</v>
      </c>
    </row>
    <row r="3624" spans="1:18" x14ac:dyDescent="0.3">
      <c r="A3624" t="s">
        <v>7</v>
      </c>
      <c r="B3624">
        <v>19026441</v>
      </c>
      <c r="C3624" t="s">
        <v>10</v>
      </c>
      <c r="D3624" s="4">
        <v>46167</v>
      </c>
      <c r="E3624" s="11">
        <f t="shared" si="224"/>
        <v>2026</v>
      </c>
      <c r="F3624" s="11">
        <f t="shared" si="225"/>
        <v>5</v>
      </c>
      <c r="G3624" s="11" t="str">
        <f t="shared" si="226"/>
        <v>202605</v>
      </c>
      <c r="I3624" s="5">
        <v>9999</v>
      </c>
      <c r="J3624" s="5">
        <v>333.3</v>
      </c>
      <c r="K3624" s="5">
        <f t="shared" si="227"/>
        <v>0</v>
      </c>
      <c r="L3624" s="5">
        <v>0</v>
      </c>
      <c r="M3624" s="5">
        <v>0</v>
      </c>
      <c r="N3624" t="s">
        <v>9</v>
      </c>
      <c r="O3624" s="8">
        <v>20.92876712328767</v>
      </c>
      <c r="P3624" t="s">
        <v>32</v>
      </c>
      <c r="Q3624">
        <v>1</v>
      </c>
      <c r="R3624" s="2">
        <v>38528</v>
      </c>
    </row>
    <row r="3625" spans="1:18" x14ac:dyDescent="0.3">
      <c r="A3625" t="s">
        <v>7</v>
      </c>
      <c r="B3625">
        <v>19026442</v>
      </c>
      <c r="C3625" t="s">
        <v>8</v>
      </c>
      <c r="D3625" s="4">
        <v>46167</v>
      </c>
      <c r="E3625" s="11">
        <f t="shared" si="224"/>
        <v>2026</v>
      </c>
      <c r="F3625" s="11">
        <f t="shared" si="225"/>
        <v>5</v>
      </c>
      <c r="G3625" s="11" t="str">
        <f t="shared" si="226"/>
        <v>202605</v>
      </c>
      <c r="I3625" s="5">
        <v>9999</v>
      </c>
      <c r="J3625" s="5">
        <v>333.3</v>
      </c>
      <c r="K3625" s="5">
        <f t="shared" si="227"/>
        <v>0</v>
      </c>
      <c r="L3625" s="5">
        <v>0</v>
      </c>
      <c r="M3625" s="5">
        <v>0</v>
      </c>
      <c r="N3625" t="s">
        <v>9</v>
      </c>
      <c r="O3625" s="8">
        <v>18.873972602739727</v>
      </c>
      <c r="P3625" t="s">
        <v>32</v>
      </c>
      <c r="Q3625">
        <v>1</v>
      </c>
      <c r="R3625" s="2">
        <v>39278</v>
      </c>
    </row>
    <row r="3626" spans="1:18" x14ac:dyDescent="0.3">
      <c r="A3626" t="s">
        <v>7</v>
      </c>
      <c r="B3626">
        <v>19026456</v>
      </c>
      <c r="C3626" t="s">
        <v>8</v>
      </c>
      <c r="D3626" s="4">
        <v>46165</v>
      </c>
      <c r="E3626" s="11">
        <f t="shared" si="224"/>
        <v>2026</v>
      </c>
      <c r="F3626" s="11">
        <f t="shared" si="225"/>
        <v>5</v>
      </c>
      <c r="G3626" s="11" t="str">
        <f t="shared" si="226"/>
        <v>202605</v>
      </c>
      <c r="I3626" s="5">
        <v>9999</v>
      </c>
      <c r="J3626" s="5">
        <v>333.3</v>
      </c>
      <c r="K3626" s="5">
        <f t="shared" si="227"/>
        <v>0</v>
      </c>
      <c r="L3626" s="5">
        <v>0</v>
      </c>
      <c r="M3626" s="5">
        <v>0</v>
      </c>
      <c r="N3626" t="s">
        <v>9</v>
      </c>
      <c r="O3626" s="8">
        <v>19.520547945205479</v>
      </c>
      <c r="P3626" t="s">
        <v>32</v>
      </c>
      <c r="Q3626">
        <v>1</v>
      </c>
      <c r="R3626" s="2">
        <v>39040</v>
      </c>
    </row>
    <row r="3627" spans="1:18" x14ac:dyDescent="0.3">
      <c r="A3627" t="s">
        <v>7</v>
      </c>
      <c r="B3627">
        <v>19026458</v>
      </c>
      <c r="C3627" t="s">
        <v>8</v>
      </c>
      <c r="D3627" s="4">
        <v>46165</v>
      </c>
      <c r="E3627" s="11">
        <f t="shared" si="224"/>
        <v>2026</v>
      </c>
      <c r="F3627" s="11">
        <f t="shared" si="225"/>
        <v>5</v>
      </c>
      <c r="G3627" s="11" t="str">
        <f t="shared" si="226"/>
        <v>202605</v>
      </c>
      <c r="I3627" s="5">
        <v>9999</v>
      </c>
      <c r="J3627" s="5">
        <v>333.3</v>
      </c>
      <c r="K3627" s="5">
        <f t="shared" si="227"/>
        <v>0</v>
      </c>
      <c r="L3627" s="5">
        <v>0</v>
      </c>
      <c r="M3627" s="5">
        <v>0</v>
      </c>
      <c r="N3627" t="s">
        <v>9</v>
      </c>
      <c r="O3627" s="8">
        <v>20.093150684931508</v>
      </c>
      <c r="P3627" t="s">
        <v>32</v>
      </c>
      <c r="Q3627">
        <v>1</v>
      </c>
      <c r="R3627" s="2">
        <v>38831</v>
      </c>
    </row>
    <row r="3628" spans="1:18" x14ac:dyDescent="0.3">
      <c r="A3628" t="s">
        <v>7</v>
      </c>
      <c r="B3628">
        <v>19026459</v>
      </c>
      <c r="C3628" t="s">
        <v>8</v>
      </c>
      <c r="D3628" s="4">
        <v>46165</v>
      </c>
      <c r="E3628" s="11">
        <f t="shared" si="224"/>
        <v>2026</v>
      </c>
      <c r="F3628" s="11">
        <f t="shared" si="225"/>
        <v>5</v>
      </c>
      <c r="G3628" s="11" t="str">
        <f t="shared" si="226"/>
        <v>202605</v>
      </c>
      <c r="I3628" s="5">
        <v>9999</v>
      </c>
      <c r="J3628" s="5">
        <v>333.3</v>
      </c>
      <c r="K3628" s="5">
        <f t="shared" si="227"/>
        <v>0</v>
      </c>
      <c r="L3628" s="5">
        <v>0</v>
      </c>
      <c r="M3628" s="5">
        <v>0</v>
      </c>
      <c r="N3628" t="s">
        <v>9</v>
      </c>
      <c r="O3628" s="8">
        <v>19.095890410958905</v>
      </c>
      <c r="P3628" t="s">
        <v>32</v>
      </c>
      <c r="Q3628">
        <v>1</v>
      </c>
      <c r="R3628" s="2">
        <v>39195</v>
      </c>
    </row>
    <row r="3629" spans="1:18" x14ac:dyDescent="0.3">
      <c r="A3629" t="s">
        <v>7</v>
      </c>
      <c r="B3629">
        <v>19026651</v>
      </c>
      <c r="C3629" t="s">
        <v>8</v>
      </c>
      <c r="D3629" s="4">
        <v>46168</v>
      </c>
      <c r="E3629" s="11">
        <f t="shared" si="224"/>
        <v>2026</v>
      </c>
      <c r="F3629" s="11">
        <f t="shared" si="225"/>
        <v>5</v>
      </c>
      <c r="G3629" s="11" t="str">
        <f t="shared" si="226"/>
        <v>202605</v>
      </c>
      <c r="I3629" s="5">
        <v>9999</v>
      </c>
      <c r="J3629" s="5">
        <v>333.3</v>
      </c>
      <c r="K3629" s="5">
        <f t="shared" si="227"/>
        <v>0</v>
      </c>
      <c r="L3629" s="5">
        <v>0</v>
      </c>
      <c r="M3629" s="5">
        <v>0</v>
      </c>
      <c r="N3629" t="s">
        <v>9</v>
      </c>
      <c r="O3629" s="8">
        <v>18.687671232876713</v>
      </c>
      <c r="P3629" t="s">
        <v>32</v>
      </c>
      <c r="Q3629">
        <v>1</v>
      </c>
      <c r="R3629" s="2">
        <v>39347</v>
      </c>
    </row>
    <row r="3630" spans="1:18" x14ac:dyDescent="0.3">
      <c r="A3630" t="s">
        <v>7</v>
      </c>
      <c r="B3630">
        <v>19026664</v>
      </c>
      <c r="C3630" t="s">
        <v>8</v>
      </c>
      <c r="D3630" s="4">
        <v>46168</v>
      </c>
      <c r="E3630" s="11">
        <f t="shared" si="224"/>
        <v>2026</v>
      </c>
      <c r="F3630" s="11">
        <f t="shared" si="225"/>
        <v>5</v>
      </c>
      <c r="G3630" s="11" t="str">
        <f t="shared" si="226"/>
        <v>202605</v>
      </c>
      <c r="I3630" s="5">
        <v>9999</v>
      </c>
      <c r="J3630" s="5">
        <v>333.3</v>
      </c>
      <c r="K3630" s="5">
        <f t="shared" si="227"/>
        <v>0</v>
      </c>
      <c r="L3630" s="5">
        <v>0</v>
      </c>
      <c r="M3630" s="5">
        <v>0</v>
      </c>
      <c r="N3630" t="s">
        <v>12</v>
      </c>
      <c r="O3630" s="8">
        <v>28.989041095890411</v>
      </c>
      <c r="P3630" t="s">
        <v>34</v>
      </c>
      <c r="Q3630">
        <v>3</v>
      </c>
      <c r="R3630" s="2">
        <v>35587</v>
      </c>
    </row>
    <row r="3631" spans="1:18" x14ac:dyDescent="0.3">
      <c r="A3631" t="s">
        <v>7</v>
      </c>
      <c r="B3631">
        <v>19026665</v>
      </c>
      <c r="C3631" t="s">
        <v>8</v>
      </c>
      <c r="D3631" s="4">
        <v>46168</v>
      </c>
      <c r="E3631" s="11">
        <f t="shared" si="224"/>
        <v>2026</v>
      </c>
      <c r="F3631" s="11">
        <f t="shared" si="225"/>
        <v>5</v>
      </c>
      <c r="G3631" s="11" t="str">
        <f t="shared" si="226"/>
        <v>202605</v>
      </c>
      <c r="I3631" s="5">
        <v>9999</v>
      </c>
      <c r="J3631" s="5">
        <v>333.3</v>
      </c>
      <c r="K3631" s="5">
        <f t="shared" si="227"/>
        <v>0</v>
      </c>
      <c r="L3631" s="5">
        <v>0</v>
      </c>
      <c r="M3631" s="5">
        <v>0</v>
      </c>
      <c r="N3631" t="s">
        <v>12</v>
      </c>
      <c r="O3631" s="8">
        <v>23.561643835616437</v>
      </c>
      <c r="P3631" t="s">
        <v>33</v>
      </c>
      <c r="Q3631">
        <v>2</v>
      </c>
      <c r="R3631" s="2">
        <v>37568</v>
      </c>
    </row>
    <row r="3632" spans="1:18" x14ac:dyDescent="0.3">
      <c r="A3632" t="s">
        <v>7</v>
      </c>
      <c r="B3632">
        <v>19026862</v>
      </c>
      <c r="C3632" t="s">
        <v>8</v>
      </c>
      <c r="D3632" s="4">
        <v>46169</v>
      </c>
      <c r="E3632" s="11">
        <f t="shared" si="224"/>
        <v>2026</v>
      </c>
      <c r="F3632" s="11">
        <f t="shared" si="225"/>
        <v>5</v>
      </c>
      <c r="G3632" s="11" t="str">
        <f t="shared" si="226"/>
        <v>202605</v>
      </c>
      <c r="I3632" s="5">
        <v>9999</v>
      </c>
      <c r="J3632" s="5">
        <v>333.3</v>
      </c>
      <c r="K3632" s="5">
        <f t="shared" si="227"/>
        <v>0</v>
      </c>
      <c r="L3632" s="5">
        <v>0</v>
      </c>
      <c r="M3632" s="5">
        <v>0</v>
      </c>
      <c r="N3632" t="s">
        <v>9</v>
      </c>
      <c r="O3632" s="8">
        <v>20.671232876712327</v>
      </c>
      <c r="P3632" t="s">
        <v>32</v>
      </c>
      <c r="Q3632">
        <v>1</v>
      </c>
      <c r="R3632" s="2">
        <v>38624</v>
      </c>
    </row>
    <row r="3633" spans="1:18" x14ac:dyDescent="0.3">
      <c r="A3633" t="s">
        <v>7</v>
      </c>
      <c r="B3633">
        <v>19026924</v>
      </c>
      <c r="C3633" t="s">
        <v>10</v>
      </c>
      <c r="D3633" s="4">
        <v>46165</v>
      </c>
      <c r="E3633" s="11">
        <f t="shared" si="224"/>
        <v>2026</v>
      </c>
      <c r="F3633" s="11">
        <f t="shared" si="225"/>
        <v>5</v>
      </c>
      <c r="G3633" s="11" t="str">
        <f t="shared" si="226"/>
        <v>202605</v>
      </c>
      <c r="I3633" s="5">
        <v>9999</v>
      </c>
      <c r="J3633" s="5">
        <v>333.3</v>
      </c>
      <c r="K3633" s="5">
        <f t="shared" si="227"/>
        <v>0</v>
      </c>
      <c r="L3633" s="5">
        <v>0</v>
      </c>
      <c r="M3633" s="5">
        <v>0</v>
      </c>
      <c r="N3633" t="s">
        <v>9</v>
      </c>
      <c r="O3633" s="8">
        <v>19.758904109589039</v>
      </c>
      <c r="P3633" t="s">
        <v>32</v>
      </c>
      <c r="Q3633">
        <v>1</v>
      </c>
      <c r="R3633" s="2">
        <v>38953</v>
      </c>
    </row>
    <row r="3634" spans="1:18" x14ac:dyDescent="0.3">
      <c r="A3634" t="s">
        <v>11</v>
      </c>
      <c r="B3634">
        <v>19027168</v>
      </c>
      <c r="C3634" t="s">
        <v>8</v>
      </c>
      <c r="D3634" s="4">
        <v>46170</v>
      </c>
      <c r="E3634" s="11">
        <f t="shared" si="224"/>
        <v>2026</v>
      </c>
      <c r="F3634" s="11">
        <f t="shared" si="225"/>
        <v>5</v>
      </c>
      <c r="G3634" s="11" t="str">
        <f t="shared" si="226"/>
        <v>202605</v>
      </c>
      <c r="I3634" s="5">
        <v>9999</v>
      </c>
      <c r="J3634" s="5">
        <v>333.3</v>
      </c>
      <c r="K3634" s="5">
        <f t="shared" si="227"/>
        <v>0</v>
      </c>
      <c r="L3634" s="5">
        <v>0</v>
      </c>
      <c r="M3634" s="5">
        <v>0</v>
      </c>
      <c r="N3634" t="s">
        <v>9</v>
      </c>
      <c r="O3634" s="8">
        <v>36.553424657534244</v>
      </c>
      <c r="P3634" t="s">
        <v>35</v>
      </c>
      <c r="Q3634">
        <v>4</v>
      </c>
      <c r="R3634" s="2">
        <v>32828</v>
      </c>
    </row>
    <row r="3635" spans="1:18" x14ac:dyDescent="0.3">
      <c r="A3635" t="s">
        <v>7</v>
      </c>
      <c r="B3635">
        <v>19027187</v>
      </c>
      <c r="C3635" t="s">
        <v>10</v>
      </c>
      <c r="D3635" s="4">
        <v>46170</v>
      </c>
      <c r="E3635" s="11">
        <f t="shared" si="224"/>
        <v>2026</v>
      </c>
      <c r="F3635" s="11">
        <f t="shared" si="225"/>
        <v>5</v>
      </c>
      <c r="G3635" s="11" t="str">
        <f t="shared" si="226"/>
        <v>202605</v>
      </c>
      <c r="I3635" s="5">
        <v>9999</v>
      </c>
      <c r="J3635" s="5">
        <v>333.3</v>
      </c>
      <c r="K3635" s="5">
        <f t="shared" si="227"/>
        <v>0</v>
      </c>
      <c r="L3635" s="5">
        <v>0</v>
      </c>
      <c r="M3635" s="5">
        <v>0</v>
      </c>
      <c r="N3635" t="s">
        <v>9</v>
      </c>
      <c r="O3635" s="8">
        <v>19.504109589041096</v>
      </c>
      <c r="P3635" t="s">
        <v>32</v>
      </c>
      <c r="Q3635">
        <v>1</v>
      </c>
      <c r="R3635" s="2">
        <v>39051</v>
      </c>
    </row>
    <row r="3636" spans="1:18" x14ac:dyDescent="0.3">
      <c r="A3636" t="s">
        <v>11</v>
      </c>
      <c r="B3636">
        <v>19027191</v>
      </c>
      <c r="C3636" t="s">
        <v>8</v>
      </c>
      <c r="D3636" s="4">
        <v>46170</v>
      </c>
      <c r="E3636" s="11">
        <f t="shared" si="224"/>
        <v>2026</v>
      </c>
      <c r="F3636" s="11">
        <f t="shared" si="225"/>
        <v>5</v>
      </c>
      <c r="G3636" s="11" t="str">
        <f t="shared" si="226"/>
        <v>202605</v>
      </c>
      <c r="I3636" s="5">
        <v>9999</v>
      </c>
      <c r="J3636" s="5">
        <v>333.3</v>
      </c>
      <c r="K3636" s="5">
        <f t="shared" si="227"/>
        <v>0</v>
      </c>
      <c r="L3636" s="5">
        <v>0</v>
      </c>
      <c r="M3636" s="5">
        <v>0</v>
      </c>
      <c r="N3636" t="s">
        <v>9</v>
      </c>
      <c r="O3636" s="8">
        <v>21.775342465753425</v>
      </c>
      <c r="P3636" t="s">
        <v>33</v>
      </c>
      <c r="Q3636">
        <v>2</v>
      </c>
      <c r="R3636" s="2">
        <v>38222</v>
      </c>
    </row>
    <row r="3637" spans="1:18" x14ac:dyDescent="0.3">
      <c r="A3637" t="s">
        <v>7</v>
      </c>
      <c r="B3637">
        <v>19027195</v>
      </c>
      <c r="C3637" t="s">
        <v>8</v>
      </c>
      <c r="D3637" s="4">
        <v>46170</v>
      </c>
      <c r="E3637" s="11">
        <f t="shared" si="224"/>
        <v>2026</v>
      </c>
      <c r="F3637" s="11">
        <f t="shared" si="225"/>
        <v>5</v>
      </c>
      <c r="G3637" s="11" t="str">
        <f t="shared" si="226"/>
        <v>202605</v>
      </c>
      <c r="I3637" s="5">
        <v>9999</v>
      </c>
      <c r="J3637" s="5">
        <v>333.3</v>
      </c>
      <c r="K3637" s="5">
        <f t="shared" si="227"/>
        <v>0</v>
      </c>
      <c r="L3637" s="5">
        <v>0</v>
      </c>
      <c r="M3637" s="5">
        <v>0</v>
      </c>
      <c r="N3637" t="s">
        <v>12</v>
      </c>
      <c r="O3637" s="8">
        <v>22.580821917808219</v>
      </c>
      <c r="P3637" t="s">
        <v>33</v>
      </c>
      <c r="Q3637">
        <v>2</v>
      </c>
      <c r="R3637" s="2">
        <v>37928</v>
      </c>
    </row>
    <row r="3638" spans="1:18" x14ac:dyDescent="0.3">
      <c r="A3638" t="s">
        <v>7</v>
      </c>
      <c r="B3638">
        <v>19027202</v>
      </c>
      <c r="C3638" t="s">
        <v>10</v>
      </c>
      <c r="D3638" s="4">
        <v>46170</v>
      </c>
      <c r="E3638" s="11">
        <f t="shared" si="224"/>
        <v>2026</v>
      </c>
      <c r="F3638" s="11">
        <f t="shared" si="225"/>
        <v>5</v>
      </c>
      <c r="G3638" s="11" t="str">
        <f t="shared" si="226"/>
        <v>202605</v>
      </c>
      <c r="I3638" s="5">
        <v>9999</v>
      </c>
      <c r="J3638" s="5">
        <v>333.3</v>
      </c>
      <c r="K3638" s="5">
        <f t="shared" si="227"/>
        <v>0</v>
      </c>
      <c r="L3638" s="5">
        <v>0</v>
      </c>
      <c r="M3638" s="5">
        <v>0</v>
      </c>
      <c r="N3638" t="s">
        <v>9</v>
      </c>
      <c r="O3638" s="8">
        <v>22.219178082191782</v>
      </c>
      <c r="P3638" t="s">
        <v>33</v>
      </c>
      <c r="Q3638">
        <v>2</v>
      </c>
      <c r="R3638" s="2">
        <v>38060</v>
      </c>
    </row>
    <row r="3639" spans="1:18" x14ac:dyDescent="0.3">
      <c r="A3639" t="s">
        <v>7</v>
      </c>
      <c r="B3639">
        <v>19027365</v>
      </c>
      <c r="C3639" t="s">
        <v>10</v>
      </c>
      <c r="D3639" s="4">
        <v>46171</v>
      </c>
      <c r="E3639" s="11">
        <f t="shared" si="224"/>
        <v>2026</v>
      </c>
      <c r="F3639" s="11">
        <f t="shared" si="225"/>
        <v>5</v>
      </c>
      <c r="G3639" s="11" t="str">
        <f t="shared" si="226"/>
        <v>202605</v>
      </c>
      <c r="I3639" s="5">
        <v>9999</v>
      </c>
      <c r="J3639" s="5">
        <v>333.3</v>
      </c>
      <c r="K3639" s="5">
        <f t="shared" si="227"/>
        <v>0</v>
      </c>
      <c r="L3639" s="5">
        <v>0</v>
      </c>
      <c r="M3639" s="5">
        <v>0</v>
      </c>
      <c r="N3639" t="s">
        <v>9</v>
      </c>
      <c r="O3639" s="8">
        <v>23.331506849315069</v>
      </c>
      <c r="P3639" t="s">
        <v>33</v>
      </c>
      <c r="Q3639">
        <v>2</v>
      </c>
      <c r="R3639" s="2">
        <v>37655</v>
      </c>
    </row>
    <row r="3640" spans="1:18" x14ac:dyDescent="0.3">
      <c r="A3640" t="s">
        <v>11</v>
      </c>
      <c r="B3640">
        <v>19027370</v>
      </c>
      <c r="C3640" t="s">
        <v>8</v>
      </c>
      <c r="D3640" s="4">
        <v>46171</v>
      </c>
      <c r="E3640" s="11">
        <f t="shared" si="224"/>
        <v>2026</v>
      </c>
      <c r="F3640" s="11">
        <f t="shared" si="225"/>
        <v>5</v>
      </c>
      <c r="G3640" s="11" t="str">
        <f t="shared" si="226"/>
        <v>202605</v>
      </c>
      <c r="I3640" s="5">
        <v>9999</v>
      </c>
      <c r="J3640" s="5">
        <v>333.3</v>
      </c>
      <c r="K3640" s="5">
        <f t="shared" si="227"/>
        <v>0</v>
      </c>
      <c r="L3640" s="5">
        <v>0</v>
      </c>
      <c r="M3640" s="5">
        <v>0</v>
      </c>
      <c r="N3640" t="s">
        <v>9</v>
      </c>
      <c r="O3640" s="8">
        <v>21.986301369863014</v>
      </c>
      <c r="P3640" t="s">
        <v>33</v>
      </c>
      <c r="Q3640">
        <v>2</v>
      </c>
      <c r="R3640" s="2">
        <v>38146</v>
      </c>
    </row>
    <row r="3641" spans="1:18" x14ac:dyDescent="0.3">
      <c r="A3641" t="s">
        <v>7</v>
      </c>
      <c r="B3641">
        <v>19027460</v>
      </c>
      <c r="C3641" t="s">
        <v>8</v>
      </c>
      <c r="D3641" s="4">
        <v>46171</v>
      </c>
      <c r="E3641" s="11">
        <f t="shared" si="224"/>
        <v>2026</v>
      </c>
      <c r="F3641" s="11">
        <f t="shared" si="225"/>
        <v>5</v>
      </c>
      <c r="G3641" s="11" t="str">
        <f t="shared" si="226"/>
        <v>202605</v>
      </c>
      <c r="I3641" s="5">
        <v>9999</v>
      </c>
      <c r="J3641" s="5">
        <v>333.3</v>
      </c>
      <c r="K3641" s="5">
        <f t="shared" si="227"/>
        <v>0</v>
      </c>
      <c r="L3641" s="5">
        <v>0</v>
      </c>
      <c r="M3641" s="5">
        <v>0</v>
      </c>
      <c r="N3641" t="s">
        <v>9</v>
      </c>
      <c r="O3641" s="8">
        <v>18.175342465753424</v>
      </c>
      <c r="P3641" t="s">
        <v>32</v>
      </c>
      <c r="Q3641">
        <v>1</v>
      </c>
      <c r="R3641" s="2">
        <v>39537</v>
      </c>
    </row>
    <row r="3642" spans="1:18" x14ac:dyDescent="0.3">
      <c r="A3642" t="s">
        <v>7</v>
      </c>
      <c r="B3642">
        <v>19027474</v>
      </c>
      <c r="C3642" t="s">
        <v>8</v>
      </c>
      <c r="D3642" s="4">
        <v>46171</v>
      </c>
      <c r="E3642" s="11">
        <f t="shared" si="224"/>
        <v>2026</v>
      </c>
      <c r="F3642" s="11">
        <f t="shared" si="225"/>
        <v>5</v>
      </c>
      <c r="G3642" s="11" t="str">
        <f t="shared" si="226"/>
        <v>202605</v>
      </c>
      <c r="I3642" s="5">
        <v>9999</v>
      </c>
      <c r="J3642" s="5">
        <v>333.3</v>
      </c>
      <c r="K3642" s="5">
        <f t="shared" si="227"/>
        <v>0</v>
      </c>
      <c r="L3642" s="5">
        <v>0</v>
      </c>
      <c r="M3642" s="5">
        <v>0</v>
      </c>
      <c r="N3642" t="s">
        <v>12</v>
      </c>
      <c r="O3642" s="8">
        <v>34.19178082191781</v>
      </c>
      <c r="P3642" t="s">
        <v>35</v>
      </c>
      <c r="Q3642">
        <v>4</v>
      </c>
      <c r="R3642" s="2">
        <v>33691</v>
      </c>
    </row>
    <row r="3643" spans="1:18" x14ac:dyDescent="0.3">
      <c r="A3643" t="s">
        <v>7</v>
      </c>
      <c r="B3643">
        <v>19027476</v>
      </c>
      <c r="C3643" t="s">
        <v>8</v>
      </c>
      <c r="D3643" s="4">
        <v>46171</v>
      </c>
      <c r="E3643" s="11">
        <f t="shared" si="224"/>
        <v>2026</v>
      </c>
      <c r="F3643" s="11">
        <f t="shared" si="225"/>
        <v>5</v>
      </c>
      <c r="G3643" s="11" t="str">
        <f t="shared" si="226"/>
        <v>202605</v>
      </c>
      <c r="I3643" s="5">
        <v>9999</v>
      </c>
      <c r="J3643" s="5">
        <v>333.3</v>
      </c>
      <c r="K3643" s="5">
        <f t="shared" si="227"/>
        <v>0</v>
      </c>
      <c r="L3643" s="5">
        <v>0</v>
      </c>
      <c r="M3643" s="5">
        <v>0</v>
      </c>
      <c r="N3643" t="s">
        <v>12</v>
      </c>
      <c r="O3643" s="8">
        <v>21.991780821917807</v>
      </c>
      <c r="P3643" t="s">
        <v>33</v>
      </c>
      <c r="Q3643">
        <v>2</v>
      </c>
      <c r="R3643" s="2">
        <v>38144</v>
      </c>
    </row>
    <row r="3644" spans="1:18" x14ac:dyDescent="0.3">
      <c r="A3644" t="s">
        <v>7</v>
      </c>
      <c r="B3644">
        <v>19027477</v>
      </c>
      <c r="C3644" t="s">
        <v>8</v>
      </c>
      <c r="D3644" s="4">
        <v>46171</v>
      </c>
      <c r="E3644" s="11">
        <f t="shared" si="224"/>
        <v>2026</v>
      </c>
      <c r="F3644" s="11">
        <f t="shared" si="225"/>
        <v>5</v>
      </c>
      <c r="G3644" s="11" t="str">
        <f t="shared" si="226"/>
        <v>202605</v>
      </c>
      <c r="I3644" s="5">
        <v>9999</v>
      </c>
      <c r="J3644" s="5">
        <v>333.3</v>
      </c>
      <c r="K3644" s="5">
        <f t="shared" si="227"/>
        <v>0</v>
      </c>
      <c r="L3644" s="5">
        <v>0</v>
      </c>
      <c r="M3644" s="5">
        <v>0</v>
      </c>
      <c r="N3644" t="s">
        <v>12</v>
      </c>
      <c r="O3644" s="8">
        <v>26.230136986301371</v>
      </c>
      <c r="P3644" t="s">
        <v>34</v>
      </c>
      <c r="Q3644">
        <v>3</v>
      </c>
      <c r="R3644" s="2">
        <v>36597</v>
      </c>
    </row>
    <row r="3645" spans="1:18" x14ac:dyDescent="0.3">
      <c r="A3645" t="s">
        <v>7</v>
      </c>
      <c r="B3645">
        <v>19027491</v>
      </c>
      <c r="C3645" t="s">
        <v>8</v>
      </c>
      <c r="D3645" s="4">
        <v>46171</v>
      </c>
      <c r="E3645" s="11">
        <f t="shared" si="224"/>
        <v>2026</v>
      </c>
      <c r="F3645" s="11">
        <f t="shared" si="225"/>
        <v>5</v>
      </c>
      <c r="G3645" s="11" t="str">
        <f t="shared" si="226"/>
        <v>202605</v>
      </c>
      <c r="I3645" s="5">
        <v>9999</v>
      </c>
      <c r="J3645" s="5">
        <v>333.3</v>
      </c>
      <c r="K3645" s="5">
        <f t="shared" si="227"/>
        <v>0</v>
      </c>
      <c r="L3645" s="5">
        <v>0</v>
      </c>
      <c r="M3645" s="5">
        <v>0</v>
      </c>
      <c r="N3645" t="s">
        <v>12</v>
      </c>
      <c r="O3645" s="8">
        <v>23.712328767123289</v>
      </c>
      <c r="P3645" t="s">
        <v>33</v>
      </c>
      <c r="Q3645">
        <v>2</v>
      </c>
      <c r="R3645" s="2">
        <v>37516</v>
      </c>
    </row>
    <row r="3646" spans="1:18" x14ac:dyDescent="0.3">
      <c r="A3646" t="s">
        <v>7</v>
      </c>
      <c r="B3646">
        <v>19027492</v>
      </c>
      <c r="C3646" t="s">
        <v>8</v>
      </c>
      <c r="D3646" s="4">
        <v>46171</v>
      </c>
      <c r="E3646" s="11">
        <f t="shared" si="224"/>
        <v>2026</v>
      </c>
      <c r="F3646" s="11">
        <f t="shared" si="225"/>
        <v>5</v>
      </c>
      <c r="G3646" s="11" t="str">
        <f t="shared" si="226"/>
        <v>202605</v>
      </c>
      <c r="I3646" s="5">
        <v>9999</v>
      </c>
      <c r="J3646" s="5">
        <v>333.3</v>
      </c>
      <c r="K3646" s="5">
        <f t="shared" si="227"/>
        <v>0</v>
      </c>
      <c r="L3646" s="5">
        <v>0</v>
      </c>
      <c r="M3646" s="5">
        <v>0</v>
      </c>
      <c r="N3646" t="s">
        <v>12</v>
      </c>
      <c r="O3646" s="8">
        <v>24.361643835616437</v>
      </c>
      <c r="P3646" t="s">
        <v>33</v>
      </c>
      <c r="Q3646">
        <v>2</v>
      </c>
      <c r="R3646" s="2">
        <v>37279</v>
      </c>
    </row>
    <row r="3647" spans="1:18" x14ac:dyDescent="0.3">
      <c r="A3647" t="s">
        <v>7</v>
      </c>
      <c r="B3647">
        <v>19027504</v>
      </c>
      <c r="C3647" t="s">
        <v>10</v>
      </c>
      <c r="D3647" s="4">
        <v>46171</v>
      </c>
      <c r="E3647" s="11">
        <f t="shared" si="224"/>
        <v>2026</v>
      </c>
      <c r="F3647" s="11">
        <f t="shared" si="225"/>
        <v>5</v>
      </c>
      <c r="G3647" s="11" t="str">
        <f t="shared" si="226"/>
        <v>202605</v>
      </c>
      <c r="I3647" s="5">
        <v>9999</v>
      </c>
      <c r="J3647" s="5">
        <v>333.3</v>
      </c>
      <c r="K3647" s="5">
        <f t="shared" si="227"/>
        <v>0</v>
      </c>
      <c r="L3647" s="5">
        <v>0</v>
      </c>
      <c r="M3647" s="5">
        <v>0</v>
      </c>
      <c r="N3647" t="s">
        <v>12</v>
      </c>
      <c r="O3647" s="8">
        <v>22.586301369863012</v>
      </c>
      <c r="P3647" t="s">
        <v>33</v>
      </c>
      <c r="Q3647">
        <v>2</v>
      </c>
      <c r="R3647" s="2">
        <v>37927</v>
      </c>
    </row>
  </sheetData>
  <autoFilter ref="A1:R3647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Rot 1m</vt:lpstr>
      <vt:lpstr>Rot 3m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2026-07-01T05:42:21Z</dcterms:created>
  <dcterms:modified xsi:type="dcterms:W3CDTF">2026-07-10T22:25:15Z</dcterms:modified>
</cp:coreProperties>
</file>