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uarios\SP44812227\Documents\SPSA Productividad y Data Analytics\05_ProyectosMejora\Proyecto GDH\"/>
    </mc:Choice>
  </mc:AlternateContent>
  <bookViews>
    <workbookView xWindow="-110" yWindow="-110" windowWidth="30940" windowHeight="16780"/>
  </bookViews>
  <sheets>
    <sheet name="Consideraciones" sheetId="2" r:id="rId1"/>
    <sheet name="Resumen" sheetId="1" state="hidden" r:id="rId2"/>
    <sheet name="Hoja1" sheetId="7" r:id="rId3"/>
    <sheet name="Resumen Análisis" sheetId="6" r:id="rId4"/>
    <sheet name="BD" sheetId="4" r:id="rId5"/>
    <sheet name="BD Analisis x mes" sheetId="5" r:id="rId6"/>
  </sheets>
  <definedNames>
    <definedName name="_xlnm._FilterDatabase" localSheetId="4" hidden="1">BD!$A$1:$O$159</definedName>
    <definedName name="SegmentaciónDeDatos_Mes">#N/A</definedName>
  </definedNames>
  <calcPr calcId="162913"/>
  <pivotCaches>
    <pivotCache cacheId="48" r:id="rId7"/>
    <pivotCache cacheId="49" r:id="rId8"/>
    <pivotCache cacheId="50" r:id="rId9"/>
    <pivotCache cacheId="51" r:id="rId10"/>
  </pivotCaches>
  <extLs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2" i="4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5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5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2" i="4"/>
</calcChain>
</file>

<file path=xl/sharedStrings.xml><?xml version="1.0" encoding="utf-8"?>
<sst xmlns="http://schemas.openxmlformats.org/spreadsheetml/2006/main" count="1549" uniqueCount="75">
  <si>
    <t>CFR PVEA CORTIJO</t>
  </si>
  <si>
    <t>CFR CAJERO 5X2 1ER TURNO</t>
  </si>
  <si>
    <t>1. Muy estable</t>
  </si>
  <si>
    <t>3. Moderadamente variable</t>
  </si>
  <si>
    <t>4. Muy variable</t>
  </si>
  <si>
    <t>CFR CAJERO 5X2 2DO TURNO</t>
  </si>
  <si>
    <t>2. Estable</t>
  </si>
  <si>
    <t>CFR REPRES. DE SERVICIOS 5X2 1ER TURNO</t>
  </si>
  <si>
    <t>CFR REPRES. DE SERVICIOS 5X2 2DO TURNO</t>
  </si>
  <si>
    <t>CFR SVEA DASSO</t>
  </si>
  <si>
    <t>CFR VIV LIBERTADORES</t>
  </si>
  <si>
    <t>Etiquetas de fila</t>
  </si>
  <si>
    <t>Total general</t>
  </si>
  <si>
    <t>Etiquetas de columna</t>
  </si>
  <si>
    <t>Suma de cant</t>
  </si>
  <si>
    <t>Consideraciones:</t>
  </si>
  <si>
    <t>Se consideran a Cajeros y RS de 1er turno y 2do turno</t>
  </si>
  <si>
    <t>Se retiran horarios: Evento compañía, talonario horas, pago horas, …</t>
  </si>
  <si>
    <t>Horarios de primer turno</t>
  </si>
  <si>
    <t>Despues del horario 3er grupo</t>
  </si>
  <si>
    <t>Horarios de segundo turno</t>
  </si>
  <si>
    <t>ingresan desde 6:00 - 8:59 son 1er grupo</t>
  </si>
  <si>
    <t>ingresan desde 9:00 - 11:59 son 2do grupo</t>
  </si>
  <si>
    <t>ingresan desde 13:00 - 15:59 son 1er grupo</t>
  </si>
  <si>
    <t>Antes de 13:00 son 3er grupo</t>
  </si>
  <si>
    <t>Metodología:</t>
  </si>
  <si>
    <t>Análisis por colaborador en un mes</t>
  </si>
  <si>
    <t>Hipotesis: el colaborador deberia estar moviendose en un solo grupo de su turno</t>
  </si>
  <si>
    <t>Total Suma de cant</t>
  </si>
  <si>
    <t>Total Suma de cant2</t>
  </si>
  <si>
    <t>Suma de cant2</t>
  </si>
  <si>
    <t>MAYO</t>
  </si>
  <si>
    <t>JUNIO</t>
  </si>
  <si>
    <r>
      <t xml:space="preserve">Si permanece </t>
    </r>
    <r>
      <rPr>
        <b/>
        <sz val="11"/>
        <color theme="1"/>
        <rFont val="Calibri"/>
        <family val="2"/>
        <scheme val="minor"/>
      </rPr>
      <t>90% o más</t>
    </r>
    <r>
      <rPr>
        <sz val="11"/>
        <color theme="1"/>
        <rFont val="Calibri"/>
        <family val="2"/>
        <scheme val="minor"/>
      </rPr>
      <t xml:space="preserve">  (1 vez cada 2 semanas)-&gt; </t>
    </r>
    <r>
      <rPr>
        <b/>
        <sz val="11"/>
        <color theme="1"/>
        <rFont val="Calibri"/>
        <family val="2"/>
        <scheme val="minor"/>
      </rPr>
      <t>Muy Estable</t>
    </r>
  </si>
  <si>
    <r>
      <t>Si permanece</t>
    </r>
    <r>
      <rPr>
        <b/>
        <sz val="11"/>
        <color theme="1"/>
        <rFont val="Calibri"/>
        <family val="2"/>
        <scheme val="minor"/>
      </rPr>
      <t xml:space="preserve"> 80% o más</t>
    </r>
    <r>
      <rPr>
        <sz val="11"/>
        <color theme="1"/>
        <rFont val="Calibri"/>
        <family val="2"/>
        <scheme val="minor"/>
      </rPr>
      <t xml:space="preserve"> (1 vez por semana) -&gt;</t>
    </r>
    <r>
      <rPr>
        <b/>
        <sz val="11"/>
        <color theme="1"/>
        <rFont val="Calibri"/>
        <family val="2"/>
        <scheme val="minor"/>
      </rPr>
      <t xml:space="preserve"> Estable</t>
    </r>
  </si>
  <si>
    <r>
      <t xml:space="preserve">Si permance </t>
    </r>
    <r>
      <rPr>
        <b/>
        <sz val="11"/>
        <color theme="1"/>
        <rFont val="Calibri"/>
        <family val="2"/>
        <scheme val="minor"/>
      </rPr>
      <t>50% o más</t>
    </r>
    <r>
      <rPr>
        <sz val="11"/>
        <color theme="1"/>
        <rFont val="Calibri"/>
        <family val="2"/>
        <scheme val="minor"/>
      </rPr>
      <t xml:space="preserve"> (2 a 3 veces x semana)-&gt; </t>
    </r>
    <r>
      <rPr>
        <b/>
        <sz val="11"/>
        <color theme="1"/>
        <rFont val="Calibri"/>
        <family val="2"/>
        <scheme val="minor"/>
      </rPr>
      <t>Moderadamente Variable</t>
    </r>
  </si>
  <si>
    <r>
      <t xml:space="preserve">Menos de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 xml:space="preserve"> (Más de 3 veces x semana) -&gt; </t>
    </r>
    <r>
      <rPr>
        <b/>
        <sz val="11"/>
        <color theme="1"/>
        <rFont val="Calibri"/>
        <family val="2"/>
        <scheme val="minor"/>
      </rPr>
      <t>Muy variable</t>
    </r>
  </si>
  <si>
    <t>ingresan desde 16:00 -adelante son 2do grupo</t>
  </si>
  <si>
    <t>si es por asignacion o necesidad</t>
  </si>
  <si>
    <t>hacer una simulacion</t>
  </si>
  <si>
    <t>TIENDA</t>
  </si>
  <si>
    <t>puesto</t>
  </si>
  <si>
    <t>dni</t>
  </si>
  <si>
    <t>ratio1</t>
  </si>
  <si>
    <t>ratio2</t>
  </si>
  <si>
    <t>ratio3</t>
  </si>
  <si>
    <t>ratio_dominante</t>
  </si>
  <si>
    <t>clasificacion</t>
  </si>
  <si>
    <t>Mes</t>
  </si>
  <si>
    <t>mayo</t>
  </si>
  <si>
    <t>jun</t>
  </si>
  <si>
    <t>grupo</t>
  </si>
  <si>
    <t>Total %</t>
  </si>
  <si>
    <t>%</t>
  </si>
  <si>
    <t>Total Cant</t>
  </si>
  <si>
    <t>Cant</t>
  </si>
  <si>
    <t>grupo 2</t>
  </si>
  <si>
    <t>grupo 1</t>
  </si>
  <si>
    <t>grupo 3</t>
  </si>
  <si>
    <t>grupo num</t>
  </si>
  <si>
    <t>Suma de grupo num</t>
  </si>
  <si>
    <t>Se mantiene?</t>
  </si>
  <si>
    <t>Total</t>
  </si>
  <si>
    <t>Se mantienen en el mismo grupo mes a mes? (Análisis May - Jun)</t>
  </si>
  <si>
    <t xml:space="preserve"> Se mantiene?</t>
  </si>
  <si>
    <t xml:space="preserve"> Total</t>
  </si>
  <si>
    <t xml:space="preserve"> % Se mantiene</t>
  </si>
  <si>
    <t>Por Puesto</t>
  </si>
  <si>
    <t>Por Grupo</t>
  </si>
  <si>
    <t>turno</t>
  </si>
  <si>
    <t>1ER TURNO</t>
  </si>
  <si>
    <t>2DO TURNO</t>
  </si>
  <si>
    <t>1</t>
  </si>
  <si>
    <t>2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</si>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</sst>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.0_-;\-* #,##0.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2" borderId="0" xfId="0" applyNumberFormat="1" applyFill="1" applyAlignment="1">
      <alignment horizontal="center" vertical="center"/>
    </xf>
    <xf numFmtId="0" fontId="1" fillId="0" borderId="0" xfId="0" applyFont="1"/>
    <xf numFmtId="9" fontId="0" fillId="0" borderId="0" xfId="0" applyNumberFormat="1"/>
    <xf numFmtId="43" fontId="0" fillId="0" borderId="0" xfId="0" applyNumberFormat="1"/>
    <xf numFmtId="43" fontId="0" fillId="0" borderId="0" xfId="0" applyNumberFormat="1" applyAlignment="1">
      <alignment horizontal="center" vertical="center"/>
    </xf>
    <xf numFmtId="43" fontId="0" fillId="2" borderId="0" xfId="0" applyNumberFormat="1" applyFill="1" applyAlignment="1">
      <alignment horizontal="center" vertical="center"/>
    </xf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left" indent="1"/>
    </xf>
    <xf numFmtId="0" fontId="1" fillId="3" borderId="0" xfId="0" applyFont="1" applyFill="1"/>
    <xf numFmtId="0" fontId="2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pivotButton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84">
    <dxf>
      <alignment vertical="center" readingOrder="0"/>
    </dxf>
    <dxf>
      <alignment horizontal="center" readingOrder="0"/>
    </dxf>
    <dxf>
      <numFmt numFmtId="14" formatCode="0.00%"/>
    </dxf>
    <dxf>
      <numFmt numFmtId="13" formatCode="0%"/>
    </dxf>
    <dxf>
      <numFmt numFmtId="13" formatCode="0%"/>
    </dxf>
    <dxf>
      <numFmt numFmtId="2" formatCode="0.00"/>
    </dxf>
    <dxf>
      <numFmt numFmtId="165" formatCode="0.0"/>
    </dxf>
    <dxf>
      <numFmt numFmtId="1" formatCode="0"/>
    </dxf>
    <dxf>
      <alignment vertical="center" readingOrder="0"/>
    </dxf>
    <dxf>
      <alignment horizontal="center" readingOrder="0"/>
    </dxf>
    <dxf>
      <alignment horizontal="left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numFmt numFmtId="14" formatCode="0.00%"/>
    </dxf>
    <dxf>
      <numFmt numFmtId="13" formatCode="0%"/>
    </dxf>
    <dxf>
      <numFmt numFmtId="13" formatCode="0%"/>
    </dxf>
    <dxf>
      <numFmt numFmtId="2" formatCode="0.00"/>
    </dxf>
    <dxf>
      <numFmt numFmtId="165" formatCode="0.0"/>
    </dxf>
    <dxf>
      <numFmt numFmtId="1" formatCode="0"/>
    </dxf>
    <dxf>
      <alignment vertical="center" readingOrder="0"/>
    </dxf>
    <dxf>
      <alignment horizontal="center" readingOrder="0"/>
    </dxf>
    <dxf>
      <alignment horizontal="left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numFmt numFmtId="14" formatCode="0.00%"/>
    </dxf>
    <dxf>
      <numFmt numFmtId="13" formatCode="0%"/>
    </dxf>
    <dxf>
      <numFmt numFmtId="13" formatCode="0%"/>
    </dxf>
    <dxf>
      <numFmt numFmtId="2" formatCode="0.00"/>
    </dxf>
    <dxf>
      <numFmt numFmtId="165" formatCode="0.0"/>
    </dxf>
    <dxf>
      <numFmt numFmtId="1" formatCode="0"/>
    </dxf>
    <dxf>
      <alignment vertical="center" readingOrder="0"/>
    </dxf>
    <dxf>
      <alignment horizontal="center" readingOrder="0"/>
    </dxf>
    <dxf>
      <alignment horizontal="left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left" readingOrder="0"/>
    </dxf>
    <dxf>
      <alignment horizont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3" formatCode="0%"/>
    </dxf>
    <dxf>
      <numFmt numFmtId="13" formatCode="0%"/>
    </dxf>
    <dxf>
      <numFmt numFmtId="14" formatCode="0.00%"/>
    </dxf>
    <dxf>
      <alignment horizont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left" readingOrder="0"/>
    </dxf>
    <dxf>
      <alignment horizont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3" formatCode="0%"/>
    </dxf>
    <dxf>
      <numFmt numFmtId="13" formatCode="0%"/>
    </dxf>
    <dxf>
      <numFmt numFmtId="14" formatCode="0.00%"/>
    </dxf>
    <dxf>
      <alignment horizontal="center" readingOrder="0"/>
    </dxf>
    <dxf>
      <alignment vertical="center" readingOrder="0"/>
    </dxf>
    <dxf>
      <numFmt numFmtId="13" formatCode="0%"/>
    </dxf>
    <dxf>
      <numFmt numFmtId="1" formatCode="0"/>
    </dxf>
    <dxf>
      <numFmt numFmtId="165" formatCode="0.0"/>
    </dxf>
    <dxf>
      <numFmt numFmtId="2" formatCode="0.00"/>
    </dxf>
    <dxf>
      <numFmt numFmtId="35" formatCode="_-* #,##0.00_-;\-* #,##0.00_-;_-* &quot;-&quot;??_-;_-@_-"/>
    </dxf>
    <dxf>
      <fill>
        <patternFill>
          <bgColor rgb="FFFFFF00"/>
        </patternFill>
      </fill>
    </dxf>
    <dxf>
      <fill>
        <patternFill patternType="solid">
          <bgColor theme="7" tint="0.79998168889431442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numFmt numFmtId="164" formatCode="_-* #,##0.0_-;\-* #,##0.0_-;_-* &quot;-&quot;??_-;_-@_-"/>
    </dxf>
    <dxf>
      <numFmt numFmtId="35" formatCode="_-* #,##0.00_-;\-* #,##0.00_-;_-* &quot;-&quot;??_-;_-@_-"/>
    </dxf>
    <dxf>
      <numFmt numFmtId="13" formatCode="0%"/>
    </dxf>
    <dxf>
      <numFmt numFmtId="35" formatCode="_-* #,##0.00_-;\-* #,##0.00_-;_-* &quot;-&quot;??_-;_-@_-"/>
    </dxf>
    <dxf>
      <numFmt numFmtId="35" formatCode="_-* #,##0.00_-;\-* #,##0.00_-;_-* &quot;-&quot;??_-;_-@_-"/>
    </dxf>
    <dxf>
      <fill>
        <patternFill>
          <bgColor rgb="FFFFFF00"/>
        </patternFill>
      </fill>
    </dxf>
    <dxf>
      <fill>
        <patternFill patternType="solid">
          <bgColor theme="7" tint="0.79998168889431442"/>
        </patternFill>
      </fill>
    </dxf>
    <dxf>
      <alignment horizontal="center"/>
    </dxf>
    <dxf>
      <alignment vertical="center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273050</xdr:colOff>
      <xdr:row>1</xdr:row>
      <xdr:rowOff>177801</xdr:rowOff>
    </xdr:from>
    <xdr:to>
      <xdr:col>14</xdr:col>
      <xdr:colOff>304800</xdr:colOff>
      <xdr:row>7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37550" y="361951"/>
              <a:ext cx="182880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UARIO" refreshedDate="46213.726692592594" createdVersion="8" refreshedVersion="8" minRefreshableVersion="3" recordCount="31">
  <cacheSource type="worksheet">
    <worksheetSource ref="A1:D30" sheet="Resumen"/>
  </cacheSource>
  <cacheFields count="4">
    <cacheField name="TIENDA" numFmtId="0">
      <sharedItems containsBlank="1" count="4">
        <s v="CFR PVEA CORTIJO"/>
        <s v="CFR SVEA DASSO"/>
        <s v="CFR VIV LIBERTADORES"/>
        <m/>
      </sharedItems>
    </cacheField>
    <cacheField name="puesto" numFmtId="0">
      <sharedItems containsBlank="1" count="5">
        <s v="CFR CAJERO 5X2 1ER TURNO"/>
        <s v="CFR CAJERO 5X2 2DO TURNO"/>
        <s v="CFR REPRES. DE SERVICIOS 5X2 1ER TURNO"/>
        <s v="CFR REPRES. DE SERVICIOS 5X2 2DO TURNO"/>
        <m/>
      </sharedItems>
    </cacheField>
    <cacheField name="clasificacion" numFmtId="0">
      <sharedItems containsBlank="1" count="5">
        <s v="1. Muy estable"/>
        <s v="3. Moderadamente variable"/>
        <s v="2. Estable"/>
        <s v="4. Muy variable"/>
        <m/>
      </sharedItems>
    </cacheField>
    <cacheField name="cant" numFmtId="0">
      <sharedItems containsString="0" containsBlank="1" containsNumber="1" containsInteger="1" minValue="1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USUARIO" refreshedDate="46213.726759027777" createdVersion="8" refreshedVersion="8" minRefreshableVersion="3" recordCount="32">
  <cacheSource type="worksheet">
    <worksheetSource ref="G1:J31" sheet="Resumen"/>
  </cacheSource>
  <cacheFields count="4">
    <cacheField name="TIENDA" numFmtId="0">
      <sharedItems containsBlank="1" count="4">
        <s v="CFR PVEA CORTIJO"/>
        <s v="CFR SVEA DASSO"/>
        <s v="CFR VIV LIBERTADORES"/>
        <m/>
      </sharedItems>
    </cacheField>
    <cacheField name="puesto" numFmtId="0">
      <sharedItems containsBlank="1" count="5">
        <s v="CFR CAJERO 5X2 1ER TURNO"/>
        <s v="CFR CAJERO 5X2 2DO TURNO"/>
        <s v="CFR REPRES. DE SERVICIOS 5X2 1ER TURNO"/>
        <s v="CFR REPRES. DE SERVICIOS 5X2 2DO TURNO"/>
        <m/>
      </sharedItems>
    </cacheField>
    <cacheField name="clasificacion" numFmtId="0">
      <sharedItems containsBlank="1" count="5">
        <s v="1. Muy estable"/>
        <s v="2. Estable"/>
        <s v="3. Moderadamente variable"/>
        <s v="4. Muy variable"/>
        <m/>
      </sharedItems>
    </cacheField>
    <cacheField name="cant" numFmtId="0">
      <sharedItems containsString="0" containsBlank="1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Enrique Paredes" refreshedDate="46216.513170601851" createdVersion="6" refreshedVersion="6" minRefreshableVersion="3" recordCount="79">
  <cacheSource type="worksheet">
    <worksheetSource ref="H4:O83" sheet="BD Analisis x mes"/>
  </cacheSource>
  <cacheFields count="9">
    <cacheField name="TIENDA" numFmtId="0">
      <sharedItems count="3">
        <s v="CFR PVEA CORTIJO"/>
        <s v="CFR SVEA DASSO"/>
        <s v="CFR VIV LIBERTADORES"/>
      </sharedItems>
    </cacheField>
    <cacheField name="puesto" numFmtId="0">
      <sharedItems count="4">
        <s v="CFR CAJERO 5X2 1ER TURNO"/>
        <s v="CFR CAJERO 5X2 2DO TURNO"/>
        <s v="CFR REPRES. DE SERVICIOS 5X2 1ER TURNO"/>
        <s v="CFR REPRES. DE SERVICIOS 5X2 2DO TURNO"/>
      </sharedItems>
    </cacheField>
    <cacheField name="dni" numFmtId="0">
      <sharedItems containsSemiMixedTypes="0" containsString="0" containsNumber="1" containsInteger="1" minValue="9827728" maxValue="77091191"/>
    </cacheField>
    <cacheField name="grupo" numFmtId="0">
      <sharedItems containsSemiMixedTypes="0" containsString="0" containsNumber="1" minValue="1" maxValue="3" count="5">
        <n v="1.5"/>
        <n v="1"/>
        <n v="2"/>
        <n v="2.5"/>
        <n v="3"/>
      </sharedItems>
    </cacheField>
    <cacheField name="jun" numFmtId="0">
      <sharedItems containsSemiMixedTypes="0" containsString="0" containsNumber="1" containsInteger="1" minValue="1" maxValue="3"/>
    </cacheField>
    <cacheField name="mayo" numFmtId="0">
      <sharedItems containsSemiMixedTypes="0" containsString="0" containsNumber="1" containsInteger="1" minValue="1" maxValue="3"/>
    </cacheField>
    <cacheField name="Total" numFmtId="0">
      <sharedItems containsSemiMixedTypes="0" containsString="0" containsNumber="1" containsInteger="1" minValue="1" maxValue="1"/>
    </cacheField>
    <cacheField name="Se mantiene?" numFmtId="0">
      <sharedItems containsSemiMixedTypes="0" containsString="0" containsNumber="1" containsInteger="1" minValue="0" maxValue="1"/>
    </cacheField>
    <cacheField name="% Se mantiene" numFmtId="0" formula="'Se mantiene?'/Total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Enrique Paredes" refreshedDate="46216.516144212961" createdVersion="6" refreshedVersion="6" minRefreshableVersion="3" recordCount="158">
  <cacheSource type="worksheet">
    <worksheetSource ref="A1:O159" sheet="BD"/>
  </cacheSource>
  <cacheFields count="15">
    <cacheField name="Mes" numFmtId="0">
      <sharedItems count="2">
        <s v="mayo"/>
        <s v="jun"/>
      </sharedItems>
    </cacheField>
    <cacheField name="TIENDA" numFmtId="0">
      <sharedItems count="3">
        <s v="CFR PVEA CORTIJO"/>
        <s v="CFR SVEA DASSO"/>
        <s v="CFR VIV LIBERTADORES"/>
      </sharedItems>
    </cacheField>
    <cacheField name="puesto" numFmtId="0">
      <sharedItems count="4">
        <s v="CFR CAJERO 5X2 1ER TURNO"/>
        <s v="CFR CAJERO 5X2 2DO TURNO"/>
        <s v="CFR REPRES. DE SERVICIOS 5X2 1ER TURNO"/>
        <s v="CFR REPRES. DE SERVICIOS 5X2 2DO TURNO"/>
      </sharedItems>
    </cacheField>
    <cacheField name="dni" numFmtId="0">
      <sharedItems containsSemiMixedTypes="0" containsString="0" containsNumber="1" containsInteger="1" minValue="9827728" maxValue="77091191" count="79">
        <n v="9953385"/>
        <n v="40144857"/>
        <n v="44205134"/>
        <n v="44275637"/>
        <n v="46318947"/>
        <n v="60777199"/>
        <n v="60875529"/>
        <n v="60978271"/>
        <n v="72526341"/>
        <n v="75317287"/>
        <n v="9827728"/>
        <n v="21541359"/>
        <n v="48896255"/>
        <n v="61163672"/>
        <n v="61222652"/>
        <n v="61378874"/>
        <n v="70923581"/>
        <n v="72710256"/>
        <n v="72754575"/>
        <n v="73199712"/>
        <n v="73715369"/>
        <n v="73974210"/>
        <n v="44837589"/>
        <n v="61091315"/>
        <n v="61099445"/>
        <n v="61151568"/>
        <n v="61279256"/>
        <n v="61345370"/>
        <n v="62221971"/>
        <n v="72734037"/>
        <n v="74916756"/>
        <n v="75408678"/>
        <n v="40636491"/>
        <n v="48566634"/>
        <n v="60821299"/>
        <n v="61158393"/>
        <n v="61293270"/>
        <n v="61313010"/>
        <n v="70530096"/>
        <n v="72323269"/>
        <n v="73003226"/>
        <n v="74748159"/>
        <n v="74929797"/>
        <n v="76043349"/>
        <n v="76140596"/>
        <n v="76342543"/>
        <n v="76423289"/>
        <n v="47686479"/>
        <n v="70045551"/>
        <n v="70592518"/>
        <n v="71483297"/>
        <n v="73271590"/>
        <n v="77059376"/>
        <n v="70716100"/>
        <n v="72103374"/>
        <n v="77091191"/>
        <n v="42857028"/>
        <n v="60748611"/>
        <n v="60772425"/>
        <n v="72194117"/>
        <n v="73070855"/>
        <n v="73799548"/>
        <n v="74253781"/>
        <n v="76128653"/>
        <n v="76593832"/>
        <n v="77016605"/>
        <n v="70509520"/>
        <n v="75067442"/>
        <n v="76470491"/>
        <n v="60962084"/>
        <n v="75233047"/>
        <n v="75861127"/>
        <n v="71400924"/>
        <n v="72704880"/>
        <n v="73578305"/>
        <n v="70727447"/>
        <n v="73145010"/>
        <n v="75147065"/>
        <n v="76139361"/>
      </sharedItems>
    </cacheField>
    <cacheField name="turno" numFmtId="0">
      <sharedItems count="2">
        <s v="1ER TURNO"/>
        <s v="2DO TURNO"/>
      </sharedItems>
    </cacheField>
    <cacheField name="grupo" numFmtId="0">
      <sharedItems containsMixedTypes="1" containsNumber="1" containsInteger="1" minValue="1" maxValue="3" count="6">
        <s v="grupo 2"/>
        <s v="grupo 1"/>
        <s v="grupo 3"/>
        <n v="2" u="1"/>
        <n v="1" u="1"/>
        <n v="3" u="1"/>
      </sharedItems>
    </cacheField>
    <cacheField name="grupo num" numFmtId="0">
      <sharedItems containsSemiMixedTypes="0" containsString="0" containsNumber="1" containsInteger="1" minValue="1" maxValue="3"/>
    </cacheField>
    <cacheField name="1" numFmtId="0">
      <sharedItems containsSemiMixedTypes="0" containsString="0" containsNumber="1" containsInteger="1" minValue="0" maxValue="22"/>
    </cacheField>
    <cacheField name="2" numFmtId="0">
      <sharedItems containsSemiMixedTypes="0" containsString="0" containsNumber="1" containsInteger="1" minValue="0" maxValue="23"/>
    </cacheField>
    <cacheField name="3" numFmtId="0">
      <sharedItems containsSemiMixedTypes="0" containsString="0" containsNumber="1" containsInteger="1" minValue="0" maxValue="18"/>
    </cacheField>
    <cacheField name="ratio1" numFmtId="0">
      <sharedItems containsSemiMixedTypes="0" containsString="0" containsNumber="1" minValue="0" maxValue="1"/>
    </cacheField>
    <cacheField name="ratio2" numFmtId="0">
      <sharedItems containsSemiMixedTypes="0" containsString="0" containsNumber="1" minValue="0" maxValue="1"/>
    </cacheField>
    <cacheField name="ratio3" numFmtId="0">
      <sharedItems containsSemiMixedTypes="0" containsString="0" containsNumber="1" minValue="0" maxValue="0.8571428571428571"/>
    </cacheField>
    <cacheField name="ratio_dominante" numFmtId="0">
      <sharedItems containsSemiMixedTypes="0" containsString="0" containsNumber="1" minValue="0.4" maxValue="1"/>
    </cacheField>
    <cacheField name="clasificacion" numFmtId="0">
      <sharedItems count="4">
        <s v="1. Muy estable"/>
        <s v="3. Moderadamente variable"/>
        <s v="2. Estable"/>
        <s v="4. Muy variable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x v="0"/>
    <n v="3"/>
  </r>
  <r>
    <x v="0"/>
    <x v="0"/>
    <x v="1"/>
    <n v="7"/>
  </r>
  <r>
    <x v="0"/>
    <x v="1"/>
    <x v="0"/>
    <n v="5"/>
  </r>
  <r>
    <x v="0"/>
    <x v="1"/>
    <x v="2"/>
    <n v="4"/>
  </r>
  <r>
    <x v="0"/>
    <x v="1"/>
    <x v="1"/>
    <n v="3"/>
  </r>
  <r>
    <x v="0"/>
    <x v="2"/>
    <x v="0"/>
    <n v="5"/>
  </r>
  <r>
    <x v="0"/>
    <x v="2"/>
    <x v="2"/>
    <n v="2"/>
  </r>
  <r>
    <x v="0"/>
    <x v="2"/>
    <x v="1"/>
    <n v="3"/>
  </r>
  <r>
    <x v="0"/>
    <x v="3"/>
    <x v="0"/>
    <n v="8"/>
  </r>
  <r>
    <x v="0"/>
    <x v="3"/>
    <x v="2"/>
    <n v="4"/>
  </r>
  <r>
    <x v="0"/>
    <x v="3"/>
    <x v="1"/>
    <n v="3"/>
  </r>
  <r>
    <x v="1"/>
    <x v="0"/>
    <x v="0"/>
    <n v="1"/>
  </r>
  <r>
    <x v="1"/>
    <x v="0"/>
    <x v="2"/>
    <n v="1"/>
  </r>
  <r>
    <x v="1"/>
    <x v="0"/>
    <x v="1"/>
    <n v="4"/>
  </r>
  <r>
    <x v="1"/>
    <x v="1"/>
    <x v="0"/>
    <n v="2"/>
  </r>
  <r>
    <x v="1"/>
    <x v="1"/>
    <x v="1"/>
    <n v="1"/>
  </r>
  <r>
    <x v="1"/>
    <x v="3"/>
    <x v="0"/>
    <n v="5"/>
  </r>
  <r>
    <x v="1"/>
    <x v="3"/>
    <x v="1"/>
    <n v="5"/>
  </r>
  <r>
    <x v="2"/>
    <x v="0"/>
    <x v="2"/>
    <n v="1"/>
  </r>
  <r>
    <x v="2"/>
    <x v="0"/>
    <x v="1"/>
    <n v="2"/>
  </r>
  <r>
    <x v="2"/>
    <x v="1"/>
    <x v="0"/>
    <n v="1"/>
  </r>
  <r>
    <x v="2"/>
    <x v="1"/>
    <x v="2"/>
    <n v="2"/>
  </r>
  <r>
    <x v="2"/>
    <x v="2"/>
    <x v="1"/>
    <n v="2"/>
  </r>
  <r>
    <x v="2"/>
    <x v="2"/>
    <x v="3"/>
    <n v="1"/>
  </r>
  <r>
    <x v="2"/>
    <x v="3"/>
    <x v="0"/>
    <n v="2"/>
  </r>
  <r>
    <x v="2"/>
    <x v="3"/>
    <x v="1"/>
    <n v="2"/>
  </r>
  <r>
    <x v="3"/>
    <x v="4"/>
    <x v="4"/>
    <m/>
  </r>
  <r>
    <x v="3"/>
    <x v="4"/>
    <x v="4"/>
    <m/>
  </r>
  <r>
    <x v="3"/>
    <x v="4"/>
    <x v="4"/>
    <m/>
  </r>
  <r>
    <x v="3"/>
    <x v="4"/>
    <x v="4"/>
    <m/>
  </r>
  <r>
    <x v="3"/>
    <x v="4"/>
    <x v="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x v="0"/>
    <n v="3"/>
  </r>
  <r>
    <x v="0"/>
    <x v="0"/>
    <x v="1"/>
    <n v="2"/>
  </r>
  <r>
    <x v="0"/>
    <x v="0"/>
    <x v="2"/>
    <n v="5"/>
  </r>
  <r>
    <x v="0"/>
    <x v="1"/>
    <x v="0"/>
    <n v="5"/>
  </r>
  <r>
    <x v="0"/>
    <x v="1"/>
    <x v="1"/>
    <n v="4"/>
  </r>
  <r>
    <x v="0"/>
    <x v="1"/>
    <x v="2"/>
    <n v="3"/>
  </r>
  <r>
    <x v="0"/>
    <x v="2"/>
    <x v="0"/>
    <n v="6"/>
  </r>
  <r>
    <x v="0"/>
    <x v="2"/>
    <x v="2"/>
    <n v="4"/>
  </r>
  <r>
    <x v="0"/>
    <x v="3"/>
    <x v="0"/>
    <n v="5"/>
  </r>
  <r>
    <x v="0"/>
    <x v="3"/>
    <x v="1"/>
    <n v="5"/>
  </r>
  <r>
    <x v="0"/>
    <x v="3"/>
    <x v="2"/>
    <n v="4"/>
  </r>
  <r>
    <x v="0"/>
    <x v="3"/>
    <x v="3"/>
    <n v="1"/>
  </r>
  <r>
    <x v="1"/>
    <x v="0"/>
    <x v="0"/>
    <n v="1"/>
  </r>
  <r>
    <x v="1"/>
    <x v="0"/>
    <x v="1"/>
    <n v="2"/>
  </r>
  <r>
    <x v="1"/>
    <x v="0"/>
    <x v="2"/>
    <n v="3"/>
  </r>
  <r>
    <x v="1"/>
    <x v="1"/>
    <x v="0"/>
    <n v="3"/>
  </r>
  <r>
    <x v="1"/>
    <x v="3"/>
    <x v="0"/>
    <n v="5"/>
  </r>
  <r>
    <x v="1"/>
    <x v="3"/>
    <x v="1"/>
    <n v="1"/>
  </r>
  <r>
    <x v="1"/>
    <x v="3"/>
    <x v="2"/>
    <n v="3"/>
  </r>
  <r>
    <x v="1"/>
    <x v="3"/>
    <x v="3"/>
    <n v="1"/>
  </r>
  <r>
    <x v="2"/>
    <x v="0"/>
    <x v="1"/>
    <n v="2"/>
  </r>
  <r>
    <x v="2"/>
    <x v="0"/>
    <x v="2"/>
    <n v="1"/>
  </r>
  <r>
    <x v="2"/>
    <x v="1"/>
    <x v="0"/>
    <n v="2"/>
  </r>
  <r>
    <x v="2"/>
    <x v="1"/>
    <x v="1"/>
    <n v="1"/>
  </r>
  <r>
    <x v="2"/>
    <x v="2"/>
    <x v="1"/>
    <n v="2"/>
  </r>
  <r>
    <x v="2"/>
    <x v="2"/>
    <x v="2"/>
    <n v="1"/>
  </r>
  <r>
    <x v="2"/>
    <x v="3"/>
    <x v="0"/>
    <n v="2"/>
  </r>
  <r>
    <x v="2"/>
    <x v="3"/>
    <x v="1"/>
    <n v="1"/>
  </r>
  <r>
    <x v="2"/>
    <x v="3"/>
    <x v="2"/>
    <n v="1"/>
  </r>
  <r>
    <x v="3"/>
    <x v="4"/>
    <x v="4"/>
    <m/>
  </r>
  <r>
    <x v="3"/>
    <x v="4"/>
    <x v="4"/>
    <m/>
  </r>
  <r>
    <x v="3"/>
    <x v="4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79">
  <r>
    <x v="0"/>
    <x v="0"/>
    <n v="9953385"/>
    <x v="0"/>
    <n v="1"/>
    <n v="2"/>
    <n v="1"/>
    <n v="0"/>
  </r>
  <r>
    <x v="0"/>
    <x v="0"/>
    <n v="40144857"/>
    <x v="1"/>
    <n v="1"/>
    <n v="1"/>
    <n v="1"/>
    <n v="1"/>
  </r>
  <r>
    <x v="0"/>
    <x v="0"/>
    <n v="44205134"/>
    <x v="0"/>
    <n v="2"/>
    <n v="1"/>
    <n v="1"/>
    <n v="0"/>
  </r>
  <r>
    <x v="0"/>
    <x v="0"/>
    <n v="44275637"/>
    <x v="2"/>
    <n v="2"/>
    <n v="2"/>
    <n v="1"/>
    <n v="1"/>
  </r>
  <r>
    <x v="0"/>
    <x v="0"/>
    <n v="46318947"/>
    <x v="2"/>
    <n v="2"/>
    <n v="2"/>
    <n v="1"/>
    <n v="1"/>
  </r>
  <r>
    <x v="0"/>
    <x v="0"/>
    <n v="60777199"/>
    <x v="2"/>
    <n v="2"/>
    <n v="2"/>
    <n v="1"/>
    <n v="1"/>
  </r>
  <r>
    <x v="0"/>
    <x v="0"/>
    <n v="60875529"/>
    <x v="2"/>
    <n v="2"/>
    <n v="2"/>
    <n v="1"/>
    <n v="1"/>
  </r>
  <r>
    <x v="0"/>
    <x v="0"/>
    <n v="60978271"/>
    <x v="2"/>
    <n v="2"/>
    <n v="2"/>
    <n v="1"/>
    <n v="1"/>
  </r>
  <r>
    <x v="0"/>
    <x v="0"/>
    <n v="72526341"/>
    <x v="2"/>
    <n v="2"/>
    <n v="2"/>
    <n v="1"/>
    <n v="1"/>
  </r>
  <r>
    <x v="0"/>
    <x v="0"/>
    <n v="75317287"/>
    <x v="2"/>
    <n v="2"/>
    <n v="2"/>
    <n v="1"/>
    <n v="1"/>
  </r>
  <r>
    <x v="0"/>
    <x v="1"/>
    <n v="9827728"/>
    <x v="2"/>
    <n v="2"/>
    <n v="2"/>
    <n v="1"/>
    <n v="1"/>
  </r>
  <r>
    <x v="0"/>
    <x v="1"/>
    <n v="21541359"/>
    <x v="1"/>
    <n v="1"/>
    <n v="1"/>
    <n v="1"/>
    <n v="1"/>
  </r>
  <r>
    <x v="0"/>
    <x v="1"/>
    <n v="48896255"/>
    <x v="2"/>
    <n v="2"/>
    <n v="2"/>
    <n v="1"/>
    <n v="1"/>
  </r>
  <r>
    <x v="0"/>
    <x v="1"/>
    <n v="61163672"/>
    <x v="2"/>
    <n v="2"/>
    <n v="2"/>
    <n v="1"/>
    <n v="1"/>
  </r>
  <r>
    <x v="0"/>
    <x v="1"/>
    <n v="61222652"/>
    <x v="2"/>
    <n v="2"/>
    <n v="2"/>
    <n v="1"/>
    <n v="1"/>
  </r>
  <r>
    <x v="0"/>
    <x v="1"/>
    <n v="61378874"/>
    <x v="2"/>
    <n v="2"/>
    <n v="2"/>
    <n v="1"/>
    <n v="1"/>
  </r>
  <r>
    <x v="0"/>
    <x v="1"/>
    <n v="70923581"/>
    <x v="2"/>
    <n v="2"/>
    <n v="2"/>
    <n v="1"/>
    <n v="1"/>
  </r>
  <r>
    <x v="0"/>
    <x v="1"/>
    <n v="72710256"/>
    <x v="2"/>
    <n v="2"/>
    <n v="2"/>
    <n v="1"/>
    <n v="1"/>
  </r>
  <r>
    <x v="0"/>
    <x v="1"/>
    <n v="72754575"/>
    <x v="2"/>
    <n v="2"/>
    <n v="2"/>
    <n v="1"/>
    <n v="1"/>
  </r>
  <r>
    <x v="0"/>
    <x v="1"/>
    <n v="73199712"/>
    <x v="2"/>
    <n v="2"/>
    <n v="2"/>
    <n v="1"/>
    <n v="1"/>
  </r>
  <r>
    <x v="0"/>
    <x v="1"/>
    <n v="73715369"/>
    <x v="0"/>
    <n v="2"/>
    <n v="1"/>
    <n v="1"/>
    <n v="0"/>
  </r>
  <r>
    <x v="0"/>
    <x v="1"/>
    <n v="73974210"/>
    <x v="2"/>
    <n v="2"/>
    <n v="2"/>
    <n v="1"/>
    <n v="1"/>
  </r>
  <r>
    <x v="0"/>
    <x v="2"/>
    <n v="44837589"/>
    <x v="1"/>
    <n v="1"/>
    <n v="1"/>
    <n v="1"/>
    <n v="1"/>
  </r>
  <r>
    <x v="0"/>
    <x v="2"/>
    <n v="61091315"/>
    <x v="1"/>
    <n v="1"/>
    <n v="1"/>
    <n v="1"/>
    <n v="1"/>
  </r>
  <r>
    <x v="0"/>
    <x v="2"/>
    <n v="61099445"/>
    <x v="0"/>
    <n v="1"/>
    <n v="2"/>
    <n v="1"/>
    <n v="0"/>
  </r>
  <r>
    <x v="0"/>
    <x v="2"/>
    <n v="61151568"/>
    <x v="0"/>
    <n v="2"/>
    <n v="1"/>
    <n v="1"/>
    <n v="0"/>
  </r>
  <r>
    <x v="0"/>
    <x v="2"/>
    <n v="61279256"/>
    <x v="1"/>
    <n v="1"/>
    <n v="1"/>
    <n v="1"/>
    <n v="1"/>
  </r>
  <r>
    <x v="0"/>
    <x v="2"/>
    <n v="61345370"/>
    <x v="2"/>
    <n v="2"/>
    <n v="2"/>
    <n v="1"/>
    <n v="1"/>
  </r>
  <r>
    <x v="0"/>
    <x v="2"/>
    <n v="62221971"/>
    <x v="2"/>
    <n v="2"/>
    <n v="2"/>
    <n v="1"/>
    <n v="1"/>
  </r>
  <r>
    <x v="0"/>
    <x v="2"/>
    <n v="72734037"/>
    <x v="1"/>
    <n v="1"/>
    <n v="1"/>
    <n v="1"/>
    <n v="1"/>
  </r>
  <r>
    <x v="0"/>
    <x v="2"/>
    <n v="74916756"/>
    <x v="1"/>
    <n v="1"/>
    <n v="1"/>
    <n v="1"/>
    <n v="1"/>
  </r>
  <r>
    <x v="0"/>
    <x v="2"/>
    <n v="75408678"/>
    <x v="1"/>
    <n v="1"/>
    <n v="1"/>
    <n v="1"/>
    <n v="1"/>
  </r>
  <r>
    <x v="0"/>
    <x v="3"/>
    <n v="40636491"/>
    <x v="2"/>
    <n v="2"/>
    <n v="2"/>
    <n v="1"/>
    <n v="1"/>
  </r>
  <r>
    <x v="0"/>
    <x v="3"/>
    <n v="48566634"/>
    <x v="2"/>
    <n v="2"/>
    <n v="2"/>
    <n v="1"/>
    <n v="1"/>
  </r>
  <r>
    <x v="0"/>
    <x v="3"/>
    <n v="60821299"/>
    <x v="2"/>
    <n v="2"/>
    <n v="2"/>
    <n v="1"/>
    <n v="1"/>
  </r>
  <r>
    <x v="0"/>
    <x v="3"/>
    <n v="61158393"/>
    <x v="1"/>
    <n v="1"/>
    <n v="1"/>
    <n v="1"/>
    <n v="1"/>
  </r>
  <r>
    <x v="0"/>
    <x v="3"/>
    <n v="61293270"/>
    <x v="2"/>
    <n v="2"/>
    <n v="2"/>
    <n v="1"/>
    <n v="1"/>
  </r>
  <r>
    <x v="0"/>
    <x v="3"/>
    <n v="61313010"/>
    <x v="2"/>
    <n v="2"/>
    <n v="2"/>
    <n v="1"/>
    <n v="1"/>
  </r>
  <r>
    <x v="0"/>
    <x v="3"/>
    <n v="70530096"/>
    <x v="2"/>
    <n v="2"/>
    <n v="2"/>
    <n v="1"/>
    <n v="1"/>
  </r>
  <r>
    <x v="0"/>
    <x v="3"/>
    <n v="72323269"/>
    <x v="3"/>
    <n v="2"/>
    <n v="3"/>
    <n v="1"/>
    <n v="0"/>
  </r>
  <r>
    <x v="0"/>
    <x v="3"/>
    <n v="73003226"/>
    <x v="3"/>
    <n v="2"/>
    <n v="3"/>
    <n v="1"/>
    <n v="0"/>
  </r>
  <r>
    <x v="0"/>
    <x v="3"/>
    <n v="74748159"/>
    <x v="2"/>
    <n v="2"/>
    <n v="2"/>
    <n v="1"/>
    <n v="1"/>
  </r>
  <r>
    <x v="0"/>
    <x v="3"/>
    <n v="74929797"/>
    <x v="2"/>
    <n v="2"/>
    <n v="2"/>
    <n v="1"/>
    <n v="1"/>
  </r>
  <r>
    <x v="0"/>
    <x v="3"/>
    <n v="76043349"/>
    <x v="2"/>
    <n v="2"/>
    <n v="2"/>
    <n v="1"/>
    <n v="1"/>
  </r>
  <r>
    <x v="0"/>
    <x v="3"/>
    <n v="76140596"/>
    <x v="1"/>
    <n v="1"/>
    <n v="1"/>
    <n v="1"/>
    <n v="1"/>
  </r>
  <r>
    <x v="0"/>
    <x v="3"/>
    <n v="76342543"/>
    <x v="3"/>
    <n v="2"/>
    <n v="3"/>
    <n v="1"/>
    <n v="0"/>
  </r>
  <r>
    <x v="0"/>
    <x v="3"/>
    <n v="76423289"/>
    <x v="2"/>
    <n v="2"/>
    <n v="2"/>
    <n v="1"/>
    <n v="1"/>
  </r>
  <r>
    <x v="1"/>
    <x v="0"/>
    <n v="47686479"/>
    <x v="1"/>
    <n v="1"/>
    <n v="1"/>
    <n v="1"/>
    <n v="1"/>
  </r>
  <r>
    <x v="1"/>
    <x v="0"/>
    <n v="70045551"/>
    <x v="0"/>
    <n v="1"/>
    <n v="2"/>
    <n v="1"/>
    <n v="0"/>
  </r>
  <r>
    <x v="1"/>
    <x v="0"/>
    <n v="70592518"/>
    <x v="0"/>
    <n v="2"/>
    <n v="1"/>
    <n v="1"/>
    <n v="0"/>
  </r>
  <r>
    <x v="1"/>
    <x v="0"/>
    <n v="71483297"/>
    <x v="2"/>
    <n v="2"/>
    <n v="2"/>
    <n v="1"/>
    <n v="1"/>
  </r>
  <r>
    <x v="1"/>
    <x v="0"/>
    <n v="73271590"/>
    <x v="2"/>
    <n v="2"/>
    <n v="2"/>
    <n v="1"/>
    <n v="1"/>
  </r>
  <r>
    <x v="1"/>
    <x v="0"/>
    <n v="77059376"/>
    <x v="2"/>
    <n v="2"/>
    <n v="2"/>
    <n v="1"/>
    <n v="1"/>
  </r>
  <r>
    <x v="1"/>
    <x v="1"/>
    <n v="70716100"/>
    <x v="2"/>
    <n v="2"/>
    <n v="2"/>
    <n v="1"/>
    <n v="1"/>
  </r>
  <r>
    <x v="1"/>
    <x v="1"/>
    <n v="72103374"/>
    <x v="2"/>
    <n v="2"/>
    <n v="2"/>
    <n v="1"/>
    <n v="1"/>
  </r>
  <r>
    <x v="1"/>
    <x v="1"/>
    <n v="77091191"/>
    <x v="2"/>
    <n v="2"/>
    <n v="2"/>
    <n v="1"/>
    <n v="1"/>
  </r>
  <r>
    <x v="1"/>
    <x v="3"/>
    <n v="42857028"/>
    <x v="2"/>
    <n v="2"/>
    <n v="2"/>
    <n v="1"/>
    <n v="1"/>
  </r>
  <r>
    <x v="1"/>
    <x v="3"/>
    <n v="60748611"/>
    <x v="2"/>
    <n v="2"/>
    <n v="2"/>
    <n v="1"/>
    <n v="1"/>
  </r>
  <r>
    <x v="1"/>
    <x v="3"/>
    <n v="60772425"/>
    <x v="2"/>
    <n v="2"/>
    <n v="2"/>
    <n v="1"/>
    <n v="1"/>
  </r>
  <r>
    <x v="1"/>
    <x v="3"/>
    <n v="72194117"/>
    <x v="2"/>
    <n v="2"/>
    <n v="2"/>
    <n v="1"/>
    <n v="1"/>
  </r>
  <r>
    <x v="1"/>
    <x v="3"/>
    <n v="73070855"/>
    <x v="2"/>
    <n v="2"/>
    <n v="2"/>
    <n v="1"/>
    <n v="1"/>
  </r>
  <r>
    <x v="1"/>
    <x v="3"/>
    <n v="73799548"/>
    <x v="2"/>
    <n v="3"/>
    <n v="1"/>
    <n v="1"/>
    <n v="0"/>
  </r>
  <r>
    <x v="1"/>
    <x v="3"/>
    <n v="74253781"/>
    <x v="2"/>
    <n v="1"/>
    <n v="3"/>
    <n v="1"/>
    <n v="0"/>
  </r>
  <r>
    <x v="1"/>
    <x v="3"/>
    <n v="76128653"/>
    <x v="2"/>
    <n v="2"/>
    <n v="2"/>
    <n v="1"/>
    <n v="1"/>
  </r>
  <r>
    <x v="1"/>
    <x v="3"/>
    <n v="76593832"/>
    <x v="2"/>
    <n v="2"/>
    <n v="2"/>
    <n v="1"/>
    <n v="1"/>
  </r>
  <r>
    <x v="1"/>
    <x v="3"/>
    <n v="77016605"/>
    <x v="2"/>
    <n v="2"/>
    <n v="2"/>
    <n v="1"/>
    <n v="1"/>
  </r>
  <r>
    <x v="2"/>
    <x v="0"/>
    <n v="70509520"/>
    <x v="2"/>
    <n v="2"/>
    <n v="2"/>
    <n v="1"/>
    <n v="1"/>
  </r>
  <r>
    <x v="2"/>
    <x v="0"/>
    <n v="75067442"/>
    <x v="2"/>
    <n v="2"/>
    <n v="2"/>
    <n v="1"/>
    <n v="1"/>
  </r>
  <r>
    <x v="2"/>
    <x v="0"/>
    <n v="76470491"/>
    <x v="1"/>
    <n v="1"/>
    <n v="1"/>
    <n v="1"/>
    <n v="1"/>
  </r>
  <r>
    <x v="2"/>
    <x v="1"/>
    <n v="60962084"/>
    <x v="2"/>
    <n v="2"/>
    <n v="2"/>
    <n v="1"/>
    <n v="1"/>
  </r>
  <r>
    <x v="2"/>
    <x v="1"/>
    <n v="75233047"/>
    <x v="2"/>
    <n v="2"/>
    <n v="2"/>
    <n v="1"/>
    <n v="1"/>
  </r>
  <r>
    <x v="2"/>
    <x v="1"/>
    <n v="75861127"/>
    <x v="2"/>
    <n v="2"/>
    <n v="2"/>
    <n v="1"/>
    <n v="1"/>
  </r>
  <r>
    <x v="2"/>
    <x v="2"/>
    <n v="71400924"/>
    <x v="1"/>
    <n v="1"/>
    <n v="1"/>
    <n v="1"/>
    <n v="1"/>
  </r>
  <r>
    <x v="2"/>
    <x v="2"/>
    <n v="72704880"/>
    <x v="4"/>
    <n v="3"/>
    <n v="3"/>
    <n v="1"/>
    <n v="1"/>
  </r>
  <r>
    <x v="2"/>
    <x v="2"/>
    <n v="73578305"/>
    <x v="0"/>
    <n v="1"/>
    <n v="2"/>
    <n v="1"/>
    <n v="0"/>
  </r>
  <r>
    <x v="2"/>
    <x v="3"/>
    <n v="70727447"/>
    <x v="2"/>
    <n v="2"/>
    <n v="2"/>
    <n v="1"/>
    <n v="1"/>
  </r>
  <r>
    <x v="2"/>
    <x v="3"/>
    <n v="73145010"/>
    <x v="2"/>
    <n v="2"/>
    <n v="2"/>
    <n v="1"/>
    <n v="1"/>
  </r>
  <r>
    <x v="2"/>
    <x v="3"/>
    <n v="75147065"/>
    <x v="2"/>
    <n v="2"/>
    <n v="2"/>
    <n v="1"/>
    <n v="1"/>
  </r>
  <r>
    <x v="2"/>
    <x v="3"/>
    <n v="76139361"/>
    <x v="2"/>
    <n v="2"/>
    <n v="2"/>
    <n v="1"/>
    <n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58">
  <r>
    <x v="0"/>
    <x v="0"/>
    <x v="0"/>
    <x v="0"/>
    <x v="0"/>
    <x v="0"/>
    <n v="2"/>
    <n v="1"/>
    <n v="9"/>
    <n v="0"/>
    <n v="0.1"/>
    <n v="0.9"/>
    <n v="0"/>
    <n v="0.9"/>
    <x v="0"/>
  </r>
  <r>
    <x v="0"/>
    <x v="0"/>
    <x v="0"/>
    <x v="1"/>
    <x v="0"/>
    <x v="1"/>
    <n v="1"/>
    <n v="22"/>
    <n v="0"/>
    <n v="0"/>
    <n v="1"/>
    <n v="0"/>
    <n v="0"/>
    <n v="1"/>
    <x v="0"/>
  </r>
  <r>
    <x v="0"/>
    <x v="0"/>
    <x v="0"/>
    <x v="2"/>
    <x v="0"/>
    <x v="1"/>
    <n v="1"/>
    <n v="11"/>
    <n v="11"/>
    <n v="0"/>
    <n v="0.5"/>
    <n v="0.5"/>
    <n v="0"/>
    <n v="0.5"/>
    <x v="1"/>
  </r>
  <r>
    <x v="0"/>
    <x v="0"/>
    <x v="0"/>
    <x v="3"/>
    <x v="0"/>
    <x v="0"/>
    <n v="2"/>
    <n v="6"/>
    <n v="16"/>
    <n v="0"/>
    <n v="0.27272727272727271"/>
    <n v="0.72727272727272729"/>
    <n v="0"/>
    <n v="0.72727272727272729"/>
    <x v="1"/>
  </r>
  <r>
    <x v="0"/>
    <x v="0"/>
    <x v="0"/>
    <x v="4"/>
    <x v="0"/>
    <x v="0"/>
    <n v="2"/>
    <n v="5"/>
    <n v="18"/>
    <n v="0"/>
    <n v="0.21739130434782611"/>
    <n v="0.78260869565217395"/>
    <n v="0"/>
    <n v="0.78260869565217395"/>
    <x v="1"/>
  </r>
  <r>
    <x v="0"/>
    <x v="0"/>
    <x v="0"/>
    <x v="5"/>
    <x v="0"/>
    <x v="0"/>
    <n v="2"/>
    <n v="6"/>
    <n v="16"/>
    <n v="0"/>
    <n v="0.27272727272727271"/>
    <n v="0.72727272727272729"/>
    <n v="0"/>
    <n v="0.72727272727272729"/>
    <x v="1"/>
  </r>
  <r>
    <x v="0"/>
    <x v="0"/>
    <x v="0"/>
    <x v="6"/>
    <x v="0"/>
    <x v="0"/>
    <n v="2"/>
    <n v="8"/>
    <n v="14"/>
    <n v="0"/>
    <n v="0.36363636363636359"/>
    <n v="0.63636363636363635"/>
    <n v="0"/>
    <n v="0.63636363636363635"/>
    <x v="1"/>
  </r>
  <r>
    <x v="0"/>
    <x v="0"/>
    <x v="0"/>
    <x v="7"/>
    <x v="0"/>
    <x v="0"/>
    <n v="2"/>
    <n v="5"/>
    <n v="12"/>
    <n v="4"/>
    <n v="0.23809523809523811"/>
    <n v="0.5714285714285714"/>
    <n v="0.19047619047619049"/>
    <n v="0.5714285714285714"/>
    <x v="1"/>
  </r>
  <r>
    <x v="0"/>
    <x v="0"/>
    <x v="0"/>
    <x v="8"/>
    <x v="0"/>
    <x v="0"/>
    <n v="2"/>
    <n v="0"/>
    <n v="17"/>
    <n v="0"/>
    <n v="0"/>
    <n v="1"/>
    <n v="0"/>
    <n v="1"/>
    <x v="0"/>
  </r>
  <r>
    <x v="0"/>
    <x v="0"/>
    <x v="0"/>
    <x v="9"/>
    <x v="0"/>
    <x v="0"/>
    <n v="2"/>
    <n v="9"/>
    <n v="14"/>
    <n v="0"/>
    <n v="0.39130434782608697"/>
    <n v="0.60869565217391308"/>
    <n v="0"/>
    <n v="0.60869565217391308"/>
    <x v="1"/>
  </r>
  <r>
    <x v="0"/>
    <x v="0"/>
    <x v="1"/>
    <x v="10"/>
    <x v="1"/>
    <x v="0"/>
    <n v="2"/>
    <n v="4"/>
    <n v="17"/>
    <n v="0"/>
    <n v="0.19047619047619049"/>
    <n v="0.80952380952380953"/>
    <n v="0"/>
    <n v="0.80952380952380953"/>
    <x v="2"/>
  </r>
  <r>
    <x v="0"/>
    <x v="0"/>
    <x v="1"/>
    <x v="11"/>
    <x v="1"/>
    <x v="1"/>
    <n v="1"/>
    <n v="15"/>
    <n v="3"/>
    <n v="2"/>
    <n v="0.75"/>
    <n v="0.15"/>
    <n v="0.1"/>
    <n v="0.75"/>
    <x v="1"/>
  </r>
  <r>
    <x v="0"/>
    <x v="0"/>
    <x v="1"/>
    <x v="12"/>
    <x v="1"/>
    <x v="0"/>
    <n v="2"/>
    <n v="1"/>
    <n v="20"/>
    <n v="2"/>
    <n v="4.3478260869565223E-2"/>
    <n v="0.86956521739130432"/>
    <n v="8.6956521739130432E-2"/>
    <n v="0.86956521739130432"/>
    <x v="2"/>
  </r>
  <r>
    <x v="0"/>
    <x v="0"/>
    <x v="1"/>
    <x v="13"/>
    <x v="1"/>
    <x v="0"/>
    <n v="2"/>
    <n v="0"/>
    <n v="22"/>
    <n v="0"/>
    <n v="0"/>
    <n v="1"/>
    <n v="0"/>
    <n v="1"/>
    <x v="0"/>
  </r>
  <r>
    <x v="0"/>
    <x v="0"/>
    <x v="1"/>
    <x v="14"/>
    <x v="1"/>
    <x v="0"/>
    <n v="2"/>
    <n v="2"/>
    <n v="14"/>
    <n v="4"/>
    <n v="0.1"/>
    <n v="0.7"/>
    <n v="0.2"/>
    <n v="0.7"/>
    <x v="1"/>
  </r>
  <r>
    <x v="0"/>
    <x v="0"/>
    <x v="1"/>
    <x v="15"/>
    <x v="1"/>
    <x v="0"/>
    <n v="2"/>
    <n v="0"/>
    <n v="16"/>
    <n v="0"/>
    <n v="0"/>
    <n v="1"/>
    <n v="0"/>
    <n v="1"/>
    <x v="0"/>
  </r>
  <r>
    <x v="0"/>
    <x v="0"/>
    <x v="1"/>
    <x v="16"/>
    <x v="1"/>
    <x v="0"/>
    <n v="2"/>
    <n v="0"/>
    <n v="8"/>
    <n v="1"/>
    <n v="0"/>
    <n v="0.88888888888888884"/>
    <n v="0.1111111111111111"/>
    <n v="0.88888888888888884"/>
    <x v="2"/>
  </r>
  <r>
    <x v="0"/>
    <x v="0"/>
    <x v="1"/>
    <x v="17"/>
    <x v="1"/>
    <x v="0"/>
    <n v="2"/>
    <n v="1"/>
    <n v="17"/>
    <n v="2"/>
    <n v="0.05"/>
    <n v="0.85"/>
    <n v="0.1"/>
    <n v="0.85"/>
    <x v="2"/>
  </r>
  <r>
    <x v="0"/>
    <x v="0"/>
    <x v="1"/>
    <x v="18"/>
    <x v="1"/>
    <x v="0"/>
    <n v="2"/>
    <n v="2"/>
    <n v="20"/>
    <n v="0"/>
    <n v="9.0909090909090912E-2"/>
    <n v="0.90909090909090906"/>
    <n v="0"/>
    <n v="0.90909090909090906"/>
    <x v="0"/>
  </r>
  <r>
    <x v="0"/>
    <x v="0"/>
    <x v="1"/>
    <x v="19"/>
    <x v="1"/>
    <x v="0"/>
    <n v="2"/>
    <n v="1"/>
    <n v="21"/>
    <n v="1"/>
    <n v="4.3478260869565223E-2"/>
    <n v="0.91304347826086951"/>
    <n v="4.3478260869565223E-2"/>
    <n v="0.91304347826086951"/>
    <x v="0"/>
  </r>
  <r>
    <x v="0"/>
    <x v="0"/>
    <x v="1"/>
    <x v="20"/>
    <x v="1"/>
    <x v="1"/>
    <n v="1"/>
    <n v="6"/>
    <n v="5"/>
    <n v="0"/>
    <n v="0.54545454545454541"/>
    <n v="0.45454545454545447"/>
    <n v="0"/>
    <n v="0.54545454545454541"/>
    <x v="1"/>
  </r>
  <r>
    <x v="0"/>
    <x v="0"/>
    <x v="1"/>
    <x v="21"/>
    <x v="1"/>
    <x v="0"/>
    <n v="2"/>
    <n v="0"/>
    <n v="21"/>
    <n v="0"/>
    <n v="0"/>
    <n v="1"/>
    <n v="0"/>
    <n v="1"/>
    <x v="0"/>
  </r>
  <r>
    <x v="0"/>
    <x v="0"/>
    <x v="2"/>
    <x v="22"/>
    <x v="0"/>
    <x v="1"/>
    <n v="1"/>
    <n v="22"/>
    <n v="0"/>
    <n v="0"/>
    <n v="1"/>
    <n v="0"/>
    <n v="0"/>
    <n v="1"/>
    <x v="0"/>
  </r>
  <r>
    <x v="0"/>
    <x v="0"/>
    <x v="2"/>
    <x v="23"/>
    <x v="0"/>
    <x v="1"/>
    <n v="1"/>
    <n v="13"/>
    <n v="1"/>
    <n v="0"/>
    <n v="0.9285714285714286"/>
    <n v="7.1428571428571425E-2"/>
    <n v="0"/>
    <n v="0.9285714285714286"/>
    <x v="0"/>
  </r>
  <r>
    <x v="0"/>
    <x v="0"/>
    <x v="2"/>
    <x v="24"/>
    <x v="0"/>
    <x v="0"/>
    <n v="2"/>
    <n v="9"/>
    <n v="14"/>
    <n v="0"/>
    <n v="0.39130434782608697"/>
    <n v="0.60869565217391308"/>
    <n v="0"/>
    <n v="0.60869565217391308"/>
    <x v="1"/>
  </r>
  <r>
    <x v="0"/>
    <x v="0"/>
    <x v="2"/>
    <x v="25"/>
    <x v="0"/>
    <x v="1"/>
    <n v="1"/>
    <n v="12"/>
    <n v="10"/>
    <n v="0"/>
    <n v="0.54545454545454541"/>
    <n v="0.45454545454545447"/>
    <n v="0"/>
    <n v="0.54545454545454541"/>
    <x v="1"/>
  </r>
  <r>
    <x v="0"/>
    <x v="0"/>
    <x v="2"/>
    <x v="26"/>
    <x v="0"/>
    <x v="1"/>
    <n v="1"/>
    <n v="19"/>
    <n v="4"/>
    <n v="0"/>
    <n v="0.82608695652173914"/>
    <n v="0.17391304347826089"/>
    <n v="0"/>
    <n v="0.82608695652173914"/>
    <x v="2"/>
  </r>
  <r>
    <x v="0"/>
    <x v="0"/>
    <x v="2"/>
    <x v="27"/>
    <x v="0"/>
    <x v="0"/>
    <n v="2"/>
    <n v="0"/>
    <n v="23"/>
    <n v="0"/>
    <n v="0"/>
    <n v="1"/>
    <n v="0"/>
    <n v="1"/>
    <x v="0"/>
  </r>
  <r>
    <x v="0"/>
    <x v="0"/>
    <x v="2"/>
    <x v="28"/>
    <x v="0"/>
    <x v="0"/>
    <n v="2"/>
    <n v="2"/>
    <n v="21"/>
    <n v="0"/>
    <n v="8.6956521739130432E-2"/>
    <n v="0.91304347826086951"/>
    <n v="0"/>
    <n v="0.91304347826086951"/>
    <x v="0"/>
  </r>
  <r>
    <x v="0"/>
    <x v="0"/>
    <x v="2"/>
    <x v="29"/>
    <x v="0"/>
    <x v="1"/>
    <n v="1"/>
    <n v="16"/>
    <n v="7"/>
    <n v="0"/>
    <n v="0.69565217391304346"/>
    <n v="0.30434782608695649"/>
    <n v="0"/>
    <n v="0.69565217391304346"/>
    <x v="1"/>
  </r>
  <r>
    <x v="0"/>
    <x v="0"/>
    <x v="2"/>
    <x v="30"/>
    <x v="0"/>
    <x v="1"/>
    <n v="1"/>
    <n v="18"/>
    <n v="3"/>
    <n v="0"/>
    <n v="0.8571428571428571"/>
    <n v="0.14285714285714279"/>
    <n v="0"/>
    <n v="0.8571428571428571"/>
    <x v="2"/>
  </r>
  <r>
    <x v="0"/>
    <x v="0"/>
    <x v="2"/>
    <x v="31"/>
    <x v="0"/>
    <x v="1"/>
    <n v="1"/>
    <n v="21"/>
    <n v="0"/>
    <n v="0"/>
    <n v="1"/>
    <n v="0"/>
    <n v="0"/>
    <n v="1"/>
    <x v="0"/>
  </r>
  <r>
    <x v="0"/>
    <x v="0"/>
    <x v="3"/>
    <x v="32"/>
    <x v="1"/>
    <x v="0"/>
    <n v="2"/>
    <n v="0"/>
    <n v="23"/>
    <n v="0"/>
    <n v="0"/>
    <n v="1"/>
    <n v="0"/>
    <n v="1"/>
    <x v="0"/>
  </r>
  <r>
    <x v="0"/>
    <x v="0"/>
    <x v="3"/>
    <x v="33"/>
    <x v="1"/>
    <x v="0"/>
    <n v="2"/>
    <n v="0"/>
    <n v="21"/>
    <n v="0"/>
    <n v="0"/>
    <n v="1"/>
    <n v="0"/>
    <n v="1"/>
    <x v="0"/>
  </r>
  <r>
    <x v="0"/>
    <x v="0"/>
    <x v="3"/>
    <x v="34"/>
    <x v="1"/>
    <x v="0"/>
    <n v="2"/>
    <n v="0"/>
    <n v="22"/>
    <n v="0"/>
    <n v="0"/>
    <n v="1"/>
    <n v="0"/>
    <n v="1"/>
    <x v="0"/>
  </r>
  <r>
    <x v="0"/>
    <x v="0"/>
    <x v="3"/>
    <x v="35"/>
    <x v="1"/>
    <x v="1"/>
    <n v="1"/>
    <n v="17"/>
    <n v="1"/>
    <n v="1"/>
    <n v="0.89473684210526316"/>
    <n v="5.2631578947368418E-2"/>
    <n v="5.2631578947368418E-2"/>
    <n v="0.89473684210526316"/>
    <x v="2"/>
  </r>
  <r>
    <x v="0"/>
    <x v="0"/>
    <x v="3"/>
    <x v="36"/>
    <x v="1"/>
    <x v="0"/>
    <n v="2"/>
    <n v="0"/>
    <n v="23"/>
    <n v="0"/>
    <n v="0"/>
    <n v="1"/>
    <n v="0"/>
    <n v="1"/>
    <x v="0"/>
  </r>
  <r>
    <x v="0"/>
    <x v="0"/>
    <x v="3"/>
    <x v="37"/>
    <x v="1"/>
    <x v="0"/>
    <n v="2"/>
    <n v="1"/>
    <n v="17"/>
    <n v="1"/>
    <n v="5.2631578947368418E-2"/>
    <n v="0.89473684210526316"/>
    <n v="5.2631578947368418E-2"/>
    <n v="0.89473684210526316"/>
    <x v="2"/>
  </r>
  <r>
    <x v="0"/>
    <x v="0"/>
    <x v="3"/>
    <x v="38"/>
    <x v="1"/>
    <x v="0"/>
    <n v="2"/>
    <n v="5"/>
    <n v="18"/>
    <n v="0"/>
    <n v="0.21739130434782611"/>
    <n v="0.78260869565217395"/>
    <n v="0"/>
    <n v="0.78260869565217395"/>
    <x v="1"/>
  </r>
  <r>
    <x v="0"/>
    <x v="0"/>
    <x v="3"/>
    <x v="39"/>
    <x v="1"/>
    <x v="2"/>
    <n v="3"/>
    <n v="2"/>
    <n v="1"/>
    <n v="18"/>
    <n v="9.5238095238095233E-2"/>
    <n v="4.7619047619047623E-2"/>
    <n v="0.8571428571428571"/>
    <n v="0.8571428571428571"/>
    <x v="2"/>
  </r>
  <r>
    <x v="0"/>
    <x v="0"/>
    <x v="3"/>
    <x v="40"/>
    <x v="1"/>
    <x v="2"/>
    <n v="3"/>
    <n v="1"/>
    <n v="7"/>
    <n v="15"/>
    <n v="4.3478260869565223E-2"/>
    <n v="0.30434782608695649"/>
    <n v="0.65217391304347827"/>
    <n v="0.65217391304347827"/>
    <x v="1"/>
  </r>
  <r>
    <x v="0"/>
    <x v="0"/>
    <x v="3"/>
    <x v="41"/>
    <x v="1"/>
    <x v="0"/>
    <n v="2"/>
    <n v="0"/>
    <n v="23"/>
    <n v="0"/>
    <n v="0"/>
    <n v="1"/>
    <n v="0"/>
    <n v="1"/>
    <x v="0"/>
  </r>
  <r>
    <x v="0"/>
    <x v="0"/>
    <x v="3"/>
    <x v="42"/>
    <x v="1"/>
    <x v="0"/>
    <n v="2"/>
    <n v="0"/>
    <n v="20"/>
    <n v="0"/>
    <n v="0"/>
    <n v="1"/>
    <n v="0"/>
    <n v="1"/>
    <x v="0"/>
  </r>
  <r>
    <x v="0"/>
    <x v="0"/>
    <x v="3"/>
    <x v="43"/>
    <x v="1"/>
    <x v="0"/>
    <n v="2"/>
    <n v="0"/>
    <n v="22"/>
    <n v="0"/>
    <n v="0"/>
    <n v="1"/>
    <n v="0"/>
    <n v="1"/>
    <x v="0"/>
  </r>
  <r>
    <x v="0"/>
    <x v="0"/>
    <x v="3"/>
    <x v="44"/>
    <x v="1"/>
    <x v="1"/>
    <n v="1"/>
    <n v="15"/>
    <n v="0"/>
    <n v="1"/>
    <n v="0.9375"/>
    <n v="0"/>
    <n v="6.25E-2"/>
    <n v="0.9375"/>
    <x v="0"/>
  </r>
  <r>
    <x v="0"/>
    <x v="0"/>
    <x v="3"/>
    <x v="45"/>
    <x v="1"/>
    <x v="2"/>
    <n v="3"/>
    <n v="0"/>
    <n v="1"/>
    <n v="3"/>
    <n v="0"/>
    <n v="0.25"/>
    <n v="0.75"/>
    <n v="0.75"/>
    <x v="1"/>
  </r>
  <r>
    <x v="0"/>
    <x v="0"/>
    <x v="3"/>
    <x v="46"/>
    <x v="1"/>
    <x v="0"/>
    <n v="2"/>
    <n v="4"/>
    <n v="18"/>
    <n v="0"/>
    <n v="0.1818181818181818"/>
    <n v="0.81818181818181823"/>
    <n v="0"/>
    <n v="0.81818181818181823"/>
    <x v="2"/>
  </r>
  <r>
    <x v="0"/>
    <x v="1"/>
    <x v="0"/>
    <x v="47"/>
    <x v="0"/>
    <x v="1"/>
    <n v="1"/>
    <n v="14"/>
    <n v="7"/>
    <n v="0"/>
    <n v="0.66666666666666663"/>
    <n v="0.33333333333333331"/>
    <n v="0"/>
    <n v="0.66666666666666663"/>
    <x v="1"/>
  </r>
  <r>
    <x v="0"/>
    <x v="1"/>
    <x v="0"/>
    <x v="48"/>
    <x v="0"/>
    <x v="0"/>
    <n v="2"/>
    <n v="7"/>
    <n v="16"/>
    <n v="0"/>
    <n v="0.30434782608695649"/>
    <n v="0.69565217391304346"/>
    <n v="0"/>
    <n v="0.69565217391304346"/>
    <x v="1"/>
  </r>
  <r>
    <x v="0"/>
    <x v="1"/>
    <x v="0"/>
    <x v="49"/>
    <x v="0"/>
    <x v="1"/>
    <n v="1"/>
    <n v="16"/>
    <n v="6"/>
    <n v="0"/>
    <n v="0.72727272727272729"/>
    <n v="0.27272727272727271"/>
    <n v="0"/>
    <n v="0.72727272727272729"/>
    <x v="1"/>
  </r>
  <r>
    <x v="0"/>
    <x v="1"/>
    <x v="0"/>
    <x v="50"/>
    <x v="0"/>
    <x v="0"/>
    <n v="2"/>
    <n v="10"/>
    <n v="12"/>
    <n v="0"/>
    <n v="0.45454545454545447"/>
    <n v="0.54545454545454541"/>
    <n v="0"/>
    <n v="0.54545454545454541"/>
    <x v="1"/>
  </r>
  <r>
    <x v="0"/>
    <x v="1"/>
    <x v="0"/>
    <x v="51"/>
    <x v="0"/>
    <x v="0"/>
    <n v="2"/>
    <n v="2"/>
    <n v="17"/>
    <n v="2"/>
    <n v="9.5238095238095233E-2"/>
    <n v="0.80952380952380953"/>
    <n v="9.5238095238095233E-2"/>
    <n v="0.80952380952380953"/>
    <x v="2"/>
  </r>
  <r>
    <x v="0"/>
    <x v="1"/>
    <x v="0"/>
    <x v="52"/>
    <x v="0"/>
    <x v="0"/>
    <n v="2"/>
    <n v="0"/>
    <n v="13"/>
    <n v="0"/>
    <n v="0"/>
    <n v="1"/>
    <n v="0"/>
    <n v="1"/>
    <x v="0"/>
  </r>
  <r>
    <x v="0"/>
    <x v="1"/>
    <x v="1"/>
    <x v="53"/>
    <x v="1"/>
    <x v="0"/>
    <n v="2"/>
    <n v="0"/>
    <n v="21"/>
    <n v="0"/>
    <n v="0"/>
    <n v="1"/>
    <n v="0"/>
    <n v="1"/>
    <x v="0"/>
  </r>
  <r>
    <x v="0"/>
    <x v="1"/>
    <x v="1"/>
    <x v="54"/>
    <x v="1"/>
    <x v="0"/>
    <n v="2"/>
    <n v="0"/>
    <n v="3"/>
    <n v="1"/>
    <n v="0"/>
    <n v="0.75"/>
    <n v="0.25"/>
    <n v="0.75"/>
    <x v="1"/>
  </r>
  <r>
    <x v="0"/>
    <x v="1"/>
    <x v="1"/>
    <x v="55"/>
    <x v="1"/>
    <x v="0"/>
    <n v="2"/>
    <n v="0"/>
    <n v="20"/>
    <n v="1"/>
    <n v="0"/>
    <n v="0.95238095238095233"/>
    <n v="4.7619047619047623E-2"/>
    <n v="0.95238095238095233"/>
    <x v="0"/>
  </r>
  <r>
    <x v="0"/>
    <x v="1"/>
    <x v="3"/>
    <x v="56"/>
    <x v="1"/>
    <x v="0"/>
    <n v="2"/>
    <n v="0"/>
    <n v="22"/>
    <n v="0"/>
    <n v="0"/>
    <n v="1"/>
    <n v="0"/>
    <n v="1"/>
    <x v="0"/>
  </r>
  <r>
    <x v="0"/>
    <x v="1"/>
    <x v="3"/>
    <x v="57"/>
    <x v="1"/>
    <x v="0"/>
    <n v="2"/>
    <n v="0"/>
    <n v="12"/>
    <n v="10"/>
    <n v="0"/>
    <n v="0.54545454545454541"/>
    <n v="0.45454545454545447"/>
    <n v="0.54545454545454541"/>
    <x v="1"/>
  </r>
  <r>
    <x v="0"/>
    <x v="1"/>
    <x v="3"/>
    <x v="58"/>
    <x v="1"/>
    <x v="0"/>
    <n v="2"/>
    <n v="0"/>
    <n v="13"/>
    <n v="9"/>
    <n v="0"/>
    <n v="0.59090909090909094"/>
    <n v="0.40909090909090912"/>
    <n v="0.59090909090909094"/>
    <x v="1"/>
  </r>
  <r>
    <x v="0"/>
    <x v="1"/>
    <x v="3"/>
    <x v="59"/>
    <x v="1"/>
    <x v="0"/>
    <n v="2"/>
    <n v="0"/>
    <n v="23"/>
    <n v="0"/>
    <n v="0"/>
    <n v="1"/>
    <n v="0"/>
    <n v="1"/>
    <x v="0"/>
  </r>
  <r>
    <x v="0"/>
    <x v="1"/>
    <x v="3"/>
    <x v="60"/>
    <x v="1"/>
    <x v="0"/>
    <n v="2"/>
    <n v="0"/>
    <n v="3"/>
    <n v="1"/>
    <n v="0"/>
    <n v="0.75"/>
    <n v="0.25"/>
    <n v="0.75"/>
    <x v="1"/>
  </r>
  <r>
    <x v="0"/>
    <x v="1"/>
    <x v="3"/>
    <x v="61"/>
    <x v="1"/>
    <x v="1"/>
    <n v="1"/>
    <n v="3"/>
    <n v="0"/>
    <n v="1"/>
    <n v="0.75"/>
    <n v="0"/>
    <n v="0.25"/>
    <n v="0.75"/>
    <x v="1"/>
  </r>
  <r>
    <x v="0"/>
    <x v="1"/>
    <x v="3"/>
    <x v="62"/>
    <x v="1"/>
    <x v="2"/>
    <n v="3"/>
    <n v="11"/>
    <n v="0"/>
    <n v="12"/>
    <n v="0.47826086956521741"/>
    <n v="0"/>
    <n v="0.52173913043478259"/>
    <n v="0.52173913043478259"/>
    <x v="1"/>
  </r>
  <r>
    <x v="0"/>
    <x v="1"/>
    <x v="3"/>
    <x v="63"/>
    <x v="1"/>
    <x v="0"/>
    <n v="2"/>
    <n v="0"/>
    <n v="22"/>
    <n v="0"/>
    <n v="0"/>
    <n v="1"/>
    <n v="0"/>
    <n v="1"/>
    <x v="0"/>
  </r>
  <r>
    <x v="0"/>
    <x v="1"/>
    <x v="3"/>
    <x v="64"/>
    <x v="1"/>
    <x v="0"/>
    <n v="2"/>
    <n v="0"/>
    <n v="22"/>
    <n v="0"/>
    <n v="0"/>
    <n v="1"/>
    <n v="0"/>
    <n v="1"/>
    <x v="0"/>
  </r>
  <r>
    <x v="0"/>
    <x v="1"/>
    <x v="3"/>
    <x v="65"/>
    <x v="1"/>
    <x v="0"/>
    <n v="2"/>
    <n v="0"/>
    <n v="22"/>
    <n v="0"/>
    <n v="0"/>
    <n v="1"/>
    <n v="0"/>
    <n v="1"/>
    <x v="0"/>
  </r>
  <r>
    <x v="0"/>
    <x v="2"/>
    <x v="0"/>
    <x v="66"/>
    <x v="0"/>
    <x v="0"/>
    <n v="2"/>
    <n v="4"/>
    <n v="17"/>
    <n v="0"/>
    <n v="0.19047619047619049"/>
    <n v="0.80952380952380953"/>
    <n v="0"/>
    <n v="0.80952380952380953"/>
    <x v="2"/>
  </r>
  <r>
    <x v="0"/>
    <x v="2"/>
    <x v="0"/>
    <x v="67"/>
    <x v="0"/>
    <x v="0"/>
    <n v="2"/>
    <n v="6"/>
    <n v="16"/>
    <n v="0"/>
    <n v="0.27272727272727271"/>
    <n v="0.72727272727272729"/>
    <n v="0"/>
    <n v="0.72727272727272729"/>
    <x v="1"/>
  </r>
  <r>
    <x v="0"/>
    <x v="2"/>
    <x v="0"/>
    <x v="68"/>
    <x v="0"/>
    <x v="1"/>
    <n v="1"/>
    <n v="13"/>
    <n v="6"/>
    <n v="0"/>
    <n v="0.68421052631578949"/>
    <n v="0.31578947368421051"/>
    <n v="0"/>
    <n v="0.68421052631578949"/>
    <x v="1"/>
  </r>
  <r>
    <x v="0"/>
    <x v="2"/>
    <x v="1"/>
    <x v="69"/>
    <x v="1"/>
    <x v="0"/>
    <n v="2"/>
    <n v="4"/>
    <n v="16"/>
    <n v="0"/>
    <n v="0.2"/>
    <n v="0.8"/>
    <n v="0"/>
    <n v="0.8"/>
    <x v="2"/>
  </r>
  <r>
    <x v="0"/>
    <x v="2"/>
    <x v="1"/>
    <x v="70"/>
    <x v="1"/>
    <x v="0"/>
    <n v="2"/>
    <n v="0"/>
    <n v="19"/>
    <n v="0"/>
    <n v="0"/>
    <n v="1"/>
    <n v="0"/>
    <n v="1"/>
    <x v="0"/>
  </r>
  <r>
    <x v="0"/>
    <x v="2"/>
    <x v="1"/>
    <x v="71"/>
    <x v="1"/>
    <x v="0"/>
    <n v="2"/>
    <n v="4"/>
    <n v="17"/>
    <n v="0"/>
    <n v="0.19047619047619049"/>
    <n v="0.80952380952380953"/>
    <n v="0"/>
    <n v="0.80952380952380953"/>
    <x v="2"/>
  </r>
  <r>
    <x v="0"/>
    <x v="2"/>
    <x v="2"/>
    <x v="72"/>
    <x v="0"/>
    <x v="1"/>
    <n v="1"/>
    <n v="11"/>
    <n v="2"/>
    <n v="4"/>
    <n v="0.6470588235294118"/>
    <n v="0.1176470588235294"/>
    <n v="0.23529411764705879"/>
    <n v="0.6470588235294118"/>
    <x v="1"/>
  </r>
  <r>
    <x v="0"/>
    <x v="2"/>
    <x v="2"/>
    <x v="73"/>
    <x v="0"/>
    <x v="2"/>
    <n v="3"/>
    <n v="0"/>
    <n v="4"/>
    <n v="13"/>
    <n v="0"/>
    <n v="0.23529411764705879"/>
    <n v="0.76470588235294112"/>
    <n v="0.76470588235294112"/>
    <x v="1"/>
  </r>
  <r>
    <x v="0"/>
    <x v="2"/>
    <x v="2"/>
    <x v="74"/>
    <x v="0"/>
    <x v="0"/>
    <n v="2"/>
    <n v="9"/>
    <n v="10"/>
    <n v="4"/>
    <n v="0.39130434782608697"/>
    <n v="0.43478260869565222"/>
    <n v="0.17391304347826089"/>
    <n v="0.43478260869565222"/>
    <x v="3"/>
  </r>
  <r>
    <x v="0"/>
    <x v="2"/>
    <x v="3"/>
    <x v="75"/>
    <x v="1"/>
    <x v="0"/>
    <n v="2"/>
    <n v="3"/>
    <n v="9"/>
    <n v="0"/>
    <n v="0.25"/>
    <n v="0.75"/>
    <n v="0"/>
    <n v="0.75"/>
    <x v="1"/>
  </r>
  <r>
    <x v="0"/>
    <x v="2"/>
    <x v="3"/>
    <x v="76"/>
    <x v="1"/>
    <x v="0"/>
    <n v="2"/>
    <n v="0"/>
    <n v="22"/>
    <n v="0"/>
    <n v="0"/>
    <n v="1"/>
    <n v="0"/>
    <n v="1"/>
    <x v="0"/>
  </r>
  <r>
    <x v="0"/>
    <x v="2"/>
    <x v="3"/>
    <x v="77"/>
    <x v="1"/>
    <x v="0"/>
    <n v="2"/>
    <n v="0"/>
    <n v="22"/>
    <n v="1"/>
    <n v="0"/>
    <n v="0.95652173913043481"/>
    <n v="4.3478260869565223E-2"/>
    <n v="0.95652173913043481"/>
    <x v="0"/>
  </r>
  <r>
    <x v="0"/>
    <x v="2"/>
    <x v="3"/>
    <x v="78"/>
    <x v="1"/>
    <x v="0"/>
    <n v="2"/>
    <n v="3"/>
    <n v="11"/>
    <n v="1"/>
    <n v="0.2"/>
    <n v="0.73333333333333328"/>
    <n v="6.6666666666666666E-2"/>
    <n v="0.73333333333333328"/>
    <x v="1"/>
  </r>
  <r>
    <x v="1"/>
    <x v="0"/>
    <x v="0"/>
    <x v="0"/>
    <x v="0"/>
    <x v="1"/>
    <n v="1"/>
    <n v="12"/>
    <n v="2"/>
    <n v="0"/>
    <n v="0.8571428571428571"/>
    <n v="0.14285714285714279"/>
    <n v="0"/>
    <n v="0.8571428571428571"/>
    <x v="2"/>
  </r>
  <r>
    <x v="1"/>
    <x v="0"/>
    <x v="0"/>
    <x v="1"/>
    <x v="0"/>
    <x v="1"/>
    <n v="1"/>
    <n v="15"/>
    <n v="0"/>
    <n v="0"/>
    <n v="1"/>
    <n v="0"/>
    <n v="0"/>
    <n v="1"/>
    <x v="0"/>
  </r>
  <r>
    <x v="1"/>
    <x v="0"/>
    <x v="0"/>
    <x v="2"/>
    <x v="0"/>
    <x v="0"/>
    <n v="2"/>
    <n v="4"/>
    <n v="10"/>
    <n v="0"/>
    <n v="0.2857142857142857"/>
    <n v="0.7142857142857143"/>
    <n v="0"/>
    <n v="0.7142857142857143"/>
    <x v="1"/>
  </r>
  <r>
    <x v="1"/>
    <x v="0"/>
    <x v="0"/>
    <x v="3"/>
    <x v="0"/>
    <x v="0"/>
    <n v="2"/>
    <n v="3"/>
    <n v="11"/>
    <n v="0"/>
    <n v="0.2142857142857143"/>
    <n v="0.7857142857142857"/>
    <n v="0"/>
    <n v="0.7857142857142857"/>
    <x v="1"/>
  </r>
  <r>
    <x v="1"/>
    <x v="0"/>
    <x v="0"/>
    <x v="4"/>
    <x v="0"/>
    <x v="0"/>
    <n v="2"/>
    <n v="2"/>
    <n v="12"/>
    <n v="0"/>
    <n v="0.14285714285714279"/>
    <n v="0.8571428571428571"/>
    <n v="0"/>
    <n v="0.8571428571428571"/>
    <x v="2"/>
  </r>
  <r>
    <x v="1"/>
    <x v="0"/>
    <x v="0"/>
    <x v="5"/>
    <x v="0"/>
    <x v="0"/>
    <n v="2"/>
    <n v="0"/>
    <n v="15"/>
    <n v="0"/>
    <n v="0"/>
    <n v="1"/>
    <n v="0"/>
    <n v="1"/>
    <x v="0"/>
  </r>
  <r>
    <x v="1"/>
    <x v="0"/>
    <x v="0"/>
    <x v="6"/>
    <x v="0"/>
    <x v="0"/>
    <n v="2"/>
    <n v="6"/>
    <n v="8"/>
    <n v="0"/>
    <n v="0.42857142857142849"/>
    <n v="0.5714285714285714"/>
    <n v="0"/>
    <n v="0.5714285714285714"/>
    <x v="1"/>
  </r>
  <r>
    <x v="1"/>
    <x v="0"/>
    <x v="0"/>
    <x v="7"/>
    <x v="0"/>
    <x v="0"/>
    <n v="2"/>
    <n v="2"/>
    <n v="9"/>
    <n v="3"/>
    <n v="0.14285714285714279"/>
    <n v="0.6428571428571429"/>
    <n v="0.2142857142857143"/>
    <n v="0.6428571428571429"/>
    <x v="1"/>
  </r>
  <r>
    <x v="1"/>
    <x v="0"/>
    <x v="0"/>
    <x v="8"/>
    <x v="0"/>
    <x v="0"/>
    <n v="2"/>
    <n v="0"/>
    <n v="15"/>
    <n v="0"/>
    <n v="0"/>
    <n v="1"/>
    <n v="0"/>
    <n v="1"/>
    <x v="0"/>
  </r>
  <r>
    <x v="1"/>
    <x v="0"/>
    <x v="0"/>
    <x v="9"/>
    <x v="0"/>
    <x v="0"/>
    <n v="2"/>
    <n v="4"/>
    <n v="10"/>
    <n v="0"/>
    <n v="0.2857142857142857"/>
    <n v="0.7142857142857143"/>
    <n v="0"/>
    <n v="0.7142857142857143"/>
    <x v="1"/>
  </r>
  <r>
    <x v="1"/>
    <x v="0"/>
    <x v="1"/>
    <x v="10"/>
    <x v="1"/>
    <x v="0"/>
    <n v="2"/>
    <n v="3"/>
    <n v="11"/>
    <n v="1"/>
    <n v="0.2"/>
    <n v="0.73333333333333328"/>
    <n v="6.6666666666666666E-2"/>
    <n v="0.73333333333333328"/>
    <x v="1"/>
  </r>
  <r>
    <x v="1"/>
    <x v="0"/>
    <x v="1"/>
    <x v="11"/>
    <x v="1"/>
    <x v="1"/>
    <n v="1"/>
    <n v="11"/>
    <n v="2"/>
    <n v="1"/>
    <n v="0.7857142857142857"/>
    <n v="0.14285714285714279"/>
    <n v="7.1428571428571425E-2"/>
    <n v="0.7857142857142857"/>
    <x v="1"/>
  </r>
  <r>
    <x v="1"/>
    <x v="0"/>
    <x v="1"/>
    <x v="12"/>
    <x v="1"/>
    <x v="0"/>
    <n v="2"/>
    <n v="3"/>
    <n v="12"/>
    <n v="0"/>
    <n v="0.2"/>
    <n v="0.8"/>
    <n v="0"/>
    <n v="0.8"/>
    <x v="2"/>
  </r>
  <r>
    <x v="1"/>
    <x v="0"/>
    <x v="1"/>
    <x v="13"/>
    <x v="1"/>
    <x v="0"/>
    <n v="2"/>
    <n v="0"/>
    <n v="15"/>
    <n v="0"/>
    <n v="0"/>
    <n v="1"/>
    <n v="0"/>
    <n v="1"/>
    <x v="0"/>
  </r>
  <r>
    <x v="1"/>
    <x v="0"/>
    <x v="1"/>
    <x v="14"/>
    <x v="1"/>
    <x v="0"/>
    <n v="2"/>
    <n v="0"/>
    <n v="12"/>
    <n v="3"/>
    <n v="0"/>
    <n v="0.8"/>
    <n v="0.2"/>
    <n v="0.8"/>
    <x v="2"/>
  </r>
  <r>
    <x v="1"/>
    <x v="0"/>
    <x v="1"/>
    <x v="15"/>
    <x v="1"/>
    <x v="0"/>
    <n v="2"/>
    <n v="2"/>
    <n v="13"/>
    <n v="0"/>
    <n v="0.1333333333333333"/>
    <n v="0.8666666666666667"/>
    <n v="0"/>
    <n v="0.8666666666666667"/>
    <x v="2"/>
  </r>
  <r>
    <x v="1"/>
    <x v="0"/>
    <x v="1"/>
    <x v="16"/>
    <x v="1"/>
    <x v="0"/>
    <n v="2"/>
    <n v="0"/>
    <n v="15"/>
    <n v="0"/>
    <n v="0"/>
    <n v="1"/>
    <n v="0"/>
    <n v="1"/>
    <x v="0"/>
  </r>
  <r>
    <x v="1"/>
    <x v="0"/>
    <x v="1"/>
    <x v="17"/>
    <x v="1"/>
    <x v="0"/>
    <n v="2"/>
    <n v="3"/>
    <n v="6"/>
    <n v="1"/>
    <n v="0.3"/>
    <n v="0.6"/>
    <n v="0.1"/>
    <n v="0.6"/>
    <x v="1"/>
  </r>
  <r>
    <x v="1"/>
    <x v="0"/>
    <x v="1"/>
    <x v="18"/>
    <x v="1"/>
    <x v="0"/>
    <n v="2"/>
    <n v="2"/>
    <n v="13"/>
    <n v="0"/>
    <n v="0.1333333333333333"/>
    <n v="0.8666666666666667"/>
    <n v="0"/>
    <n v="0.8666666666666667"/>
    <x v="2"/>
  </r>
  <r>
    <x v="1"/>
    <x v="0"/>
    <x v="1"/>
    <x v="19"/>
    <x v="1"/>
    <x v="0"/>
    <n v="2"/>
    <n v="0"/>
    <n v="15"/>
    <n v="0"/>
    <n v="0"/>
    <n v="1"/>
    <n v="0"/>
    <n v="1"/>
    <x v="0"/>
  </r>
  <r>
    <x v="1"/>
    <x v="0"/>
    <x v="1"/>
    <x v="20"/>
    <x v="1"/>
    <x v="0"/>
    <n v="2"/>
    <n v="0"/>
    <n v="5"/>
    <n v="0"/>
    <n v="0"/>
    <n v="1"/>
    <n v="0"/>
    <n v="1"/>
    <x v="0"/>
  </r>
  <r>
    <x v="1"/>
    <x v="0"/>
    <x v="1"/>
    <x v="21"/>
    <x v="1"/>
    <x v="0"/>
    <n v="2"/>
    <n v="0"/>
    <n v="15"/>
    <n v="0"/>
    <n v="0"/>
    <n v="1"/>
    <n v="0"/>
    <n v="1"/>
    <x v="0"/>
  </r>
  <r>
    <x v="1"/>
    <x v="0"/>
    <x v="2"/>
    <x v="22"/>
    <x v="0"/>
    <x v="1"/>
    <n v="1"/>
    <n v="14"/>
    <n v="0"/>
    <n v="0"/>
    <n v="1"/>
    <n v="0"/>
    <n v="0"/>
    <n v="1"/>
    <x v="0"/>
  </r>
  <r>
    <x v="1"/>
    <x v="0"/>
    <x v="2"/>
    <x v="23"/>
    <x v="0"/>
    <x v="1"/>
    <n v="1"/>
    <n v="10"/>
    <n v="0"/>
    <n v="0"/>
    <n v="1"/>
    <n v="0"/>
    <n v="0"/>
    <n v="1"/>
    <x v="0"/>
  </r>
  <r>
    <x v="1"/>
    <x v="0"/>
    <x v="2"/>
    <x v="24"/>
    <x v="0"/>
    <x v="1"/>
    <n v="1"/>
    <n v="14"/>
    <n v="1"/>
    <n v="0"/>
    <n v="0.93333333333333335"/>
    <n v="6.6666666666666666E-2"/>
    <n v="0"/>
    <n v="0.93333333333333335"/>
    <x v="0"/>
  </r>
  <r>
    <x v="1"/>
    <x v="0"/>
    <x v="2"/>
    <x v="25"/>
    <x v="0"/>
    <x v="0"/>
    <n v="2"/>
    <n v="6"/>
    <n v="9"/>
    <n v="0"/>
    <n v="0.4"/>
    <n v="0.6"/>
    <n v="0"/>
    <n v="0.6"/>
    <x v="1"/>
  </r>
  <r>
    <x v="1"/>
    <x v="0"/>
    <x v="2"/>
    <x v="26"/>
    <x v="0"/>
    <x v="1"/>
    <n v="1"/>
    <n v="8"/>
    <n v="7"/>
    <n v="0"/>
    <n v="0.53333333333333333"/>
    <n v="0.46666666666666667"/>
    <n v="0"/>
    <n v="0.53333333333333333"/>
    <x v="1"/>
  </r>
  <r>
    <x v="1"/>
    <x v="0"/>
    <x v="2"/>
    <x v="27"/>
    <x v="0"/>
    <x v="0"/>
    <n v="2"/>
    <n v="0"/>
    <n v="15"/>
    <n v="0"/>
    <n v="0"/>
    <n v="1"/>
    <n v="0"/>
    <n v="1"/>
    <x v="0"/>
  </r>
  <r>
    <x v="1"/>
    <x v="0"/>
    <x v="2"/>
    <x v="28"/>
    <x v="0"/>
    <x v="0"/>
    <n v="2"/>
    <n v="4"/>
    <n v="11"/>
    <n v="0"/>
    <n v="0.26666666666666672"/>
    <n v="0.73333333333333328"/>
    <n v="0"/>
    <n v="0.73333333333333328"/>
    <x v="1"/>
  </r>
  <r>
    <x v="1"/>
    <x v="0"/>
    <x v="2"/>
    <x v="29"/>
    <x v="0"/>
    <x v="1"/>
    <n v="1"/>
    <n v="10"/>
    <n v="5"/>
    <n v="0"/>
    <n v="0.66666666666666663"/>
    <n v="0.33333333333333331"/>
    <n v="0"/>
    <n v="0.66666666666666663"/>
    <x v="1"/>
  </r>
  <r>
    <x v="1"/>
    <x v="0"/>
    <x v="2"/>
    <x v="30"/>
    <x v="0"/>
    <x v="1"/>
    <n v="1"/>
    <n v="13"/>
    <n v="0"/>
    <n v="0"/>
    <n v="1"/>
    <n v="0"/>
    <n v="0"/>
    <n v="1"/>
    <x v="0"/>
  </r>
  <r>
    <x v="1"/>
    <x v="0"/>
    <x v="2"/>
    <x v="31"/>
    <x v="0"/>
    <x v="1"/>
    <n v="1"/>
    <n v="15"/>
    <n v="0"/>
    <n v="0"/>
    <n v="1"/>
    <n v="0"/>
    <n v="0"/>
    <n v="1"/>
    <x v="0"/>
  </r>
  <r>
    <x v="1"/>
    <x v="0"/>
    <x v="3"/>
    <x v="32"/>
    <x v="1"/>
    <x v="0"/>
    <n v="2"/>
    <n v="0"/>
    <n v="15"/>
    <n v="0"/>
    <n v="0"/>
    <n v="1"/>
    <n v="0"/>
    <n v="1"/>
    <x v="0"/>
  </r>
  <r>
    <x v="1"/>
    <x v="0"/>
    <x v="3"/>
    <x v="33"/>
    <x v="1"/>
    <x v="0"/>
    <n v="2"/>
    <n v="0"/>
    <n v="15"/>
    <n v="0"/>
    <n v="0"/>
    <n v="1"/>
    <n v="0"/>
    <n v="1"/>
    <x v="0"/>
  </r>
  <r>
    <x v="1"/>
    <x v="0"/>
    <x v="3"/>
    <x v="34"/>
    <x v="1"/>
    <x v="0"/>
    <n v="2"/>
    <n v="4"/>
    <n v="11"/>
    <n v="0"/>
    <n v="0.26666666666666672"/>
    <n v="0.73333333333333328"/>
    <n v="0"/>
    <n v="0.73333333333333328"/>
    <x v="1"/>
  </r>
  <r>
    <x v="1"/>
    <x v="0"/>
    <x v="3"/>
    <x v="35"/>
    <x v="1"/>
    <x v="1"/>
    <n v="1"/>
    <n v="12"/>
    <n v="3"/>
    <n v="0"/>
    <n v="0.8"/>
    <n v="0.2"/>
    <n v="0"/>
    <n v="0.8"/>
    <x v="2"/>
  </r>
  <r>
    <x v="1"/>
    <x v="0"/>
    <x v="3"/>
    <x v="36"/>
    <x v="1"/>
    <x v="0"/>
    <n v="2"/>
    <n v="0"/>
    <n v="15"/>
    <n v="0"/>
    <n v="0"/>
    <n v="1"/>
    <n v="0"/>
    <n v="1"/>
    <x v="0"/>
  </r>
  <r>
    <x v="1"/>
    <x v="0"/>
    <x v="3"/>
    <x v="37"/>
    <x v="1"/>
    <x v="0"/>
    <n v="2"/>
    <n v="4"/>
    <n v="11"/>
    <n v="0"/>
    <n v="0.26666666666666672"/>
    <n v="0.73333333333333328"/>
    <n v="0"/>
    <n v="0.73333333333333328"/>
    <x v="1"/>
  </r>
  <r>
    <x v="1"/>
    <x v="0"/>
    <x v="3"/>
    <x v="38"/>
    <x v="1"/>
    <x v="0"/>
    <n v="2"/>
    <n v="2"/>
    <n v="13"/>
    <n v="0"/>
    <n v="0.1333333333333333"/>
    <n v="0.8666666666666667"/>
    <n v="0"/>
    <n v="0.8666666666666667"/>
    <x v="2"/>
  </r>
  <r>
    <x v="1"/>
    <x v="0"/>
    <x v="3"/>
    <x v="39"/>
    <x v="1"/>
    <x v="0"/>
    <n v="2"/>
    <n v="3"/>
    <n v="9"/>
    <n v="3"/>
    <n v="0.2"/>
    <n v="0.6"/>
    <n v="0.2"/>
    <n v="0.6"/>
    <x v="1"/>
  </r>
  <r>
    <x v="1"/>
    <x v="0"/>
    <x v="3"/>
    <x v="40"/>
    <x v="1"/>
    <x v="0"/>
    <n v="2"/>
    <n v="0"/>
    <n v="9"/>
    <n v="6"/>
    <n v="0"/>
    <n v="0.6"/>
    <n v="0.4"/>
    <n v="0.6"/>
    <x v="1"/>
  </r>
  <r>
    <x v="1"/>
    <x v="0"/>
    <x v="3"/>
    <x v="41"/>
    <x v="1"/>
    <x v="0"/>
    <n v="2"/>
    <n v="0"/>
    <n v="15"/>
    <n v="0"/>
    <n v="0"/>
    <n v="1"/>
    <n v="0"/>
    <n v="1"/>
    <x v="0"/>
  </r>
  <r>
    <x v="1"/>
    <x v="0"/>
    <x v="3"/>
    <x v="42"/>
    <x v="1"/>
    <x v="0"/>
    <n v="2"/>
    <n v="0"/>
    <n v="14"/>
    <n v="0"/>
    <n v="0"/>
    <n v="1"/>
    <n v="0"/>
    <n v="1"/>
    <x v="0"/>
  </r>
  <r>
    <x v="1"/>
    <x v="0"/>
    <x v="3"/>
    <x v="43"/>
    <x v="1"/>
    <x v="0"/>
    <n v="2"/>
    <n v="2"/>
    <n v="13"/>
    <n v="0"/>
    <n v="0.1333333333333333"/>
    <n v="0.8666666666666667"/>
    <n v="0"/>
    <n v="0.8666666666666667"/>
    <x v="2"/>
  </r>
  <r>
    <x v="1"/>
    <x v="0"/>
    <x v="3"/>
    <x v="44"/>
    <x v="1"/>
    <x v="1"/>
    <n v="1"/>
    <n v="13"/>
    <n v="2"/>
    <n v="0"/>
    <n v="0.8666666666666667"/>
    <n v="0.1333333333333333"/>
    <n v="0"/>
    <n v="0.8666666666666667"/>
    <x v="2"/>
  </r>
  <r>
    <x v="1"/>
    <x v="0"/>
    <x v="3"/>
    <x v="45"/>
    <x v="1"/>
    <x v="0"/>
    <n v="2"/>
    <n v="4"/>
    <n v="7"/>
    <n v="4"/>
    <n v="0.26666666666666672"/>
    <n v="0.46666666666666667"/>
    <n v="0.26666666666666672"/>
    <n v="0.46666666666666667"/>
    <x v="3"/>
  </r>
  <r>
    <x v="1"/>
    <x v="0"/>
    <x v="3"/>
    <x v="46"/>
    <x v="1"/>
    <x v="0"/>
    <n v="2"/>
    <n v="3"/>
    <n v="12"/>
    <n v="0"/>
    <n v="0.2"/>
    <n v="0.8"/>
    <n v="0"/>
    <n v="0.8"/>
    <x v="2"/>
  </r>
  <r>
    <x v="1"/>
    <x v="1"/>
    <x v="0"/>
    <x v="47"/>
    <x v="0"/>
    <x v="1"/>
    <n v="1"/>
    <n v="12"/>
    <n v="2"/>
    <n v="0"/>
    <n v="0.8571428571428571"/>
    <n v="0.14285714285714279"/>
    <n v="0"/>
    <n v="0.8571428571428571"/>
    <x v="2"/>
  </r>
  <r>
    <x v="1"/>
    <x v="1"/>
    <x v="0"/>
    <x v="48"/>
    <x v="0"/>
    <x v="1"/>
    <n v="1"/>
    <n v="8"/>
    <n v="6"/>
    <n v="0"/>
    <n v="0.5714285714285714"/>
    <n v="0.42857142857142849"/>
    <n v="0"/>
    <n v="0.5714285714285714"/>
    <x v="1"/>
  </r>
  <r>
    <x v="1"/>
    <x v="1"/>
    <x v="0"/>
    <x v="49"/>
    <x v="0"/>
    <x v="0"/>
    <n v="2"/>
    <n v="6"/>
    <n v="8"/>
    <n v="0"/>
    <n v="0.42857142857142849"/>
    <n v="0.5714285714285714"/>
    <n v="0"/>
    <n v="0.5714285714285714"/>
    <x v="1"/>
  </r>
  <r>
    <x v="1"/>
    <x v="1"/>
    <x v="0"/>
    <x v="50"/>
    <x v="0"/>
    <x v="0"/>
    <n v="2"/>
    <n v="6"/>
    <n v="9"/>
    <n v="0"/>
    <n v="0.4"/>
    <n v="0.6"/>
    <n v="0"/>
    <n v="0.6"/>
    <x v="1"/>
  </r>
  <r>
    <x v="1"/>
    <x v="1"/>
    <x v="0"/>
    <x v="51"/>
    <x v="0"/>
    <x v="0"/>
    <n v="2"/>
    <n v="1"/>
    <n v="14"/>
    <n v="0"/>
    <n v="6.6666666666666666E-2"/>
    <n v="0.93333333333333335"/>
    <n v="0"/>
    <n v="0.93333333333333335"/>
    <x v="0"/>
  </r>
  <r>
    <x v="1"/>
    <x v="1"/>
    <x v="0"/>
    <x v="52"/>
    <x v="0"/>
    <x v="0"/>
    <n v="2"/>
    <n v="3"/>
    <n v="12"/>
    <n v="0"/>
    <n v="0.2"/>
    <n v="0.8"/>
    <n v="0"/>
    <n v="0.8"/>
    <x v="2"/>
  </r>
  <r>
    <x v="1"/>
    <x v="1"/>
    <x v="1"/>
    <x v="53"/>
    <x v="1"/>
    <x v="0"/>
    <n v="2"/>
    <n v="0"/>
    <n v="15"/>
    <n v="0"/>
    <n v="0"/>
    <n v="1"/>
    <n v="0"/>
    <n v="1"/>
    <x v="0"/>
  </r>
  <r>
    <x v="1"/>
    <x v="1"/>
    <x v="1"/>
    <x v="54"/>
    <x v="1"/>
    <x v="0"/>
    <n v="2"/>
    <n v="0"/>
    <n v="15"/>
    <n v="0"/>
    <n v="0"/>
    <n v="1"/>
    <n v="0"/>
    <n v="1"/>
    <x v="0"/>
  </r>
  <r>
    <x v="1"/>
    <x v="1"/>
    <x v="1"/>
    <x v="55"/>
    <x v="1"/>
    <x v="0"/>
    <n v="2"/>
    <n v="0"/>
    <n v="10"/>
    <n v="0"/>
    <n v="0"/>
    <n v="1"/>
    <n v="0"/>
    <n v="1"/>
    <x v="0"/>
  </r>
  <r>
    <x v="1"/>
    <x v="1"/>
    <x v="3"/>
    <x v="56"/>
    <x v="1"/>
    <x v="0"/>
    <n v="2"/>
    <n v="0"/>
    <n v="15"/>
    <n v="0"/>
    <n v="0"/>
    <n v="1"/>
    <n v="0"/>
    <n v="1"/>
    <x v="0"/>
  </r>
  <r>
    <x v="1"/>
    <x v="1"/>
    <x v="3"/>
    <x v="57"/>
    <x v="1"/>
    <x v="0"/>
    <n v="2"/>
    <n v="0"/>
    <n v="11"/>
    <n v="4"/>
    <n v="0"/>
    <n v="0.73333333333333328"/>
    <n v="0.26666666666666672"/>
    <n v="0.73333333333333328"/>
    <x v="1"/>
  </r>
  <r>
    <x v="1"/>
    <x v="1"/>
    <x v="3"/>
    <x v="58"/>
    <x v="1"/>
    <x v="0"/>
    <n v="2"/>
    <n v="0"/>
    <n v="10"/>
    <n v="5"/>
    <n v="0"/>
    <n v="0.66666666666666663"/>
    <n v="0.33333333333333331"/>
    <n v="0.66666666666666663"/>
    <x v="1"/>
  </r>
  <r>
    <x v="1"/>
    <x v="1"/>
    <x v="3"/>
    <x v="59"/>
    <x v="1"/>
    <x v="0"/>
    <n v="2"/>
    <n v="0"/>
    <n v="15"/>
    <n v="0"/>
    <n v="0"/>
    <n v="1"/>
    <n v="0"/>
    <n v="1"/>
    <x v="0"/>
  </r>
  <r>
    <x v="1"/>
    <x v="1"/>
    <x v="3"/>
    <x v="60"/>
    <x v="1"/>
    <x v="0"/>
    <n v="2"/>
    <n v="0"/>
    <n v="13"/>
    <n v="0"/>
    <n v="0"/>
    <n v="1"/>
    <n v="0"/>
    <n v="1"/>
    <x v="0"/>
  </r>
  <r>
    <x v="1"/>
    <x v="1"/>
    <x v="3"/>
    <x v="61"/>
    <x v="1"/>
    <x v="2"/>
    <n v="3"/>
    <n v="3"/>
    <n v="3"/>
    <n v="4"/>
    <n v="0.3"/>
    <n v="0.3"/>
    <n v="0.4"/>
    <n v="0.4"/>
    <x v="3"/>
  </r>
  <r>
    <x v="1"/>
    <x v="1"/>
    <x v="3"/>
    <x v="62"/>
    <x v="1"/>
    <x v="1"/>
    <n v="1"/>
    <n v="9"/>
    <n v="1"/>
    <n v="4"/>
    <n v="0.6428571428571429"/>
    <n v="7.1428571428571425E-2"/>
    <n v="0.2857142857142857"/>
    <n v="0.6428571428571429"/>
    <x v="1"/>
  </r>
  <r>
    <x v="1"/>
    <x v="1"/>
    <x v="3"/>
    <x v="63"/>
    <x v="1"/>
    <x v="0"/>
    <n v="2"/>
    <n v="0"/>
    <n v="15"/>
    <n v="0"/>
    <n v="0"/>
    <n v="1"/>
    <n v="0"/>
    <n v="1"/>
    <x v="0"/>
  </r>
  <r>
    <x v="1"/>
    <x v="1"/>
    <x v="3"/>
    <x v="64"/>
    <x v="1"/>
    <x v="0"/>
    <n v="2"/>
    <n v="0"/>
    <n v="15"/>
    <n v="0"/>
    <n v="0"/>
    <n v="1"/>
    <n v="0"/>
    <n v="1"/>
    <x v="0"/>
  </r>
  <r>
    <x v="1"/>
    <x v="1"/>
    <x v="3"/>
    <x v="65"/>
    <x v="1"/>
    <x v="0"/>
    <n v="2"/>
    <n v="0"/>
    <n v="13"/>
    <n v="2"/>
    <n v="0"/>
    <n v="0.8666666666666667"/>
    <n v="0.1333333333333333"/>
    <n v="0.8666666666666667"/>
    <x v="2"/>
  </r>
  <r>
    <x v="1"/>
    <x v="2"/>
    <x v="0"/>
    <x v="66"/>
    <x v="0"/>
    <x v="0"/>
    <n v="2"/>
    <n v="4"/>
    <n v="10"/>
    <n v="0"/>
    <n v="0.2857142857142857"/>
    <n v="0.7142857142857143"/>
    <n v="0"/>
    <n v="0.7142857142857143"/>
    <x v="1"/>
  </r>
  <r>
    <x v="1"/>
    <x v="2"/>
    <x v="0"/>
    <x v="67"/>
    <x v="0"/>
    <x v="0"/>
    <n v="2"/>
    <n v="2"/>
    <n v="13"/>
    <n v="0"/>
    <n v="0.1333333333333333"/>
    <n v="0.8666666666666667"/>
    <n v="0"/>
    <n v="0.8666666666666667"/>
    <x v="2"/>
  </r>
  <r>
    <x v="1"/>
    <x v="2"/>
    <x v="0"/>
    <x v="68"/>
    <x v="0"/>
    <x v="1"/>
    <n v="1"/>
    <n v="12"/>
    <n v="3"/>
    <n v="0"/>
    <n v="0.8"/>
    <n v="0.2"/>
    <n v="0"/>
    <n v="0.8"/>
    <x v="2"/>
  </r>
  <r>
    <x v="1"/>
    <x v="2"/>
    <x v="1"/>
    <x v="69"/>
    <x v="1"/>
    <x v="0"/>
    <n v="2"/>
    <n v="1"/>
    <n v="14"/>
    <n v="0"/>
    <n v="6.6666666666666666E-2"/>
    <n v="0.93333333333333335"/>
    <n v="0"/>
    <n v="0.93333333333333335"/>
    <x v="0"/>
  </r>
  <r>
    <x v="1"/>
    <x v="2"/>
    <x v="1"/>
    <x v="70"/>
    <x v="1"/>
    <x v="0"/>
    <n v="2"/>
    <n v="0"/>
    <n v="15"/>
    <n v="0"/>
    <n v="0"/>
    <n v="1"/>
    <n v="0"/>
    <n v="1"/>
    <x v="0"/>
  </r>
  <r>
    <x v="1"/>
    <x v="2"/>
    <x v="1"/>
    <x v="71"/>
    <x v="1"/>
    <x v="0"/>
    <n v="2"/>
    <n v="3"/>
    <n v="12"/>
    <n v="0"/>
    <n v="0.2"/>
    <n v="0.8"/>
    <n v="0"/>
    <n v="0.8"/>
    <x v="2"/>
  </r>
  <r>
    <x v="1"/>
    <x v="2"/>
    <x v="2"/>
    <x v="72"/>
    <x v="0"/>
    <x v="1"/>
    <n v="1"/>
    <n v="13"/>
    <n v="0"/>
    <n v="2"/>
    <n v="0.8666666666666667"/>
    <n v="0"/>
    <n v="0.1333333333333333"/>
    <n v="0.8666666666666667"/>
    <x v="2"/>
  </r>
  <r>
    <x v="1"/>
    <x v="2"/>
    <x v="2"/>
    <x v="73"/>
    <x v="0"/>
    <x v="2"/>
    <n v="3"/>
    <n v="0"/>
    <n v="3"/>
    <n v="12"/>
    <n v="0"/>
    <n v="0.2"/>
    <n v="0.8"/>
    <n v="0.8"/>
    <x v="2"/>
  </r>
  <r>
    <x v="1"/>
    <x v="2"/>
    <x v="2"/>
    <x v="74"/>
    <x v="0"/>
    <x v="1"/>
    <n v="1"/>
    <n v="7"/>
    <n v="0"/>
    <n v="3"/>
    <n v="0.7"/>
    <n v="0"/>
    <n v="0.3"/>
    <n v="0.7"/>
    <x v="1"/>
  </r>
  <r>
    <x v="1"/>
    <x v="2"/>
    <x v="3"/>
    <x v="75"/>
    <x v="1"/>
    <x v="0"/>
    <n v="2"/>
    <n v="3"/>
    <n v="5"/>
    <n v="1"/>
    <n v="0.33333333333333331"/>
    <n v="0.55555555555555558"/>
    <n v="0.1111111111111111"/>
    <n v="0.55555555555555558"/>
    <x v="1"/>
  </r>
  <r>
    <x v="1"/>
    <x v="2"/>
    <x v="3"/>
    <x v="76"/>
    <x v="1"/>
    <x v="0"/>
    <n v="2"/>
    <n v="0"/>
    <n v="15"/>
    <n v="0"/>
    <n v="0"/>
    <n v="1"/>
    <n v="0"/>
    <n v="1"/>
    <x v="0"/>
  </r>
  <r>
    <x v="1"/>
    <x v="2"/>
    <x v="3"/>
    <x v="77"/>
    <x v="1"/>
    <x v="0"/>
    <n v="2"/>
    <n v="2"/>
    <n v="13"/>
    <n v="0"/>
    <n v="0.1333333333333333"/>
    <n v="0.8666666666666667"/>
    <n v="0"/>
    <n v="0.8666666666666667"/>
    <x v="2"/>
  </r>
  <r>
    <x v="1"/>
    <x v="2"/>
    <x v="3"/>
    <x v="78"/>
    <x v="1"/>
    <x v="0"/>
    <n v="2"/>
    <n v="0"/>
    <n v="15"/>
    <n v="0"/>
    <n v="0"/>
    <n v="1"/>
    <n v="0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ablaDinámica13" cacheId="48" dataPosition="0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N3:X20" firstHeaderRow="1" firstDataRow="3" firstDataCol="1"/>
  <pivotFields count="4">
    <pivotField axis="axisRow" showAll="0">
      <items count="5">
        <item x="0"/>
        <item x="1"/>
        <item x="2"/>
        <item h="1" x="3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axis="axisCol" showAll="0">
      <items count="6">
        <item x="0"/>
        <item x="2"/>
        <item x="1"/>
        <item x="3"/>
        <item x="4"/>
        <item t="default"/>
      </items>
    </pivotField>
    <pivotField dataField="1" showAll="0"/>
  </pivotFields>
  <rowFields count="2">
    <field x="0"/>
    <field x="1"/>
  </rowFields>
  <rowItems count="1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2">
    <field x="-2"/>
    <field x="2"/>
  </colFields>
  <colItems count="10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  <i t="grand">
      <x/>
    </i>
    <i t="grand" i="1">
      <x/>
    </i>
  </colItems>
  <dataFields count="2">
    <dataField name="Suma de cant" fld="3" showDataAs="percentOfRow" baseField="0" baseItem="0" numFmtId="9"/>
    <dataField name="Suma de cant2" fld="3" baseField="0" baseItem="0"/>
  </dataFields>
  <formats count="13">
    <format dxfId="173">
      <pivotArea outline="0" collapsedLevelsAreSubtotals="1" fieldPosition="0"/>
    </format>
    <format dxfId="172">
      <pivotArea outline="0" collapsedLevelsAreSubtotals="1" fieldPosition="0"/>
    </format>
    <format dxfId="171">
      <pivotArea dataOnly="0" labelOnly="1" fieldPosition="0">
        <references count="1">
          <reference field="2" count="0"/>
        </references>
      </pivotArea>
    </format>
    <format dxfId="170">
      <pivotArea dataOnly="0" labelOnly="1" grandCol="1" outline="0" fieldPosition="0"/>
    </format>
    <format dxfId="169">
      <pivotArea outline="0" collapsedLevelsAreSubtotals="1" fieldPosition="0"/>
    </format>
    <format dxfId="168">
      <pivotArea dataOnly="0" labelOnly="1" fieldPosition="0">
        <references count="1">
          <reference field="2" count="0"/>
        </references>
      </pivotArea>
    </format>
    <format dxfId="167">
      <pivotArea dataOnly="0" labelOnly="1" grandCol="1" outline="0" fieldPosition="0"/>
    </format>
    <format dxfId="166">
      <pivotArea collapsedLevelsAreSubtotals="1" fieldPosition="0">
        <references count="2">
          <reference field="0" count="1">
            <x v="1"/>
          </reference>
          <reference field="2" count="1" selected="0">
            <x v="1"/>
          </reference>
        </references>
      </pivotArea>
    </format>
    <format dxfId="165">
      <pivotArea collapsedLevelsAreSubtotals="1" fieldPosition="0">
        <references count="2">
          <reference field="0" count="1">
            <x v="1"/>
          </reference>
          <reference field="2" count="1" selected="0">
            <x v="1"/>
          </reference>
        </references>
      </pivotArea>
    </format>
    <format dxfId="164">
      <pivotArea dataOnly="0" outline="0" fieldPosition="0">
        <references count="1">
          <reference field="4294967294" count="1">
            <x v="1"/>
          </reference>
        </references>
      </pivotArea>
    </format>
    <format dxfId="163">
      <pivotArea field="2" grandCol="1" outline="0" collapsedLevelsAreSubtotals="1" axis="axisCol" fieldPosition="1">
        <references count="1">
          <reference field="4294967294" count="1" selected="0">
            <x v="1"/>
          </reference>
        </references>
      </pivotArea>
    </format>
    <format dxfId="162">
      <pivotArea field="2" grandCol="1" outline="0" collapsedLevelsAreSubtotals="1" axis="axisCol" fieldPosition="1">
        <references count="1">
          <reference field="4294967294" count="1" selected="0">
            <x v="1"/>
          </reference>
        </references>
      </pivotArea>
    </format>
    <format dxfId="161">
      <pivotArea field="2" grandCol="1" outline="0" collapsedLevelsAreSubtotals="1" axis="axisCol" fieldPosition="1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4" cacheId="49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N23:X40" firstHeaderRow="1" firstDataRow="3" firstDataCol="1"/>
  <pivotFields count="4">
    <pivotField axis="axisRow" showAll="0">
      <items count="5">
        <item x="0"/>
        <item x="1"/>
        <item x="2"/>
        <item h="1" x="3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</pivotFields>
  <rowFields count="2">
    <field x="0"/>
    <field x="1"/>
  </rowFields>
  <rowItems count="1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2">
    <field x="-2"/>
    <field x="2"/>
  </colFields>
  <colItems count="10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  <i t="grand">
      <x/>
    </i>
    <i t="grand" i="1">
      <x/>
    </i>
  </colItems>
  <dataFields count="2">
    <dataField name="Suma de cant" fld="3" showDataAs="percentOfRow" baseField="0" baseItem="0" numFmtId="9"/>
    <dataField name="Suma de cant2" fld="3" baseField="1" baseItem="0"/>
  </dataFields>
  <formats count="10">
    <format dxfId="183">
      <pivotArea outline="0" collapsedLevelsAreSubtotals="1" fieldPosition="0"/>
    </format>
    <format dxfId="182">
      <pivotArea outline="0" collapsedLevelsAreSubtotals="1" fieldPosition="0"/>
    </format>
    <format dxfId="181">
      <pivotArea outline="0" collapsedLevelsAreSubtotals="1" fieldPosition="0"/>
    </format>
    <format dxfId="180">
      <pivotArea collapsedLevelsAreSubtotals="1" fieldPosition="0">
        <references count="2">
          <reference field="0" count="1">
            <x v="1"/>
          </reference>
          <reference field="2" count="1" selected="0">
            <x v="1"/>
          </reference>
        </references>
      </pivotArea>
    </format>
    <format dxfId="179">
      <pivotArea collapsedLevelsAreSubtotals="1" fieldPosition="0">
        <references count="2">
          <reference field="0" count="1">
            <x v="1"/>
          </reference>
          <reference field="2" count="1" selected="0">
            <x v="1"/>
          </reference>
        </references>
      </pivotArea>
    </format>
    <format dxfId="178">
      <pivotArea dataOnly="0" outline="0" fieldPosition="0">
        <references count="1">
          <reference field="4294967294" count="1">
            <x v="0"/>
          </reference>
        </references>
      </pivotArea>
    </format>
    <format dxfId="177">
      <pivotArea dataOnly="0" outline="0" fieldPosition="0">
        <references count="1">
          <reference field="4294967294" count="1">
            <x v="0"/>
          </reference>
        </references>
      </pivotArea>
    </format>
    <format dxfId="176">
      <pivotArea dataOnly="0" outline="0" fieldPosition="0">
        <references count="1">
          <reference field="4294967294" count="1">
            <x v="0"/>
          </reference>
        </references>
      </pivotArea>
    </format>
    <format dxfId="175">
      <pivotArea dataOnly="0" outline="0" fieldPosition="0">
        <references count="1">
          <reference field="4294967294" count="1">
            <x v="1"/>
          </reference>
        </references>
      </pivotArea>
    </format>
    <format dxfId="174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1" cacheId="51" applyNumberFormats="0" applyBorderFormats="0" applyFontFormats="0" applyPatternFormats="0" applyAlignmentFormats="0" applyWidthHeightFormats="1" dataCaption="Valores" updatedVersion="6" minRefreshableVersion="3" itemPrintTitles="1" createdVersion="6" indent="0" outline="1" outlineData="1" multipleFieldFilters="0">
  <location ref="A24:K34" firstHeaderRow="1" firstDataRow="3" firstDataCol="1" rowPageCount="1" colPageCount="1"/>
  <pivotFields count="15">
    <pivotField showAll="0">
      <items count="3">
        <item x="1"/>
        <item x="0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/>
    <pivotField dataField="1" showAll="0"/>
    <pivotField axis="axisRow" showAll="0">
      <items count="3">
        <item x="0"/>
        <item x="1"/>
        <item t="default"/>
      </items>
    </pivotField>
    <pivotField axis="axisRow" showAll="0" sortType="ascending">
      <items count="7">
        <item m="1" x="4"/>
        <item m="1" x="3"/>
        <item m="1" x="5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2"/>
        <item x="1"/>
        <item x="3"/>
        <item t="default"/>
      </items>
    </pivotField>
  </pivotFields>
  <rowFields count="2">
    <field x="4"/>
    <field x="5"/>
  </rowFields>
  <rowItems count="8">
    <i>
      <x/>
    </i>
    <i r="1">
      <x v="3"/>
    </i>
    <i r="1">
      <x v="4"/>
    </i>
    <i>
      <x v="1"/>
    </i>
    <i r="1">
      <x v="3"/>
    </i>
    <i r="1">
      <x v="4"/>
    </i>
    <i r="1">
      <x v="5"/>
    </i>
    <i t="grand">
      <x/>
    </i>
  </rowItems>
  <colFields count="2">
    <field x="-2"/>
    <field x="14"/>
  </colFields>
  <colItems count="10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  <i t="grand">
      <x/>
    </i>
    <i t="grand" i="1">
      <x/>
    </i>
  </colItems>
  <pageFields count="1">
    <pageField fld="1" item="0" hier="-1"/>
  </pageFields>
  <dataFields count="2">
    <dataField name="%" fld="3" subtotal="count" showDataAs="percentOfTotal" baseField="2" baseItem="1" numFmtId="10"/>
    <dataField name="Cant" fld="3" subtotal="count" baseField="1" baseItem="1"/>
  </dataFields>
  <formats count="30">
    <format dxfId="129">
      <pivotArea dataOnly="0" outline="0" fieldPosition="0">
        <references count="1">
          <reference field="14" count="0"/>
        </references>
      </pivotArea>
    </format>
    <format dxfId="128">
      <pivotArea dataOnly="0" outline="0" fieldPosition="0">
        <references count="1">
          <reference field="14" count="0"/>
        </references>
      </pivotArea>
    </format>
    <format dxfId="127">
      <pivotArea outline="0" fieldPosition="0">
        <references count="1">
          <reference field="4294967294" count="1">
            <x v="0"/>
          </reference>
        </references>
      </pivotArea>
    </format>
    <format dxfId="126">
      <pivotArea dataOnly="0" outline="0" fieldPosition="0">
        <references count="1">
          <reference field="14" count="0"/>
        </references>
      </pivotArea>
    </format>
    <format dxfId="125">
      <pivotArea dataOnly="0" grandCol="1" outline="0" fieldPosition="0"/>
    </format>
    <format dxfId="124">
      <pivotArea dataOnly="0" outline="0" fieldPosition="0">
        <references count="1">
          <reference field="4294967294" count="1">
            <x v="1"/>
          </reference>
        </references>
      </pivotArea>
    </format>
    <format dxfId="123">
      <pivotArea dataOnly="0" outline="0" fieldPosition="0">
        <references count="1">
          <reference field="4294967294" count="1">
            <x v="1"/>
          </reference>
        </references>
      </pivotArea>
    </format>
    <format dxfId="122">
      <pivotArea dataOnly="0" outline="0" fieldPosition="0">
        <references count="1">
          <reference field="4294967294" count="1">
            <x v="1"/>
          </reference>
        </references>
      </pivotArea>
    </format>
    <format dxfId="121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20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19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18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17">
      <pivotArea field="1" type="button" dataOnly="0" labelOnly="1" outline="0" axis="axisPage" fieldPosition="0"/>
    </format>
    <format dxfId="116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15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14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13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0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1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2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3"/>
          </reference>
        </references>
      </pivotArea>
    </format>
    <format dxfId="108">
      <pivotArea field="1" type="button" dataOnly="0" labelOnly="1" outline="0" axis="axisPage" fieldPosition="0"/>
    </format>
    <format dxfId="107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06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05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04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0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1"/>
          </reference>
        </references>
      </pivotArea>
    </format>
    <format dxfId="101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2"/>
          </reference>
        </references>
      </pivotArea>
    </format>
    <format dxfId="100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9" cacheId="51" applyNumberFormats="0" applyBorderFormats="0" applyFontFormats="0" applyPatternFormats="0" applyAlignmentFormats="0" applyWidthHeightFormats="1" dataCaption="Valores" updatedVersion="6" minRefreshableVersion="3" itemPrintTitles="1" createdVersion="6" indent="0" outline="1" outlineData="1" multipleFieldFilters="0">
  <location ref="A3:K20" firstHeaderRow="1" firstDataRow="3" firstDataCol="1"/>
  <pivotFields count="15">
    <pivotField showAll="0">
      <items count="3">
        <item x="1"/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showAll="0"/>
    <pivotField showAll="0" defaultSubtotal="0"/>
    <pivotField showAl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2"/>
        <item x="1"/>
        <item x="3"/>
        <item t="default"/>
      </items>
    </pivotField>
  </pivotFields>
  <rowFields count="2">
    <field x="1"/>
    <field x="2"/>
  </rowFields>
  <rowItems count="1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2">
    <field x="-2"/>
    <field x="14"/>
  </colFields>
  <colItems count="10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  <i t="grand">
      <x/>
    </i>
    <i t="grand" i="1">
      <x/>
    </i>
  </colItems>
  <dataFields count="2">
    <dataField name="%" fld="3" subtotal="count" showDataAs="percentOfRow" baseField="2" baseItem="1" numFmtId="10"/>
    <dataField name="Cant" fld="3" subtotal="count" baseField="1" baseItem="1"/>
  </dataFields>
  <formats count="30">
    <format dxfId="159">
      <pivotArea dataOnly="0" outline="0" fieldPosition="0">
        <references count="1">
          <reference field="14" count="0"/>
        </references>
      </pivotArea>
    </format>
    <format dxfId="158">
      <pivotArea dataOnly="0" outline="0" fieldPosition="0">
        <references count="1">
          <reference field="14" count="0"/>
        </references>
      </pivotArea>
    </format>
    <format dxfId="157">
      <pivotArea outline="0" fieldPosition="0">
        <references count="1">
          <reference field="4294967294" count="1">
            <x v="0"/>
          </reference>
        </references>
      </pivotArea>
    </format>
    <format dxfId="156">
      <pivotArea dataOnly="0" outline="0" fieldPosition="0">
        <references count="1">
          <reference field="14" count="0"/>
        </references>
      </pivotArea>
    </format>
    <format dxfId="155">
      <pivotArea dataOnly="0" grandCol="1" outline="0" fieldPosition="0"/>
    </format>
    <format dxfId="154">
      <pivotArea dataOnly="0" outline="0" fieldPosition="0">
        <references count="1">
          <reference field="4294967294" count="1">
            <x v="1"/>
          </reference>
        </references>
      </pivotArea>
    </format>
    <format dxfId="153">
      <pivotArea dataOnly="0" outline="0" fieldPosition="0">
        <references count="1">
          <reference field="4294967294" count="1">
            <x v="1"/>
          </reference>
        </references>
      </pivotArea>
    </format>
    <format dxfId="152">
      <pivotArea dataOnly="0" outline="0" fieldPosition="0">
        <references count="1">
          <reference field="4294967294" count="1">
            <x v="1"/>
          </reference>
        </references>
      </pivotArea>
    </format>
    <format dxfId="151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50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49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48">
      <pivotArea dataOnly="0" labelOnly="1" outline="0" fieldPosition="0">
        <references count="2">
          <reference field="4294967294" count="1">
            <x v="0"/>
          </reference>
          <reference field="14" count="1" selected="0">
            <x v="0"/>
          </reference>
        </references>
      </pivotArea>
    </format>
    <format dxfId="147">
      <pivotArea field="1" type="button" dataOnly="0" labelOnly="1" outline="0" axis="axisRow" fieldPosition="0"/>
    </format>
    <format dxfId="146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45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44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43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42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0"/>
          </reference>
        </references>
      </pivotArea>
    </format>
    <format dxfId="141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1"/>
          </reference>
        </references>
      </pivotArea>
    </format>
    <format dxfId="140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2"/>
          </reference>
        </references>
      </pivotArea>
    </format>
    <format dxfId="139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3"/>
          </reference>
        </references>
      </pivotArea>
    </format>
    <format dxfId="138">
      <pivotArea field="1" type="button" dataOnly="0" labelOnly="1" outline="0" axis="axisRow" fieldPosition="0"/>
    </format>
    <format dxfId="137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36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35">
      <pivotArea field="14" dataOnly="0" labelOnly="1" grandCol="1" outline="0" axis="axisCol" fieldPosition="1">
        <references count="1">
          <reference field="4294967294" count="1" selected="0">
            <x v="0"/>
          </reference>
        </references>
      </pivotArea>
    </format>
    <format dxfId="134">
      <pivotArea field="14" dataOnly="0" labelOnly="1" grandCol="1" outline="0" axis="axisCol" fieldPosition="1">
        <references count="1">
          <reference field="4294967294" count="1" selected="0">
            <x v="1"/>
          </reference>
        </references>
      </pivotArea>
    </format>
    <format dxfId="133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0"/>
          </reference>
        </references>
      </pivotArea>
    </format>
    <format dxfId="132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1"/>
          </reference>
        </references>
      </pivotArea>
    </format>
    <format dxfId="131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2"/>
          </reference>
        </references>
      </pivotArea>
    </format>
    <format dxfId="130">
      <pivotArea dataOnly="0" labelOnly="1" outline="0" fieldPosition="0">
        <references count="2">
          <reference field="4294967294" count="2">
            <x v="0"/>
            <x v="1"/>
          </reference>
          <reference field="1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12" cacheId="5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5:D70" firstHeaderRow="0" firstDataRow="1" firstDataCol="1"/>
  <pivotFields count="9">
    <pivotField axis="axisRow" showAll="0">
      <items count="4">
        <item x="0"/>
        <item x="1"/>
        <item x="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 defaultSubtotal="0"/>
    <pivotField showAll="0"/>
    <pivotField showAll="0"/>
    <pivotField dataField="1" showAll="0" defaultSubtotal="0"/>
    <pivotField dataField="1" showAll="0"/>
    <pivotField dataField="1" dragToRow="0" dragToCol="0" dragToPage="0" showAll="0" defaultSubtotal="0"/>
  </pivotFields>
  <rowFields count="2">
    <field x="0"/>
    <field x="1"/>
  </rowFields>
  <rowItems count="1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Se mantiene?" fld="7" baseField="0" baseItem="0"/>
    <dataField name=" Total" fld="6" baseField="0" baseItem="0"/>
    <dataField name=" % Se mantiene" fld="8" baseField="0" baseItem="0"/>
  </dataFields>
  <formats count="1">
    <format dxfId="160">
      <pivotArea dataOnly="0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8" cacheId="5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E83" firstHeaderRow="1" firstDataRow="2" firstDataCol="3"/>
  <pivotFields count="15">
    <pivotField axis="axisCol" compact="0" outline="0" showAll="0" defaultSubtotal="0">
      <items count="2"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10"/>
        <item x="0"/>
        <item x="11"/>
        <item x="1"/>
        <item x="32"/>
        <item x="56"/>
        <item x="2"/>
        <item x="3"/>
        <item x="22"/>
        <item x="4"/>
        <item x="47"/>
        <item x="33"/>
        <item x="12"/>
        <item x="57"/>
        <item x="58"/>
        <item x="5"/>
        <item x="34"/>
        <item x="6"/>
        <item x="69"/>
        <item x="7"/>
        <item x="23"/>
        <item x="24"/>
        <item x="25"/>
        <item x="35"/>
        <item x="13"/>
        <item x="14"/>
        <item x="26"/>
        <item x="36"/>
        <item x="37"/>
        <item x="27"/>
        <item x="15"/>
        <item x="28"/>
        <item x="48"/>
        <item x="66"/>
        <item x="38"/>
        <item x="49"/>
        <item x="53"/>
        <item x="75"/>
        <item x="16"/>
        <item x="72"/>
        <item x="50"/>
        <item x="54"/>
        <item x="59"/>
        <item x="39"/>
        <item x="8"/>
        <item x="73"/>
        <item x="17"/>
        <item x="29"/>
        <item x="18"/>
        <item x="40"/>
        <item x="60"/>
        <item x="76"/>
        <item x="19"/>
        <item x="51"/>
        <item x="74"/>
        <item x="20"/>
        <item x="61"/>
        <item x="21"/>
        <item x="62"/>
        <item x="41"/>
        <item x="30"/>
        <item x="42"/>
        <item x="67"/>
        <item x="77"/>
        <item x="70"/>
        <item x="9"/>
        <item x="31"/>
        <item x="71"/>
        <item x="43"/>
        <item x="63"/>
        <item x="78"/>
        <item x="44"/>
        <item x="45"/>
        <item x="46"/>
        <item x="68"/>
        <item x="64"/>
        <item x="65"/>
        <item x="52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3"/>
  </rowFields>
  <rowItems count="79">
    <i>
      <x/>
      <x/>
      <x v="1"/>
    </i>
    <i r="2">
      <x v="3"/>
    </i>
    <i r="2">
      <x v="6"/>
    </i>
    <i r="2">
      <x v="7"/>
    </i>
    <i r="2">
      <x v="9"/>
    </i>
    <i r="2">
      <x v="15"/>
    </i>
    <i r="2">
      <x v="17"/>
    </i>
    <i r="2">
      <x v="19"/>
    </i>
    <i r="2">
      <x v="44"/>
    </i>
    <i r="2">
      <x v="65"/>
    </i>
    <i r="1">
      <x v="1"/>
      <x/>
    </i>
    <i r="2">
      <x v="2"/>
    </i>
    <i r="2">
      <x v="12"/>
    </i>
    <i r="2">
      <x v="24"/>
    </i>
    <i r="2">
      <x v="25"/>
    </i>
    <i r="2">
      <x v="30"/>
    </i>
    <i r="2">
      <x v="38"/>
    </i>
    <i r="2">
      <x v="46"/>
    </i>
    <i r="2">
      <x v="48"/>
    </i>
    <i r="2">
      <x v="52"/>
    </i>
    <i r="2">
      <x v="55"/>
    </i>
    <i r="2">
      <x v="57"/>
    </i>
    <i r="1">
      <x v="2"/>
      <x v="8"/>
    </i>
    <i r="2">
      <x v="20"/>
    </i>
    <i r="2">
      <x v="21"/>
    </i>
    <i r="2">
      <x v="22"/>
    </i>
    <i r="2">
      <x v="26"/>
    </i>
    <i r="2">
      <x v="29"/>
    </i>
    <i r="2">
      <x v="31"/>
    </i>
    <i r="2">
      <x v="47"/>
    </i>
    <i r="2">
      <x v="60"/>
    </i>
    <i r="2">
      <x v="66"/>
    </i>
    <i r="1">
      <x v="3"/>
      <x v="4"/>
    </i>
    <i r="2">
      <x v="11"/>
    </i>
    <i r="2">
      <x v="16"/>
    </i>
    <i r="2">
      <x v="23"/>
    </i>
    <i r="2">
      <x v="27"/>
    </i>
    <i r="2">
      <x v="28"/>
    </i>
    <i r="2">
      <x v="34"/>
    </i>
    <i r="2">
      <x v="43"/>
    </i>
    <i r="2">
      <x v="49"/>
    </i>
    <i r="2">
      <x v="59"/>
    </i>
    <i r="2">
      <x v="61"/>
    </i>
    <i r="2">
      <x v="68"/>
    </i>
    <i r="2">
      <x v="71"/>
    </i>
    <i r="2">
      <x v="72"/>
    </i>
    <i r="2">
      <x v="73"/>
    </i>
    <i>
      <x v="1"/>
      <x/>
      <x v="10"/>
    </i>
    <i r="2">
      <x v="32"/>
    </i>
    <i r="2">
      <x v="35"/>
    </i>
    <i r="2">
      <x v="40"/>
    </i>
    <i r="2">
      <x v="53"/>
    </i>
    <i r="2">
      <x v="77"/>
    </i>
    <i r="1">
      <x v="1"/>
      <x v="36"/>
    </i>
    <i r="2">
      <x v="41"/>
    </i>
    <i r="2">
      <x v="78"/>
    </i>
    <i r="1">
      <x v="3"/>
      <x v="5"/>
    </i>
    <i r="2">
      <x v="13"/>
    </i>
    <i r="2">
      <x v="14"/>
    </i>
    <i r="2">
      <x v="42"/>
    </i>
    <i r="2">
      <x v="50"/>
    </i>
    <i r="2">
      <x v="56"/>
    </i>
    <i r="2">
      <x v="58"/>
    </i>
    <i r="2">
      <x v="69"/>
    </i>
    <i r="2">
      <x v="75"/>
    </i>
    <i r="2">
      <x v="76"/>
    </i>
    <i>
      <x v="2"/>
      <x/>
      <x v="33"/>
    </i>
    <i r="2">
      <x v="62"/>
    </i>
    <i r="2">
      <x v="74"/>
    </i>
    <i r="1">
      <x v="1"/>
      <x v="18"/>
    </i>
    <i r="2">
      <x v="64"/>
    </i>
    <i r="2">
      <x v="67"/>
    </i>
    <i r="1">
      <x v="2"/>
      <x v="39"/>
    </i>
    <i r="2">
      <x v="45"/>
    </i>
    <i r="2">
      <x v="54"/>
    </i>
    <i r="1">
      <x v="3"/>
      <x v="37"/>
    </i>
    <i r="2">
      <x v="51"/>
    </i>
    <i r="2">
      <x v="63"/>
    </i>
    <i r="2">
      <x v="70"/>
    </i>
  </rowItems>
  <colFields count="1">
    <field x="0"/>
  </colFields>
  <colItems count="2">
    <i>
      <x/>
    </i>
    <i>
      <x v="1"/>
    </i>
  </colItems>
  <dataFields count="1">
    <dataField name="Suma de grupo num" fld="6" baseField="0" baseItem="0"/>
  </dataFields>
  <formats count="10">
    <format dxfId="99">
      <pivotArea outline="0" collapsedLevelsAreSubtotals="1" fieldPosition="0"/>
    </format>
    <format dxfId="98">
      <pivotArea field="0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0" count="0"/>
        </references>
      </pivotArea>
    </format>
    <format dxfId="95">
      <pivotArea dataOnly="0" labelOnly="1" grandCol="1" outline="0" fieldPosition="0"/>
    </format>
    <format dxfId="94">
      <pivotArea outline="0" collapsedLevelsAreSubtotals="1" fieldPosition="0"/>
    </format>
    <format dxfId="93">
      <pivotArea field="0" type="button" dataOnly="0" labelOnly="1" outline="0" axis="axisCol" fieldPosition="0"/>
    </format>
    <format dxfId="92">
      <pivotArea type="topRight" dataOnly="0" labelOnly="1" outline="0" fieldPosition="0"/>
    </format>
    <format dxfId="91">
      <pivotArea dataOnly="0" labelOnly="1" fieldPosition="0">
        <references count="1">
          <reference field="0" count="0"/>
        </references>
      </pivotArea>
    </format>
    <format dxfId="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6" name="TablaDinámica9"/>
    <pivotTable tabId="6" name="TablaDinámica11"/>
  </pivotTables>
  <data>
    <tabular pivotCacheId="1">
      <items count="2"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es" cache="SegmentaciónDeDatos_Mes" caption="Mes" rowHeight="241300"/>
</slicers>
</file>

<file path=xl/tables/table1.xml><?xml version="1.0" encoding="utf-8"?>
<table xmlns="http://schemas.openxmlformats.org/spreadsheetml/2006/main" id="1" name="Tabla1" displayName="Tabla1" ref="A1:O41" totalsRowShown="0">
  <autoFilter ref="A1:O41"/>
  <tableColumns count="15">
    <tableColumn id="1" name="Mes"/>
    <tableColumn id="2" name="TIENDA"/>
    <tableColumn id="3" name="puesto"/>
    <tableColumn id="4" name="dni"/>
    <tableColumn id="5" name="turno"/>
    <tableColumn id="6" name="grupo"/>
    <tableColumn id="7" name="grupo num"/>
    <tableColumn id="8" name="1"/>
    <tableColumn id="9" name="2"/>
    <tableColumn id="10" name="3"/>
    <tableColumn id="11" name="ratio1"/>
    <tableColumn id="12" name="ratio2"/>
    <tableColumn id="13" name="ratio3"/>
    <tableColumn id="14" name="ratio_dominante"/>
    <tableColumn id="15" name="clasifica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2:B22"/>
  <sheetViews>
    <sheetView showGridLines="0" tabSelected="1" topLeftCell="A3" workbookViewId="0">
      <selection activeCell="D16" sqref="D16"/>
    </sheetView>
  </sheetViews>
  <sheetFormatPr baseColWidth="10" defaultRowHeight="14.5" x14ac:dyDescent="0.35"/>
  <cols>
    <col min="2" max="2" width="69.08984375" bestFit="1" customWidth="1"/>
  </cols>
  <sheetData>
    <row r="2" spans="2:2" x14ac:dyDescent="0.35">
      <c r="B2" s="7" t="s">
        <v>15</v>
      </c>
    </row>
    <row r="3" spans="2:2" x14ac:dyDescent="0.35">
      <c r="B3" t="s">
        <v>16</v>
      </c>
    </row>
    <row r="4" spans="2:2" x14ac:dyDescent="0.35">
      <c r="B4" t="s">
        <v>17</v>
      </c>
    </row>
    <row r="6" spans="2:2" x14ac:dyDescent="0.35">
      <c r="B6" s="7" t="s">
        <v>18</v>
      </c>
    </row>
    <row r="7" spans="2:2" x14ac:dyDescent="0.35">
      <c r="B7" t="s">
        <v>21</v>
      </c>
    </row>
    <row r="8" spans="2:2" x14ac:dyDescent="0.35">
      <c r="B8" t="s">
        <v>22</v>
      </c>
    </row>
    <row r="9" spans="2:2" x14ac:dyDescent="0.35">
      <c r="B9" t="s">
        <v>19</v>
      </c>
    </row>
    <row r="11" spans="2:2" x14ac:dyDescent="0.35">
      <c r="B11" s="7" t="s">
        <v>20</v>
      </c>
    </row>
    <row r="12" spans="2:2" x14ac:dyDescent="0.35">
      <c r="B12" t="s">
        <v>23</v>
      </c>
    </row>
    <row r="13" spans="2:2" x14ac:dyDescent="0.35">
      <c r="B13" t="s">
        <v>37</v>
      </c>
    </row>
    <row r="14" spans="2:2" x14ac:dyDescent="0.35">
      <c r="B14" t="s">
        <v>24</v>
      </c>
    </row>
    <row r="16" spans="2:2" x14ac:dyDescent="0.35">
      <c r="B16" s="7" t="s">
        <v>25</v>
      </c>
    </row>
    <row r="17" spans="2:2" x14ac:dyDescent="0.35">
      <c r="B17" t="s">
        <v>26</v>
      </c>
    </row>
    <row r="18" spans="2:2" x14ac:dyDescent="0.35">
      <c r="B18" t="s">
        <v>27</v>
      </c>
    </row>
    <row r="19" spans="2:2" x14ac:dyDescent="0.35">
      <c r="B19" t="s">
        <v>33</v>
      </c>
    </row>
    <row r="20" spans="2:2" x14ac:dyDescent="0.35">
      <c r="B20" t="s">
        <v>34</v>
      </c>
    </row>
    <row r="21" spans="2:2" x14ac:dyDescent="0.35">
      <c r="B21" t="s">
        <v>35</v>
      </c>
    </row>
    <row r="22" spans="2:2" x14ac:dyDescent="0.35">
      <c r="B22" t="s">
        <v>36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X43"/>
  <sheetViews>
    <sheetView showGridLines="0" topLeftCell="I1" workbookViewId="0">
      <selection activeCell="N11" sqref="N11"/>
    </sheetView>
  </sheetViews>
  <sheetFormatPr baseColWidth="10" defaultColWidth="8.90625" defaultRowHeight="14.5" x14ac:dyDescent="0.35"/>
  <cols>
    <col min="1" max="1" width="20" bestFit="1" customWidth="1"/>
    <col min="2" max="2" width="37.1796875" bestFit="1" customWidth="1"/>
    <col min="3" max="3" width="24.1796875" bestFit="1" customWidth="1"/>
    <col min="4" max="4" width="4.453125" bestFit="1" customWidth="1"/>
    <col min="5" max="12" width="8.90625" customWidth="1"/>
    <col min="14" max="14" width="41" customWidth="1"/>
    <col min="15" max="15" width="21.26953125" customWidth="1"/>
    <col min="16" max="16" width="8.90625" customWidth="1"/>
    <col min="17" max="17" width="24.26953125" customWidth="1"/>
    <col min="18" max="18" width="13.6328125" customWidth="1"/>
    <col min="19" max="19" width="14.36328125" hidden="1" customWidth="1"/>
    <col min="20" max="20" width="8.90625" hidden="1" customWidth="1"/>
    <col min="21" max="21" width="24.26953125" hidden="1" customWidth="1"/>
    <col min="22" max="22" width="13.6328125" hidden="1" customWidth="1"/>
    <col min="23" max="23" width="16.90625" hidden="1" customWidth="1"/>
    <col min="24" max="24" width="11.08984375" style="15" customWidth="1"/>
  </cols>
  <sheetData>
    <row r="1" spans="1:24" x14ac:dyDescent="0.35">
      <c r="A1" t="s">
        <v>0</v>
      </c>
      <c r="B1" t="s">
        <v>1</v>
      </c>
      <c r="C1" t="s">
        <v>3</v>
      </c>
      <c r="D1">
        <v>7</v>
      </c>
      <c r="G1" t="s">
        <v>0</v>
      </c>
      <c r="H1" t="s">
        <v>1</v>
      </c>
      <c r="I1" t="s">
        <v>6</v>
      </c>
      <c r="J1">
        <v>2</v>
      </c>
    </row>
    <row r="2" spans="1:24" x14ac:dyDescent="0.35">
      <c r="A2" t="s">
        <v>0</v>
      </c>
      <c r="B2" t="s">
        <v>5</v>
      </c>
      <c r="C2" t="s">
        <v>2</v>
      </c>
      <c r="D2">
        <v>5</v>
      </c>
      <c r="G2" t="s">
        <v>0</v>
      </c>
      <c r="H2" t="s">
        <v>1</v>
      </c>
      <c r="I2" t="s">
        <v>3</v>
      </c>
      <c r="J2">
        <v>5</v>
      </c>
      <c r="N2" s="18" t="s">
        <v>31</v>
      </c>
      <c r="P2" s="5"/>
      <c r="Q2" s="5"/>
      <c r="R2" s="5"/>
    </row>
    <row r="3" spans="1:24" x14ac:dyDescent="0.35">
      <c r="A3" t="s">
        <v>0</v>
      </c>
      <c r="B3" t="s">
        <v>5</v>
      </c>
      <c r="C3" t="s">
        <v>6</v>
      </c>
      <c r="D3">
        <v>4</v>
      </c>
      <c r="G3" t="s">
        <v>0</v>
      </c>
      <c r="H3" t="s">
        <v>5</v>
      </c>
      <c r="I3" t="s">
        <v>2</v>
      </c>
      <c r="J3">
        <v>5</v>
      </c>
      <c r="O3" s="1" t="s">
        <v>13</v>
      </c>
    </row>
    <row r="4" spans="1:24" x14ac:dyDescent="0.35">
      <c r="A4" t="s">
        <v>0</v>
      </c>
      <c r="B4" t="s">
        <v>5</v>
      </c>
      <c r="C4" t="s">
        <v>3</v>
      </c>
      <c r="D4">
        <v>3</v>
      </c>
      <c r="G4" t="s">
        <v>0</v>
      </c>
      <c r="H4" t="s">
        <v>5</v>
      </c>
      <c r="I4" t="s">
        <v>6</v>
      </c>
      <c r="J4">
        <v>4</v>
      </c>
      <c r="O4" t="s">
        <v>14</v>
      </c>
      <c r="S4" s="9" t="s">
        <v>30</v>
      </c>
      <c r="T4" s="9"/>
      <c r="U4" s="9"/>
      <c r="V4" s="9"/>
      <c r="W4" s="5" t="s">
        <v>28</v>
      </c>
      <c r="X4" s="16" t="s">
        <v>29</v>
      </c>
    </row>
    <row r="5" spans="1:24" x14ac:dyDescent="0.35">
      <c r="A5" t="s">
        <v>0</v>
      </c>
      <c r="B5" t="s">
        <v>7</v>
      </c>
      <c r="C5" t="s">
        <v>2</v>
      </c>
      <c r="D5">
        <v>5</v>
      </c>
      <c r="G5" t="s">
        <v>0</v>
      </c>
      <c r="H5" t="s">
        <v>5</v>
      </c>
      <c r="I5" t="s">
        <v>3</v>
      </c>
      <c r="J5">
        <v>3</v>
      </c>
      <c r="N5" s="1" t="s">
        <v>11</v>
      </c>
      <c r="O5" s="5" t="s">
        <v>2</v>
      </c>
      <c r="P5" s="5" t="s">
        <v>6</v>
      </c>
      <c r="Q5" s="5" t="s">
        <v>3</v>
      </c>
      <c r="R5" s="5" t="s">
        <v>4</v>
      </c>
      <c r="S5" s="5" t="s">
        <v>2</v>
      </c>
      <c r="T5" s="5" t="s">
        <v>6</v>
      </c>
      <c r="U5" s="5" t="s">
        <v>3</v>
      </c>
      <c r="V5" s="5" t="s">
        <v>4</v>
      </c>
      <c r="W5" s="5"/>
      <c r="X5" s="16"/>
    </row>
    <row r="6" spans="1:24" x14ac:dyDescent="0.35">
      <c r="A6" t="s">
        <v>0</v>
      </c>
      <c r="B6" t="s">
        <v>7</v>
      </c>
      <c r="C6" t="s">
        <v>6</v>
      </c>
      <c r="D6">
        <v>2</v>
      </c>
      <c r="G6" t="s">
        <v>0</v>
      </c>
      <c r="H6" t="s">
        <v>7</v>
      </c>
      <c r="I6" t="s">
        <v>2</v>
      </c>
      <c r="J6">
        <v>6</v>
      </c>
      <c r="N6" s="2" t="s">
        <v>0</v>
      </c>
      <c r="O6" s="4">
        <v>0.44680851063829785</v>
      </c>
      <c r="P6" s="4">
        <v>0.21276595744680851</v>
      </c>
      <c r="Q6" s="4">
        <v>0.34042553191489361</v>
      </c>
      <c r="R6" s="4">
        <v>0</v>
      </c>
      <c r="S6" s="10">
        <v>21</v>
      </c>
      <c r="T6" s="10">
        <v>10</v>
      </c>
      <c r="U6" s="10">
        <v>16</v>
      </c>
      <c r="V6" s="10"/>
      <c r="W6" s="4">
        <v>1</v>
      </c>
      <c r="X6" s="16">
        <v>47</v>
      </c>
    </row>
    <row r="7" spans="1:24" x14ac:dyDescent="0.35">
      <c r="A7" t="s">
        <v>0</v>
      </c>
      <c r="B7" t="s">
        <v>7</v>
      </c>
      <c r="C7" t="s">
        <v>3</v>
      </c>
      <c r="D7">
        <v>3</v>
      </c>
      <c r="G7" t="s">
        <v>0</v>
      </c>
      <c r="H7" t="s">
        <v>7</v>
      </c>
      <c r="I7" t="s">
        <v>3</v>
      </c>
      <c r="J7">
        <v>4</v>
      </c>
      <c r="N7" s="3" t="s">
        <v>1</v>
      </c>
      <c r="O7" s="4">
        <v>0.3</v>
      </c>
      <c r="P7" s="4">
        <v>0</v>
      </c>
      <c r="Q7" s="4">
        <v>0.7</v>
      </c>
      <c r="R7" s="4">
        <v>0</v>
      </c>
      <c r="S7" s="10">
        <v>3</v>
      </c>
      <c r="T7" s="10"/>
      <c r="U7" s="10">
        <v>7</v>
      </c>
      <c r="V7" s="10"/>
      <c r="W7" s="4">
        <v>1</v>
      </c>
      <c r="X7" s="16">
        <v>10</v>
      </c>
    </row>
    <row r="8" spans="1:24" x14ac:dyDescent="0.35">
      <c r="A8" t="s">
        <v>0</v>
      </c>
      <c r="B8" t="s">
        <v>8</v>
      </c>
      <c r="C8" t="s">
        <v>2</v>
      </c>
      <c r="D8">
        <v>8</v>
      </c>
      <c r="G8" t="s">
        <v>0</v>
      </c>
      <c r="H8" t="s">
        <v>8</v>
      </c>
      <c r="I8" t="s">
        <v>2</v>
      </c>
      <c r="J8">
        <v>5</v>
      </c>
      <c r="N8" s="3" t="s">
        <v>5</v>
      </c>
      <c r="O8" s="4">
        <v>0.41666666666666669</v>
      </c>
      <c r="P8" s="4">
        <v>0.33333333333333331</v>
      </c>
      <c r="Q8" s="4">
        <v>0.25</v>
      </c>
      <c r="R8" s="4">
        <v>0</v>
      </c>
      <c r="S8" s="10">
        <v>5</v>
      </c>
      <c r="T8" s="10">
        <v>4</v>
      </c>
      <c r="U8" s="10">
        <v>3</v>
      </c>
      <c r="V8" s="10"/>
      <c r="W8" s="4">
        <v>1</v>
      </c>
      <c r="X8" s="16">
        <v>12</v>
      </c>
    </row>
    <row r="9" spans="1:24" x14ac:dyDescent="0.35">
      <c r="A9" t="s">
        <v>0</v>
      </c>
      <c r="B9" t="s">
        <v>8</v>
      </c>
      <c r="C9" t="s">
        <v>6</v>
      </c>
      <c r="D9">
        <v>4</v>
      </c>
      <c r="G9" t="s">
        <v>0</v>
      </c>
      <c r="H9" t="s">
        <v>8</v>
      </c>
      <c r="I9" t="s">
        <v>6</v>
      </c>
      <c r="J9">
        <v>5</v>
      </c>
      <c r="N9" s="3" t="s">
        <v>7</v>
      </c>
      <c r="O9" s="4">
        <v>0.5</v>
      </c>
      <c r="P9" s="4">
        <v>0.2</v>
      </c>
      <c r="Q9" s="4">
        <v>0.3</v>
      </c>
      <c r="R9" s="4">
        <v>0</v>
      </c>
      <c r="S9" s="10">
        <v>5</v>
      </c>
      <c r="T9" s="10">
        <v>2</v>
      </c>
      <c r="U9" s="10">
        <v>3</v>
      </c>
      <c r="V9" s="10"/>
      <c r="W9" s="4">
        <v>1</v>
      </c>
      <c r="X9" s="16">
        <v>10</v>
      </c>
    </row>
    <row r="10" spans="1:24" x14ac:dyDescent="0.35">
      <c r="A10" t="s">
        <v>0</v>
      </c>
      <c r="B10" t="s">
        <v>8</v>
      </c>
      <c r="C10" t="s">
        <v>3</v>
      </c>
      <c r="D10">
        <v>3</v>
      </c>
      <c r="G10" t="s">
        <v>0</v>
      </c>
      <c r="H10" t="s">
        <v>8</v>
      </c>
      <c r="I10" t="s">
        <v>3</v>
      </c>
      <c r="J10">
        <v>4</v>
      </c>
      <c r="N10" s="3" t="s">
        <v>8</v>
      </c>
      <c r="O10" s="4">
        <v>0.53333333333333333</v>
      </c>
      <c r="P10" s="4">
        <v>0.26666666666666666</v>
      </c>
      <c r="Q10" s="4">
        <v>0.2</v>
      </c>
      <c r="R10" s="4">
        <v>0</v>
      </c>
      <c r="S10" s="10">
        <v>8</v>
      </c>
      <c r="T10" s="10">
        <v>4</v>
      </c>
      <c r="U10" s="10">
        <v>3</v>
      </c>
      <c r="V10" s="10"/>
      <c r="W10" s="4">
        <v>1</v>
      </c>
      <c r="X10" s="16">
        <v>15</v>
      </c>
    </row>
    <row r="11" spans="1:24" x14ac:dyDescent="0.35">
      <c r="A11" t="s">
        <v>9</v>
      </c>
      <c r="B11" t="s">
        <v>1</v>
      </c>
      <c r="C11" t="s">
        <v>2</v>
      </c>
      <c r="D11">
        <v>1</v>
      </c>
      <c r="G11" t="s">
        <v>0</v>
      </c>
      <c r="H11" t="s">
        <v>8</v>
      </c>
      <c r="I11" t="s">
        <v>4</v>
      </c>
      <c r="J11">
        <v>1</v>
      </c>
      <c r="N11" s="2" t="s">
        <v>9</v>
      </c>
      <c r="O11" s="4">
        <v>0.42105263157894735</v>
      </c>
      <c r="P11" s="6">
        <v>5.2631578947368418E-2</v>
      </c>
      <c r="Q11" s="4">
        <v>0.52631578947368418</v>
      </c>
      <c r="R11" s="4">
        <v>0</v>
      </c>
      <c r="S11" s="10">
        <v>8</v>
      </c>
      <c r="T11" s="11">
        <v>1</v>
      </c>
      <c r="U11" s="10">
        <v>10</v>
      </c>
      <c r="V11" s="10"/>
      <c r="W11" s="4">
        <v>1</v>
      </c>
      <c r="X11" s="16">
        <v>19</v>
      </c>
    </row>
    <row r="12" spans="1:24" x14ac:dyDescent="0.35">
      <c r="A12" t="s">
        <v>9</v>
      </c>
      <c r="B12" t="s">
        <v>1</v>
      </c>
      <c r="C12" t="s">
        <v>6</v>
      </c>
      <c r="D12">
        <v>1</v>
      </c>
      <c r="G12" t="s">
        <v>9</v>
      </c>
      <c r="H12" t="s">
        <v>1</v>
      </c>
      <c r="I12" t="s">
        <v>2</v>
      </c>
      <c r="J12">
        <v>1</v>
      </c>
      <c r="N12" s="3" t="s">
        <v>1</v>
      </c>
      <c r="O12" s="4">
        <v>0.16666666666666666</v>
      </c>
      <c r="P12" s="4">
        <v>0.16666666666666666</v>
      </c>
      <c r="Q12" s="4">
        <v>0.66666666666666663</v>
      </c>
      <c r="R12" s="4">
        <v>0</v>
      </c>
      <c r="S12" s="10">
        <v>1</v>
      </c>
      <c r="T12" s="10">
        <v>1</v>
      </c>
      <c r="U12" s="10">
        <v>4</v>
      </c>
      <c r="V12" s="10"/>
      <c r="W12" s="4">
        <v>1</v>
      </c>
      <c r="X12" s="16">
        <v>6</v>
      </c>
    </row>
    <row r="13" spans="1:24" x14ac:dyDescent="0.35">
      <c r="A13" t="s">
        <v>9</v>
      </c>
      <c r="B13" t="s">
        <v>1</v>
      </c>
      <c r="C13" t="s">
        <v>3</v>
      </c>
      <c r="D13">
        <v>4</v>
      </c>
      <c r="G13" t="s">
        <v>9</v>
      </c>
      <c r="H13" t="s">
        <v>1</v>
      </c>
      <c r="I13" t="s">
        <v>6</v>
      </c>
      <c r="J13">
        <v>2</v>
      </c>
      <c r="N13" s="3" t="s">
        <v>5</v>
      </c>
      <c r="O13" s="4">
        <v>0.66666666666666663</v>
      </c>
      <c r="P13" s="4">
        <v>0</v>
      </c>
      <c r="Q13" s="4">
        <v>0.33333333333333331</v>
      </c>
      <c r="R13" s="4">
        <v>0</v>
      </c>
      <c r="S13" s="10">
        <v>2</v>
      </c>
      <c r="T13" s="10"/>
      <c r="U13" s="10">
        <v>1</v>
      </c>
      <c r="V13" s="10"/>
      <c r="W13" s="4">
        <v>1</v>
      </c>
      <c r="X13" s="16">
        <v>3</v>
      </c>
    </row>
    <row r="14" spans="1:24" x14ac:dyDescent="0.35">
      <c r="A14" t="s">
        <v>9</v>
      </c>
      <c r="B14" t="s">
        <v>5</v>
      </c>
      <c r="C14" t="s">
        <v>2</v>
      </c>
      <c r="D14">
        <v>2</v>
      </c>
      <c r="G14" t="s">
        <v>9</v>
      </c>
      <c r="H14" t="s">
        <v>1</v>
      </c>
      <c r="I14" t="s">
        <v>3</v>
      </c>
      <c r="J14">
        <v>3</v>
      </c>
      <c r="N14" s="3" t="s">
        <v>8</v>
      </c>
      <c r="O14" s="4">
        <v>0.5</v>
      </c>
      <c r="P14" s="4">
        <v>0</v>
      </c>
      <c r="Q14" s="4">
        <v>0.5</v>
      </c>
      <c r="R14" s="4">
        <v>0</v>
      </c>
      <c r="S14" s="10">
        <v>5</v>
      </c>
      <c r="T14" s="10"/>
      <c r="U14" s="10">
        <v>5</v>
      </c>
      <c r="V14" s="10"/>
      <c r="W14" s="4">
        <v>1</v>
      </c>
      <c r="X14" s="16">
        <v>10</v>
      </c>
    </row>
    <row r="15" spans="1:24" x14ac:dyDescent="0.35">
      <c r="A15" t="s">
        <v>9</v>
      </c>
      <c r="B15" t="s">
        <v>5</v>
      </c>
      <c r="C15" t="s">
        <v>3</v>
      </c>
      <c r="D15">
        <v>1</v>
      </c>
      <c r="G15" t="s">
        <v>9</v>
      </c>
      <c r="H15" t="s">
        <v>5</v>
      </c>
      <c r="I15" t="s">
        <v>2</v>
      </c>
      <c r="J15">
        <v>3</v>
      </c>
      <c r="N15" s="2" t="s">
        <v>10</v>
      </c>
      <c r="O15" s="4">
        <v>0.23076923076923078</v>
      </c>
      <c r="P15" s="4">
        <v>0.23076923076923078</v>
      </c>
      <c r="Q15" s="4">
        <v>0.46153846153846156</v>
      </c>
      <c r="R15" s="4">
        <v>7.6923076923076927E-2</v>
      </c>
      <c r="S15" s="10">
        <v>3</v>
      </c>
      <c r="T15" s="10">
        <v>3</v>
      </c>
      <c r="U15" s="10">
        <v>6</v>
      </c>
      <c r="V15" s="10">
        <v>1</v>
      </c>
      <c r="W15" s="4">
        <v>1</v>
      </c>
      <c r="X15" s="16">
        <v>13</v>
      </c>
    </row>
    <row r="16" spans="1:24" x14ac:dyDescent="0.35">
      <c r="A16" t="s">
        <v>9</v>
      </c>
      <c r="B16" t="s">
        <v>8</v>
      </c>
      <c r="C16" t="s">
        <v>2</v>
      </c>
      <c r="D16">
        <v>5</v>
      </c>
      <c r="G16" t="s">
        <v>9</v>
      </c>
      <c r="H16" t="s">
        <v>8</v>
      </c>
      <c r="I16" t="s">
        <v>2</v>
      </c>
      <c r="J16">
        <v>5</v>
      </c>
      <c r="N16" s="3" t="s">
        <v>1</v>
      </c>
      <c r="O16" s="4">
        <v>0</v>
      </c>
      <c r="P16" s="4">
        <v>0.33333333333333331</v>
      </c>
      <c r="Q16" s="4">
        <v>0.66666666666666663</v>
      </c>
      <c r="R16" s="4">
        <v>0</v>
      </c>
      <c r="S16" s="10"/>
      <c r="T16" s="10">
        <v>1</v>
      </c>
      <c r="U16" s="10">
        <v>2</v>
      </c>
      <c r="V16" s="10"/>
      <c r="W16" s="4">
        <v>1</v>
      </c>
      <c r="X16" s="16">
        <v>3</v>
      </c>
    </row>
    <row r="17" spans="1:24" x14ac:dyDescent="0.35">
      <c r="A17" t="s">
        <v>9</v>
      </c>
      <c r="B17" t="s">
        <v>8</v>
      </c>
      <c r="C17" t="s">
        <v>3</v>
      </c>
      <c r="D17">
        <v>5</v>
      </c>
      <c r="G17" t="s">
        <v>9</v>
      </c>
      <c r="H17" t="s">
        <v>8</v>
      </c>
      <c r="I17" t="s">
        <v>6</v>
      </c>
      <c r="J17">
        <v>1</v>
      </c>
      <c r="N17" s="3" t="s">
        <v>5</v>
      </c>
      <c r="O17" s="4">
        <v>0.33333333333333331</v>
      </c>
      <c r="P17" s="4">
        <v>0.66666666666666663</v>
      </c>
      <c r="Q17" s="4">
        <v>0</v>
      </c>
      <c r="R17" s="4">
        <v>0</v>
      </c>
      <c r="S17" s="10">
        <v>1</v>
      </c>
      <c r="T17" s="10">
        <v>2</v>
      </c>
      <c r="U17" s="10"/>
      <c r="V17" s="10"/>
      <c r="W17" s="4">
        <v>1</v>
      </c>
      <c r="X17" s="16">
        <v>3</v>
      </c>
    </row>
    <row r="18" spans="1:24" x14ac:dyDescent="0.35">
      <c r="A18" t="s">
        <v>10</v>
      </c>
      <c r="B18" t="s">
        <v>1</v>
      </c>
      <c r="C18" t="s">
        <v>6</v>
      </c>
      <c r="D18">
        <v>1</v>
      </c>
      <c r="G18" t="s">
        <v>9</v>
      </c>
      <c r="H18" t="s">
        <v>8</v>
      </c>
      <c r="I18" t="s">
        <v>3</v>
      </c>
      <c r="J18">
        <v>3</v>
      </c>
      <c r="N18" s="3" t="s">
        <v>7</v>
      </c>
      <c r="O18" s="4">
        <v>0</v>
      </c>
      <c r="P18" s="4">
        <v>0</v>
      </c>
      <c r="Q18" s="4">
        <v>0.66666666666666663</v>
      </c>
      <c r="R18" s="4">
        <v>0.33333333333333331</v>
      </c>
      <c r="S18" s="10"/>
      <c r="T18" s="10"/>
      <c r="U18" s="10">
        <v>2</v>
      </c>
      <c r="V18" s="10">
        <v>1</v>
      </c>
      <c r="W18" s="4">
        <v>1</v>
      </c>
      <c r="X18" s="16">
        <v>3</v>
      </c>
    </row>
    <row r="19" spans="1:24" x14ac:dyDescent="0.35">
      <c r="A19" t="s">
        <v>10</v>
      </c>
      <c r="B19" t="s">
        <v>1</v>
      </c>
      <c r="C19" t="s">
        <v>3</v>
      </c>
      <c r="D19">
        <v>2</v>
      </c>
      <c r="G19" t="s">
        <v>9</v>
      </c>
      <c r="H19" t="s">
        <v>8</v>
      </c>
      <c r="I19" t="s">
        <v>4</v>
      </c>
      <c r="J19">
        <v>1</v>
      </c>
      <c r="N19" s="3" t="s">
        <v>8</v>
      </c>
      <c r="O19" s="4">
        <v>0.5</v>
      </c>
      <c r="P19" s="4">
        <v>0</v>
      </c>
      <c r="Q19" s="4">
        <v>0.5</v>
      </c>
      <c r="R19" s="4">
        <v>0</v>
      </c>
      <c r="S19" s="10">
        <v>2</v>
      </c>
      <c r="T19" s="10"/>
      <c r="U19" s="10">
        <v>2</v>
      </c>
      <c r="V19" s="10"/>
      <c r="W19" s="4">
        <v>1</v>
      </c>
      <c r="X19" s="16">
        <v>4</v>
      </c>
    </row>
    <row r="20" spans="1:24" x14ac:dyDescent="0.35">
      <c r="A20" t="s">
        <v>10</v>
      </c>
      <c r="B20" t="s">
        <v>5</v>
      </c>
      <c r="C20" t="s">
        <v>2</v>
      </c>
      <c r="D20">
        <v>1</v>
      </c>
      <c r="G20" t="s">
        <v>10</v>
      </c>
      <c r="H20" t="s">
        <v>1</v>
      </c>
      <c r="I20" t="s">
        <v>6</v>
      </c>
      <c r="J20">
        <v>2</v>
      </c>
      <c r="N20" s="2" t="s">
        <v>12</v>
      </c>
      <c r="O20" s="4">
        <v>0.4050632911392405</v>
      </c>
      <c r="P20" s="4">
        <v>0.17721518987341772</v>
      </c>
      <c r="Q20" s="4">
        <v>0.4050632911392405</v>
      </c>
      <c r="R20" s="4">
        <v>1.2658227848101266E-2</v>
      </c>
      <c r="S20" s="10">
        <v>32</v>
      </c>
      <c r="T20" s="10">
        <v>14</v>
      </c>
      <c r="U20" s="10">
        <v>32</v>
      </c>
      <c r="V20" s="10">
        <v>1</v>
      </c>
      <c r="W20" s="4">
        <v>1</v>
      </c>
      <c r="X20" s="16">
        <v>79</v>
      </c>
    </row>
    <row r="21" spans="1:24" x14ac:dyDescent="0.35">
      <c r="A21" t="s">
        <v>10</v>
      </c>
      <c r="B21" t="s">
        <v>5</v>
      </c>
      <c r="C21" t="s">
        <v>6</v>
      </c>
      <c r="D21">
        <v>2</v>
      </c>
      <c r="G21" t="s">
        <v>10</v>
      </c>
      <c r="H21" t="s">
        <v>1</v>
      </c>
      <c r="I21" t="s">
        <v>3</v>
      </c>
      <c r="J21">
        <v>1</v>
      </c>
    </row>
    <row r="22" spans="1:24" x14ac:dyDescent="0.35">
      <c r="A22" t="s">
        <v>10</v>
      </c>
      <c r="B22" t="s">
        <v>7</v>
      </c>
      <c r="C22" t="s">
        <v>3</v>
      </c>
      <c r="D22">
        <v>2</v>
      </c>
      <c r="G22" t="s">
        <v>10</v>
      </c>
      <c r="H22" t="s">
        <v>5</v>
      </c>
      <c r="I22" t="s">
        <v>2</v>
      </c>
      <c r="J22">
        <v>2</v>
      </c>
      <c r="N22" s="17" t="s">
        <v>32</v>
      </c>
    </row>
    <row r="23" spans="1:24" x14ac:dyDescent="0.35">
      <c r="A23" t="s">
        <v>10</v>
      </c>
      <c r="B23" t="s">
        <v>7</v>
      </c>
      <c r="C23" t="s">
        <v>4</v>
      </c>
      <c r="D23">
        <v>1</v>
      </c>
      <c r="G23" t="s">
        <v>10</v>
      </c>
      <c r="H23" t="s">
        <v>5</v>
      </c>
      <c r="I23" t="s">
        <v>6</v>
      </c>
      <c r="J23">
        <v>1</v>
      </c>
      <c r="O23" s="1" t="s">
        <v>13</v>
      </c>
    </row>
    <row r="24" spans="1:24" x14ac:dyDescent="0.35">
      <c r="A24" t="s">
        <v>10</v>
      </c>
      <c r="B24" t="s">
        <v>8</v>
      </c>
      <c r="C24" t="s">
        <v>2</v>
      </c>
      <c r="D24">
        <v>2</v>
      </c>
      <c r="G24" t="s">
        <v>10</v>
      </c>
      <c r="H24" t="s">
        <v>7</v>
      </c>
      <c r="I24" t="s">
        <v>6</v>
      </c>
      <c r="J24">
        <v>2</v>
      </c>
      <c r="O24" s="8" t="s">
        <v>14</v>
      </c>
      <c r="P24" s="8"/>
      <c r="Q24" s="8"/>
      <c r="R24" s="8"/>
      <c r="S24" s="12" t="s">
        <v>30</v>
      </c>
      <c r="T24" s="12"/>
      <c r="U24" s="12"/>
      <c r="V24" s="12"/>
      <c r="W24" t="s">
        <v>28</v>
      </c>
      <c r="X24" s="15" t="s">
        <v>29</v>
      </c>
    </row>
    <row r="25" spans="1:24" x14ac:dyDescent="0.35">
      <c r="A25" t="s">
        <v>10</v>
      </c>
      <c r="B25" t="s">
        <v>8</v>
      </c>
      <c r="C25" t="s">
        <v>3</v>
      </c>
      <c r="D25">
        <v>2</v>
      </c>
      <c r="G25" t="s">
        <v>10</v>
      </c>
      <c r="H25" t="s">
        <v>7</v>
      </c>
      <c r="I25" t="s">
        <v>3</v>
      </c>
      <c r="J25">
        <v>1</v>
      </c>
      <c r="N25" s="1" t="s">
        <v>11</v>
      </c>
      <c r="O25" t="s">
        <v>2</v>
      </c>
      <c r="P25" t="s">
        <v>6</v>
      </c>
      <c r="Q25" t="s">
        <v>3</v>
      </c>
      <c r="R25" t="s">
        <v>4</v>
      </c>
      <c r="S25" t="s">
        <v>2</v>
      </c>
      <c r="T25" t="s">
        <v>6</v>
      </c>
      <c r="U25" t="s">
        <v>3</v>
      </c>
      <c r="V25" t="s">
        <v>4</v>
      </c>
    </row>
    <row r="26" spans="1:24" x14ac:dyDescent="0.35">
      <c r="G26" t="s">
        <v>10</v>
      </c>
      <c r="H26" t="s">
        <v>8</v>
      </c>
      <c r="I26" t="s">
        <v>2</v>
      </c>
      <c r="J26">
        <v>2</v>
      </c>
      <c r="N26" s="2" t="s">
        <v>0</v>
      </c>
      <c r="O26" s="4">
        <v>0.40425531914893614</v>
      </c>
      <c r="P26" s="4">
        <v>0.23404255319148937</v>
      </c>
      <c r="Q26" s="4">
        <v>0.34042553191489361</v>
      </c>
      <c r="R26" s="4">
        <v>2.1276595744680851E-2</v>
      </c>
      <c r="S26" s="13">
        <v>19</v>
      </c>
      <c r="T26" s="13">
        <v>11</v>
      </c>
      <c r="U26" s="13">
        <v>16</v>
      </c>
      <c r="V26" s="13">
        <v>1</v>
      </c>
      <c r="W26" s="4">
        <v>1</v>
      </c>
      <c r="X26" s="16">
        <v>47</v>
      </c>
    </row>
    <row r="27" spans="1:24" x14ac:dyDescent="0.35">
      <c r="G27" t="s">
        <v>10</v>
      </c>
      <c r="H27" t="s">
        <v>8</v>
      </c>
      <c r="I27" t="s">
        <v>6</v>
      </c>
      <c r="J27">
        <v>1</v>
      </c>
      <c r="N27" s="3" t="s">
        <v>1</v>
      </c>
      <c r="O27" s="4">
        <v>0.3</v>
      </c>
      <c r="P27" s="4">
        <v>0.2</v>
      </c>
      <c r="Q27" s="4">
        <v>0.5</v>
      </c>
      <c r="R27" s="4">
        <v>0</v>
      </c>
      <c r="S27" s="13">
        <v>3</v>
      </c>
      <c r="T27" s="13">
        <v>2</v>
      </c>
      <c r="U27" s="13">
        <v>5</v>
      </c>
      <c r="V27" s="13"/>
      <c r="W27" s="4">
        <v>1</v>
      </c>
      <c r="X27" s="16">
        <v>10</v>
      </c>
    </row>
    <row r="28" spans="1:24" x14ac:dyDescent="0.35">
      <c r="G28" t="s">
        <v>10</v>
      </c>
      <c r="H28" t="s">
        <v>8</v>
      </c>
      <c r="I28" t="s">
        <v>3</v>
      </c>
      <c r="J28">
        <v>1</v>
      </c>
      <c r="N28" s="3" t="s">
        <v>5</v>
      </c>
      <c r="O28" s="4">
        <v>0.41666666666666669</v>
      </c>
      <c r="P28" s="4">
        <v>0.33333333333333331</v>
      </c>
      <c r="Q28" s="4">
        <v>0.25</v>
      </c>
      <c r="R28" s="4">
        <v>0</v>
      </c>
      <c r="S28" s="13">
        <v>5</v>
      </c>
      <c r="T28" s="13">
        <v>4</v>
      </c>
      <c r="U28" s="13">
        <v>3</v>
      </c>
      <c r="V28" s="13"/>
      <c r="W28" s="4">
        <v>1</v>
      </c>
      <c r="X28" s="16">
        <v>12</v>
      </c>
    </row>
    <row r="29" spans="1:24" x14ac:dyDescent="0.35">
      <c r="N29" s="3" t="s">
        <v>7</v>
      </c>
      <c r="O29" s="4">
        <v>0.6</v>
      </c>
      <c r="P29" s="4">
        <v>0</v>
      </c>
      <c r="Q29" s="4">
        <v>0.4</v>
      </c>
      <c r="R29" s="4">
        <v>0</v>
      </c>
      <c r="S29" s="13">
        <v>6</v>
      </c>
      <c r="T29" s="13"/>
      <c r="U29" s="13">
        <v>4</v>
      </c>
      <c r="V29" s="13"/>
      <c r="W29" s="4">
        <v>1</v>
      </c>
      <c r="X29" s="16">
        <v>10</v>
      </c>
    </row>
    <row r="30" spans="1:24" x14ac:dyDescent="0.35">
      <c r="N30" s="3" t="s">
        <v>8</v>
      </c>
      <c r="O30" s="4">
        <v>0.33333333333333331</v>
      </c>
      <c r="P30" s="4">
        <v>0.33333333333333331</v>
      </c>
      <c r="Q30" s="4">
        <v>0.26666666666666666</v>
      </c>
      <c r="R30" s="4">
        <v>6.6666666666666666E-2</v>
      </c>
      <c r="S30" s="13">
        <v>5</v>
      </c>
      <c r="T30" s="13">
        <v>5</v>
      </c>
      <c r="U30" s="13">
        <v>4</v>
      </c>
      <c r="V30" s="13">
        <v>1</v>
      </c>
      <c r="W30" s="4">
        <v>1</v>
      </c>
      <c r="X30" s="16">
        <v>15</v>
      </c>
    </row>
    <row r="31" spans="1:24" x14ac:dyDescent="0.35">
      <c r="N31" s="2" t="s">
        <v>9</v>
      </c>
      <c r="O31" s="4">
        <v>0.47368421052631576</v>
      </c>
      <c r="P31" s="6">
        <v>0.15789473684210525</v>
      </c>
      <c r="Q31" s="4">
        <v>0.31578947368421051</v>
      </c>
      <c r="R31" s="4">
        <v>5.2631578947368418E-2</v>
      </c>
      <c r="S31" s="13">
        <v>9</v>
      </c>
      <c r="T31" s="14">
        <v>3</v>
      </c>
      <c r="U31" s="13">
        <v>6</v>
      </c>
      <c r="V31" s="13">
        <v>1</v>
      </c>
      <c r="W31" s="4">
        <v>1</v>
      </c>
      <c r="X31" s="16">
        <v>19</v>
      </c>
    </row>
    <row r="32" spans="1:24" x14ac:dyDescent="0.35">
      <c r="N32" s="3" t="s">
        <v>1</v>
      </c>
      <c r="O32" s="4">
        <v>0.16666666666666666</v>
      </c>
      <c r="P32" s="4">
        <v>0.33333333333333331</v>
      </c>
      <c r="Q32" s="4">
        <v>0.5</v>
      </c>
      <c r="R32" s="4">
        <v>0</v>
      </c>
      <c r="S32" s="13">
        <v>1</v>
      </c>
      <c r="T32" s="13">
        <v>2</v>
      </c>
      <c r="U32" s="13">
        <v>3</v>
      </c>
      <c r="V32" s="13"/>
      <c r="W32" s="4">
        <v>1</v>
      </c>
      <c r="X32" s="16">
        <v>6</v>
      </c>
    </row>
    <row r="33" spans="14:24" x14ac:dyDescent="0.35">
      <c r="N33" s="3" t="s">
        <v>5</v>
      </c>
      <c r="O33" s="4">
        <v>1</v>
      </c>
      <c r="P33" s="4">
        <v>0</v>
      </c>
      <c r="Q33" s="4">
        <v>0</v>
      </c>
      <c r="R33" s="4">
        <v>0</v>
      </c>
      <c r="S33" s="13">
        <v>3</v>
      </c>
      <c r="T33" s="13"/>
      <c r="U33" s="13"/>
      <c r="V33" s="13"/>
      <c r="W33" s="4">
        <v>1</v>
      </c>
      <c r="X33" s="16">
        <v>3</v>
      </c>
    </row>
    <row r="34" spans="14:24" x14ac:dyDescent="0.35">
      <c r="N34" s="3" t="s">
        <v>8</v>
      </c>
      <c r="O34" s="4">
        <v>0.5</v>
      </c>
      <c r="P34" s="4">
        <v>0.1</v>
      </c>
      <c r="Q34" s="4">
        <v>0.3</v>
      </c>
      <c r="R34" s="4">
        <v>0.1</v>
      </c>
      <c r="S34" s="13">
        <v>5</v>
      </c>
      <c r="T34" s="13">
        <v>1</v>
      </c>
      <c r="U34" s="13">
        <v>3</v>
      </c>
      <c r="V34" s="13">
        <v>1</v>
      </c>
      <c r="W34" s="4">
        <v>1</v>
      </c>
      <c r="X34" s="16">
        <v>10</v>
      </c>
    </row>
    <row r="35" spans="14:24" x14ac:dyDescent="0.35">
      <c r="N35" s="2" t="s">
        <v>10</v>
      </c>
      <c r="O35" s="4">
        <v>0.30769230769230771</v>
      </c>
      <c r="P35" s="4">
        <v>0.46153846153846156</v>
      </c>
      <c r="Q35" s="4">
        <v>0.23076923076923078</v>
      </c>
      <c r="R35" s="4">
        <v>0</v>
      </c>
      <c r="S35" s="13">
        <v>4</v>
      </c>
      <c r="T35" s="13">
        <v>6</v>
      </c>
      <c r="U35" s="13">
        <v>3</v>
      </c>
      <c r="V35" s="13"/>
      <c r="W35" s="4">
        <v>1</v>
      </c>
      <c r="X35" s="16">
        <v>13</v>
      </c>
    </row>
    <row r="36" spans="14:24" x14ac:dyDescent="0.35">
      <c r="N36" s="3" t="s">
        <v>1</v>
      </c>
      <c r="O36" s="4">
        <v>0</v>
      </c>
      <c r="P36" s="4">
        <v>0.66666666666666663</v>
      </c>
      <c r="Q36" s="4">
        <v>0.33333333333333331</v>
      </c>
      <c r="R36" s="4">
        <v>0</v>
      </c>
      <c r="S36" s="13"/>
      <c r="T36" s="13">
        <v>2</v>
      </c>
      <c r="U36" s="13">
        <v>1</v>
      </c>
      <c r="V36" s="13"/>
      <c r="W36" s="4">
        <v>1</v>
      </c>
      <c r="X36" s="16">
        <v>3</v>
      </c>
    </row>
    <row r="37" spans="14:24" x14ac:dyDescent="0.35">
      <c r="N37" s="3" t="s">
        <v>5</v>
      </c>
      <c r="O37" s="4">
        <v>0.66666666666666663</v>
      </c>
      <c r="P37" s="4">
        <v>0.33333333333333331</v>
      </c>
      <c r="Q37" s="4">
        <v>0</v>
      </c>
      <c r="R37" s="4">
        <v>0</v>
      </c>
      <c r="S37" s="13">
        <v>2</v>
      </c>
      <c r="T37" s="13">
        <v>1</v>
      </c>
      <c r="U37" s="13"/>
      <c r="V37" s="13"/>
      <c r="W37" s="4">
        <v>1</v>
      </c>
      <c r="X37" s="16">
        <v>3</v>
      </c>
    </row>
    <row r="38" spans="14:24" x14ac:dyDescent="0.35">
      <c r="N38" s="3" t="s">
        <v>7</v>
      </c>
      <c r="O38" s="4">
        <v>0</v>
      </c>
      <c r="P38" s="4">
        <v>0.66666666666666663</v>
      </c>
      <c r="Q38" s="4">
        <v>0.33333333333333331</v>
      </c>
      <c r="R38" s="4">
        <v>0</v>
      </c>
      <c r="S38" s="13"/>
      <c r="T38" s="13">
        <v>2</v>
      </c>
      <c r="U38" s="13">
        <v>1</v>
      </c>
      <c r="V38" s="13"/>
      <c r="W38" s="4">
        <v>1</v>
      </c>
      <c r="X38" s="16">
        <v>3</v>
      </c>
    </row>
    <row r="39" spans="14:24" x14ac:dyDescent="0.35">
      <c r="N39" s="3" t="s">
        <v>8</v>
      </c>
      <c r="O39" s="4">
        <v>0.5</v>
      </c>
      <c r="P39" s="4">
        <v>0.25</v>
      </c>
      <c r="Q39" s="4">
        <v>0.25</v>
      </c>
      <c r="R39" s="4">
        <v>0</v>
      </c>
      <c r="S39" s="13">
        <v>2</v>
      </c>
      <c r="T39" s="13">
        <v>1</v>
      </c>
      <c r="U39" s="13">
        <v>1</v>
      </c>
      <c r="V39" s="13"/>
      <c r="W39" s="4">
        <v>1</v>
      </c>
      <c r="X39" s="16">
        <v>4</v>
      </c>
    </row>
    <row r="40" spans="14:24" x14ac:dyDescent="0.35">
      <c r="N40" s="2" t="s">
        <v>12</v>
      </c>
      <c r="O40" s="4">
        <v>0.4050632911392405</v>
      </c>
      <c r="P40" s="4">
        <v>0.25316455696202533</v>
      </c>
      <c r="Q40" s="4">
        <v>0.31645569620253167</v>
      </c>
      <c r="R40" s="4">
        <v>2.5316455696202531E-2</v>
      </c>
      <c r="S40" s="13">
        <v>32</v>
      </c>
      <c r="T40" s="13">
        <v>20</v>
      </c>
      <c r="U40" s="13">
        <v>25</v>
      </c>
      <c r="V40" s="13">
        <v>2</v>
      </c>
      <c r="W40" s="4">
        <v>1</v>
      </c>
      <c r="X40" s="16">
        <v>79</v>
      </c>
    </row>
    <row r="42" spans="14:24" x14ac:dyDescent="0.35">
      <c r="N42" s="3" t="s">
        <v>38</v>
      </c>
    </row>
    <row r="43" spans="14:24" x14ac:dyDescent="0.35">
      <c r="N43" s="3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41"/>
  <sheetViews>
    <sheetView workbookViewId="0">
      <selection sqref="A1:O41"/>
    </sheetView>
  </sheetViews>
  <sheetFormatPr baseColWidth="10" defaultRowHeight="14.5" x14ac:dyDescent="0.35"/>
  <cols>
    <col min="7" max="7" width="12" customWidth="1"/>
    <col min="14" max="14" width="17" customWidth="1"/>
    <col min="15" max="15" width="12.7265625" customWidth="1"/>
  </cols>
  <sheetData>
    <row r="1" spans="1:15" x14ac:dyDescent="0.35">
      <c r="A1" t="s">
        <v>48</v>
      </c>
      <c r="B1" t="s">
        <v>40</v>
      </c>
      <c r="C1" t="s">
        <v>41</v>
      </c>
      <c r="D1" t="s">
        <v>42</v>
      </c>
      <c r="E1" t="s">
        <v>69</v>
      </c>
      <c r="F1" t="s">
        <v>51</v>
      </c>
      <c r="G1" t="s">
        <v>59</v>
      </c>
      <c r="H1" t="s">
        <v>72</v>
      </c>
      <c r="I1" t="s">
        <v>73</v>
      </c>
      <c r="J1" t="s">
        <v>74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</row>
    <row r="2" spans="1:15" x14ac:dyDescent="0.35">
      <c r="A2" t="s">
        <v>49</v>
      </c>
      <c r="B2" t="s">
        <v>0</v>
      </c>
      <c r="C2" t="s">
        <v>1</v>
      </c>
      <c r="D2">
        <v>9953385</v>
      </c>
      <c r="E2" t="s">
        <v>70</v>
      </c>
      <c r="F2" t="s">
        <v>56</v>
      </c>
      <c r="G2">
        <v>2</v>
      </c>
      <c r="H2">
        <v>1</v>
      </c>
      <c r="I2">
        <v>9</v>
      </c>
      <c r="J2">
        <v>0</v>
      </c>
      <c r="K2">
        <v>0.1</v>
      </c>
      <c r="L2">
        <v>0.9</v>
      </c>
      <c r="M2">
        <v>0</v>
      </c>
      <c r="N2">
        <v>0.9</v>
      </c>
      <c r="O2" t="s">
        <v>2</v>
      </c>
    </row>
    <row r="3" spans="1:15" x14ac:dyDescent="0.35">
      <c r="A3" t="s">
        <v>49</v>
      </c>
      <c r="B3" t="s">
        <v>0</v>
      </c>
      <c r="C3" t="s">
        <v>1</v>
      </c>
      <c r="D3">
        <v>40144857</v>
      </c>
      <c r="E3" t="s">
        <v>70</v>
      </c>
      <c r="F3" t="s">
        <v>57</v>
      </c>
      <c r="G3">
        <v>1</v>
      </c>
      <c r="H3">
        <v>22</v>
      </c>
      <c r="I3">
        <v>0</v>
      </c>
      <c r="J3">
        <v>0</v>
      </c>
      <c r="K3">
        <v>1</v>
      </c>
      <c r="L3">
        <v>0</v>
      </c>
      <c r="M3">
        <v>0</v>
      </c>
      <c r="N3">
        <v>1</v>
      </c>
      <c r="O3" t="s">
        <v>2</v>
      </c>
    </row>
    <row r="4" spans="1:15" x14ac:dyDescent="0.35">
      <c r="A4" t="s">
        <v>49</v>
      </c>
      <c r="B4" t="s">
        <v>0</v>
      </c>
      <c r="C4" t="s">
        <v>1</v>
      </c>
      <c r="D4">
        <v>72526341</v>
      </c>
      <c r="E4" t="s">
        <v>70</v>
      </c>
      <c r="F4" t="s">
        <v>56</v>
      </c>
      <c r="G4">
        <v>2</v>
      </c>
      <c r="H4">
        <v>0</v>
      </c>
      <c r="I4">
        <v>17</v>
      </c>
      <c r="J4">
        <v>0</v>
      </c>
      <c r="K4">
        <v>0</v>
      </c>
      <c r="L4">
        <v>1</v>
      </c>
      <c r="M4">
        <v>0</v>
      </c>
      <c r="N4">
        <v>1</v>
      </c>
      <c r="O4" t="s">
        <v>2</v>
      </c>
    </row>
    <row r="5" spans="1:15" x14ac:dyDescent="0.35">
      <c r="A5" t="s">
        <v>50</v>
      </c>
      <c r="B5" t="s">
        <v>0</v>
      </c>
      <c r="C5" t="s">
        <v>1</v>
      </c>
      <c r="D5">
        <v>72526341</v>
      </c>
      <c r="E5" t="s">
        <v>70</v>
      </c>
      <c r="F5" t="s">
        <v>56</v>
      </c>
      <c r="G5">
        <v>2</v>
      </c>
      <c r="H5">
        <v>0</v>
      </c>
      <c r="I5">
        <v>15</v>
      </c>
      <c r="J5">
        <v>0</v>
      </c>
      <c r="K5">
        <v>0</v>
      </c>
      <c r="L5">
        <v>1</v>
      </c>
      <c r="M5">
        <v>0</v>
      </c>
      <c r="N5">
        <v>1</v>
      </c>
      <c r="O5" t="s">
        <v>2</v>
      </c>
    </row>
    <row r="6" spans="1:15" x14ac:dyDescent="0.35">
      <c r="A6" t="s">
        <v>50</v>
      </c>
      <c r="B6" t="s">
        <v>0</v>
      </c>
      <c r="C6" t="s">
        <v>1</v>
      </c>
      <c r="D6">
        <v>60777199</v>
      </c>
      <c r="E6" t="s">
        <v>70</v>
      </c>
      <c r="F6" t="s">
        <v>56</v>
      </c>
      <c r="G6">
        <v>2</v>
      </c>
      <c r="H6">
        <v>0</v>
      </c>
      <c r="I6">
        <v>15</v>
      </c>
      <c r="J6">
        <v>0</v>
      </c>
      <c r="K6">
        <v>0</v>
      </c>
      <c r="L6">
        <v>1</v>
      </c>
      <c r="M6">
        <v>0</v>
      </c>
      <c r="N6">
        <v>1</v>
      </c>
      <c r="O6" t="s">
        <v>2</v>
      </c>
    </row>
    <row r="7" spans="1:15" x14ac:dyDescent="0.35">
      <c r="A7" t="s">
        <v>50</v>
      </c>
      <c r="B7" t="s">
        <v>0</v>
      </c>
      <c r="C7" t="s">
        <v>1</v>
      </c>
      <c r="D7">
        <v>40144857</v>
      </c>
      <c r="E7" t="s">
        <v>70</v>
      </c>
      <c r="F7" t="s">
        <v>57</v>
      </c>
      <c r="G7">
        <v>1</v>
      </c>
      <c r="H7">
        <v>15</v>
      </c>
      <c r="I7">
        <v>0</v>
      </c>
      <c r="J7">
        <v>0</v>
      </c>
      <c r="K7">
        <v>1</v>
      </c>
      <c r="L7">
        <v>0</v>
      </c>
      <c r="M7">
        <v>0</v>
      </c>
      <c r="N7">
        <v>1</v>
      </c>
      <c r="O7" t="s">
        <v>2</v>
      </c>
    </row>
    <row r="8" spans="1:15" x14ac:dyDescent="0.35">
      <c r="A8" t="s">
        <v>49</v>
      </c>
      <c r="B8" t="s">
        <v>0</v>
      </c>
      <c r="C8" t="s">
        <v>5</v>
      </c>
      <c r="D8">
        <v>61163672</v>
      </c>
      <c r="E8" t="s">
        <v>71</v>
      </c>
      <c r="F8" t="s">
        <v>56</v>
      </c>
      <c r="G8">
        <v>2</v>
      </c>
      <c r="H8">
        <v>0</v>
      </c>
      <c r="I8">
        <v>22</v>
      </c>
      <c r="J8">
        <v>0</v>
      </c>
      <c r="K8">
        <v>0</v>
      </c>
      <c r="L8">
        <v>1</v>
      </c>
      <c r="M8">
        <v>0</v>
      </c>
      <c r="N8">
        <v>1</v>
      </c>
      <c r="O8" t="s">
        <v>2</v>
      </c>
    </row>
    <row r="9" spans="1:15" x14ac:dyDescent="0.35">
      <c r="A9" t="s">
        <v>49</v>
      </c>
      <c r="B9" t="s">
        <v>0</v>
      </c>
      <c r="C9" t="s">
        <v>5</v>
      </c>
      <c r="D9">
        <v>61378874</v>
      </c>
      <c r="E9" t="s">
        <v>71</v>
      </c>
      <c r="F9" t="s">
        <v>56</v>
      </c>
      <c r="G9">
        <v>2</v>
      </c>
      <c r="H9">
        <v>0</v>
      </c>
      <c r="I9">
        <v>16</v>
      </c>
      <c r="J9">
        <v>0</v>
      </c>
      <c r="K9">
        <v>0</v>
      </c>
      <c r="L9">
        <v>1</v>
      </c>
      <c r="M9">
        <v>0</v>
      </c>
      <c r="N9">
        <v>1</v>
      </c>
      <c r="O9" t="s">
        <v>2</v>
      </c>
    </row>
    <row r="10" spans="1:15" x14ac:dyDescent="0.35">
      <c r="A10" t="s">
        <v>50</v>
      </c>
      <c r="B10" t="s">
        <v>0</v>
      </c>
      <c r="C10" t="s">
        <v>5</v>
      </c>
      <c r="D10">
        <v>73974210</v>
      </c>
      <c r="E10" t="s">
        <v>71</v>
      </c>
      <c r="F10" t="s">
        <v>56</v>
      </c>
      <c r="G10">
        <v>2</v>
      </c>
      <c r="H10">
        <v>0</v>
      </c>
      <c r="I10">
        <v>15</v>
      </c>
      <c r="J10">
        <v>0</v>
      </c>
      <c r="K10">
        <v>0</v>
      </c>
      <c r="L10">
        <v>1</v>
      </c>
      <c r="M10">
        <v>0</v>
      </c>
      <c r="N10">
        <v>1</v>
      </c>
      <c r="O10" t="s">
        <v>2</v>
      </c>
    </row>
    <row r="11" spans="1:15" x14ac:dyDescent="0.35">
      <c r="A11" t="s">
        <v>50</v>
      </c>
      <c r="B11" t="s">
        <v>0</v>
      </c>
      <c r="C11" t="s">
        <v>5</v>
      </c>
      <c r="D11">
        <v>73715369</v>
      </c>
      <c r="E11" t="s">
        <v>71</v>
      </c>
      <c r="F11" t="s">
        <v>56</v>
      </c>
      <c r="G11">
        <v>2</v>
      </c>
      <c r="H11">
        <v>0</v>
      </c>
      <c r="I11">
        <v>5</v>
      </c>
      <c r="J11">
        <v>0</v>
      </c>
      <c r="K11">
        <v>0</v>
      </c>
      <c r="L11">
        <v>1</v>
      </c>
      <c r="M11">
        <v>0</v>
      </c>
      <c r="N11">
        <v>1</v>
      </c>
      <c r="O11" t="s">
        <v>2</v>
      </c>
    </row>
    <row r="12" spans="1:15" x14ac:dyDescent="0.35">
      <c r="A12" t="s">
        <v>49</v>
      </c>
      <c r="B12" t="s">
        <v>0</v>
      </c>
      <c r="C12" t="s">
        <v>5</v>
      </c>
      <c r="D12">
        <v>72754575</v>
      </c>
      <c r="E12" t="s">
        <v>71</v>
      </c>
      <c r="F12" t="s">
        <v>56</v>
      </c>
      <c r="G12">
        <v>2</v>
      </c>
      <c r="H12">
        <v>2</v>
      </c>
      <c r="I12">
        <v>20</v>
      </c>
      <c r="J12">
        <v>0</v>
      </c>
      <c r="K12">
        <v>9.0909090909090912E-2</v>
      </c>
      <c r="L12">
        <v>0.90909090909090906</v>
      </c>
      <c r="M12">
        <v>0</v>
      </c>
      <c r="N12">
        <v>0.90909090909090906</v>
      </c>
      <c r="O12" t="s">
        <v>2</v>
      </c>
    </row>
    <row r="13" spans="1:15" x14ac:dyDescent="0.35">
      <c r="A13" t="s">
        <v>49</v>
      </c>
      <c r="B13" t="s">
        <v>0</v>
      </c>
      <c r="C13" t="s">
        <v>5</v>
      </c>
      <c r="D13">
        <v>73199712</v>
      </c>
      <c r="E13" t="s">
        <v>71</v>
      </c>
      <c r="F13" t="s">
        <v>56</v>
      </c>
      <c r="G13">
        <v>2</v>
      </c>
      <c r="H13">
        <v>1</v>
      </c>
      <c r="I13">
        <v>21</v>
      </c>
      <c r="J13">
        <v>1</v>
      </c>
      <c r="K13">
        <v>4.3478260869565223E-2</v>
      </c>
      <c r="L13">
        <v>0.91304347826086951</v>
      </c>
      <c r="M13">
        <v>4.3478260869565223E-2</v>
      </c>
      <c r="N13">
        <v>0.91304347826086951</v>
      </c>
      <c r="O13" t="s">
        <v>2</v>
      </c>
    </row>
    <row r="14" spans="1:15" x14ac:dyDescent="0.35">
      <c r="A14" t="s">
        <v>50</v>
      </c>
      <c r="B14" t="s">
        <v>0</v>
      </c>
      <c r="C14" t="s">
        <v>5</v>
      </c>
      <c r="D14">
        <v>73199712</v>
      </c>
      <c r="E14" t="s">
        <v>71</v>
      </c>
      <c r="F14" t="s">
        <v>56</v>
      </c>
      <c r="G14">
        <v>2</v>
      </c>
      <c r="H14">
        <v>0</v>
      </c>
      <c r="I14">
        <v>15</v>
      </c>
      <c r="J14">
        <v>0</v>
      </c>
      <c r="K14">
        <v>0</v>
      </c>
      <c r="L14">
        <v>1</v>
      </c>
      <c r="M14">
        <v>0</v>
      </c>
      <c r="N14">
        <v>1</v>
      </c>
      <c r="O14" t="s">
        <v>2</v>
      </c>
    </row>
    <row r="15" spans="1:15" x14ac:dyDescent="0.35">
      <c r="A15" t="s">
        <v>49</v>
      </c>
      <c r="B15" t="s">
        <v>0</v>
      </c>
      <c r="C15" t="s">
        <v>5</v>
      </c>
      <c r="D15">
        <v>73974210</v>
      </c>
      <c r="E15" t="s">
        <v>71</v>
      </c>
      <c r="F15" t="s">
        <v>56</v>
      </c>
      <c r="G15">
        <v>2</v>
      </c>
      <c r="H15">
        <v>0</v>
      </c>
      <c r="I15">
        <v>21</v>
      </c>
      <c r="J15">
        <v>0</v>
      </c>
      <c r="K15">
        <v>0</v>
      </c>
      <c r="L15">
        <v>1</v>
      </c>
      <c r="M15">
        <v>0</v>
      </c>
      <c r="N15">
        <v>1</v>
      </c>
      <c r="O15" t="s">
        <v>2</v>
      </c>
    </row>
    <row r="16" spans="1:15" x14ac:dyDescent="0.35">
      <c r="A16" t="s">
        <v>50</v>
      </c>
      <c r="B16" t="s">
        <v>0</v>
      </c>
      <c r="C16" t="s">
        <v>5</v>
      </c>
      <c r="D16">
        <v>70923581</v>
      </c>
      <c r="E16" t="s">
        <v>71</v>
      </c>
      <c r="F16" t="s">
        <v>56</v>
      </c>
      <c r="G16">
        <v>2</v>
      </c>
      <c r="H16">
        <v>0</v>
      </c>
      <c r="I16">
        <v>15</v>
      </c>
      <c r="J16">
        <v>0</v>
      </c>
      <c r="K16">
        <v>0</v>
      </c>
      <c r="L16">
        <v>1</v>
      </c>
      <c r="M16">
        <v>0</v>
      </c>
      <c r="N16">
        <v>1</v>
      </c>
      <c r="O16" t="s">
        <v>2</v>
      </c>
    </row>
    <row r="17" spans="1:15" x14ac:dyDescent="0.35">
      <c r="A17" t="s">
        <v>50</v>
      </c>
      <c r="B17" t="s">
        <v>0</v>
      </c>
      <c r="C17" t="s">
        <v>5</v>
      </c>
      <c r="D17">
        <v>61163672</v>
      </c>
      <c r="E17" t="s">
        <v>71</v>
      </c>
      <c r="F17" t="s">
        <v>56</v>
      </c>
      <c r="G17">
        <v>2</v>
      </c>
      <c r="H17">
        <v>0</v>
      </c>
      <c r="I17">
        <v>15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2</v>
      </c>
    </row>
    <row r="18" spans="1:15" x14ac:dyDescent="0.35">
      <c r="A18" t="s">
        <v>50</v>
      </c>
      <c r="B18" t="s">
        <v>0</v>
      </c>
      <c r="C18" t="s">
        <v>7</v>
      </c>
      <c r="D18">
        <v>75408678</v>
      </c>
      <c r="E18" t="s">
        <v>70</v>
      </c>
      <c r="F18" t="s">
        <v>57</v>
      </c>
      <c r="G18">
        <v>1</v>
      </c>
      <c r="H18">
        <v>15</v>
      </c>
      <c r="I18">
        <v>0</v>
      </c>
      <c r="J18">
        <v>0</v>
      </c>
      <c r="K18">
        <v>1</v>
      </c>
      <c r="L18">
        <v>0</v>
      </c>
      <c r="M18">
        <v>0</v>
      </c>
      <c r="N18">
        <v>1</v>
      </c>
      <c r="O18" t="s">
        <v>2</v>
      </c>
    </row>
    <row r="19" spans="1:15" x14ac:dyDescent="0.35">
      <c r="A19" t="s">
        <v>50</v>
      </c>
      <c r="B19" t="s">
        <v>0</v>
      </c>
      <c r="C19" t="s">
        <v>7</v>
      </c>
      <c r="D19">
        <v>74916756</v>
      </c>
      <c r="E19" t="s">
        <v>70</v>
      </c>
      <c r="F19" t="s">
        <v>57</v>
      </c>
      <c r="G19">
        <v>1</v>
      </c>
      <c r="H19">
        <v>13</v>
      </c>
      <c r="I19">
        <v>0</v>
      </c>
      <c r="J19">
        <v>0</v>
      </c>
      <c r="K19">
        <v>1</v>
      </c>
      <c r="L19">
        <v>0</v>
      </c>
      <c r="M19">
        <v>0</v>
      </c>
      <c r="N19">
        <v>1</v>
      </c>
      <c r="O19" t="s">
        <v>2</v>
      </c>
    </row>
    <row r="20" spans="1:15" x14ac:dyDescent="0.35">
      <c r="A20" t="s">
        <v>50</v>
      </c>
      <c r="B20" t="s">
        <v>0</v>
      </c>
      <c r="C20" t="s">
        <v>7</v>
      </c>
      <c r="D20">
        <v>61345370</v>
      </c>
      <c r="E20" t="s">
        <v>70</v>
      </c>
      <c r="F20" t="s">
        <v>56</v>
      </c>
      <c r="G20">
        <v>2</v>
      </c>
      <c r="H20">
        <v>0</v>
      </c>
      <c r="I20">
        <v>15</v>
      </c>
      <c r="J20">
        <v>0</v>
      </c>
      <c r="K20">
        <v>0</v>
      </c>
      <c r="L20">
        <v>1</v>
      </c>
      <c r="M20">
        <v>0</v>
      </c>
      <c r="N20">
        <v>1</v>
      </c>
      <c r="O20" t="s">
        <v>2</v>
      </c>
    </row>
    <row r="21" spans="1:15" x14ac:dyDescent="0.35">
      <c r="A21" t="s">
        <v>50</v>
      </c>
      <c r="B21" t="s">
        <v>0</v>
      </c>
      <c r="C21" t="s">
        <v>7</v>
      </c>
      <c r="D21">
        <v>61099445</v>
      </c>
      <c r="E21" t="s">
        <v>70</v>
      </c>
      <c r="F21" t="s">
        <v>57</v>
      </c>
      <c r="G21">
        <v>1</v>
      </c>
      <c r="H21">
        <v>14</v>
      </c>
      <c r="I21">
        <v>1</v>
      </c>
      <c r="J21">
        <v>0</v>
      </c>
      <c r="K21">
        <v>0.93333333333333335</v>
      </c>
      <c r="L21">
        <v>6.6666666666666666E-2</v>
      </c>
      <c r="M21">
        <v>0</v>
      </c>
      <c r="N21">
        <v>0.93333333333333335</v>
      </c>
      <c r="O21" t="s">
        <v>2</v>
      </c>
    </row>
    <row r="22" spans="1:15" x14ac:dyDescent="0.35">
      <c r="A22" t="s">
        <v>50</v>
      </c>
      <c r="B22" t="s">
        <v>0</v>
      </c>
      <c r="C22" t="s">
        <v>7</v>
      </c>
      <c r="D22">
        <v>61091315</v>
      </c>
      <c r="E22" t="s">
        <v>70</v>
      </c>
      <c r="F22" t="s">
        <v>57</v>
      </c>
      <c r="G22">
        <v>1</v>
      </c>
      <c r="H22">
        <v>10</v>
      </c>
      <c r="I22">
        <v>0</v>
      </c>
      <c r="J22">
        <v>0</v>
      </c>
      <c r="K22">
        <v>1</v>
      </c>
      <c r="L22">
        <v>0</v>
      </c>
      <c r="M22">
        <v>0</v>
      </c>
      <c r="N22">
        <v>1</v>
      </c>
      <c r="O22" t="s">
        <v>2</v>
      </c>
    </row>
    <row r="23" spans="1:15" x14ac:dyDescent="0.35">
      <c r="A23" t="s">
        <v>50</v>
      </c>
      <c r="B23" t="s">
        <v>0</v>
      </c>
      <c r="C23" t="s">
        <v>7</v>
      </c>
      <c r="D23">
        <v>44837589</v>
      </c>
      <c r="E23" t="s">
        <v>70</v>
      </c>
      <c r="F23" t="s">
        <v>57</v>
      </c>
      <c r="G23">
        <v>1</v>
      </c>
      <c r="H23">
        <v>14</v>
      </c>
      <c r="I23">
        <v>0</v>
      </c>
      <c r="J23">
        <v>0</v>
      </c>
      <c r="K23">
        <v>1</v>
      </c>
      <c r="L23">
        <v>0</v>
      </c>
      <c r="M23">
        <v>0</v>
      </c>
      <c r="N23">
        <v>1</v>
      </c>
      <c r="O23" t="s">
        <v>2</v>
      </c>
    </row>
    <row r="24" spans="1:15" x14ac:dyDescent="0.35">
      <c r="A24" t="s">
        <v>49</v>
      </c>
      <c r="B24" t="s">
        <v>0</v>
      </c>
      <c r="C24" t="s">
        <v>7</v>
      </c>
      <c r="D24">
        <v>44837589</v>
      </c>
      <c r="E24" t="s">
        <v>70</v>
      </c>
      <c r="F24" t="s">
        <v>57</v>
      </c>
      <c r="G24">
        <v>1</v>
      </c>
      <c r="H24">
        <v>22</v>
      </c>
      <c r="I24">
        <v>0</v>
      </c>
      <c r="J24">
        <v>0</v>
      </c>
      <c r="K24">
        <v>1</v>
      </c>
      <c r="L24">
        <v>0</v>
      </c>
      <c r="M24">
        <v>0</v>
      </c>
      <c r="N24">
        <v>1</v>
      </c>
      <c r="O24" t="s">
        <v>2</v>
      </c>
    </row>
    <row r="25" spans="1:15" x14ac:dyDescent="0.35">
      <c r="A25" t="s">
        <v>49</v>
      </c>
      <c r="B25" t="s">
        <v>0</v>
      </c>
      <c r="C25" t="s">
        <v>7</v>
      </c>
      <c r="D25">
        <v>61091315</v>
      </c>
      <c r="E25" t="s">
        <v>70</v>
      </c>
      <c r="F25" t="s">
        <v>57</v>
      </c>
      <c r="G25">
        <v>1</v>
      </c>
      <c r="H25">
        <v>13</v>
      </c>
      <c r="I25">
        <v>1</v>
      </c>
      <c r="J25">
        <v>0</v>
      </c>
      <c r="K25">
        <v>0.9285714285714286</v>
      </c>
      <c r="L25">
        <v>7.1428571428571425E-2</v>
      </c>
      <c r="M25">
        <v>0</v>
      </c>
      <c r="N25">
        <v>0.9285714285714286</v>
      </c>
      <c r="O25" t="s">
        <v>2</v>
      </c>
    </row>
    <row r="26" spans="1:15" x14ac:dyDescent="0.35">
      <c r="A26" t="s">
        <v>49</v>
      </c>
      <c r="B26" t="s">
        <v>0</v>
      </c>
      <c r="C26" t="s">
        <v>7</v>
      </c>
      <c r="D26">
        <v>61345370</v>
      </c>
      <c r="E26" t="s">
        <v>70</v>
      </c>
      <c r="F26" t="s">
        <v>56</v>
      </c>
      <c r="G26">
        <v>2</v>
      </c>
      <c r="H26">
        <v>0</v>
      </c>
      <c r="I26">
        <v>23</v>
      </c>
      <c r="J26">
        <v>0</v>
      </c>
      <c r="K26">
        <v>0</v>
      </c>
      <c r="L26">
        <v>1</v>
      </c>
      <c r="M26">
        <v>0</v>
      </c>
      <c r="N26">
        <v>1</v>
      </c>
      <c r="O26" t="s">
        <v>2</v>
      </c>
    </row>
    <row r="27" spans="1:15" x14ac:dyDescent="0.35">
      <c r="A27" t="s">
        <v>49</v>
      </c>
      <c r="B27" t="s">
        <v>0</v>
      </c>
      <c r="C27" t="s">
        <v>7</v>
      </c>
      <c r="D27">
        <v>62221971</v>
      </c>
      <c r="E27" t="s">
        <v>70</v>
      </c>
      <c r="F27" t="s">
        <v>56</v>
      </c>
      <c r="G27">
        <v>2</v>
      </c>
      <c r="H27">
        <v>2</v>
      </c>
      <c r="I27">
        <v>21</v>
      </c>
      <c r="J27">
        <v>0</v>
      </c>
      <c r="K27">
        <v>8.6956521739130432E-2</v>
      </c>
      <c r="L27">
        <v>0.91304347826086951</v>
      </c>
      <c r="M27">
        <v>0</v>
      </c>
      <c r="N27">
        <v>0.91304347826086951</v>
      </c>
      <c r="O27" t="s">
        <v>2</v>
      </c>
    </row>
    <row r="28" spans="1:15" x14ac:dyDescent="0.35">
      <c r="A28" t="s">
        <v>49</v>
      </c>
      <c r="B28" t="s">
        <v>0</v>
      </c>
      <c r="C28" t="s">
        <v>7</v>
      </c>
      <c r="D28">
        <v>75408678</v>
      </c>
      <c r="E28" t="s">
        <v>70</v>
      </c>
      <c r="F28" t="s">
        <v>57</v>
      </c>
      <c r="G28">
        <v>1</v>
      </c>
      <c r="H28">
        <v>21</v>
      </c>
      <c r="I28">
        <v>0</v>
      </c>
      <c r="J28">
        <v>0</v>
      </c>
      <c r="K28">
        <v>1</v>
      </c>
      <c r="L28">
        <v>0</v>
      </c>
      <c r="M28">
        <v>0</v>
      </c>
      <c r="N28">
        <v>1</v>
      </c>
      <c r="O28" t="s">
        <v>2</v>
      </c>
    </row>
    <row r="29" spans="1:15" x14ac:dyDescent="0.35">
      <c r="A29" t="s">
        <v>50</v>
      </c>
      <c r="B29" t="s">
        <v>0</v>
      </c>
      <c r="C29" t="s">
        <v>8</v>
      </c>
      <c r="D29">
        <v>74929797</v>
      </c>
      <c r="E29" t="s">
        <v>71</v>
      </c>
      <c r="F29" t="s">
        <v>56</v>
      </c>
      <c r="G29">
        <v>2</v>
      </c>
      <c r="H29">
        <v>0</v>
      </c>
      <c r="I29">
        <v>14</v>
      </c>
      <c r="J29">
        <v>0</v>
      </c>
      <c r="K29">
        <v>0</v>
      </c>
      <c r="L29">
        <v>1</v>
      </c>
      <c r="M29">
        <v>0</v>
      </c>
      <c r="N29">
        <v>1</v>
      </c>
      <c r="O29" t="s">
        <v>2</v>
      </c>
    </row>
    <row r="30" spans="1:15" x14ac:dyDescent="0.35">
      <c r="A30" t="s">
        <v>50</v>
      </c>
      <c r="B30" t="s">
        <v>0</v>
      </c>
      <c r="C30" t="s">
        <v>8</v>
      </c>
      <c r="D30">
        <v>74748159</v>
      </c>
      <c r="E30" t="s">
        <v>71</v>
      </c>
      <c r="F30" t="s">
        <v>56</v>
      </c>
      <c r="G30">
        <v>2</v>
      </c>
      <c r="H30">
        <v>0</v>
      </c>
      <c r="I30">
        <v>15</v>
      </c>
      <c r="J30">
        <v>0</v>
      </c>
      <c r="K30">
        <v>0</v>
      </c>
      <c r="L30">
        <v>1</v>
      </c>
      <c r="M30">
        <v>0</v>
      </c>
      <c r="N30">
        <v>1</v>
      </c>
      <c r="O30" t="s">
        <v>2</v>
      </c>
    </row>
    <row r="31" spans="1:15" x14ac:dyDescent="0.35">
      <c r="A31" t="s">
        <v>50</v>
      </c>
      <c r="B31" t="s">
        <v>0</v>
      </c>
      <c r="C31" t="s">
        <v>8</v>
      </c>
      <c r="D31">
        <v>61293270</v>
      </c>
      <c r="E31" t="s">
        <v>71</v>
      </c>
      <c r="F31" t="s">
        <v>56</v>
      </c>
      <c r="G31">
        <v>2</v>
      </c>
      <c r="H31">
        <v>0</v>
      </c>
      <c r="I31">
        <v>15</v>
      </c>
      <c r="J31">
        <v>0</v>
      </c>
      <c r="K31">
        <v>0</v>
      </c>
      <c r="L31">
        <v>1</v>
      </c>
      <c r="M31">
        <v>0</v>
      </c>
      <c r="N31">
        <v>1</v>
      </c>
      <c r="O31" t="s">
        <v>2</v>
      </c>
    </row>
    <row r="32" spans="1:15" x14ac:dyDescent="0.35">
      <c r="A32" t="s">
        <v>50</v>
      </c>
      <c r="B32" t="s">
        <v>0</v>
      </c>
      <c r="C32" t="s">
        <v>8</v>
      </c>
      <c r="D32">
        <v>48566634</v>
      </c>
      <c r="E32" t="s">
        <v>71</v>
      </c>
      <c r="F32" t="s">
        <v>56</v>
      </c>
      <c r="G32">
        <v>2</v>
      </c>
      <c r="H32">
        <v>0</v>
      </c>
      <c r="I32">
        <v>15</v>
      </c>
      <c r="J32">
        <v>0</v>
      </c>
      <c r="K32">
        <v>0</v>
      </c>
      <c r="L32">
        <v>1</v>
      </c>
      <c r="M32">
        <v>0</v>
      </c>
      <c r="N32">
        <v>1</v>
      </c>
      <c r="O32" t="s">
        <v>2</v>
      </c>
    </row>
    <row r="33" spans="1:15" x14ac:dyDescent="0.35">
      <c r="A33" t="s">
        <v>50</v>
      </c>
      <c r="B33" t="s">
        <v>0</v>
      </c>
      <c r="C33" t="s">
        <v>8</v>
      </c>
      <c r="D33">
        <v>40636491</v>
      </c>
      <c r="E33" t="s">
        <v>71</v>
      </c>
      <c r="F33" t="s">
        <v>56</v>
      </c>
      <c r="G33">
        <v>2</v>
      </c>
      <c r="H33">
        <v>0</v>
      </c>
      <c r="I33">
        <v>15</v>
      </c>
      <c r="J33">
        <v>0</v>
      </c>
      <c r="K33">
        <v>0</v>
      </c>
      <c r="L33">
        <v>1</v>
      </c>
      <c r="M33">
        <v>0</v>
      </c>
      <c r="N33">
        <v>1</v>
      </c>
      <c r="O33" t="s">
        <v>2</v>
      </c>
    </row>
    <row r="34" spans="1:15" x14ac:dyDescent="0.35">
      <c r="A34" t="s">
        <v>49</v>
      </c>
      <c r="B34" t="s">
        <v>0</v>
      </c>
      <c r="C34" t="s">
        <v>8</v>
      </c>
      <c r="D34">
        <v>40636491</v>
      </c>
      <c r="E34" t="s">
        <v>71</v>
      </c>
      <c r="F34" t="s">
        <v>56</v>
      </c>
      <c r="G34">
        <v>2</v>
      </c>
      <c r="H34">
        <v>0</v>
      </c>
      <c r="I34">
        <v>23</v>
      </c>
      <c r="J34">
        <v>0</v>
      </c>
      <c r="K34">
        <v>0</v>
      </c>
      <c r="L34">
        <v>1</v>
      </c>
      <c r="M34">
        <v>0</v>
      </c>
      <c r="N34">
        <v>1</v>
      </c>
      <c r="O34" t="s">
        <v>2</v>
      </c>
    </row>
    <row r="35" spans="1:15" x14ac:dyDescent="0.35">
      <c r="A35" t="s">
        <v>49</v>
      </c>
      <c r="B35" t="s">
        <v>0</v>
      </c>
      <c r="C35" t="s">
        <v>8</v>
      </c>
      <c r="D35">
        <v>48566634</v>
      </c>
      <c r="E35" t="s">
        <v>71</v>
      </c>
      <c r="F35" t="s">
        <v>56</v>
      </c>
      <c r="G35">
        <v>2</v>
      </c>
      <c r="H35">
        <v>0</v>
      </c>
      <c r="I35">
        <v>21</v>
      </c>
      <c r="J35">
        <v>0</v>
      </c>
      <c r="K35">
        <v>0</v>
      </c>
      <c r="L35">
        <v>1</v>
      </c>
      <c r="M35">
        <v>0</v>
      </c>
      <c r="N35">
        <v>1</v>
      </c>
      <c r="O35" t="s">
        <v>2</v>
      </c>
    </row>
    <row r="36" spans="1:15" x14ac:dyDescent="0.35">
      <c r="A36" t="s">
        <v>49</v>
      </c>
      <c r="B36" t="s">
        <v>0</v>
      </c>
      <c r="C36" t="s">
        <v>8</v>
      </c>
      <c r="D36">
        <v>60821299</v>
      </c>
      <c r="E36" t="s">
        <v>71</v>
      </c>
      <c r="F36" t="s">
        <v>56</v>
      </c>
      <c r="G36">
        <v>2</v>
      </c>
      <c r="H36">
        <v>0</v>
      </c>
      <c r="I36">
        <v>22</v>
      </c>
      <c r="J36">
        <v>0</v>
      </c>
      <c r="K36">
        <v>0</v>
      </c>
      <c r="L36">
        <v>1</v>
      </c>
      <c r="M36">
        <v>0</v>
      </c>
      <c r="N36">
        <v>1</v>
      </c>
      <c r="O36" t="s">
        <v>2</v>
      </c>
    </row>
    <row r="37" spans="1:15" x14ac:dyDescent="0.35">
      <c r="A37" t="s">
        <v>49</v>
      </c>
      <c r="B37" t="s">
        <v>0</v>
      </c>
      <c r="C37" t="s">
        <v>8</v>
      </c>
      <c r="D37">
        <v>76140596</v>
      </c>
      <c r="E37" t="s">
        <v>71</v>
      </c>
      <c r="F37" t="s">
        <v>57</v>
      </c>
      <c r="G37">
        <v>1</v>
      </c>
      <c r="H37">
        <v>15</v>
      </c>
      <c r="I37">
        <v>0</v>
      </c>
      <c r="J37">
        <v>1</v>
      </c>
      <c r="K37">
        <v>0.9375</v>
      </c>
      <c r="L37">
        <v>0</v>
      </c>
      <c r="M37">
        <v>6.25E-2</v>
      </c>
      <c r="N37">
        <v>0.9375</v>
      </c>
      <c r="O37" t="s">
        <v>2</v>
      </c>
    </row>
    <row r="38" spans="1:15" x14ac:dyDescent="0.35">
      <c r="A38" t="s">
        <v>49</v>
      </c>
      <c r="B38" t="s">
        <v>0</v>
      </c>
      <c r="C38" t="s">
        <v>8</v>
      </c>
      <c r="D38">
        <v>61293270</v>
      </c>
      <c r="E38" t="s">
        <v>71</v>
      </c>
      <c r="F38" t="s">
        <v>56</v>
      </c>
      <c r="G38">
        <v>2</v>
      </c>
      <c r="H38">
        <v>0</v>
      </c>
      <c r="I38">
        <v>23</v>
      </c>
      <c r="J38">
        <v>0</v>
      </c>
      <c r="K38">
        <v>0</v>
      </c>
      <c r="L38">
        <v>1</v>
      </c>
      <c r="M38">
        <v>0</v>
      </c>
      <c r="N38">
        <v>1</v>
      </c>
      <c r="O38" t="s">
        <v>2</v>
      </c>
    </row>
    <row r="39" spans="1:15" x14ac:dyDescent="0.35">
      <c r="A39" t="s">
        <v>49</v>
      </c>
      <c r="B39" t="s">
        <v>0</v>
      </c>
      <c r="C39" t="s">
        <v>8</v>
      </c>
      <c r="D39">
        <v>76043349</v>
      </c>
      <c r="E39" t="s">
        <v>71</v>
      </c>
      <c r="F39" t="s">
        <v>56</v>
      </c>
      <c r="G39">
        <v>2</v>
      </c>
      <c r="H39">
        <v>0</v>
      </c>
      <c r="I39">
        <v>22</v>
      </c>
      <c r="J39">
        <v>0</v>
      </c>
      <c r="K39">
        <v>0</v>
      </c>
      <c r="L39">
        <v>1</v>
      </c>
      <c r="M39">
        <v>0</v>
      </c>
      <c r="N39">
        <v>1</v>
      </c>
      <c r="O39" t="s">
        <v>2</v>
      </c>
    </row>
    <row r="40" spans="1:15" x14ac:dyDescent="0.35">
      <c r="A40" t="s">
        <v>49</v>
      </c>
      <c r="B40" t="s">
        <v>0</v>
      </c>
      <c r="C40" t="s">
        <v>8</v>
      </c>
      <c r="D40">
        <v>74929797</v>
      </c>
      <c r="E40" t="s">
        <v>71</v>
      </c>
      <c r="F40" t="s">
        <v>56</v>
      </c>
      <c r="G40">
        <v>2</v>
      </c>
      <c r="H40">
        <v>0</v>
      </c>
      <c r="I40">
        <v>20</v>
      </c>
      <c r="J40">
        <v>0</v>
      </c>
      <c r="K40">
        <v>0</v>
      </c>
      <c r="L40">
        <v>1</v>
      </c>
      <c r="M40">
        <v>0</v>
      </c>
      <c r="N40">
        <v>1</v>
      </c>
      <c r="O40" t="s">
        <v>2</v>
      </c>
    </row>
    <row r="41" spans="1:15" x14ac:dyDescent="0.35">
      <c r="A41" t="s">
        <v>49</v>
      </c>
      <c r="B41" t="s">
        <v>0</v>
      </c>
      <c r="C41" t="s">
        <v>8</v>
      </c>
      <c r="D41">
        <v>74748159</v>
      </c>
      <c r="E41" t="s">
        <v>71</v>
      </c>
      <c r="F41" t="s">
        <v>56</v>
      </c>
      <c r="G41">
        <v>2</v>
      </c>
      <c r="H41">
        <v>0</v>
      </c>
      <c r="I41">
        <v>23</v>
      </c>
      <c r="J41">
        <v>0</v>
      </c>
      <c r="K41">
        <v>0</v>
      </c>
      <c r="L41">
        <v>1</v>
      </c>
      <c r="M41">
        <v>0</v>
      </c>
      <c r="N41">
        <v>1</v>
      </c>
      <c r="O41" t="s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2:M70"/>
  <sheetViews>
    <sheetView showGridLines="0" topLeftCell="A7" workbookViewId="0">
      <selection activeCell="D7" sqref="D7"/>
    </sheetView>
  </sheetViews>
  <sheetFormatPr baseColWidth="10" defaultRowHeight="14.5" x14ac:dyDescent="0.35"/>
  <cols>
    <col min="1" max="1" width="38" customWidth="1"/>
    <col min="2" max="2" width="12.7265625" customWidth="1"/>
    <col min="3" max="4" width="20.81640625" customWidth="1"/>
    <col min="5" max="5" width="13.6328125" customWidth="1"/>
    <col min="6" max="6" width="13.08984375" hidden="1" customWidth="1"/>
    <col min="7" max="7" width="8.90625" hidden="1" customWidth="1"/>
    <col min="8" max="8" width="24.26953125" hidden="1" customWidth="1"/>
    <col min="9" max="9" width="13.6328125" hidden="1" customWidth="1"/>
    <col min="10" max="10" width="7" hidden="1" customWidth="1"/>
    <col min="11" max="11" width="13.1796875" customWidth="1"/>
    <col min="12" max="12" width="2.36328125" customWidth="1"/>
  </cols>
  <sheetData>
    <row r="2" spans="1:13" x14ac:dyDescent="0.35">
      <c r="A2" t="s">
        <v>67</v>
      </c>
    </row>
    <row r="3" spans="1:13" x14ac:dyDescent="0.35">
      <c r="B3" s="1" t="s">
        <v>13</v>
      </c>
    </row>
    <row r="4" spans="1:13" x14ac:dyDescent="0.35">
      <c r="B4" t="s">
        <v>53</v>
      </c>
      <c r="F4" s="15" t="s">
        <v>55</v>
      </c>
      <c r="G4" s="15"/>
      <c r="H4" s="15"/>
      <c r="I4" s="15"/>
      <c r="J4" s="4" t="s">
        <v>52</v>
      </c>
      <c r="K4" s="4" t="s">
        <v>54</v>
      </c>
    </row>
    <row r="5" spans="1:13" s="5" customFormat="1" x14ac:dyDescent="0.35">
      <c r="A5" s="21" t="s">
        <v>11</v>
      </c>
      <c r="B5" s="4" t="s">
        <v>2</v>
      </c>
      <c r="C5" s="4" t="s">
        <v>6</v>
      </c>
      <c r="D5" s="4" t="s">
        <v>3</v>
      </c>
      <c r="E5" s="4" t="s">
        <v>4</v>
      </c>
      <c r="F5" s="4" t="s">
        <v>2</v>
      </c>
      <c r="G5" s="4" t="s">
        <v>6</v>
      </c>
      <c r="H5" s="4" t="s">
        <v>3</v>
      </c>
      <c r="I5" s="4" t="s">
        <v>4</v>
      </c>
      <c r="J5" s="4"/>
      <c r="K5" s="4"/>
    </row>
    <row r="6" spans="1:13" x14ac:dyDescent="0.35">
      <c r="A6" s="2" t="s">
        <v>0</v>
      </c>
      <c r="B6" s="4">
        <v>0.42553191489361702</v>
      </c>
      <c r="C6" s="4">
        <v>0.22340425531914893</v>
      </c>
      <c r="D6" s="4">
        <v>0.34042553191489361</v>
      </c>
      <c r="E6" s="4">
        <v>1.0638297872340425E-2</v>
      </c>
      <c r="F6" s="16">
        <v>40</v>
      </c>
      <c r="G6" s="16">
        <v>21</v>
      </c>
      <c r="H6" s="16">
        <v>32</v>
      </c>
      <c r="I6" s="16">
        <v>1</v>
      </c>
      <c r="J6" s="8">
        <v>1</v>
      </c>
      <c r="K6" s="15">
        <v>94</v>
      </c>
    </row>
    <row r="7" spans="1:13" x14ac:dyDescent="0.35">
      <c r="A7" s="3" t="s">
        <v>1</v>
      </c>
      <c r="B7" s="4">
        <v>0.3</v>
      </c>
      <c r="C7" s="4">
        <v>0.1</v>
      </c>
      <c r="D7" s="4">
        <v>0.6</v>
      </c>
      <c r="E7" s="4">
        <v>0</v>
      </c>
      <c r="F7" s="16">
        <v>6</v>
      </c>
      <c r="G7" s="16">
        <v>2</v>
      </c>
      <c r="H7" s="16">
        <v>12</v>
      </c>
      <c r="I7" s="16"/>
      <c r="J7" s="8">
        <v>1</v>
      </c>
      <c r="K7" s="15">
        <v>20</v>
      </c>
    </row>
    <row r="8" spans="1:13" x14ac:dyDescent="0.35">
      <c r="A8" s="3" t="s">
        <v>5</v>
      </c>
      <c r="B8" s="4">
        <v>0.41666666666666669</v>
      </c>
      <c r="C8" s="4">
        <v>0.33333333333333331</v>
      </c>
      <c r="D8" s="4">
        <v>0.25</v>
      </c>
      <c r="E8" s="4">
        <v>0</v>
      </c>
      <c r="F8" s="16">
        <v>10</v>
      </c>
      <c r="G8" s="16">
        <v>8</v>
      </c>
      <c r="H8" s="16">
        <v>6</v>
      </c>
      <c r="I8" s="16"/>
      <c r="J8" s="8">
        <v>1</v>
      </c>
      <c r="K8" s="15">
        <v>24</v>
      </c>
    </row>
    <row r="9" spans="1:13" x14ac:dyDescent="0.35">
      <c r="A9" s="3" t="s">
        <v>7</v>
      </c>
      <c r="B9" s="4">
        <v>0.55000000000000004</v>
      </c>
      <c r="C9" s="4">
        <v>0.1</v>
      </c>
      <c r="D9" s="4">
        <v>0.35</v>
      </c>
      <c r="E9" s="4">
        <v>0</v>
      </c>
      <c r="F9" s="16">
        <v>11</v>
      </c>
      <c r="G9" s="16">
        <v>2</v>
      </c>
      <c r="H9" s="16">
        <v>7</v>
      </c>
      <c r="I9" s="16"/>
      <c r="J9" s="8">
        <v>1</v>
      </c>
      <c r="K9" s="15">
        <v>20</v>
      </c>
    </row>
    <row r="10" spans="1:13" x14ac:dyDescent="0.35">
      <c r="A10" s="3" t="s">
        <v>8</v>
      </c>
      <c r="B10" s="4">
        <v>0.43333333333333335</v>
      </c>
      <c r="C10" s="4">
        <v>0.3</v>
      </c>
      <c r="D10" s="4">
        <v>0.23333333333333334</v>
      </c>
      <c r="E10" s="4">
        <v>3.3333333333333333E-2</v>
      </c>
      <c r="F10" s="16">
        <v>13</v>
      </c>
      <c r="G10" s="16">
        <v>9</v>
      </c>
      <c r="H10" s="16">
        <v>7</v>
      </c>
      <c r="I10" s="16">
        <v>1</v>
      </c>
      <c r="J10" s="8">
        <v>1</v>
      </c>
      <c r="K10" s="15">
        <v>30</v>
      </c>
      <c r="M10" t="s">
        <v>33</v>
      </c>
    </row>
    <row r="11" spans="1:13" x14ac:dyDescent="0.35">
      <c r="A11" s="2" t="s">
        <v>9</v>
      </c>
      <c r="B11" s="4">
        <v>0.44736842105263158</v>
      </c>
      <c r="C11" s="4">
        <v>0.10526315789473684</v>
      </c>
      <c r="D11" s="4">
        <v>0.42105263157894735</v>
      </c>
      <c r="E11" s="4">
        <v>2.6315789473684209E-2</v>
      </c>
      <c r="F11" s="16">
        <v>17</v>
      </c>
      <c r="G11" s="16">
        <v>4</v>
      </c>
      <c r="H11" s="16">
        <v>16</v>
      </c>
      <c r="I11" s="16">
        <v>1</v>
      </c>
      <c r="J11" s="8">
        <v>1</v>
      </c>
      <c r="K11" s="15">
        <v>38</v>
      </c>
      <c r="M11" t="s">
        <v>34</v>
      </c>
    </row>
    <row r="12" spans="1:13" x14ac:dyDescent="0.35">
      <c r="A12" s="3" t="s">
        <v>1</v>
      </c>
      <c r="B12" s="4">
        <v>0.16666666666666666</v>
      </c>
      <c r="C12" s="4">
        <v>0.25</v>
      </c>
      <c r="D12" s="4">
        <v>0.58333333333333337</v>
      </c>
      <c r="E12" s="4">
        <v>0</v>
      </c>
      <c r="F12" s="16">
        <v>2</v>
      </c>
      <c r="G12" s="16">
        <v>3</v>
      </c>
      <c r="H12" s="16">
        <v>7</v>
      </c>
      <c r="I12" s="16"/>
      <c r="J12" s="8">
        <v>1</v>
      </c>
      <c r="K12" s="15">
        <v>12</v>
      </c>
      <c r="M12" t="s">
        <v>35</v>
      </c>
    </row>
    <row r="13" spans="1:13" x14ac:dyDescent="0.35">
      <c r="A13" s="3" t="s">
        <v>5</v>
      </c>
      <c r="B13" s="4">
        <v>0.83333333333333337</v>
      </c>
      <c r="C13" s="4">
        <v>0</v>
      </c>
      <c r="D13" s="4">
        <v>0.16666666666666666</v>
      </c>
      <c r="E13" s="4">
        <v>0</v>
      </c>
      <c r="F13" s="16">
        <v>5</v>
      </c>
      <c r="G13" s="16"/>
      <c r="H13" s="16">
        <v>1</v>
      </c>
      <c r="I13" s="16"/>
      <c r="J13" s="8">
        <v>1</v>
      </c>
      <c r="K13" s="15">
        <v>6</v>
      </c>
      <c r="M13" t="s">
        <v>36</v>
      </c>
    </row>
    <row r="14" spans="1:13" x14ac:dyDescent="0.35">
      <c r="A14" s="3" t="s">
        <v>8</v>
      </c>
      <c r="B14" s="4">
        <v>0.5</v>
      </c>
      <c r="C14" s="4">
        <v>0.05</v>
      </c>
      <c r="D14" s="4">
        <v>0.4</v>
      </c>
      <c r="E14" s="4">
        <v>0.05</v>
      </c>
      <c r="F14" s="16">
        <v>10</v>
      </c>
      <c r="G14" s="16">
        <v>1</v>
      </c>
      <c r="H14" s="16">
        <v>8</v>
      </c>
      <c r="I14" s="16">
        <v>1</v>
      </c>
      <c r="J14" s="8">
        <v>1</v>
      </c>
      <c r="K14" s="15">
        <v>20</v>
      </c>
    </row>
    <row r="15" spans="1:13" x14ac:dyDescent="0.35">
      <c r="A15" s="2" t="s">
        <v>10</v>
      </c>
      <c r="B15" s="4">
        <v>0.26923076923076922</v>
      </c>
      <c r="C15" s="4">
        <v>0.34615384615384615</v>
      </c>
      <c r="D15" s="4">
        <v>0.34615384615384615</v>
      </c>
      <c r="E15" s="4">
        <v>3.8461538461538464E-2</v>
      </c>
      <c r="F15" s="16">
        <v>7</v>
      </c>
      <c r="G15" s="16">
        <v>9</v>
      </c>
      <c r="H15" s="16">
        <v>9</v>
      </c>
      <c r="I15" s="16">
        <v>1</v>
      </c>
      <c r="J15" s="8">
        <v>1</v>
      </c>
      <c r="K15" s="15">
        <v>26</v>
      </c>
    </row>
    <row r="16" spans="1:13" x14ac:dyDescent="0.35">
      <c r="A16" s="3" t="s">
        <v>1</v>
      </c>
      <c r="B16" s="4">
        <v>0</v>
      </c>
      <c r="C16" s="4">
        <v>0.5</v>
      </c>
      <c r="D16" s="4">
        <v>0.5</v>
      </c>
      <c r="E16" s="4">
        <v>0</v>
      </c>
      <c r="F16" s="16"/>
      <c r="G16" s="16">
        <v>3</v>
      </c>
      <c r="H16" s="16">
        <v>3</v>
      </c>
      <c r="I16" s="16"/>
      <c r="J16" s="8">
        <v>1</v>
      </c>
      <c r="K16" s="15">
        <v>6</v>
      </c>
    </row>
    <row r="17" spans="1:11" x14ac:dyDescent="0.35">
      <c r="A17" s="3" t="s">
        <v>5</v>
      </c>
      <c r="B17" s="4">
        <v>0.5</v>
      </c>
      <c r="C17" s="4">
        <v>0.5</v>
      </c>
      <c r="D17" s="4">
        <v>0</v>
      </c>
      <c r="E17" s="4">
        <v>0</v>
      </c>
      <c r="F17" s="16">
        <v>3</v>
      </c>
      <c r="G17" s="16">
        <v>3</v>
      </c>
      <c r="H17" s="16"/>
      <c r="I17" s="16"/>
      <c r="J17" s="8">
        <v>1</v>
      </c>
      <c r="K17" s="15">
        <v>6</v>
      </c>
    </row>
    <row r="18" spans="1:11" x14ac:dyDescent="0.35">
      <c r="A18" s="3" t="s">
        <v>7</v>
      </c>
      <c r="B18" s="4">
        <v>0</v>
      </c>
      <c r="C18" s="4">
        <v>0.33333333333333331</v>
      </c>
      <c r="D18" s="4">
        <v>0.5</v>
      </c>
      <c r="E18" s="4">
        <v>0.16666666666666666</v>
      </c>
      <c r="F18" s="16"/>
      <c r="G18" s="16">
        <v>2</v>
      </c>
      <c r="H18" s="16">
        <v>3</v>
      </c>
      <c r="I18" s="16">
        <v>1</v>
      </c>
      <c r="J18" s="8">
        <v>1</v>
      </c>
      <c r="K18" s="15">
        <v>6</v>
      </c>
    </row>
    <row r="19" spans="1:11" x14ac:dyDescent="0.35">
      <c r="A19" s="3" t="s">
        <v>8</v>
      </c>
      <c r="B19" s="4">
        <v>0.5</v>
      </c>
      <c r="C19" s="4">
        <v>0.125</v>
      </c>
      <c r="D19" s="4">
        <v>0.375</v>
      </c>
      <c r="E19" s="4">
        <v>0</v>
      </c>
      <c r="F19" s="16">
        <v>4</v>
      </c>
      <c r="G19" s="16">
        <v>1</v>
      </c>
      <c r="H19" s="16">
        <v>3</v>
      </c>
      <c r="I19" s="16"/>
      <c r="J19" s="8">
        <v>1</v>
      </c>
      <c r="K19" s="15">
        <v>8</v>
      </c>
    </row>
    <row r="20" spans="1:11" x14ac:dyDescent="0.35">
      <c r="A20" s="2" t="s">
        <v>12</v>
      </c>
      <c r="B20" s="4">
        <v>0.4050632911392405</v>
      </c>
      <c r="C20" s="4">
        <v>0.21518987341772153</v>
      </c>
      <c r="D20" s="4">
        <v>0.36075949367088606</v>
      </c>
      <c r="E20" s="4">
        <v>1.8987341772151899E-2</v>
      </c>
      <c r="F20" s="16">
        <v>64</v>
      </c>
      <c r="G20" s="16">
        <v>34</v>
      </c>
      <c r="H20" s="16">
        <v>57</v>
      </c>
      <c r="I20" s="16">
        <v>3</v>
      </c>
      <c r="J20" s="8">
        <v>1</v>
      </c>
      <c r="K20" s="15">
        <v>158</v>
      </c>
    </row>
    <row r="21" spans="1:11" x14ac:dyDescent="0.35">
      <c r="A21" s="2"/>
      <c r="B21" s="4"/>
      <c r="C21" s="4"/>
      <c r="D21" s="4"/>
      <c r="E21" s="4"/>
      <c r="F21" s="16"/>
      <c r="G21" s="16"/>
      <c r="H21" s="16"/>
      <c r="I21" s="16"/>
      <c r="J21" s="8"/>
      <c r="K21" s="15"/>
    </row>
    <row r="22" spans="1:11" x14ac:dyDescent="0.35">
      <c r="A22" s="21" t="s">
        <v>40</v>
      </c>
      <c r="B22" t="s">
        <v>0</v>
      </c>
    </row>
    <row r="23" spans="1:11" x14ac:dyDescent="0.35">
      <c r="A23" s="3" t="s">
        <v>68</v>
      </c>
    </row>
    <row r="24" spans="1:11" x14ac:dyDescent="0.35">
      <c r="B24" s="1" t="s">
        <v>13</v>
      </c>
    </row>
    <row r="25" spans="1:11" x14ac:dyDescent="0.35">
      <c r="B25" t="s">
        <v>53</v>
      </c>
      <c r="F25" s="15" t="s">
        <v>55</v>
      </c>
      <c r="G25" s="15"/>
      <c r="H25" s="15"/>
      <c r="I25" s="15"/>
      <c r="J25" s="4" t="s">
        <v>52</v>
      </c>
      <c r="K25" s="4" t="s">
        <v>54</v>
      </c>
    </row>
    <row r="26" spans="1:11" x14ac:dyDescent="0.35">
      <c r="A26" s="1" t="s">
        <v>11</v>
      </c>
      <c r="B26" s="4" t="s">
        <v>2</v>
      </c>
      <c r="C26" s="4" t="s">
        <v>6</v>
      </c>
      <c r="D26" s="4" t="s">
        <v>3</v>
      </c>
      <c r="E26" s="4" t="s">
        <v>4</v>
      </c>
      <c r="F26" s="4" t="s">
        <v>2</v>
      </c>
      <c r="G26" s="4" t="s">
        <v>6</v>
      </c>
      <c r="H26" s="4" t="s">
        <v>3</v>
      </c>
      <c r="I26" s="4" t="s">
        <v>4</v>
      </c>
      <c r="J26" s="4"/>
      <c r="K26" s="4"/>
    </row>
    <row r="27" spans="1:11" x14ac:dyDescent="0.35">
      <c r="A27" s="2" t="s">
        <v>70</v>
      </c>
      <c r="B27" s="4">
        <v>0.18085106382978725</v>
      </c>
      <c r="C27" s="4">
        <v>4.2553191489361701E-2</v>
      </c>
      <c r="D27" s="4">
        <v>0.20212765957446807</v>
      </c>
      <c r="E27" s="4">
        <v>0</v>
      </c>
      <c r="F27" s="16">
        <v>17</v>
      </c>
      <c r="G27" s="16">
        <v>4</v>
      </c>
      <c r="H27" s="16">
        <v>19</v>
      </c>
      <c r="I27" s="16"/>
      <c r="J27" s="8">
        <v>0.42553191489361702</v>
      </c>
      <c r="K27" s="15">
        <v>40</v>
      </c>
    </row>
    <row r="28" spans="1:11" x14ac:dyDescent="0.35">
      <c r="A28" s="3" t="s">
        <v>57</v>
      </c>
      <c r="B28" s="4">
        <v>0.10638297872340426</v>
      </c>
      <c r="C28" s="4">
        <v>3.1914893617021274E-2</v>
      </c>
      <c r="D28" s="4">
        <v>5.3191489361702128E-2</v>
      </c>
      <c r="E28" s="4">
        <v>0</v>
      </c>
      <c r="F28" s="16">
        <v>10</v>
      </c>
      <c r="G28" s="16">
        <v>3</v>
      </c>
      <c r="H28" s="16">
        <v>5</v>
      </c>
      <c r="I28" s="16"/>
      <c r="J28" s="8">
        <v>0.19148936170212766</v>
      </c>
      <c r="K28" s="15">
        <v>18</v>
      </c>
    </row>
    <row r="29" spans="1:11" x14ac:dyDescent="0.35">
      <c r="A29" s="3" t="s">
        <v>56</v>
      </c>
      <c r="B29" s="4">
        <v>7.4468085106382975E-2</v>
      </c>
      <c r="C29" s="4">
        <v>1.0638297872340425E-2</v>
      </c>
      <c r="D29" s="4">
        <v>0.14893617021276595</v>
      </c>
      <c r="E29" s="4">
        <v>0</v>
      </c>
      <c r="F29" s="16">
        <v>7</v>
      </c>
      <c r="G29" s="16">
        <v>1</v>
      </c>
      <c r="H29" s="16">
        <v>14</v>
      </c>
      <c r="I29" s="16"/>
      <c r="J29" s="8">
        <v>0.23404255319148937</v>
      </c>
      <c r="K29" s="15">
        <v>22</v>
      </c>
    </row>
    <row r="30" spans="1:11" x14ac:dyDescent="0.35">
      <c r="A30" s="2" t="s">
        <v>71</v>
      </c>
      <c r="B30" s="4">
        <v>0.24468085106382978</v>
      </c>
      <c r="C30" s="4">
        <v>0.18085106382978725</v>
      </c>
      <c r="D30" s="4">
        <v>0.13829787234042554</v>
      </c>
      <c r="E30" s="4">
        <v>1.0638297872340425E-2</v>
      </c>
      <c r="F30" s="16">
        <v>23</v>
      </c>
      <c r="G30" s="16">
        <v>17</v>
      </c>
      <c r="H30" s="16">
        <v>13</v>
      </c>
      <c r="I30" s="16">
        <v>1</v>
      </c>
      <c r="J30" s="8">
        <v>0.57446808510638303</v>
      </c>
      <c r="K30" s="15">
        <v>54</v>
      </c>
    </row>
    <row r="31" spans="1:11" x14ac:dyDescent="0.35">
      <c r="A31" s="3" t="s">
        <v>57</v>
      </c>
      <c r="B31" s="4">
        <v>1.0638297872340425E-2</v>
      </c>
      <c r="C31" s="4">
        <v>3.1914893617021274E-2</v>
      </c>
      <c r="D31" s="4">
        <v>3.1914893617021274E-2</v>
      </c>
      <c r="E31" s="4">
        <v>0</v>
      </c>
      <c r="F31" s="16">
        <v>1</v>
      </c>
      <c r="G31" s="16">
        <v>3</v>
      </c>
      <c r="H31" s="16">
        <v>3</v>
      </c>
      <c r="I31" s="16"/>
      <c r="J31" s="8">
        <v>7.4468085106382975E-2</v>
      </c>
      <c r="K31" s="15">
        <v>7</v>
      </c>
    </row>
    <row r="32" spans="1:11" x14ac:dyDescent="0.35">
      <c r="A32" s="3" t="s">
        <v>56</v>
      </c>
      <c r="B32" s="4">
        <v>0.23404255319148937</v>
      </c>
      <c r="C32" s="4">
        <v>0.13829787234042554</v>
      </c>
      <c r="D32" s="4">
        <v>8.5106382978723402E-2</v>
      </c>
      <c r="E32" s="4">
        <v>1.0638297872340425E-2</v>
      </c>
      <c r="F32" s="16">
        <v>22</v>
      </c>
      <c r="G32" s="16">
        <v>13</v>
      </c>
      <c r="H32" s="16">
        <v>8</v>
      </c>
      <c r="I32" s="16">
        <v>1</v>
      </c>
      <c r="J32" s="8">
        <v>0.46808510638297873</v>
      </c>
      <c r="K32" s="15">
        <v>44</v>
      </c>
    </row>
    <row r="33" spans="1:11" x14ac:dyDescent="0.35">
      <c r="A33" s="3" t="s">
        <v>58</v>
      </c>
      <c r="B33" s="4">
        <v>0</v>
      </c>
      <c r="C33" s="4">
        <v>1.0638297872340425E-2</v>
      </c>
      <c r="D33" s="4">
        <v>2.1276595744680851E-2</v>
      </c>
      <c r="E33" s="4">
        <v>0</v>
      </c>
      <c r="F33" s="16"/>
      <c r="G33" s="16">
        <v>1</v>
      </c>
      <c r="H33" s="16">
        <v>2</v>
      </c>
      <c r="I33" s="16"/>
      <c r="J33" s="8">
        <v>3.1914893617021274E-2</v>
      </c>
      <c r="K33" s="15">
        <v>3</v>
      </c>
    </row>
    <row r="34" spans="1:11" x14ac:dyDescent="0.35">
      <c r="A34" s="2" t="s">
        <v>12</v>
      </c>
      <c r="B34" s="4">
        <v>0.42553191489361702</v>
      </c>
      <c r="C34" s="4">
        <v>0.22340425531914893</v>
      </c>
      <c r="D34" s="4">
        <v>0.34042553191489361</v>
      </c>
      <c r="E34" s="4">
        <v>1.0638297872340425E-2</v>
      </c>
      <c r="F34" s="16">
        <v>40</v>
      </c>
      <c r="G34" s="16">
        <v>21</v>
      </c>
      <c r="H34" s="16">
        <v>32</v>
      </c>
      <c r="I34" s="16">
        <v>1</v>
      </c>
      <c r="J34" s="8">
        <v>1</v>
      </c>
      <c r="K34" s="15">
        <v>94</v>
      </c>
    </row>
    <row r="54" spans="1:4" x14ac:dyDescent="0.35">
      <c r="A54" s="24" t="s">
        <v>63</v>
      </c>
      <c r="B54" s="24"/>
      <c r="C54" s="24"/>
      <c r="D54" s="24"/>
    </row>
    <row r="55" spans="1:4" x14ac:dyDescent="0.35">
      <c r="A55" s="1" t="s">
        <v>11</v>
      </c>
      <c r="B55" t="s">
        <v>64</v>
      </c>
      <c r="C55" t="s">
        <v>65</v>
      </c>
      <c r="D55" s="8" t="s">
        <v>66</v>
      </c>
    </row>
    <row r="56" spans="1:4" x14ac:dyDescent="0.35">
      <c r="A56" s="2" t="s">
        <v>0</v>
      </c>
      <c r="B56" s="20">
        <v>39</v>
      </c>
      <c r="C56" s="20">
        <v>47</v>
      </c>
      <c r="D56" s="8">
        <v>0.82978723404255317</v>
      </c>
    </row>
    <row r="57" spans="1:4" x14ac:dyDescent="0.35">
      <c r="A57" s="3" t="s">
        <v>1</v>
      </c>
      <c r="B57" s="20">
        <v>8</v>
      </c>
      <c r="C57" s="20">
        <v>10</v>
      </c>
      <c r="D57" s="8">
        <v>0.8</v>
      </c>
    </row>
    <row r="58" spans="1:4" x14ac:dyDescent="0.35">
      <c r="A58" s="3" t="s">
        <v>5</v>
      </c>
      <c r="B58" s="20">
        <v>11</v>
      </c>
      <c r="C58" s="20">
        <v>12</v>
      </c>
      <c r="D58" s="8">
        <v>0.91666666666666663</v>
      </c>
    </row>
    <row r="59" spans="1:4" x14ac:dyDescent="0.35">
      <c r="A59" s="3" t="s">
        <v>7</v>
      </c>
      <c r="B59" s="20">
        <v>8</v>
      </c>
      <c r="C59" s="20">
        <v>10</v>
      </c>
      <c r="D59" s="8">
        <v>0.8</v>
      </c>
    </row>
    <row r="60" spans="1:4" x14ac:dyDescent="0.35">
      <c r="A60" s="3" t="s">
        <v>8</v>
      </c>
      <c r="B60" s="20">
        <v>12</v>
      </c>
      <c r="C60" s="20">
        <v>15</v>
      </c>
      <c r="D60" s="8">
        <v>0.8</v>
      </c>
    </row>
    <row r="61" spans="1:4" x14ac:dyDescent="0.35">
      <c r="A61" s="2" t="s">
        <v>9</v>
      </c>
      <c r="B61" s="20">
        <v>15</v>
      </c>
      <c r="C61" s="20">
        <v>19</v>
      </c>
      <c r="D61" s="8">
        <v>0.78947368421052633</v>
      </c>
    </row>
    <row r="62" spans="1:4" x14ac:dyDescent="0.35">
      <c r="A62" s="3" t="s">
        <v>1</v>
      </c>
      <c r="B62" s="20">
        <v>4</v>
      </c>
      <c r="C62" s="20">
        <v>6</v>
      </c>
      <c r="D62" s="8">
        <v>0.66666666666666663</v>
      </c>
    </row>
    <row r="63" spans="1:4" x14ac:dyDescent="0.35">
      <c r="A63" s="3" t="s">
        <v>5</v>
      </c>
      <c r="B63" s="20">
        <v>3</v>
      </c>
      <c r="C63" s="20">
        <v>3</v>
      </c>
      <c r="D63" s="8">
        <v>1</v>
      </c>
    </row>
    <row r="64" spans="1:4" x14ac:dyDescent="0.35">
      <c r="A64" s="3" t="s">
        <v>8</v>
      </c>
      <c r="B64" s="20">
        <v>8</v>
      </c>
      <c r="C64" s="20">
        <v>10</v>
      </c>
      <c r="D64" s="8">
        <v>0.8</v>
      </c>
    </row>
    <row r="65" spans="1:4" x14ac:dyDescent="0.35">
      <c r="A65" s="2" t="s">
        <v>10</v>
      </c>
      <c r="B65" s="20">
        <v>12</v>
      </c>
      <c r="C65" s="20">
        <v>13</v>
      </c>
      <c r="D65" s="8">
        <v>0.92307692307692313</v>
      </c>
    </row>
    <row r="66" spans="1:4" x14ac:dyDescent="0.35">
      <c r="A66" s="3" t="s">
        <v>1</v>
      </c>
      <c r="B66" s="20">
        <v>3</v>
      </c>
      <c r="C66" s="20">
        <v>3</v>
      </c>
      <c r="D66" s="8">
        <v>1</v>
      </c>
    </row>
    <row r="67" spans="1:4" x14ac:dyDescent="0.35">
      <c r="A67" s="3" t="s">
        <v>5</v>
      </c>
      <c r="B67" s="20">
        <v>3</v>
      </c>
      <c r="C67" s="20">
        <v>3</v>
      </c>
      <c r="D67" s="8">
        <v>1</v>
      </c>
    </row>
    <row r="68" spans="1:4" x14ac:dyDescent="0.35">
      <c r="A68" s="3" t="s">
        <v>7</v>
      </c>
      <c r="B68" s="20">
        <v>2</v>
      </c>
      <c r="C68" s="20">
        <v>3</v>
      </c>
      <c r="D68" s="8">
        <v>0.66666666666666663</v>
      </c>
    </row>
    <row r="69" spans="1:4" x14ac:dyDescent="0.35">
      <c r="A69" s="3" t="s">
        <v>8</v>
      </c>
      <c r="B69" s="20">
        <v>4</v>
      </c>
      <c r="C69" s="20">
        <v>4</v>
      </c>
      <c r="D69" s="8">
        <v>1</v>
      </c>
    </row>
    <row r="70" spans="1:4" x14ac:dyDescent="0.35">
      <c r="A70" s="2" t="s">
        <v>12</v>
      </c>
      <c r="B70" s="20">
        <v>66</v>
      </c>
      <c r="C70" s="20">
        <v>79</v>
      </c>
      <c r="D70" s="8">
        <v>0.83544303797468356</v>
      </c>
    </row>
  </sheetData>
  <mergeCells count="1">
    <mergeCell ref="A54:D54"/>
  </mergeCells>
  <pageMargins left="0.7" right="0.7" top="0.75" bottom="0.75" header="0.3" footer="0.3"/>
  <pageSetup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9"/>
  <sheetViews>
    <sheetView workbookViewId="0">
      <selection activeCell="C8" sqref="C8"/>
    </sheetView>
  </sheetViews>
  <sheetFormatPr baseColWidth="10" defaultRowHeight="14.5" x14ac:dyDescent="0.35"/>
  <cols>
    <col min="2" max="2" width="20" bestFit="1" customWidth="1"/>
    <col min="3" max="3" width="37.1796875" bestFit="1" customWidth="1"/>
    <col min="15" max="15" width="24.1796875" bestFit="1" customWidth="1"/>
  </cols>
  <sheetData>
    <row r="1" spans="1:15" x14ac:dyDescent="0.35">
      <c r="A1" t="s">
        <v>48</v>
      </c>
      <c r="B1" s="19" t="s">
        <v>40</v>
      </c>
      <c r="C1" s="19" t="s">
        <v>41</v>
      </c>
      <c r="D1" s="19" t="s">
        <v>42</v>
      </c>
      <c r="E1" s="23" t="s">
        <v>69</v>
      </c>
      <c r="F1" s="19" t="s">
        <v>51</v>
      </c>
      <c r="G1" s="19" t="s">
        <v>59</v>
      </c>
      <c r="H1" s="19">
        <v>1</v>
      </c>
      <c r="I1" s="19">
        <v>2</v>
      </c>
      <c r="J1" s="19">
        <v>3</v>
      </c>
      <c r="K1" s="19" t="s">
        <v>43</v>
      </c>
      <c r="L1" s="19" t="s">
        <v>44</v>
      </c>
      <c r="M1" s="19" t="s">
        <v>45</v>
      </c>
      <c r="N1" s="19" t="s">
        <v>46</v>
      </c>
      <c r="O1" s="19" t="s">
        <v>47</v>
      </c>
    </row>
    <row r="2" spans="1:15" x14ac:dyDescent="0.35">
      <c r="A2" t="s">
        <v>49</v>
      </c>
      <c r="B2" t="s">
        <v>0</v>
      </c>
      <c r="C2" t="s">
        <v>1</v>
      </c>
      <c r="D2">
        <v>9953385</v>
      </c>
      <c r="E2" t="str">
        <f>RIGHT(C2, 9)</f>
        <v>1ER TURNO</v>
      </c>
      <c r="F2" t="str">
        <f>IF(MAX(H2:J2)=H2,"grupo 1",IF(MAX(H2:J2)=I2,"grupo 2","grupo 3"))</f>
        <v>grupo 2</v>
      </c>
      <c r="G2">
        <f>IF(MAX(H2:J2)=H2,1,IF(MAX(H2:J2)=I2,2,3))</f>
        <v>2</v>
      </c>
      <c r="H2">
        <v>1</v>
      </c>
      <c r="I2">
        <v>9</v>
      </c>
      <c r="J2">
        <v>0</v>
      </c>
      <c r="K2">
        <v>0.1</v>
      </c>
      <c r="L2">
        <v>0.9</v>
      </c>
      <c r="M2">
        <v>0</v>
      </c>
      <c r="N2">
        <v>0.9</v>
      </c>
      <c r="O2" t="s">
        <v>2</v>
      </c>
    </row>
    <row r="3" spans="1:15" x14ac:dyDescent="0.35">
      <c r="A3" t="s">
        <v>49</v>
      </c>
      <c r="B3" t="s">
        <v>0</v>
      </c>
      <c r="C3" t="s">
        <v>1</v>
      </c>
      <c r="D3">
        <v>40144857</v>
      </c>
      <c r="E3" t="str">
        <f t="shared" ref="E3:E66" si="0">RIGHT(C3, 9)</f>
        <v>1ER TURNO</v>
      </c>
      <c r="F3" t="str">
        <f t="shared" ref="F3:F66" si="1">IF(MAX(H3:J3)=H3,"grupo 1",IF(MAX(H3:J3)=I3,"grupo 2","grupo 3"))</f>
        <v>grupo 1</v>
      </c>
      <c r="G3">
        <f t="shared" ref="G3:G66" si="2">IF(MAX(H3:J3)=H3,1,IF(MAX(H3:J3)=I3,2,3))</f>
        <v>1</v>
      </c>
      <c r="H3">
        <v>22</v>
      </c>
      <c r="I3">
        <v>0</v>
      </c>
      <c r="J3">
        <v>0</v>
      </c>
      <c r="K3">
        <v>1</v>
      </c>
      <c r="L3">
        <v>0</v>
      </c>
      <c r="M3">
        <v>0</v>
      </c>
      <c r="N3">
        <v>1</v>
      </c>
      <c r="O3" t="s">
        <v>2</v>
      </c>
    </row>
    <row r="4" spans="1:15" x14ac:dyDescent="0.35">
      <c r="A4" t="s">
        <v>49</v>
      </c>
      <c r="B4" t="s">
        <v>0</v>
      </c>
      <c r="C4" t="s">
        <v>1</v>
      </c>
      <c r="D4">
        <v>44205134</v>
      </c>
      <c r="E4" t="str">
        <f t="shared" si="0"/>
        <v>1ER TURNO</v>
      </c>
      <c r="F4" t="str">
        <f t="shared" si="1"/>
        <v>grupo 1</v>
      </c>
      <c r="G4">
        <f t="shared" si="2"/>
        <v>1</v>
      </c>
      <c r="H4">
        <v>11</v>
      </c>
      <c r="I4">
        <v>11</v>
      </c>
      <c r="J4">
        <v>0</v>
      </c>
      <c r="K4">
        <v>0.5</v>
      </c>
      <c r="L4">
        <v>0.5</v>
      </c>
      <c r="M4">
        <v>0</v>
      </c>
      <c r="N4">
        <v>0.5</v>
      </c>
      <c r="O4" t="s">
        <v>3</v>
      </c>
    </row>
    <row r="5" spans="1:15" x14ac:dyDescent="0.35">
      <c r="A5" t="s">
        <v>49</v>
      </c>
      <c r="B5" t="s">
        <v>0</v>
      </c>
      <c r="C5" t="s">
        <v>1</v>
      </c>
      <c r="D5">
        <v>44275637</v>
      </c>
      <c r="E5" t="str">
        <f t="shared" si="0"/>
        <v>1ER TURNO</v>
      </c>
      <c r="F5" t="str">
        <f t="shared" si="1"/>
        <v>grupo 2</v>
      </c>
      <c r="G5">
        <f t="shared" si="2"/>
        <v>2</v>
      </c>
      <c r="H5">
        <v>6</v>
      </c>
      <c r="I5">
        <v>16</v>
      </c>
      <c r="J5">
        <v>0</v>
      </c>
      <c r="K5">
        <v>0.27272727272727271</v>
      </c>
      <c r="L5">
        <v>0.72727272727272729</v>
      </c>
      <c r="M5">
        <v>0</v>
      </c>
      <c r="N5">
        <v>0.72727272727272729</v>
      </c>
      <c r="O5" t="s">
        <v>3</v>
      </c>
    </row>
    <row r="6" spans="1:15" x14ac:dyDescent="0.35">
      <c r="A6" t="s">
        <v>49</v>
      </c>
      <c r="B6" t="s">
        <v>0</v>
      </c>
      <c r="C6" t="s">
        <v>1</v>
      </c>
      <c r="D6">
        <v>46318947</v>
      </c>
      <c r="E6" t="str">
        <f t="shared" si="0"/>
        <v>1ER TURNO</v>
      </c>
      <c r="F6" t="str">
        <f t="shared" si="1"/>
        <v>grupo 2</v>
      </c>
      <c r="G6">
        <f t="shared" si="2"/>
        <v>2</v>
      </c>
      <c r="H6">
        <v>5</v>
      </c>
      <c r="I6">
        <v>18</v>
      </c>
      <c r="J6">
        <v>0</v>
      </c>
      <c r="K6">
        <v>0.21739130434782611</v>
      </c>
      <c r="L6">
        <v>0.78260869565217395</v>
      </c>
      <c r="M6">
        <v>0</v>
      </c>
      <c r="N6">
        <v>0.78260869565217395</v>
      </c>
      <c r="O6" t="s">
        <v>3</v>
      </c>
    </row>
    <row r="7" spans="1:15" x14ac:dyDescent="0.35">
      <c r="A7" t="s">
        <v>49</v>
      </c>
      <c r="B7" t="s">
        <v>0</v>
      </c>
      <c r="C7" t="s">
        <v>1</v>
      </c>
      <c r="D7">
        <v>60777199</v>
      </c>
      <c r="E7" t="str">
        <f t="shared" si="0"/>
        <v>1ER TURNO</v>
      </c>
      <c r="F7" t="str">
        <f t="shared" si="1"/>
        <v>grupo 2</v>
      </c>
      <c r="G7">
        <f t="shared" si="2"/>
        <v>2</v>
      </c>
      <c r="H7">
        <v>6</v>
      </c>
      <c r="I7">
        <v>16</v>
      </c>
      <c r="J7">
        <v>0</v>
      </c>
      <c r="K7">
        <v>0.27272727272727271</v>
      </c>
      <c r="L7">
        <v>0.72727272727272729</v>
      </c>
      <c r="M7">
        <v>0</v>
      </c>
      <c r="N7">
        <v>0.72727272727272729</v>
      </c>
      <c r="O7" t="s">
        <v>3</v>
      </c>
    </row>
    <row r="8" spans="1:15" x14ac:dyDescent="0.35">
      <c r="A8" t="s">
        <v>49</v>
      </c>
      <c r="B8" t="s">
        <v>0</v>
      </c>
      <c r="C8" t="s">
        <v>1</v>
      </c>
      <c r="D8">
        <v>60875529</v>
      </c>
      <c r="E8" t="str">
        <f t="shared" si="0"/>
        <v>1ER TURNO</v>
      </c>
      <c r="F8" t="str">
        <f t="shared" si="1"/>
        <v>grupo 2</v>
      </c>
      <c r="G8">
        <f t="shared" si="2"/>
        <v>2</v>
      </c>
      <c r="H8">
        <v>8</v>
      </c>
      <c r="I8">
        <v>14</v>
      </c>
      <c r="J8">
        <v>0</v>
      </c>
      <c r="K8">
        <v>0.36363636363636359</v>
      </c>
      <c r="L8">
        <v>0.63636363636363635</v>
      </c>
      <c r="M8">
        <v>0</v>
      </c>
      <c r="N8">
        <v>0.63636363636363635</v>
      </c>
      <c r="O8" t="s">
        <v>3</v>
      </c>
    </row>
    <row r="9" spans="1:15" x14ac:dyDescent="0.35">
      <c r="A9" t="s">
        <v>49</v>
      </c>
      <c r="B9" t="s">
        <v>0</v>
      </c>
      <c r="C9" t="s">
        <v>1</v>
      </c>
      <c r="D9">
        <v>60978271</v>
      </c>
      <c r="E9" t="str">
        <f t="shared" si="0"/>
        <v>1ER TURNO</v>
      </c>
      <c r="F9" t="str">
        <f t="shared" si="1"/>
        <v>grupo 2</v>
      </c>
      <c r="G9">
        <f t="shared" si="2"/>
        <v>2</v>
      </c>
      <c r="H9">
        <v>5</v>
      </c>
      <c r="I9">
        <v>12</v>
      </c>
      <c r="J9">
        <v>4</v>
      </c>
      <c r="K9">
        <v>0.23809523809523811</v>
      </c>
      <c r="L9">
        <v>0.5714285714285714</v>
      </c>
      <c r="M9">
        <v>0.19047619047619049</v>
      </c>
      <c r="N9">
        <v>0.5714285714285714</v>
      </c>
      <c r="O9" t="s">
        <v>3</v>
      </c>
    </row>
    <row r="10" spans="1:15" x14ac:dyDescent="0.35">
      <c r="A10" t="s">
        <v>49</v>
      </c>
      <c r="B10" t="s">
        <v>0</v>
      </c>
      <c r="C10" t="s">
        <v>1</v>
      </c>
      <c r="D10">
        <v>72526341</v>
      </c>
      <c r="E10" t="str">
        <f t="shared" si="0"/>
        <v>1ER TURNO</v>
      </c>
      <c r="F10" t="str">
        <f t="shared" si="1"/>
        <v>grupo 2</v>
      </c>
      <c r="G10">
        <f t="shared" si="2"/>
        <v>2</v>
      </c>
      <c r="H10">
        <v>0</v>
      </c>
      <c r="I10">
        <v>17</v>
      </c>
      <c r="J10">
        <v>0</v>
      </c>
      <c r="K10">
        <v>0</v>
      </c>
      <c r="L10">
        <v>1</v>
      </c>
      <c r="M10">
        <v>0</v>
      </c>
      <c r="N10">
        <v>1</v>
      </c>
      <c r="O10" t="s">
        <v>2</v>
      </c>
    </row>
    <row r="11" spans="1:15" x14ac:dyDescent="0.35">
      <c r="A11" t="s">
        <v>49</v>
      </c>
      <c r="B11" t="s">
        <v>0</v>
      </c>
      <c r="C11" t="s">
        <v>1</v>
      </c>
      <c r="D11">
        <v>75317287</v>
      </c>
      <c r="E11" t="str">
        <f t="shared" si="0"/>
        <v>1ER TURNO</v>
      </c>
      <c r="F11" t="str">
        <f t="shared" si="1"/>
        <v>grupo 2</v>
      </c>
      <c r="G11">
        <f t="shared" si="2"/>
        <v>2</v>
      </c>
      <c r="H11">
        <v>9</v>
      </c>
      <c r="I11">
        <v>14</v>
      </c>
      <c r="J11">
        <v>0</v>
      </c>
      <c r="K11">
        <v>0.39130434782608697</v>
      </c>
      <c r="L11">
        <v>0.60869565217391308</v>
      </c>
      <c r="M11">
        <v>0</v>
      </c>
      <c r="N11">
        <v>0.60869565217391308</v>
      </c>
      <c r="O11" t="s">
        <v>3</v>
      </c>
    </row>
    <row r="12" spans="1:15" x14ac:dyDescent="0.35">
      <c r="A12" t="s">
        <v>49</v>
      </c>
      <c r="B12" t="s">
        <v>0</v>
      </c>
      <c r="C12" t="s">
        <v>5</v>
      </c>
      <c r="D12">
        <v>9827728</v>
      </c>
      <c r="E12" t="str">
        <f t="shared" si="0"/>
        <v>2DO TURNO</v>
      </c>
      <c r="F12" t="str">
        <f t="shared" si="1"/>
        <v>grupo 2</v>
      </c>
      <c r="G12">
        <f t="shared" si="2"/>
        <v>2</v>
      </c>
      <c r="H12">
        <v>4</v>
      </c>
      <c r="I12">
        <v>17</v>
      </c>
      <c r="J12">
        <v>0</v>
      </c>
      <c r="K12">
        <v>0.19047619047619049</v>
      </c>
      <c r="L12">
        <v>0.80952380952380953</v>
      </c>
      <c r="M12">
        <v>0</v>
      </c>
      <c r="N12">
        <v>0.80952380952380953</v>
      </c>
      <c r="O12" t="s">
        <v>6</v>
      </c>
    </row>
    <row r="13" spans="1:15" x14ac:dyDescent="0.35">
      <c r="A13" t="s">
        <v>49</v>
      </c>
      <c r="B13" t="s">
        <v>0</v>
      </c>
      <c r="C13" t="s">
        <v>5</v>
      </c>
      <c r="D13">
        <v>21541359</v>
      </c>
      <c r="E13" t="str">
        <f t="shared" si="0"/>
        <v>2DO TURNO</v>
      </c>
      <c r="F13" t="str">
        <f t="shared" si="1"/>
        <v>grupo 1</v>
      </c>
      <c r="G13">
        <f t="shared" si="2"/>
        <v>1</v>
      </c>
      <c r="H13">
        <v>15</v>
      </c>
      <c r="I13">
        <v>3</v>
      </c>
      <c r="J13">
        <v>2</v>
      </c>
      <c r="K13">
        <v>0.75</v>
      </c>
      <c r="L13">
        <v>0.15</v>
      </c>
      <c r="M13">
        <v>0.1</v>
      </c>
      <c r="N13">
        <v>0.75</v>
      </c>
      <c r="O13" t="s">
        <v>3</v>
      </c>
    </row>
    <row r="14" spans="1:15" x14ac:dyDescent="0.35">
      <c r="A14" t="s">
        <v>49</v>
      </c>
      <c r="B14" t="s">
        <v>0</v>
      </c>
      <c r="C14" t="s">
        <v>5</v>
      </c>
      <c r="D14">
        <v>48896255</v>
      </c>
      <c r="E14" t="str">
        <f t="shared" si="0"/>
        <v>2DO TURNO</v>
      </c>
      <c r="F14" t="str">
        <f t="shared" si="1"/>
        <v>grupo 2</v>
      </c>
      <c r="G14">
        <f t="shared" si="2"/>
        <v>2</v>
      </c>
      <c r="H14">
        <v>1</v>
      </c>
      <c r="I14">
        <v>20</v>
      </c>
      <c r="J14">
        <v>2</v>
      </c>
      <c r="K14">
        <v>4.3478260869565223E-2</v>
      </c>
      <c r="L14">
        <v>0.86956521739130432</v>
      </c>
      <c r="M14">
        <v>8.6956521739130432E-2</v>
      </c>
      <c r="N14">
        <v>0.86956521739130432</v>
      </c>
      <c r="O14" t="s">
        <v>6</v>
      </c>
    </row>
    <row r="15" spans="1:15" x14ac:dyDescent="0.35">
      <c r="A15" t="s">
        <v>49</v>
      </c>
      <c r="B15" t="s">
        <v>0</v>
      </c>
      <c r="C15" t="s">
        <v>5</v>
      </c>
      <c r="D15">
        <v>61163672</v>
      </c>
      <c r="E15" t="str">
        <f t="shared" si="0"/>
        <v>2DO TURNO</v>
      </c>
      <c r="F15" t="str">
        <f t="shared" si="1"/>
        <v>grupo 2</v>
      </c>
      <c r="G15">
        <f t="shared" si="2"/>
        <v>2</v>
      </c>
      <c r="H15">
        <v>0</v>
      </c>
      <c r="I15">
        <v>22</v>
      </c>
      <c r="J15">
        <v>0</v>
      </c>
      <c r="K15">
        <v>0</v>
      </c>
      <c r="L15">
        <v>1</v>
      </c>
      <c r="M15">
        <v>0</v>
      </c>
      <c r="N15">
        <v>1</v>
      </c>
      <c r="O15" t="s">
        <v>2</v>
      </c>
    </row>
    <row r="16" spans="1:15" x14ac:dyDescent="0.35">
      <c r="A16" t="s">
        <v>49</v>
      </c>
      <c r="B16" t="s">
        <v>0</v>
      </c>
      <c r="C16" t="s">
        <v>5</v>
      </c>
      <c r="D16">
        <v>61222652</v>
      </c>
      <c r="E16" t="str">
        <f t="shared" si="0"/>
        <v>2DO TURNO</v>
      </c>
      <c r="F16" t="str">
        <f t="shared" si="1"/>
        <v>grupo 2</v>
      </c>
      <c r="G16">
        <f t="shared" si="2"/>
        <v>2</v>
      </c>
      <c r="H16">
        <v>2</v>
      </c>
      <c r="I16">
        <v>14</v>
      </c>
      <c r="J16">
        <v>4</v>
      </c>
      <c r="K16">
        <v>0.1</v>
      </c>
      <c r="L16">
        <v>0.7</v>
      </c>
      <c r="M16">
        <v>0.2</v>
      </c>
      <c r="N16">
        <v>0.7</v>
      </c>
      <c r="O16" t="s">
        <v>3</v>
      </c>
    </row>
    <row r="17" spans="1:15" x14ac:dyDescent="0.35">
      <c r="A17" t="s">
        <v>49</v>
      </c>
      <c r="B17" t="s">
        <v>0</v>
      </c>
      <c r="C17" t="s">
        <v>5</v>
      </c>
      <c r="D17">
        <v>61378874</v>
      </c>
      <c r="E17" t="str">
        <f t="shared" si="0"/>
        <v>2DO TURNO</v>
      </c>
      <c r="F17" t="str">
        <f t="shared" si="1"/>
        <v>grupo 2</v>
      </c>
      <c r="G17">
        <f t="shared" si="2"/>
        <v>2</v>
      </c>
      <c r="H17">
        <v>0</v>
      </c>
      <c r="I17">
        <v>16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2</v>
      </c>
    </row>
    <row r="18" spans="1:15" x14ac:dyDescent="0.35">
      <c r="A18" t="s">
        <v>49</v>
      </c>
      <c r="B18" t="s">
        <v>0</v>
      </c>
      <c r="C18" t="s">
        <v>5</v>
      </c>
      <c r="D18">
        <v>70923581</v>
      </c>
      <c r="E18" t="str">
        <f t="shared" si="0"/>
        <v>2DO TURNO</v>
      </c>
      <c r="F18" t="str">
        <f t="shared" si="1"/>
        <v>grupo 2</v>
      </c>
      <c r="G18">
        <f t="shared" si="2"/>
        <v>2</v>
      </c>
      <c r="H18">
        <v>0</v>
      </c>
      <c r="I18">
        <v>8</v>
      </c>
      <c r="J18">
        <v>1</v>
      </c>
      <c r="K18">
        <v>0</v>
      </c>
      <c r="L18">
        <v>0.88888888888888884</v>
      </c>
      <c r="M18">
        <v>0.1111111111111111</v>
      </c>
      <c r="N18">
        <v>0.88888888888888884</v>
      </c>
      <c r="O18" t="s">
        <v>6</v>
      </c>
    </row>
    <row r="19" spans="1:15" x14ac:dyDescent="0.35">
      <c r="A19" t="s">
        <v>49</v>
      </c>
      <c r="B19" t="s">
        <v>0</v>
      </c>
      <c r="C19" t="s">
        <v>5</v>
      </c>
      <c r="D19">
        <v>72710256</v>
      </c>
      <c r="E19" t="str">
        <f t="shared" si="0"/>
        <v>2DO TURNO</v>
      </c>
      <c r="F19" t="str">
        <f t="shared" si="1"/>
        <v>grupo 2</v>
      </c>
      <c r="G19">
        <f t="shared" si="2"/>
        <v>2</v>
      </c>
      <c r="H19">
        <v>1</v>
      </c>
      <c r="I19">
        <v>17</v>
      </c>
      <c r="J19">
        <v>2</v>
      </c>
      <c r="K19">
        <v>0.05</v>
      </c>
      <c r="L19">
        <v>0.85</v>
      </c>
      <c r="M19">
        <v>0.1</v>
      </c>
      <c r="N19">
        <v>0.85</v>
      </c>
      <c r="O19" t="s">
        <v>6</v>
      </c>
    </row>
    <row r="20" spans="1:15" x14ac:dyDescent="0.35">
      <c r="A20" t="s">
        <v>49</v>
      </c>
      <c r="B20" t="s">
        <v>0</v>
      </c>
      <c r="C20" t="s">
        <v>5</v>
      </c>
      <c r="D20">
        <v>72754575</v>
      </c>
      <c r="E20" t="str">
        <f t="shared" si="0"/>
        <v>2DO TURNO</v>
      </c>
      <c r="F20" t="str">
        <f t="shared" si="1"/>
        <v>grupo 2</v>
      </c>
      <c r="G20">
        <f t="shared" si="2"/>
        <v>2</v>
      </c>
      <c r="H20">
        <v>2</v>
      </c>
      <c r="I20">
        <v>20</v>
      </c>
      <c r="J20">
        <v>0</v>
      </c>
      <c r="K20">
        <v>9.0909090909090912E-2</v>
      </c>
      <c r="L20">
        <v>0.90909090909090906</v>
      </c>
      <c r="M20">
        <v>0</v>
      </c>
      <c r="N20">
        <v>0.90909090909090906</v>
      </c>
      <c r="O20" t="s">
        <v>2</v>
      </c>
    </row>
    <row r="21" spans="1:15" x14ac:dyDescent="0.35">
      <c r="A21" t="s">
        <v>49</v>
      </c>
      <c r="B21" t="s">
        <v>0</v>
      </c>
      <c r="C21" t="s">
        <v>5</v>
      </c>
      <c r="D21">
        <v>73199712</v>
      </c>
      <c r="E21" t="str">
        <f t="shared" si="0"/>
        <v>2DO TURNO</v>
      </c>
      <c r="F21" t="str">
        <f t="shared" si="1"/>
        <v>grupo 2</v>
      </c>
      <c r="G21">
        <f t="shared" si="2"/>
        <v>2</v>
      </c>
      <c r="H21">
        <v>1</v>
      </c>
      <c r="I21">
        <v>21</v>
      </c>
      <c r="J21">
        <v>1</v>
      </c>
      <c r="K21">
        <v>4.3478260869565223E-2</v>
      </c>
      <c r="L21">
        <v>0.91304347826086951</v>
      </c>
      <c r="M21">
        <v>4.3478260869565223E-2</v>
      </c>
      <c r="N21">
        <v>0.91304347826086951</v>
      </c>
      <c r="O21" t="s">
        <v>2</v>
      </c>
    </row>
    <row r="22" spans="1:15" x14ac:dyDescent="0.35">
      <c r="A22" t="s">
        <v>49</v>
      </c>
      <c r="B22" t="s">
        <v>0</v>
      </c>
      <c r="C22" t="s">
        <v>5</v>
      </c>
      <c r="D22">
        <v>73715369</v>
      </c>
      <c r="E22" t="str">
        <f t="shared" si="0"/>
        <v>2DO TURNO</v>
      </c>
      <c r="F22" t="str">
        <f t="shared" si="1"/>
        <v>grupo 1</v>
      </c>
      <c r="G22">
        <f t="shared" si="2"/>
        <v>1</v>
      </c>
      <c r="H22">
        <v>6</v>
      </c>
      <c r="I22">
        <v>5</v>
      </c>
      <c r="J22">
        <v>0</v>
      </c>
      <c r="K22">
        <v>0.54545454545454541</v>
      </c>
      <c r="L22">
        <v>0.45454545454545447</v>
      </c>
      <c r="M22">
        <v>0</v>
      </c>
      <c r="N22">
        <v>0.54545454545454541</v>
      </c>
      <c r="O22" t="s">
        <v>3</v>
      </c>
    </row>
    <row r="23" spans="1:15" x14ac:dyDescent="0.35">
      <c r="A23" t="s">
        <v>49</v>
      </c>
      <c r="B23" t="s">
        <v>0</v>
      </c>
      <c r="C23" t="s">
        <v>5</v>
      </c>
      <c r="D23">
        <v>73974210</v>
      </c>
      <c r="E23" t="str">
        <f t="shared" si="0"/>
        <v>2DO TURNO</v>
      </c>
      <c r="F23" t="str">
        <f t="shared" si="1"/>
        <v>grupo 2</v>
      </c>
      <c r="G23">
        <f t="shared" si="2"/>
        <v>2</v>
      </c>
      <c r="H23">
        <v>0</v>
      </c>
      <c r="I23">
        <v>21</v>
      </c>
      <c r="J23">
        <v>0</v>
      </c>
      <c r="K23">
        <v>0</v>
      </c>
      <c r="L23">
        <v>1</v>
      </c>
      <c r="M23">
        <v>0</v>
      </c>
      <c r="N23">
        <v>1</v>
      </c>
      <c r="O23" t="s">
        <v>2</v>
      </c>
    </row>
    <row r="24" spans="1:15" x14ac:dyDescent="0.35">
      <c r="A24" t="s">
        <v>49</v>
      </c>
      <c r="B24" t="s">
        <v>0</v>
      </c>
      <c r="C24" t="s">
        <v>7</v>
      </c>
      <c r="D24">
        <v>44837589</v>
      </c>
      <c r="E24" t="str">
        <f t="shared" si="0"/>
        <v>1ER TURNO</v>
      </c>
      <c r="F24" t="str">
        <f t="shared" si="1"/>
        <v>grupo 1</v>
      </c>
      <c r="G24">
        <f t="shared" si="2"/>
        <v>1</v>
      </c>
      <c r="H24">
        <v>22</v>
      </c>
      <c r="I24">
        <v>0</v>
      </c>
      <c r="J24">
        <v>0</v>
      </c>
      <c r="K24">
        <v>1</v>
      </c>
      <c r="L24">
        <v>0</v>
      </c>
      <c r="M24">
        <v>0</v>
      </c>
      <c r="N24">
        <v>1</v>
      </c>
      <c r="O24" t="s">
        <v>2</v>
      </c>
    </row>
    <row r="25" spans="1:15" x14ac:dyDescent="0.35">
      <c r="A25" t="s">
        <v>49</v>
      </c>
      <c r="B25" t="s">
        <v>0</v>
      </c>
      <c r="C25" t="s">
        <v>7</v>
      </c>
      <c r="D25">
        <v>61091315</v>
      </c>
      <c r="E25" t="str">
        <f t="shared" si="0"/>
        <v>1ER TURNO</v>
      </c>
      <c r="F25" t="str">
        <f t="shared" si="1"/>
        <v>grupo 1</v>
      </c>
      <c r="G25">
        <f t="shared" si="2"/>
        <v>1</v>
      </c>
      <c r="H25">
        <v>13</v>
      </c>
      <c r="I25">
        <v>1</v>
      </c>
      <c r="J25">
        <v>0</v>
      </c>
      <c r="K25">
        <v>0.9285714285714286</v>
      </c>
      <c r="L25">
        <v>7.1428571428571425E-2</v>
      </c>
      <c r="M25">
        <v>0</v>
      </c>
      <c r="N25">
        <v>0.9285714285714286</v>
      </c>
      <c r="O25" t="s">
        <v>2</v>
      </c>
    </row>
    <row r="26" spans="1:15" x14ac:dyDescent="0.35">
      <c r="A26" t="s">
        <v>49</v>
      </c>
      <c r="B26" t="s">
        <v>0</v>
      </c>
      <c r="C26" t="s">
        <v>7</v>
      </c>
      <c r="D26">
        <v>61099445</v>
      </c>
      <c r="E26" t="str">
        <f t="shared" si="0"/>
        <v>1ER TURNO</v>
      </c>
      <c r="F26" t="str">
        <f t="shared" si="1"/>
        <v>grupo 2</v>
      </c>
      <c r="G26">
        <f t="shared" si="2"/>
        <v>2</v>
      </c>
      <c r="H26">
        <v>9</v>
      </c>
      <c r="I26">
        <v>14</v>
      </c>
      <c r="J26">
        <v>0</v>
      </c>
      <c r="K26">
        <v>0.39130434782608697</v>
      </c>
      <c r="L26">
        <v>0.60869565217391308</v>
      </c>
      <c r="M26">
        <v>0</v>
      </c>
      <c r="N26">
        <v>0.60869565217391308</v>
      </c>
      <c r="O26" t="s">
        <v>3</v>
      </c>
    </row>
    <row r="27" spans="1:15" x14ac:dyDescent="0.35">
      <c r="A27" t="s">
        <v>49</v>
      </c>
      <c r="B27" t="s">
        <v>0</v>
      </c>
      <c r="C27" t="s">
        <v>7</v>
      </c>
      <c r="D27">
        <v>61151568</v>
      </c>
      <c r="E27" t="str">
        <f t="shared" si="0"/>
        <v>1ER TURNO</v>
      </c>
      <c r="F27" t="str">
        <f t="shared" si="1"/>
        <v>grupo 1</v>
      </c>
      <c r="G27">
        <f t="shared" si="2"/>
        <v>1</v>
      </c>
      <c r="H27">
        <v>12</v>
      </c>
      <c r="I27">
        <v>10</v>
      </c>
      <c r="J27">
        <v>0</v>
      </c>
      <c r="K27">
        <v>0.54545454545454541</v>
      </c>
      <c r="L27">
        <v>0.45454545454545447</v>
      </c>
      <c r="M27">
        <v>0</v>
      </c>
      <c r="N27">
        <v>0.54545454545454541</v>
      </c>
      <c r="O27" t="s">
        <v>3</v>
      </c>
    </row>
    <row r="28" spans="1:15" x14ac:dyDescent="0.35">
      <c r="A28" t="s">
        <v>49</v>
      </c>
      <c r="B28" t="s">
        <v>0</v>
      </c>
      <c r="C28" t="s">
        <v>7</v>
      </c>
      <c r="D28">
        <v>61279256</v>
      </c>
      <c r="E28" t="str">
        <f t="shared" si="0"/>
        <v>1ER TURNO</v>
      </c>
      <c r="F28" t="str">
        <f t="shared" si="1"/>
        <v>grupo 1</v>
      </c>
      <c r="G28">
        <f t="shared" si="2"/>
        <v>1</v>
      </c>
      <c r="H28">
        <v>19</v>
      </c>
      <c r="I28">
        <v>4</v>
      </c>
      <c r="J28">
        <v>0</v>
      </c>
      <c r="K28">
        <v>0.82608695652173914</v>
      </c>
      <c r="L28">
        <v>0.17391304347826089</v>
      </c>
      <c r="M28">
        <v>0</v>
      </c>
      <c r="N28">
        <v>0.82608695652173914</v>
      </c>
      <c r="O28" t="s">
        <v>6</v>
      </c>
    </row>
    <row r="29" spans="1:15" x14ac:dyDescent="0.35">
      <c r="A29" t="s">
        <v>49</v>
      </c>
      <c r="B29" t="s">
        <v>0</v>
      </c>
      <c r="C29" t="s">
        <v>7</v>
      </c>
      <c r="D29">
        <v>61345370</v>
      </c>
      <c r="E29" t="str">
        <f t="shared" si="0"/>
        <v>1ER TURNO</v>
      </c>
      <c r="F29" t="str">
        <f t="shared" si="1"/>
        <v>grupo 2</v>
      </c>
      <c r="G29">
        <f t="shared" si="2"/>
        <v>2</v>
      </c>
      <c r="H29">
        <v>0</v>
      </c>
      <c r="I29">
        <v>23</v>
      </c>
      <c r="J29">
        <v>0</v>
      </c>
      <c r="K29">
        <v>0</v>
      </c>
      <c r="L29">
        <v>1</v>
      </c>
      <c r="M29">
        <v>0</v>
      </c>
      <c r="N29">
        <v>1</v>
      </c>
      <c r="O29" t="s">
        <v>2</v>
      </c>
    </row>
    <row r="30" spans="1:15" x14ac:dyDescent="0.35">
      <c r="A30" t="s">
        <v>49</v>
      </c>
      <c r="B30" t="s">
        <v>0</v>
      </c>
      <c r="C30" t="s">
        <v>7</v>
      </c>
      <c r="D30">
        <v>62221971</v>
      </c>
      <c r="E30" t="str">
        <f t="shared" si="0"/>
        <v>1ER TURNO</v>
      </c>
      <c r="F30" t="str">
        <f t="shared" si="1"/>
        <v>grupo 2</v>
      </c>
      <c r="G30">
        <f t="shared" si="2"/>
        <v>2</v>
      </c>
      <c r="H30">
        <v>2</v>
      </c>
      <c r="I30">
        <v>21</v>
      </c>
      <c r="J30">
        <v>0</v>
      </c>
      <c r="K30">
        <v>8.6956521739130432E-2</v>
      </c>
      <c r="L30">
        <v>0.91304347826086951</v>
      </c>
      <c r="M30">
        <v>0</v>
      </c>
      <c r="N30">
        <v>0.91304347826086951</v>
      </c>
      <c r="O30" t="s">
        <v>2</v>
      </c>
    </row>
    <row r="31" spans="1:15" x14ac:dyDescent="0.35">
      <c r="A31" t="s">
        <v>49</v>
      </c>
      <c r="B31" t="s">
        <v>0</v>
      </c>
      <c r="C31" t="s">
        <v>7</v>
      </c>
      <c r="D31">
        <v>72734037</v>
      </c>
      <c r="E31" t="str">
        <f t="shared" si="0"/>
        <v>1ER TURNO</v>
      </c>
      <c r="F31" t="str">
        <f t="shared" si="1"/>
        <v>grupo 1</v>
      </c>
      <c r="G31">
        <f t="shared" si="2"/>
        <v>1</v>
      </c>
      <c r="H31">
        <v>16</v>
      </c>
      <c r="I31">
        <v>7</v>
      </c>
      <c r="J31">
        <v>0</v>
      </c>
      <c r="K31">
        <v>0.69565217391304346</v>
      </c>
      <c r="L31">
        <v>0.30434782608695649</v>
      </c>
      <c r="M31">
        <v>0</v>
      </c>
      <c r="N31">
        <v>0.69565217391304346</v>
      </c>
      <c r="O31" t="s">
        <v>3</v>
      </c>
    </row>
    <row r="32" spans="1:15" x14ac:dyDescent="0.35">
      <c r="A32" t="s">
        <v>49</v>
      </c>
      <c r="B32" t="s">
        <v>0</v>
      </c>
      <c r="C32" t="s">
        <v>7</v>
      </c>
      <c r="D32">
        <v>74916756</v>
      </c>
      <c r="E32" t="str">
        <f t="shared" si="0"/>
        <v>1ER TURNO</v>
      </c>
      <c r="F32" t="str">
        <f t="shared" si="1"/>
        <v>grupo 1</v>
      </c>
      <c r="G32">
        <f t="shared" si="2"/>
        <v>1</v>
      </c>
      <c r="H32">
        <v>18</v>
      </c>
      <c r="I32">
        <v>3</v>
      </c>
      <c r="J32">
        <v>0</v>
      </c>
      <c r="K32">
        <v>0.8571428571428571</v>
      </c>
      <c r="L32">
        <v>0.14285714285714279</v>
      </c>
      <c r="M32">
        <v>0</v>
      </c>
      <c r="N32">
        <v>0.8571428571428571</v>
      </c>
      <c r="O32" t="s">
        <v>6</v>
      </c>
    </row>
    <row r="33" spans="1:15" x14ac:dyDescent="0.35">
      <c r="A33" t="s">
        <v>49</v>
      </c>
      <c r="B33" t="s">
        <v>0</v>
      </c>
      <c r="C33" t="s">
        <v>7</v>
      </c>
      <c r="D33">
        <v>75408678</v>
      </c>
      <c r="E33" t="str">
        <f t="shared" si="0"/>
        <v>1ER TURNO</v>
      </c>
      <c r="F33" t="str">
        <f t="shared" si="1"/>
        <v>grupo 1</v>
      </c>
      <c r="G33">
        <f t="shared" si="2"/>
        <v>1</v>
      </c>
      <c r="H33">
        <v>21</v>
      </c>
      <c r="I33">
        <v>0</v>
      </c>
      <c r="J33">
        <v>0</v>
      </c>
      <c r="K33">
        <v>1</v>
      </c>
      <c r="L33">
        <v>0</v>
      </c>
      <c r="M33">
        <v>0</v>
      </c>
      <c r="N33">
        <v>1</v>
      </c>
      <c r="O33" t="s">
        <v>2</v>
      </c>
    </row>
    <row r="34" spans="1:15" x14ac:dyDescent="0.35">
      <c r="A34" t="s">
        <v>49</v>
      </c>
      <c r="B34" t="s">
        <v>0</v>
      </c>
      <c r="C34" t="s">
        <v>8</v>
      </c>
      <c r="D34">
        <v>40636491</v>
      </c>
      <c r="E34" t="str">
        <f t="shared" si="0"/>
        <v>2DO TURNO</v>
      </c>
      <c r="F34" t="str">
        <f t="shared" si="1"/>
        <v>grupo 2</v>
      </c>
      <c r="G34">
        <f t="shared" si="2"/>
        <v>2</v>
      </c>
      <c r="H34">
        <v>0</v>
      </c>
      <c r="I34">
        <v>23</v>
      </c>
      <c r="J34">
        <v>0</v>
      </c>
      <c r="K34">
        <v>0</v>
      </c>
      <c r="L34">
        <v>1</v>
      </c>
      <c r="M34">
        <v>0</v>
      </c>
      <c r="N34">
        <v>1</v>
      </c>
      <c r="O34" t="s">
        <v>2</v>
      </c>
    </row>
    <row r="35" spans="1:15" x14ac:dyDescent="0.35">
      <c r="A35" t="s">
        <v>49</v>
      </c>
      <c r="B35" t="s">
        <v>0</v>
      </c>
      <c r="C35" t="s">
        <v>8</v>
      </c>
      <c r="D35">
        <v>48566634</v>
      </c>
      <c r="E35" t="str">
        <f t="shared" si="0"/>
        <v>2DO TURNO</v>
      </c>
      <c r="F35" t="str">
        <f t="shared" si="1"/>
        <v>grupo 2</v>
      </c>
      <c r="G35">
        <f t="shared" si="2"/>
        <v>2</v>
      </c>
      <c r="H35">
        <v>0</v>
      </c>
      <c r="I35">
        <v>21</v>
      </c>
      <c r="J35">
        <v>0</v>
      </c>
      <c r="K35">
        <v>0</v>
      </c>
      <c r="L35">
        <v>1</v>
      </c>
      <c r="M35">
        <v>0</v>
      </c>
      <c r="N35">
        <v>1</v>
      </c>
      <c r="O35" t="s">
        <v>2</v>
      </c>
    </row>
    <row r="36" spans="1:15" x14ac:dyDescent="0.35">
      <c r="A36" t="s">
        <v>49</v>
      </c>
      <c r="B36" t="s">
        <v>0</v>
      </c>
      <c r="C36" t="s">
        <v>8</v>
      </c>
      <c r="D36">
        <v>60821299</v>
      </c>
      <c r="E36" t="str">
        <f t="shared" si="0"/>
        <v>2DO TURNO</v>
      </c>
      <c r="F36" t="str">
        <f t="shared" si="1"/>
        <v>grupo 2</v>
      </c>
      <c r="G36">
        <f t="shared" si="2"/>
        <v>2</v>
      </c>
      <c r="H36">
        <v>0</v>
      </c>
      <c r="I36">
        <v>22</v>
      </c>
      <c r="J36">
        <v>0</v>
      </c>
      <c r="K36">
        <v>0</v>
      </c>
      <c r="L36">
        <v>1</v>
      </c>
      <c r="M36">
        <v>0</v>
      </c>
      <c r="N36">
        <v>1</v>
      </c>
      <c r="O36" t="s">
        <v>2</v>
      </c>
    </row>
    <row r="37" spans="1:15" x14ac:dyDescent="0.35">
      <c r="A37" t="s">
        <v>49</v>
      </c>
      <c r="B37" t="s">
        <v>0</v>
      </c>
      <c r="C37" t="s">
        <v>8</v>
      </c>
      <c r="D37">
        <v>61158393</v>
      </c>
      <c r="E37" t="str">
        <f t="shared" si="0"/>
        <v>2DO TURNO</v>
      </c>
      <c r="F37" t="str">
        <f t="shared" si="1"/>
        <v>grupo 1</v>
      </c>
      <c r="G37">
        <f t="shared" si="2"/>
        <v>1</v>
      </c>
      <c r="H37">
        <v>17</v>
      </c>
      <c r="I37">
        <v>1</v>
      </c>
      <c r="J37">
        <v>1</v>
      </c>
      <c r="K37">
        <v>0.89473684210526316</v>
      </c>
      <c r="L37">
        <v>5.2631578947368418E-2</v>
      </c>
      <c r="M37">
        <v>5.2631578947368418E-2</v>
      </c>
      <c r="N37">
        <v>0.89473684210526316</v>
      </c>
      <c r="O37" t="s">
        <v>6</v>
      </c>
    </row>
    <row r="38" spans="1:15" x14ac:dyDescent="0.35">
      <c r="A38" t="s">
        <v>49</v>
      </c>
      <c r="B38" t="s">
        <v>0</v>
      </c>
      <c r="C38" t="s">
        <v>8</v>
      </c>
      <c r="D38">
        <v>61293270</v>
      </c>
      <c r="E38" t="str">
        <f t="shared" si="0"/>
        <v>2DO TURNO</v>
      </c>
      <c r="F38" t="str">
        <f t="shared" si="1"/>
        <v>grupo 2</v>
      </c>
      <c r="G38">
        <f t="shared" si="2"/>
        <v>2</v>
      </c>
      <c r="H38">
        <v>0</v>
      </c>
      <c r="I38">
        <v>23</v>
      </c>
      <c r="J38">
        <v>0</v>
      </c>
      <c r="K38">
        <v>0</v>
      </c>
      <c r="L38">
        <v>1</v>
      </c>
      <c r="M38">
        <v>0</v>
      </c>
      <c r="N38">
        <v>1</v>
      </c>
      <c r="O38" t="s">
        <v>2</v>
      </c>
    </row>
    <row r="39" spans="1:15" x14ac:dyDescent="0.35">
      <c r="A39" t="s">
        <v>49</v>
      </c>
      <c r="B39" t="s">
        <v>0</v>
      </c>
      <c r="C39" t="s">
        <v>8</v>
      </c>
      <c r="D39">
        <v>61313010</v>
      </c>
      <c r="E39" t="str">
        <f t="shared" si="0"/>
        <v>2DO TURNO</v>
      </c>
      <c r="F39" t="str">
        <f t="shared" si="1"/>
        <v>grupo 2</v>
      </c>
      <c r="G39">
        <f t="shared" si="2"/>
        <v>2</v>
      </c>
      <c r="H39">
        <v>1</v>
      </c>
      <c r="I39">
        <v>17</v>
      </c>
      <c r="J39">
        <v>1</v>
      </c>
      <c r="K39">
        <v>5.2631578947368418E-2</v>
      </c>
      <c r="L39">
        <v>0.89473684210526316</v>
      </c>
      <c r="M39">
        <v>5.2631578947368418E-2</v>
      </c>
      <c r="N39">
        <v>0.89473684210526316</v>
      </c>
      <c r="O39" t="s">
        <v>6</v>
      </c>
    </row>
    <row r="40" spans="1:15" x14ac:dyDescent="0.35">
      <c r="A40" t="s">
        <v>49</v>
      </c>
      <c r="B40" t="s">
        <v>0</v>
      </c>
      <c r="C40" t="s">
        <v>8</v>
      </c>
      <c r="D40">
        <v>70530096</v>
      </c>
      <c r="E40" t="str">
        <f t="shared" si="0"/>
        <v>2DO TURNO</v>
      </c>
      <c r="F40" t="str">
        <f t="shared" si="1"/>
        <v>grupo 2</v>
      </c>
      <c r="G40">
        <f t="shared" si="2"/>
        <v>2</v>
      </c>
      <c r="H40">
        <v>5</v>
      </c>
      <c r="I40">
        <v>18</v>
      </c>
      <c r="J40">
        <v>0</v>
      </c>
      <c r="K40">
        <v>0.21739130434782611</v>
      </c>
      <c r="L40">
        <v>0.78260869565217395</v>
      </c>
      <c r="M40">
        <v>0</v>
      </c>
      <c r="N40">
        <v>0.78260869565217395</v>
      </c>
      <c r="O40" t="s">
        <v>3</v>
      </c>
    </row>
    <row r="41" spans="1:15" x14ac:dyDescent="0.35">
      <c r="A41" t="s">
        <v>49</v>
      </c>
      <c r="B41" t="s">
        <v>0</v>
      </c>
      <c r="C41" t="s">
        <v>8</v>
      </c>
      <c r="D41">
        <v>72323269</v>
      </c>
      <c r="E41" t="str">
        <f t="shared" si="0"/>
        <v>2DO TURNO</v>
      </c>
      <c r="F41" t="str">
        <f t="shared" si="1"/>
        <v>grupo 3</v>
      </c>
      <c r="G41">
        <f t="shared" si="2"/>
        <v>3</v>
      </c>
      <c r="H41">
        <v>2</v>
      </c>
      <c r="I41">
        <v>1</v>
      </c>
      <c r="J41">
        <v>18</v>
      </c>
      <c r="K41">
        <v>9.5238095238095233E-2</v>
      </c>
      <c r="L41">
        <v>4.7619047619047623E-2</v>
      </c>
      <c r="M41">
        <v>0.8571428571428571</v>
      </c>
      <c r="N41">
        <v>0.8571428571428571</v>
      </c>
      <c r="O41" t="s">
        <v>6</v>
      </c>
    </row>
    <row r="42" spans="1:15" x14ac:dyDescent="0.35">
      <c r="A42" t="s">
        <v>49</v>
      </c>
      <c r="B42" t="s">
        <v>0</v>
      </c>
      <c r="C42" t="s">
        <v>8</v>
      </c>
      <c r="D42">
        <v>73003226</v>
      </c>
      <c r="E42" t="str">
        <f t="shared" si="0"/>
        <v>2DO TURNO</v>
      </c>
      <c r="F42" t="str">
        <f t="shared" si="1"/>
        <v>grupo 3</v>
      </c>
      <c r="G42">
        <f t="shared" si="2"/>
        <v>3</v>
      </c>
      <c r="H42">
        <v>1</v>
      </c>
      <c r="I42">
        <v>7</v>
      </c>
      <c r="J42">
        <v>15</v>
      </c>
      <c r="K42">
        <v>4.3478260869565223E-2</v>
      </c>
      <c r="L42">
        <v>0.30434782608695649</v>
      </c>
      <c r="M42">
        <v>0.65217391304347827</v>
      </c>
      <c r="N42">
        <v>0.65217391304347827</v>
      </c>
      <c r="O42" t="s">
        <v>3</v>
      </c>
    </row>
    <row r="43" spans="1:15" x14ac:dyDescent="0.35">
      <c r="A43" t="s">
        <v>49</v>
      </c>
      <c r="B43" t="s">
        <v>0</v>
      </c>
      <c r="C43" t="s">
        <v>8</v>
      </c>
      <c r="D43">
        <v>74748159</v>
      </c>
      <c r="E43" t="str">
        <f t="shared" si="0"/>
        <v>2DO TURNO</v>
      </c>
      <c r="F43" t="str">
        <f t="shared" si="1"/>
        <v>grupo 2</v>
      </c>
      <c r="G43">
        <f t="shared" si="2"/>
        <v>2</v>
      </c>
      <c r="H43">
        <v>0</v>
      </c>
      <c r="I43">
        <v>23</v>
      </c>
      <c r="J43">
        <v>0</v>
      </c>
      <c r="K43">
        <v>0</v>
      </c>
      <c r="L43">
        <v>1</v>
      </c>
      <c r="M43">
        <v>0</v>
      </c>
      <c r="N43">
        <v>1</v>
      </c>
      <c r="O43" t="s">
        <v>2</v>
      </c>
    </row>
    <row r="44" spans="1:15" x14ac:dyDescent="0.35">
      <c r="A44" t="s">
        <v>49</v>
      </c>
      <c r="B44" t="s">
        <v>0</v>
      </c>
      <c r="C44" t="s">
        <v>8</v>
      </c>
      <c r="D44">
        <v>74929797</v>
      </c>
      <c r="E44" t="str">
        <f t="shared" si="0"/>
        <v>2DO TURNO</v>
      </c>
      <c r="F44" t="str">
        <f t="shared" si="1"/>
        <v>grupo 2</v>
      </c>
      <c r="G44">
        <f t="shared" si="2"/>
        <v>2</v>
      </c>
      <c r="H44">
        <v>0</v>
      </c>
      <c r="I44">
        <v>20</v>
      </c>
      <c r="J44">
        <v>0</v>
      </c>
      <c r="K44">
        <v>0</v>
      </c>
      <c r="L44">
        <v>1</v>
      </c>
      <c r="M44">
        <v>0</v>
      </c>
      <c r="N44">
        <v>1</v>
      </c>
      <c r="O44" t="s">
        <v>2</v>
      </c>
    </row>
    <row r="45" spans="1:15" x14ac:dyDescent="0.35">
      <c r="A45" t="s">
        <v>49</v>
      </c>
      <c r="B45" t="s">
        <v>0</v>
      </c>
      <c r="C45" t="s">
        <v>8</v>
      </c>
      <c r="D45">
        <v>76043349</v>
      </c>
      <c r="E45" t="str">
        <f t="shared" si="0"/>
        <v>2DO TURNO</v>
      </c>
      <c r="F45" t="str">
        <f t="shared" si="1"/>
        <v>grupo 2</v>
      </c>
      <c r="G45">
        <f t="shared" si="2"/>
        <v>2</v>
      </c>
      <c r="H45">
        <v>0</v>
      </c>
      <c r="I45">
        <v>22</v>
      </c>
      <c r="J45">
        <v>0</v>
      </c>
      <c r="K45">
        <v>0</v>
      </c>
      <c r="L45">
        <v>1</v>
      </c>
      <c r="M45">
        <v>0</v>
      </c>
      <c r="N45">
        <v>1</v>
      </c>
      <c r="O45" t="s">
        <v>2</v>
      </c>
    </row>
    <row r="46" spans="1:15" x14ac:dyDescent="0.35">
      <c r="A46" t="s">
        <v>49</v>
      </c>
      <c r="B46" t="s">
        <v>0</v>
      </c>
      <c r="C46" t="s">
        <v>8</v>
      </c>
      <c r="D46">
        <v>76140596</v>
      </c>
      <c r="E46" t="str">
        <f t="shared" si="0"/>
        <v>2DO TURNO</v>
      </c>
      <c r="F46" t="str">
        <f t="shared" si="1"/>
        <v>grupo 1</v>
      </c>
      <c r="G46">
        <f t="shared" si="2"/>
        <v>1</v>
      </c>
      <c r="H46">
        <v>15</v>
      </c>
      <c r="I46">
        <v>0</v>
      </c>
      <c r="J46">
        <v>1</v>
      </c>
      <c r="K46">
        <v>0.9375</v>
      </c>
      <c r="L46">
        <v>0</v>
      </c>
      <c r="M46">
        <v>6.25E-2</v>
      </c>
      <c r="N46">
        <v>0.9375</v>
      </c>
      <c r="O46" t="s">
        <v>2</v>
      </c>
    </row>
    <row r="47" spans="1:15" x14ac:dyDescent="0.35">
      <c r="A47" t="s">
        <v>49</v>
      </c>
      <c r="B47" t="s">
        <v>0</v>
      </c>
      <c r="C47" t="s">
        <v>8</v>
      </c>
      <c r="D47">
        <v>76342543</v>
      </c>
      <c r="E47" t="str">
        <f t="shared" si="0"/>
        <v>2DO TURNO</v>
      </c>
      <c r="F47" t="str">
        <f t="shared" si="1"/>
        <v>grupo 3</v>
      </c>
      <c r="G47">
        <f t="shared" si="2"/>
        <v>3</v>
      </c>
      <c r="H47">
        <v>0</v>
      </c>
      <c r="I47">
        <v>1</v>
      </c>
      <c r="J47">
        <v>3</v>
      </c>
      <c r="K47">
        <v>0</v>
      </c>
      <c r="L47">
        <v>0.25</v>
      </c>
      <c r="M47">
        <v>0.75</v>
      </c>
      <c r="N47">
        <v>0.75</v>
      </c>
      <c r="O47" t="s">
        <v>3</v>
      </c>
    </row>
    <row r="48" spans="1:15" x14ac:dyDescent="0.35">
      <c r="A48" t="s">
        <v>49</v>
      </c>
      <c r="B48" t="s">
        <v>0</v>
      </c>
      <c r="C48" t="s">
        <v>8</v>
      </c>
      <c r="D48">
        <v>76423289</v>
      </c>
      <c r="E48" t="str">
        <f t="shared" si="0"/>
        <v>2DO TURNO</v>
      </c>
      <c r="F48" t="str">
        <f t="shared" si="1"/>
        <v>grupo 2</v>
      </c>
      <c r="G48">
        <f t="shared" si="2"/>
        <v>2</v>
      </c>
      <c r="H48">
        <v>4</v>
      </c>
      <c r="I48">
        <v>18</v>
      </c>
      <c r="J48">
        <v>0</v>
      </c>
      <c r="K48">
        <v>0.1818181818181818</v>
      </c>
      <c r="L48">
        <v>0.81818181818181823</v>
      </c>
      <c r="M48">
        <v>0</v>
      </c>
      <c r="N48">
        <v>0.81818181818181823</v>
      </c>
      <c r="O48" t="s">
        <v>6</v>
      </c>
    </row>
    <row r="49" spans="1:15" x14ac:dyDescent="0.35">
      <c r="A49" t="s">
        <v>49</v>
      </c>
      <c r="B49" t="s">
        <v>9</v>
      </c>
      <c r="C49" t="s">
        <v>1</v>
      </c>
      <c r="D49">
        <v>47686479</v>
      </c>
      <c r="E49" t="str">
        <f t="shared" si="0"/>
        <v>1ER TURNO</v>
      </c>
      <c r="F49" t="str">
        <f t="shared" si="1"/>
        <v>grupo 1</v>
      </c>
      <c r="G49">
        <f t="shared" si="2"/>
        <v>1</v>
      </c>
      <c r="H49">
        <v>14</v>
      </c>
      <c r="I49">
        <v>7</v>
      </c>
      <c r="J49">
        <v>0</v>
      </c>
      <c r="K49">
        <v>0.66666666666666663</v>
      </c>
      <c r="L49">
        <v>0.33333333333333331</v>
      </c>
      <c r="M49">
        <v>0</v>
      </c>
      <c r="N49">
        <v>0.66666666666666663</v>
      </c>
      <c r="O49" t="s">
        <v>3</v>
      </c>
    </row>
    <row r="50" spans="1:15" x14ac:dyDescent="0.35">
      <c r="A50" t="s">
        <v>49</v>
      </c>
      <c r="B50" t="s">
        <v>9</v>
      </c>
      <c r="C50" t="s">
        <v>1</v>
      </c>
      <c r="D50">
        <v>70045551</v>
      </c>
      <c r="E50" t="str">
        <f t="shared" si="0"/>
        <v>1ER TURNO</v>
      </c>
      <c r="F50" t="str">
        <f t="shared" si="1"/>
        <v>grupo 2</v>
      </c>
      <c r="G50">
        <f t="shared" si="2"/>
        <v>2</v>
      </c>
      <c r="H50">
        <v>7</v>
      </c>
      <c r="I50">
        <v>16</v>
      </c>
      <c r="J50">
        <v>0</v>
      </c>
      <c r="K50">
        <v>0.30434782608695649</v>
      </c>
      <c r="L50">
        <v>0.69565217391304346</v>
      </c>
      <c r="M50">
        <v>0</v>
      </c>
      <c r="N50">
        <v>0.69565217391304346</v>
      </c>
      <c r="O50" t="s">
        <v>3</v>
      </c>
    </row>
    <row r="51" spans="1:15" x14ac:dyDescent="0.35">
      <c r="A51" t="s">
        <v>49</v>
      </c>
      <c r="B51" t="s">
        <v>9</v>
      </c>
      <c r="C51" t="s">
        <v>1</v>
      </c>
      <c r="D51">
        <v>70592518</v>
      </c>
      <c r="E51" t="str">
        <f t="shared" si="0"/>
        <v>1ER TURNO</v>
      </c>
      <c r="F51" t="str">
        <f t="shared" si="1"/>
        <v>grupo 1</v>
      </c>
      <c r="G51">
        <f t="shared" si="2"/>
        <v>1</v>
      </c>
      <c r="H51">
        <v>16</v>
      </c>
      <c r="I51">
        <v>6</v>
      </c>
      <c r="J51">
        <v>0</v>
      </c>
      <c r="K51">
        <v>0.72727272727272729</v>
      </c>
      <c r="L51">
        <v>0.27272727272727271</v>
      </c>
      <c r="M51">
        <v>0</v>
      </c>
      <c r="N51">
        <v>0.72727272727272729</v>
      </c>
      <c r="O51" t="s">
        <v>3</v>
      </c>
    </row>
    <row r="52" spans="1:15" x14ac:dyDescent="0.35">
      <c r="A52" t="s">
        <v>49</v>
      </c>
      <c r="B52" t="s">
        <v>9</v>
      </c>
      <c r="C52" t="s">
        <v>1</v>
      </c>
      <c r="D52">
        <v>71483297</v>
      </c>
      <c r="E52" t="str">
        <f t="shared" si="0"/>
        <v>1ER TURNO</v>
      </c>
      <c r="F52" t="str">
        <f t="shared" si="1"/>
        <v>grupo 2</v>
      </c>
      <c r="G52">
        <f t="shared" si="2"/>
        <v>2</v>
      </c>
      <c r="H52">
        <v>10</v>
      </c>
      <c r="I52">
        <v>12</v>
      </c>
      <c r="J52">
        <v>0</v>
      </c>
      <c r="K52">
        <v>0.45454545454545447</v>
      </c>
      <c r="L52">
        <v>0.54545454545454541</v>
      </c>
      <c r="M52">
        <v>0</v>
      </c>
      <c r="N52">
        <v>0.54545454545454541</v>
      </c>
      <c r="O52" t="s">
        <v>3</v>
      </c>
    </row>
    <row r="53" spans="1:15" x14ac:dyDescent="0.35">
      <c r="A53" t="s">
        <v>49</v>
      </c>
      <c r="B53" t="s">
        <v>9</v>
      </c>
      <c r="C53" t="s">
        <v>1</v>
      </c>
      <c r="D53">
        <v>73271590</v>
      </c>
      <c r="E53" t="str">
        <f t="shared" si="0"/>
        <v>1ER TURNO</v>
      </c>
      <c r="F53" t="str">
        <f t="shared" si="1"/>
        <v>grupo 2</v>
      </c>
      <c r="G53">
        <f t="shared" si="2"/>
        <v>2</v>
      </c>
      <c r="H53">
        <v>2</v>
      </c>
      <c r="I53">
        <v>17</v>
      </c>
      <c r="J53">
        <v>2</v>
      </c>
      <c r="K53">
        <v>9.5238095238095233E-2</v>
      </c>
      <c r="L53">
        <v>0.80952380952380953</v>
      </c>
      <c r="M53">
        <v>9.5238095238095233E-2</v>
      </c>
      <c r="N53">
        <v>0.80952380952380953</v>
      </c>
      <c r="O53" t="s">
        <v>6</v>
      </c>
    </row>
    <row r="54" spans="1:15" x14ac:dyDescent="0.35">
      <c r="A54" t="s">
        <v>49</v>
      </c>
      <c r="B54" t="s">
        <v>9</v>
      </c>
      <c r="C54" t="s">
        <v>1</v>
      </c>
      <c r="D54">
        <v>77059376</v>
      </c>
      <c r="E54" t="str">
        <f t="shared" si="0"/>
        <v>1ER TURNO</v>
      </c>
      <c r="F54" t="str">
        <f t="shared" si="1"/>
        <v>grupo 2</v>
      </c>
      <c r="G54">
        <f t="shared" si="2"/>
        <v>2</v>
      </c>
      <c r="H54">
        <v>0</v>
      </c>
      <c r="I54">
        <v>13</v>
      </c>
      <c r="J54">
        <v>0</v>
      </c>
      <c r="K54">
        <v>0</v>
      </c>
      <c r="L54">
        <v>1</v>
      </c>
      <c r="M54">
        <v>0</v>
      </c>
      <c r="N54">
        <v>1</v>
      </c>
      <c r="O54" t="s">
        <v>2</v>
      </c>
    </row>
    <row r="55" spans="1:15" x14ac:dyDescent="0.35">
      <c r="A55" t="s">
        <v>49</v>
      </c>
      <c r="B55" t="s">
        <v>9</v>
      </c>
      <c r="C55" t="s">
        <v>5</v>
      </c>
      <c r="D55">
        <v>70716100</v>
      </c>
      <c r="E55" t="str">
        <f t="shared" si="0"/>
        <v>2DO TURNO</v>
      </c>
      <c r="F55" t="str">
        <f t="shared" si="1"/>
        <v>grupo 2</v>
      </c>
      <c r="G55">
        <f t="shared" si="2"/>
        <v>2</v>
      </c>
      <c r="H55">
        <v>0</v>
      </c>
      <c r="I55">
        <v>21</v>
      </c>
      <c r="J55">
        <v>0</v>
      </c>
      <c r="K55">
        <v>0</v>
      </c>
      <c r="L55">
        <v>1</v>
      </c>
      <c r="M55">
        <v>0</v>
      </c>
      <c r="N55">
        <v>1</v>
      </c>
      <c r="O55" t="s">
        <v>2</v>
      </c>
    </row>
    <row r="56" spans="1:15" x14ac:dyDescent="0.35">
      <c r="A56" t="s">
        <v>49</v>
      </c>
      <c r="B56" t="s">
        <v>9</v>
      </c>
      <c r="C56" t="s">
        <v>5</v>
      </c>
      <c r="D56">
        <v>72103374</v>
      </c>
      <c r="E56" t="str">
        <f t="shared" si="0"/>
        <v>2DO TURNO</v>
      </c>
      <c r="F56" t="str">
        <f t="shared" si="1"/>
        <v>grupo 2</v>
      </c>
      <c r="G56">
        <f t="shared" si="2"/>
        <v>2</v>
      </c>
      <c r="H56">
        <v>0</v>
      </c>
      <c r="I56">
        <v>3</v>
      </c>
      <c r="J56">
        <v>1</v>
      </c>
      <c r="K56">
        <v>0</v>
      </c>
      <c r="L56">
        <v>0.75</v>
      </c>
      <c r="M56">
        <v>0.25</v>
      </c>
      <c r="N56">
        <v>0.75</v>
      </c>
      <c r="O56" t="s">
        <v>3</v>
      </c>
    </row>
    <row r="57" spans="1:15" x14ac:dyDescent="0.35">
      <c r="A57" t="s">
        <v>49</v>
      </c>
      <c r="B57" t="s">
        <v>9</v>
      </c>
      <c r="C57" t="s">
        <v>5</v>
      </c>
      <c r="D57">
        <v>77091191</v>
      </c>
      <c r="E57" t="str">
        <f t="shared" si="0"/>
        <v>2DO TURNO</v>
      </c>
      <c r="F57" t="str">
        <f t="shared" si="1"/>
        <v>grupo 2</v>
      </c>
      <c r="G57">
        <f t="shared" si="2"/>
        <v>2</v>
      </c>
      <c r="H57">
        <v>0</v>
      </c>
      <c r="I57">
        <v>20</v>
      </c>
      <c r="J57">
        <v>1</v>
      </c>
      <c r="K57">
        <v>0</v>
      </c>
      <c r="L57">
        <v>0.95238095238095233</v>
      </c>
      <c r="M57">
        <v>4.7619047619047623E-2</v>
      </c>
      <c r="N57">
        <v>0.95238095238095233</v>
      </c>
      <c r="O57" t="s">
        <v>2</v>
      </c>
    </row>
    <row r="58" spans="1:15" x14ac:dyDescent="0.35">
      <c r="A58" t="s">
        <v>49</v>
      </c>
      <c r="B58" t="s">
        <v>9</v>
      </c>
      <c r="C58" t="s">
        <v>8</v>
      </c>
      <c r="D58">
        <v>42857028</v>
      </c>
      <c r="E58" t="str">
        <f t="shared" si="0"/>
        <v>2DO TURNO</v>
      </c>
      <c r="F58" t="str">
        <f t="shared" si="1"/>
        <v>grupo 2</v>
      </c>
      <c r="G58">
        <f t="shared" si="2"/>
        <v>2</v>
      </c>
      <c r="H58">
        <v>0</v>
      </c>
      <c r="I58">
        <v>22</v>
      </c>
      <c r="J58">
        <v>0</v>
      </c>
      <c r="K58">
        <v>0</v>
      </c>
      <c r="L58">
        <v>1</v>
      </c>
      <c r="M58">
        <v>0</v>
      </c>
      <c r="N58">
        <v>1</v>
      </c>
      <c r="O58" t="s">
        <v>2</v>
      </c>
    </row>
    <row r="59" spans="1:15" x14ac:dyDescent="0.35">
      <c r="A59" t="s">
        <v>49</v>
      </c>
      <c r="B59" t="s">
        <v>9</v>
      </c>
      <c r="C59" t="s">
        <v>8</v>
      </c>
      <c r="D59">
        <v>60748611</v>
      </c>
      <c r="E59" t="str">
        <f t="shared" si="0"/>
        <v>2DO TURNO</v>
      </c>
      <c r="F59" t="str">
        <f t="shared" si="1"/>
        <v>grupo 2</v>
      </c>
      <c r="G59">
        <f t="shared" si="2"/>
        <v>2</v>
      </c>
      <c r="H59">
        <v>0</v>
      </c>
      <c r="I59">
        <v>12</v>
      </c>
      <c r="J59">
        <v>10</v>
      </c>
      <c r="K59">
        <v>0</v>
      </c>
      <c r="L59">
        <v>0.54545454545454541</v>
      </c>
      <c r="M59">
        <v>0.45454545454545447</v>
      </c>
      <c r="N59">
        <v>0.54545454545454541</v>
      </c>
      <c r="O59" t="s">
        <v>3</v>
      </c>
    </row>
    <row r="60" spans="1:15" x14ac:dyDescent="0.35">
      <c r="A60" t="s">
        <v>49</v>
      </c>
      <c r="B60" t="s">
        <v>9</v>
      </c>
      <c r="C60" t="s">
        <v>8</v>
      </c>
      <c r="D60">
        <v>60772425</v>
      </c>
      <c r="E60" t="str">
        <f t="shared" si="0"/>
        <v>2DO TURNO</v>
      </c>
      <c r="F60" t="str">
        <f t="shared" si="1"/>
        <v>grupo 2</v>
      </c>
      <c r="G60">
        <f t="shared" si="2"/>
        <v>2</v>
      </c>
      <c r="H60">
        <v>0</v>
      </c>
      <c r="I60">
        <v>13</v>
      </c>
      <c r="J60">
        <v>9</v>
      </c>
      <c r="K60">
        <v>0</v>
      </c>
      <c r="L60">
        <v>0.59090909090909094</v>
      </c>
      <c r="M60">
        <v>0.40909090909090912</v>
      </c>
      <c r="N60">
        <v>0.59090909090909094</v>
      </c>
      <c r="O60" t="s">
        <v>3</v>
      </c>
    </row>
    <row r="61" spans="1:15" x14ac:dyDescent="0.35">
      <c r="A61" t="s">
        <v>49</v>
      </c>
      <c r="B61" t="s">
        <v>9</v>
      </c>
      <c r="C61" t="s">
        <v>8</v>
      </c>
      <c r="D61">
        <v>72194117</v>
      </c>
      <c r="E61" t="str">
        <f t="shared" si="0"/>
        <v>2DO TURNO</v>
      </c>
      <c r="F61" t="str">
        <f t="shared" si="1"/>
        <v>grupo 2</v>
      </c>
      <c r="G61">
        <f t="shared" si="2"/>
        <v>2</v>
      </c>
      <c r="H61">
        <v>0</v>
      </c>
      <c r="I61">
        <v>23</v>
      </c>
      <c r="J61">
        <v>0</v>
      </c>
      <c r="K61">
        <v>0</v>
      </c>
      <c r="L61">
        <v>1</v>
      </c>
      <c r="M61">
        <v>0</v>
      </c>
      <c r="N61">
        <v>1</v>
      </c>
      <c r="O61" t="s">
        <v>2</v>
      </c>
    </row>
    <row r="62" spans="1:15" x14ac:dyDescent="0.35">
      <c r="A62" t="s">
        <v>49</v>
      </c>
      <c r="B62" t="s">
        <v>9</v>
      </c>
      <c r="C62" t="s">
        <v>8</v>
      </c>
      <c r="D62">
        <v>73070855</v>
      </c>
      <c r="E62" t="str">
        <f t="shared" si="0"/>
        <v>2DO TURNO</v>
      </c>
      <c r="F62" t="str">
        <f t="shared" si="1"/>
        <v>grupo 2</v>
      </c>
      <c r="G62">
        <f t="shared" si="2"/>
        <v>2</v>
      </c>
      <c r="H62">
        <v>0</v>
      </c>
      <c r="I62">
        <v>3</v>
      </c>
      <c r="J62">
        <v>1</v>
      </c>
      <c r="K62">
        <v>0</v>
      </c>
      <c r="L62">
        <v>0.75</v>
      </c>
      <c r="M62">
        <v>0.25</v>
      </c>
      <c r="N62">
        <v>0.75</v>
      </c>
      <c r="O62" t="s">
        <v>3</v>
      </c>
    </row>
    <row r="63" spans="1:15" x14ac:dyDescent="0.35">
      <c r="A63" t="s">
        <v>49</v>
      </c>
      <c r="B63" t="s">
        <v>9</v>
      </c>
      <c r="C63" t="s">
        <v>8</v>
      </c>
      <c r="D63">
        <v>73799548</v>
      </c>
      <c r="E63" t="str">
        <f t="shared" si="0"/>
        <v>2DO TURNO</v>
      </c>
      <c r="F63" t="str">
        <f t="shared" si="1"/>
        <v>grupo 1</v>
      </c>
      <c r="G63">
        <f t="shared" si="2"/>
        <v>1</v>
      </c>
      <c r="H63">
        <v>3</v>
      </c>
      <c r="I63">
        <v>0</v>
      </c>
      <c r="J63">
        <v>1</v>
      </c>
      <c r="K63">
        <v>0.75</v>
      </c>
      <c r="L63">
        <v>0</v>
      </c>
      <c r="M63">
        <v>0.25</v>
      </c>
      <c r="N63">
        <v>0.75</v>
      </c>
      <c r="O63" t="s">
        <v>3</v>
      </c>
    </row>
    <row r="64" spans="1:15" x14ac:dyDescent="0.35">
      <c r="A64" t="s">
        <v>49</v>
      </c>
      <c r="B64" t="s">
        <v>9</v>
      </c>
      <c r="C64" t="s">
        <v>8</v>
      </c>
      <c r="D64">
        <v>74253781</v>
      </c>
      <c r="E64" t="str">
        <f t="shared" si="0"/>
        <v>2DO TURNO</v>
      </c>
      <c r="F64" t="str">
        <f t="shared" si="1"/>
        <v>grupo 3</v>
      </c>
      <c r="G64">
        <f t="shared" si="2"/>
        <v>3</v>
      </c>
      <c r="H64">
        <v>11</v>
      </c>
      <c r="I64">
        <v>0</v>
      </c>
      <c r="J64">
        <v>12</v>
      </c>
      <c r="K64">
        <v>0.47826086956521741</v>
      </c>
      <c r="L64">
        <v>0</v>
      </c>
      <c r="M64">
        <v>0.52173913043478259</v>
      </c>
      <c r="N64">
        <v>0.52173913043478259</v>
      </c>
      <c r="O64" t="s">
        <v>3</v>
      </c>
    </row>
    <row r="65" spans="1:15" x14ac:dyDescent="0.35">
      <c r="A65" t="s">
        <v>49</v>
      </c>
      <c r="B65" t="s">
        <v>9</v>
      </c>
      <c r="C65" t="s">
        <v>8</v>
      </c>
      <c r="D65">
        <v>76128653</v>
      </c>
      <c r="E65" t="str">
        <f t="shared" si="0"/>
        <v>2DO TURNO</v>
      </c>
      <c r="F65" t="str">
        <f t="shared" si="1"/>
        <v>grupo 2</v>
      </c>
      <c r="G65">
        <f t="shared" si="2"/>
        <v>2</v>
      </c>
      <c r="H65">
        <v>0</v>
      </c>
      <c r="I65">
        <v>22</v>
      </c>
      <c r="J65">
        <v>0</v>
      </c>
      <c r="K65">
        <v>0</v>
      </c>
      <c r="L65">
        <v>1</v>
      </c>
      <c r="M65">
        <v>0</v>
      </c>
      <c r="N65">
        <v>1</v>
      </c>
      <c r="O65" t="s">
        <v>2</v>
      </c>
    </row>
    <row r="66" spans="1:15" x14ac:dyDescent="0.35">
      <c r="A66" t="s">
        <v>49</v>
      </c>
      <c r="B66" t="s">
        <v>9</v>
      </c>
      <c r="C66" t="s">
        <v>8</v>
      </c>
      <c r="D66">
        <v>76593832</v>
      </c>
      <c r="E66" t="str">
        <f t="shared" si="0"/>
        <v>2DO TURNO</v>
      </c>
      <c r="F66" t="str">
        <f t="shared" si="1"/>
        <v>grupo 2</v>
      </c>
      <c r="G66">
        <f t="shared" si="2"/>
        <v>2</v>
      </c>
      <c r="H66">
        <v>0</v>
      </c>
      <c r="I66">
        <v>22</v>
      </c>
      <c r="J66">
        <v>0</v>
      </c>
      <c r="K66">
        <v>0</v>
      </c>
      <c r="L66">
        <v>1</v>
      </c>
      <c r="M66">
        <v>0</v>
      </c>
      <c r="N66">
        <v>1</v>
      </c>
      <c r="O66" t="s">
        <v>2</v>
      </c>
    </row>
    <row r="67" spans="1:15" x14ac:dyDescent="0.35">
      <c r="A67" t="s">
        <v>49</v>
      </c>
      <c r="B67" t="s">
        <v>9</v>
      </c>
      <c r="C67" t="s">
        <v>8</v>
      </c>
      <c r="D67">
        <v>77016605</v>
      </c>
      <c r="E67" t="str">
        <f t="shared" ref="E67:E130" si="3">RIGHT(C67, 9)</f>
        <v>2DO TURNO</v>
      </c>
      <c r="F67" t="str">
        <f t="shared" ref="F67:F130" si="4">IF(MAX(H67:J67)=H67,"grupo 1",IF(MAX(H67:J67)=I67,"grupo 2","grupo 3"))</f>
        <v>grupo 2</v>
      </c>
      <c r="G67">
        <f t="shared" ref="G67:G130" si="5">IF(MAX(H67:J67)=H67,1,IF(MAX(H67:J67)=I67,2,3))</f>
        <v>2</v>
      </c>
      <c r="H67">
        <v>0</v>
      </c>
      <c r="I67">
        <v>22</v>
      </c>
      <c r="J67">
        <v>0</v>
      </c>
      <c r="K67">
        <v>0</v>
      </c>
      <c r="L67">
        <v>1</v>
      </c>
      <c r="M67">
        <v>0</v>
      </c>
      <c r="N67">
        <v>1</v>
      </c>
      <c r="O67" t="s">
        <v>2</v>
      </c>
    </row>
    <row r="68" spans="1:15" x14ac:dyDescent="0.35">
      <c r="A68" t="s">
        <v>49</v>
      </c>
      <c r="B68" t="s">
        <v>10</v>
      </c>
      <c r="C68" t="s">
        <v>1</v>
      </c>
      <c r="D68">
        <v>70509520</v>
      </c>
      <c r="E68" t="str">
        <f t="shared" si="3"/>
        <v>1ER TURNO</v>
      </c>
      <c r="F68" t="str">
        <f t="shared" si="4"/>
        <v>grupo 2</v>
      </c>
      <c r="G68">
        <f t="shared" si="5"/>
        <v>2</v>
      </c>
      <c r="H68">
        <v>4</v>
      </c>
      <c r="I68">
        <v>17</v>
      </c>
      <c r="J68">
        <v>0</v>
      </c>
      <c r="K68">
        <v>0.19047619047619049</v>
      </c>
      <c r="L68">
        <v>0.80952380952380953</v>
      </c>
      <c r="M68">
        <v>0</v>
      </c>
      <c r="N68">
        <v>0.80952380952380953</v>
      </c>
      <c r="O68" t="s">
        <v>6</v>
      </c>
    </row>
    <row r="69" spans="1:15" x14ac:dyDescent="0.35">
      <c r="A69" t="s">
        <v>49</v>
      </c>
      <c r="B69" t="s">
        <v>10</v>
      </c>
      <c r="C69" t="s">
        <v>1</v>
      </c>
      <c r="D69">
        <v>75067442</v>
      </c>
      <c r="E69" t="str">
        <f t="shared" si="3"/>
        <v>1ER TURNO</v>
      </c>
      <c r="F69" t="str">
        <f t="shared" si="4"/>
        <v>grupo 2</v>
      </c>
      <c r="G69">
        <f t="shared" si="5"/>
        <v>2</v>
      </c>
      <c r="H69">
        <v>6</v>
      </c>
      <c r="I69">
        <v>16</v>
      </c>
      <c r="J69">
        <v>0</v>
      </c>
      <c r="K69">
        <v>0.27272727272727271</v>
      </c>
      <c r="L69">
        <v>0.72727272727272729</v>
      </c>
      <c r="M69">
        <v>0</v>
      </c>
      <c r="N69">
        <v>0.72727272727272729</v>
      </c>
      <c r="O69" t="s">
        <v>3</v>
      </c>
    </row>
    <row r="70" spans="1:15" x14ac:dyDescent="0.35">
      <c r="A70" t="s">
        <v>49</v>
      </c>
      <c r="B70" t="s">
        <v>10</v>
      </c>
      <c r="C70" t="s">
        <v>1</v>
      </c>
      <c r="D70">
        <v>76470491</v>
      </c>
      <c r="E70" t="str">
        <f t="shared" si="3"/>
        <v>1ER TURNO</v>
      </c>
      <c r="F70" t="str">
        <f t="shared" si="4"/>
        <v>grupo 1</v>
      </c>
      <c r="G70">
        <f t="shared" si="5"/>
        <v>1</v>
      </c>
      <c r="H70">
        <v>13</v>
      </c>
      <c r="I70">
        <v>6</v>
      </c>
      <c r="J70">
        <v>0</v>
      </c>
      <c r="K70">
        <v>0.68421052631578949</v>
      </c>
      <c r="L70">
        <v>0.31578947368421051</v>
      </c>
      <c r="M70">
        <v>0</v>
      </c>
      <c r="N70">
        <v>0.68421052631578949</v>
      </c>
      <c r="O70" t="s">
        <v>3</v>
      </c>
    </row>
    <row r="71" spans="1:15" x14ac:dyDescent="0.35">
      <c r="A71" t="s">
        <v>49</v>
      </c>
      <c r="B71" t="s">
        <v>10</v>
      </c>
      <c r="C71" t="s">
        <v>5</v>
      </c>
      <c r="D71">
        <v>60962084</v>
      </c>
      <c r="E71" t="str">
        <f t="shared" si="3"/>
        <v>2DO TURNO</v>
      </c>
      <c r="F71" t="str">
        <f t="shared" si="4"/>
        <v>grupo 2</v>
      </c>
      <c r="G71">
        <f t="shared" si="5"/>
        <v>2</v>
      </c>
      <c r="H71">
        <v>4</v>
      </c>
      <c r="I71">
        <v>16</v>
      </c>
      <c r="J71">
        <v>0</v>
      </c>
      <c r="K71">
        <v>0.2</v>
      </c>
      <c r="L71">
        <v>0.8</v>
      </c>
      <c r="M71">
        <v>0</v>
      </c>
      <c r="N71">
        <v>0.8</v>
      </c>
      <c r="O71" t="s">
        <v>6</v>
      </c>
    </row>
    <row r="72" spans="1:15" x14ac:dyDescent="0.35">
      <c r="A72" t="s">
        <v>49</v>
      </c>
      <c r="B72" t="s">
        <v>10</v>
      </c>
      <c r="C72" t="s">
        <v>5</v>
      </c>
      <c r="D72">
        <v>75233047</v>
      </c>
      <c r="E72" t="str">
        <f t="shared" si="3"/>
        <v>2DO TURNO</v>
      </c>
      <c r="F72" t="str">
        <f t="shared" si="4"/>
        <v>grupo 2</v>
      </c>
      <c r="G72">
        <f t="shared" si="5"/>
        <v>2</v>
      </c>
      <c r="H72">
        <v>0</v>
      </c>
      <c r="I72">
        <v>19</v>
      </c>
      <c r="J72">
        <v>0</v>
      </c>
      <c r="K72">
        <v>0</v>
      </c>
      <c r="L72">
        <v>1</v>
      </c>
      <c r="M72">
        <v>0</v>
      </c>
      <c r="N72">
        <v>1</v>
      </c>
      <c r="O72" t="s">
        <v>2</v>
      </c>
    </row>
    <row r="73" spans="1:15" x14ac:dyDescent="0.35">
      <c r="A73" t="s">
        <v>49</v>
      </c>
      <c r="B73" t="s">
        <v>10</v>
      </c>
      <c r="C73" t="s">
        <v>5</v>
      </c>
      <c r="D73">
        <v>75861127</v>
      </c>
      <c r="E73" t="str">
        <f t="shared" si="3"/>
        <v>2DO TURNO</v>
      </c>
      <c r="F73" t="str">
        <f t="shared" si="4"/>
        <v>grupo 2</v>
      </c>
      <c r="G73">
        <f t="shared" si="5"/>
        <v>2</v>
      </c>
      <c r="H73">
        <v>4</v>
      </c>
      <c r="I73">
        <v>17</v>
      </c>
      <c r="J73">
        <v>0</v>
      </c>
      <c r="K73">
        <v>0.19047619047619049</v>
      </c>
      <c r="L73">
        <v>0.80952380952380953</v>
      </c>
      <c r="M73">
        <v>0</v>
      </c>
      <c r="N73">
        <v>0.80952380952380953</v>
      </c>
      <c r="O73" t="s">
        <v>6</v>
      </c>
    </row>
    <row r="74" spans="1:15" x14ac:dyDescent="0.35">
      <c r="A74" t="s">
        <v>49</v>
      </c>
      <c r="B74" t="s">
        <v>10</v>
      </c>
      <c r="C74" t="s">
        <v>7</v>
      </c>
      <c r="D74">
        <v>71400924</v>
      </c>
      <c r="E74" t="str">
        <f t="shared" si="3"/>
        <v>1ER TURNO</v>
      </c>
      <c r="F74" t="str">
        <f t="shared" si="4"/>
        <v>grupo 1</v>
      </c>
      <c r="G74">
        <f t="shared" si="5"/>
        <v>1</v>
      </c>
      <c r="H74">
        <v>11</v>
      </c>
      <c r="I74">
        <v>2</v>
      </c>
      <c r="J74">
        <v>4</v>
      </c>
      <c r="K74">
        <v>0.6470588235294118</v>
      </c>
      <c r="L74">
        <v>0.1176470588235294</v>
      </c>
      <c r="M74">
        <v>0.23529411764705879</v>
      </c>
      <c r="N74">
        <v>0.6470588235294118</v>
      </c>
      <c r="O74" t="s">
        <v>3</v>
      </c>
    </row>
    <row r="75" spans="1:15" x14ac:dyDescent="0.35">
      <c r="A75" t="s">
        <v>49</v>
      </c>
      <c r="B75" t="s">
        <v>10</v>
      </c>
      <c r="C75" t="s">
        <v>7</v>
      </c>
      <c r="D75">
        <v>72704880</v>
      </c>
      <c r="E75" t="str">
        <f t="shared" si="3"/>
        <v>1ER TURNO</v>
      </c>
      <c r="F75" t="str">
        <f t="shared" si="4"/>
        <v>grupo 3</v>
      </c>
      <c r="G75">
        <f t="shared" si="5"/>
        <v>3</v>
      </c>
      <c r="H75">
        <v>0</v>
      </c>
      <c r="I75">
        <v>4</v>
      </c>
      <c r="J75">
        <v>13</v>
      </c>
      <c r="K75">
        <v>0</v>
      </c>
      <c r="L75">
        <v>0.23529411764705879</v>
      </c>
      <c r="M75">
        <v>0.76470588235294112</v>
      </c>
      <c r="N75">
        <v>0.76470588235294112</v>
      </c>
      <c r="O75" t="s">
        <v>3</v>
      </c>
    </row>
    <row r="76" spans="1:15" x14ac:dyDescent="0.35">
      <c r="A76" t="s">
        <v>49</v>
      </c>
      <c r="B76" t="s">
        <v>10</v>
      </c>
      <c r="C76" t="s">
        <v>7</v>
      </c>
      <c r="D76">
        <v>73578305</v>
      </c>
      <c r="E76" t="str">
        <f t="shared" si="3"/>
        <v>1ER TURNO</v>
      </c>
      <c r="F76" t="str">
        <f t="shared" si="4"/>
        <v>grupo 2</v>
      </c>
      <c r="G76">
        <f t="shared" si="5"/>
        <v>2</v>
      </c>
      <c r="H76">
        <v>9</v>
      </c>
      <c r="I76">
        <v>10</v>
      </c>
      <c r="J76">
        <v>4</v>
      </c>
      <c r="K76">
        <v>0.39130434782608697</v>
      </c>
      <c r="L76">
        <v>0.43478260869565222</v>
      </c>
      <c r="M76">
        <v>0.17391304347826089</v>
      </c>
      <c r="N76">
        <v>0.43478260869565222</v>
      </c>
      <c r="O76" t="s">
        <v>4</v>
      </c>
    </row>
    <row r="77" spans="1:15" x14ac:dyDescent="0.35">
      <c r="A77" t="s">
        <v>49</v>
      </c>
      <c r="B77" t="s">
        <v>10</v>
      </c>
      <c r="C77" t="s">
        <v>8</v>
      </c>
      <c r="D77">
        <v>70727447</v>
      </c>
      <c r="E77" t="str">
        <f t="shared" si="3"/>
        <v>2DO TURNO</v>
      </c>
      <c r="F77" t="str">
        <f t="shared" si="4"/>
        <v>grupo 2</v>
      </c>
      <c r="G77">
        <f t="shared" si="5"/>
        <v>2</v>
      </c>
      <c r="H77">
        <v>3</v>
      </c>
      <c r="I77">
        <v>9</v>
      </c>
      <c r="J77">
        <v>0</v>
      </c>
      <c r="K77">
        <v>0.25</v>
      </c>
      <c r="L77">
        <v>0.75</v>
      </c>
      <c r="M77">
        <v>0</v>
      </c>
      <c r="N77">
        <v>0.75</v>
      </c>
      <c r="O77" t="s">
        <v>3</v>
      </c>
    </row>
    <row r="78" spans="1:15" x14ac:dyDescent="0.35">
      <c r="A78" t="s">
        <v>49</v>
      </c>
      <c r="B78" t="s">
        <v>10</v>
      </c>
      <c r="C78" t="s">
        <v>8</v>
      </c>
      <c r="D78">
        <v>73145010</v>
      </c>
      <c r="E78" t="str">
        <f t="shared" si="3"/>
        <v>2DO TURNO</v>
      </c>
      <c r="F78" t="str">
        <f t="shared" si="4"/>
        <v>grupo 2</v>
      </c>
      <c r="G78">
        <f t="shared" si="5"/>
        <v>2</v>
      </c>
      <c r="H78">
        <v>0</v>
      </c>
      <c r="I78">
        <v>22</v>
      </c>
      <c r="J78">
        <v>0</v>
      </c>
      <c r="K78">
        <v>0</v>
      </c>
      <c r="L78">
        <v>1</v>
      </c>
      <c r="M78">
        <v>0</v>
      </c>
      <c r="N78">
        <v>1</v>
      </c>
      <c r="O78" t="s">
        <v>2</v>
      </c>
    </row>
    <row r="79" spans="1:15" x14ac:dyDescent="0.35">
      <c r="A79" t="s">
        <v>49</v>
      </c>
      <c r="B79" t="s">
        <v>10</v>
      </c>
      <c r="C79" t="s">
        <v>8</v>
      </c>
      <c r="D79">
        <v>75147065</v>
      </c>
      <c r="E79" t="str">
        <f t="shared" si="3"/>
        <v>2DO TURNO</v>
      </c>
      <c r="F79" t="str">
        <f t="shared" si="4"/>
        <v>grupo 2</v>
      </c>
      <c r="G79">
        <f t="shared" si="5"/>
        <v>2</v>
      </c>
      <c r="H79">
        <v>0</v>
      </c>
      <c r="I79">
        <v>22</v>
      </c>
      <c r="J79">
        <v>1</v>
      </c>
      <c r="K79">
        <v>0</v>
      </c>
      <c r="L79">
        <v>0.95652173913043481</v>
      </c>
      <c r="M79">
        <v>4.3478260869565223E-2</v>
      </c>
      <c r="N79">
        <v>0.95652173913043481</v>
      </c>
      <c r="O79" t="s">
        <v>2</v>
      </c>
    </row>
    <row r="80" spans="1:15" x14ac:dyDescent="0.35">
      <c r="A80" t="s">
        <v>49</v>
      </c>
      <c r="B80" t="s">
        <v>10</v>
      </c>
      <c r="C80" t="s">
        <v>8</v>
      </c>
      <c r="D80">
        <v>76139361</v>
      </c>
      <c r="E80" t="str">
        <f t="shared" si="3"/>
        <v>2DO TURNO</v>
      </c>
      <c r="F80" t="str">
        <f t="shared" si="4"/>
        <v>grupo 2</v>
      </c>
      <c r="G80">
        <f t="shared" si="5"/>
        <v>2</v>
      </c>
      <c r="H80">
        <v>3</v>
      </c>
      <c r="I80">
        <v>11</v>
      </c>
      <c r="J80">
        <v>1</v>
      </c>
      <c r="K80">
        <v>0.2</v>
      </c>
      <c r="L80">
        <v>0.73333333333333328</v>
      </c>
      <c r="M80">
        <v>6.6666666666666666E-2</v>
      </c>
      <c r="N80">
        <v>0.73333333333333328</v>
      </c>
      <c r="O80" t="s">
        <v>3</v>
      </c>
    </row>
    <row r="81" spans="1:15" x14ac:dyDescent="0.35">
      <c r="A81" t="s">
        <v>50</v>
      </c>
      <c r="B81" t="s">
        <v>0</v>
      </c>
      <c r="C81" t="s">
        <v>1</v>
      </c>
      <c r="D81">
        <v>9953385</v>
      </c>
      <c r="E81" t="str">
        <f t="shared" si="3"/>
        <v>1ER TURNO</v>
      </c>
      <c r="F81" t="str">
        <f t="shared" si="4"/>
        <v>grupo 1</v>
      </c>
      <c r="G81">
        <f t="shared" si="5"/>
        <v>1</v>
      </c>
      <c r="H81">
        <v>12</v>
      </c>
      <c r="I81">
        <v>2</v>
      </c>
      <c r="J81">
        <v>0</v>
      </c>
      <c r="K81">
        <v>0.8571428571428571</v>
      </c>
      <c r="L81">
        <v>0.14285714285714279</v>
      </c>
      <c r="M81">
        <v>0</v>
      </c>
      <c r="N81">
        <v>0.8571428571428571</v>
      </c>
      <c r="O81" t="s">
        <v>6</v>
      </c>
    </row>
    <row r="82" spans="1:15" x14ac:dyDescent="0.35">
      <c r="A82" t="s">
        <v>50</v>
      </c>
      <c r="B82" t="s">
        <v>0</v>
      </c>
      <c r="C82" t="s">
        <v>1</v>
      </c>
      <c r="D82">
        <v>40144857</v>
      </c>
      <c r="E82" t="str">
        <f t="shared" si="3"/>
        <v>1ER TURNO</v>
      </c>
      <c r="F82" t="str">
        <f t="shared" si="4"/>
        <v>grupo 1</v>
      </c>
      <c r="G82">
        <f t="shared" si="5"/>
        <v>1</v>
      </c>
      <c r="H82">
        <v>15</v>
      </c>
      <c r="I82">
        <v>0</v>
      </c>
      <c r="J82">
        <v>0</v>
      </c>
      <c r="K82">
        <v>1</v>
      </c>
      <c r="L82">
        <v>0</v>
      </c>
      <c r="M82">
        <v>0</v>
      </c>
      <c r="N82">
        <v>1</v>
      </c>
      <c r="O82" t="s">
        <v>2</v>
      </c>
    </row>
    <row r="83" spans="1:15" x14ac:dyDescent="0.35">
      <c r="A83" t="s">
        <v>50</v>
      </c>
      <c r="B83" t="s">
        <v>0</v>
      </c>
      <c r="C83" t="s">
        <v>1</v>
      </c>
      <c r="D83">
        <v>44205134</v>
      </c>
      <c r="E83" t="str">
        <f t="shared" si="3"/>
        <v>1ER TURNO</v>
      </c>
      <c r="F83" t="str">
        <f t="shared" si="4"/>
        <v>grupo 2</v>
      </c>
      <c r="G83">
        <f t="shared" si="5"/>
        <v>2</v>
      </c>
      <c r="H83">
        <v>4</v>
      </c>
      <c r="I83">
        <v>10</v>
      </c>
      <c r="J83">
        <v>0</v>
      </c>
      <c r="K83">
        <v>0.2857142857142857</v>
      </c>
      <c r="L83">
        <v>0.7142857142857143</v>
      </c>
      <c r="M83">
        <v>0</v>
      </c>
      <c r="N83">
        <v>0.7142857142857143</v>
      </c>
      <c r="O83" t="s">
        <v>3</v>
      </c>
    </row>
    <row r="84" spans="1:15" x14ac:dyDescent="0.35">
      <c r="A84" t="s">
        <v>50</v>
      </c>
      <c r="B84" t="s">
        <v>0</v>
      </c>
      <c r="C84" t="s">
        <v>1</v>
      </c>
      <c r="D84">
        <v>44275637</v>
      </c>
      <c r="E84" t="str">
        <f t="shared" si="3"/>
        <v>1ER TURNO</v>
      </c>
      <c r="F84" t="str">
        <f t="shared" si="4"/>
        <v>grupo 2</v>
      </c>
      <c r="G84">
        <f t="shared" si="5"/>
        <v>2</v>
      </c>
      <c r="H84">
        <v>3</v>
      </c>
      <c r="I84">
        <v>11</v>
      </c>
      <c r="J84">
        <v>0</v>
      </c>
      <c r="K84">
        <v>0.2142857142857143</v>
      </c>
      <c r="L84">
        <v>0.7857142857142857</v>
      </c>
      <c r="M84">
        <v>0</v>
      </c>
      <c r="N84">
        <v>0.7857142857142857</v>
      </c>
      <c r="O84" t="s">
        <v>3</v>
      </c>
    </row>
    <row r="85" spans="1:15" x14ac:dyDescent="0.35">
      <c r="A85" t="s">
        <v>50</v>
      </c>
      <c r="B85" t="s">
        <v>0</v>
      </c>
      <c r="C85" t="s">
        <v>1</v>
      </c>
      <c r="D85">
        <v>46318947</v>
      </c>
      <c r="E85" t="str">
        <f t="shared" si="3"/>
        <v>1ER TURNO</v>
      </c>
      <c r="F85" t="str">
        <f t="shared" si="4"/>
        <v>grupo 2</v>
      </c>
      <c r="G85">
        <f t="shared" si="5"/>
        <v>2</v>
      </c>
      <c r="H85">
        <v>2</v>
      </c>
      <c r="I85">
        <v>12</v>
      </c>
      <c r="J85">
        <v>0</v>
      </c>
      <c r="K85">
        <v>0.14285714285714279</v>
      </c>
      <c r="L85">
        <v>0.8571428571428571</v>
      </c>
      <c r="M85">
        <v>0</v>
      </c>
      <c r="N85">
        <v>0.8571428571428571</v>
      </c>
      <c r="O85" t="s">
        <v>6</v>
      </c>
    </row>
    <row r="86" spans="1:15" x14ac:dyDescent="0.35">
      <c r="A86" t="s">
        <v>50</v>
      </c>
      <c r="B86" t="s">
        <v>0</v>
      </c>
      <c r="C86" t="s">
        <v>1</v>
      </c>
      <c r="D86">
        <v>60777199</v>
      </c>
      <c r="E86" t="str">
        <f t="shared" si="3"/>
        <v>1ER TURNO</v>
      </c>
      <c r="F86" t="str">
        <f t="shared" si="4"/>
        <v>grupo 2</v>
      </c>
      <c r="G86">
        <f t="shared" si="5"/>
        <v>2</v>
      </c>
      <c r="H86">
        <v>0</v>
      </c>
      <c r="I86">
        <v>15</v>
      </c>
      <c r="J86">
        <v>0</v>
      </c>
      <c r="K86">
        <v>0</v>
      </c>
      <c r="L86">
        <v>1</v>
      </c>
      <c r="M86">
        <v>0</v>
      </c>
      <c r="N86">
        <v>1</v>
      </c>
      <c r="O86" t="s">
        <v>2</v>
      </c>
    </row>
    <row r="87" spans="1:15" x14ac:dyDescent="0.35">
      <c r="A87" t="s">
        <v>50</v>
      </c>
      <c r="B87" t="s">
        <v>0</v>
      </c>
      <c r="C87" t="s">
        <v>1</v>
      </c>
      <c r="D87">
        <v>60875529</v>
      </c>
      <c r="E87" t="str">
        <f t="shared" si="3"/>
        <v>1ER TURNO</v>
      </c>
      <c r="F87" t="str">
        <f t="shared" si="4"/>
        <v>grupo 2</v>
      </c>
      <c r="G87">
        <f t="shared" si="5"/>
        <v>2</v>
      </c>
      <c r="H87">
        <v>6</v>
      </c>
      <c r="I87">
        <v>8</v>
      </c>
      <c r="J87">
        <v>0</v>
      </c>
      <c r="K87">
        <v>0.42857142857142849</v>
      </c>
      <c r="L87">
        <v>0.5714285714285714</v>
      </c>
      <c r="M87">
        <v>0</v>
      </c>
      <c r="N87">
        <v>0.5714285714285714</v>
      </c>
      <c r="O87" t="s">
        <v>3</v>
      </c>
    </row>
    <row r="88" spans="1:15" x14ac:dyDescent="0.35">
      <c r="A88" t="s">
        <v>50</v>
      </c>
      <c r="B88" t="s">
        <v>0</v>
      </c>
      <c r="C88" t="s">
        <v>1</v>
      </c>
      <c r="D88">
        <v>60978271</v>
      </c>
      <c r="E88" t="str">
        <f t="shared" si="3"/>
        <v>1ER TURNO</v>
      </c>
      <c r="F88" t="str">
        <f t="shared" si="4"/>
        <v>grupo 2</v>
      </c>
      <c r="G88">
        <f t="shared" si="5"/>
        <v>2</v>
      </c>
      <c r="H88">
        <v>2</v>
      </c>
      <c r="I88">
        <v>9</v>
      </c>
      <c r="J88">
        <v>3</v>
      </c>
      <c r="K88">
        <v>0.14285714285714279</v>
      </c>
      <c r="L88">
        <v>0.6428571428571429</v>
      </c>
      <c r="M88">
        <v>0.2142857142857143</v>
      </c>
      <c r="N88">
        <v>0.6428571428571429</v>
      </c>
      <c r="O88" t="s">
        <v>3</v>
      </c>
    </row>
    <row r="89" spans="1:15" x14ac:dyDescent="0.35">
      <c r="A89" t="s">
        <v>50</v>
      </c>
      <c r="B89" t="s">
        <v>0</v>
      </c>
      <c r="C89" t="s">
        <v>1</v>
      </c>
      <c r="D89">
        <v>72526341</v>
      </c>
      <c r="E89" t="str">
        <f t="shared" si="3"/>
        <v>1ER TURNO</v>
      </c>
      <c r="F89" t="str">
        <f t="shared" si="4"/>
        <v>grupo 2</v>
      </c>
      <c r="G89">
        <f t="shared" si="5"/>
        <v>2</v>
      </c>
      <c r="H89">
        <v>0</v>
      </c>
      <c r="I89">
        <v>15</v>
      </c>
      <c r="J89">
        <v>0</v>
      </c>
      <c r="K89">
        <v>0</v>
      </c>
      <c r="L89">
        <v>1</v>
      </c>
      <c r="M89">
        <v>0</v>
      </c>
      <c r="N89">
        <v>1</v>
      </c>
      <c r="O89" t="s">
        <v>2</v>
      </c>
    </row>
    <row r="90" spans="1:15" x14ac:dyDescent="0.35">
      <c r="A90" t="s">
        <v>50</v>
      </c>
      <c r="B90" t="s">
        <v>0</v>
      </c>
      <c r="C90" t="s">
        <v>1</v>
      </c>
      <c r="D90">
        <v>75317287</v>
      </c>
      <c r="E90" t="str">
        <f t="shared" si="3"/>
        <v>1ER TURNO</v>
      </c>
      <c r="F90" t="str">
        <f t="shared" si="4"/>
        <v>grupo 2</v>
      </c>
      <c r="G90">
        <f t="shared" si="5"/>
        <v>2</v>
      </c>
      <c r="H90">
        <v>4</v>
      </c>
      <c r="I90">
        <v>10</v>
      </c>
      <c r="J90">
        <v>0</v>
      </c>
      <c r="K90">
        <v>0.2857142857142857</v>
      </c>
      <c r="L90">
        <v>0.7142857142857143</v>
      </c>
      <c r="M90">
        <v>0</v>
      </c>
      <c r="N90">
        <v>0.7142857142857143</v>
      </c>
      <c r="O90" t="s">
        <v>3</v>
      </c>
    </row>
    <row r="91" spans="1:15" x14ac:dyDescent="0.35">
      <c r="A91" t="s">
        <v>50</v>
      </c>
      <c r="B91" t="s">
        <v>0</v>
      </c>
      <c r="C91" t="s">
        <v>5</v>
      </c>
      <c r="D91">
        <v>9827728</v>
      </c>
      <c r="E91" t="str">
        <f t="shared" si="3"/>
        <v>2DO TURNO</v>
      </c>
      <c r="F91" t="str">
        <f t="shared" si="4"/>
        <v>grupo 2</v>
      </c>
      <c r="G91">
        <f t="shared" si="5"/>
        <v>2</v>
      </c>
      <c r="H91">
        <v>3</v>
      </c>
      <c r="I91">
        <v>11</v>
      </c>
      <c r="J91">
        <v>1</v>
      </c>
      <c r="K91">
        <v>0.2</v>
      </c>
      <c r="L91">
        <v>0.73333333333333328</v>
      </c>
      <c r="M91">
        <v>6.6666666666666666E-2</v>
      </c>
      <c r="N91">
        <v>0.73333333333333328</v>
      </c>
      <c r="O91" t="s">
        <v>3</v>
      </c>
    </row>
    <row r="92" spans="1:15" x14ac:dyDescent="0.35">
      <c r="A92" t="s">
        <v>50</v>
      </c>
      <c r="B92" t="s">
        <v>0</v>
      </c>
      <c r="C92" t="s">
        <v>5</v>
      </c>
      <c r="D92">
        <v>21541359</v>
      </c>
      <c r="E92" t="str">
        <f t="shared" si="3"/>
        <v>2DO TURNO</v>
      </c>
      <c r="F92" t="str">
        <f t="shared" si="4"/>
        <v>grupo 1</v>
      </c>
      <c r="G92">
        <f t="shared" si="5"/>
        <v>1</v>
      </c>
      <c r="H92">
        <v>11</v>
      </c>
      <c r="I92">
        <v>2</v>
      </c>
      <c r="J92">
        <v>1</v>
      </c>
      <c r="K92">
        <v>0.7857142857142857</v>
      </c>
      <c r="L92">
        <v>0.14285714285714279</v>
      </c>
      <c r="M92">
        <v>7.1428571428571425E-2</v>
      </c>
      <c r="N92">
        <v>0.7857142857142857</v>
      </c>
      <c r="O92" t="s">
        <v>3</v>
      </c>
    </row>
    <row r="93" spans="1:15" x14ac:dyDescent="0.35">
      <c r="A93" t="s">
        <v>50</v>
      </c>
      <c r="B93" t="s">
        <v>0</v>
      </c>
      <c r="C93" t="s">
        <v>5</v>
      </c>
      <c r="D93">
        <v>48896255</v>
      </c>
      <c r="E93" t="str">
        <f t="shared" si="3"/>
        <v>2DO TURNO</v>
      </c>
      <c r="F93" t="str">
        <f t="shared" si="4"/>
        <v>grupo 2</v>
      </c>
      <c r="G93">
        <f t="shared" si="5"/>
        <v>2</v>
      </c>
      <c r="H93">
        <v>3</v>
      </c>
      <c r="I93">
        <v>12</v>
      </c>
      <c r="J93">
        <v>0</v>
      </c>
      <c r="K93">
        <v>0.2</v>
      </c>
      <c r="L93">
        <v>0.8</v>
      </c>
      <c r="M93">
        <v>0</v>
      </c>
      <c r="N93">
        <v>0.8</v>
      </c>
      <c r="O93" t="s">
        <v>6</v>
      </c>
    </row>
    <row r="94" spans="1:15" x14ac:dyDescent="0.35">
      <c r="A94" t="s">
        <v>50</v>
      </c>
      <c r="B94" t="s">
        <v>0</v>
      </c>
      <c r="C94" t="s">
        <v>5</v>
      </c>
      <c r="D94">
        <v>61163672</v>
      </c>
      <c r="E94" t="str">
        <f t="shared" si="3"/>
        <v>2DO TURNO</v>
      </c>
      <c r="F94" t="str">
        <f t="shared" si="4"/>
        <v>grupo 2</v>
      </c>
      <c r="G94">
        <f t="shared" si="5"/>
        <v>2</v>
      </c>
      <c r="H94">
        <v>0</v>
      </c>
      <c r="I94">
        <v>15</v>
      </c>
      <c r="J94">
        <v>0</v>
      </c>
      <c r="K94">
        <v>0</v>
      </c>
      <c r="L94">
        <v>1</v>
      </c>
      <c r="M94">
        <v>0</v>
      </c>
      <c r="N94">
        <v>1</v>
      </c>
      <c r="O94" t="s">
        <v>2</v>
      </c>
    </row>
    <row r="95" spans="1:15" x14ac:dyDescent="0.35">
      <c r="A95" t="s">
        <v>50</v>
      </c>
      <c r="B95" t="s">
        <v>0</v>
      </c>
      <c r="C95" t="s">
        <v>5</v>
      </c>
      <c r="D95">
        <v>61222652</v>
      </c>
      <c r="E95" t="str">
        <f t="shared" si="3"/>
        <v>2DO TURNO</v>
      </c>
      <c r="F95" t="str">
        <f t="shared" si="4"/>
        <v>grupo 2</v>
      </c>
      <c r="G95">
        <f t="shared" si="5"/>
        <v>2</v>
      </c>
      <c r="H95">
        <v>0</v>
      </c>
      <c r="I95">
        <v>12</v>
      </c>
      <c r="J95">
        <v>3</v>
      </c>
      <c r="K95">
        <v>0</v>
      </c>
      <c r="L95">
        <v>0.8</v>
      </c>
      <c r="M95">
        <v>0.2</v>
      </c>
      <c r="N95">
        <v>0.8</v>
      </c>
      <c r="O95" t="s">
        <v>6</v>
      </c>
    </row>
    <row r="96" spans="1:15" x14ac:dyDescent="0.35">
      <c r="A96" t="s">
        <v>50</v>
      </c>
      <c r="B96" t="s">
        <v>0</v>
      </c>
      <c r="C96" t="s">
        <v>5</v>
      </c>
      <c r="D96">
        <v>61378874</v>
      </c>
      <c r="E96" t="str">
        <f t="shared" si="3"/>
        <v>2DO TURNO</v>
      </c>
      <c r="F96" t="str">
        <f t="shared" si="4"/>
        <v>grupo 2</v>
      </c>
      <c r="G96">
        <f t="shared" si="5"/>
        <v>2</v>
      </c>
      <c r="H96">
        <v>2</v>
      </c>
      <c r="I96">
        <v>13</v>
      </c>
      <c r="J96">
        <v>0</v>
      </c>
      <c r="K96">
        <v>0.1333333333333333</v>
      </c>
      <c r="L96">
        <v>0.8666666666666667</v>
      </c>
      <c r="M96">
        <v>0</v>
      </c>
      <c r="N96">
        <v>0.8666666666666667</v>
      </c>
      <c r="O96" t="s">
        <v>6</v>
      </c>
    </row>
    <row r="97" spans="1:15" x14ac:dyDescent="0.35">
      <c r="A97" t="s">
        <v>50</v>
      </c>
      <c r="B97" t="s">
        <v>0</v>
      </c>
      <c r="C97" t="s">
        <v>5</v>
      </c>
      <c r="D97">
        <v>70923581</v>
      </c>
      <c r="E97" t="str">
        <f t="shared" si="3"/>
        <v>2DO TURNO</v>
      </c>
      <c r="F97" t="str">
        <f t="shared" si="4"/>
        <v>grupo 2</v>
      </c>
      <c r="G97">
        <f t="shared" si="5"/>
        <v>2</v>
      </c>
      <c r="H97">
        <v>0</v>
      </c>
      <c r="I97">
        <v>15</v>
      </c>
      <c r="J97">
        <v>0</v>
      </c>
      <c r="K97">
        <v>0</v>
      </c>
      <c r="L97">
        <v>1</v>
      </c>
      <c r="M97">
        <v>0</v>
      </c>
      <c r="N97">
        <v>1</v>
      </c>
      <c r="O97" t="s">
        <v>2</v>
      </c>
    </row>
    <row r="98" spans="1:15" x14ac:dyDescent="0.35">
      <c r="A98" t="s">
        <v>50</v>
      </c>
      <c r="B98" t="s">
        <v>0</v>
      </c>
      <c r="C98" t="s">
        <v>5</v>
      </c>
      <c r="D98">
        <v>72710256</v>
      </c>
      <c r="E98" t="str">
        <f t="shared" si="3"/>
        <v>2DO TURNO</v>
      </c>
      <c r="F98" t="str">
        <f t="shared" si="4"/>
        <v>grupo 2</v>
      </c>
      <c r="G98">
        <f t="shared" si="5"/>
        <v>2</v>
      </c>
      <c r="H98">
        <v>3</v>
      </c>
      <c r="I98">
        <v>6</v>
      </c>
      <c r="J98">
        <v>1</v>
      </c>
      <c r="K98">
        <v>0.3</v>
      </c>
      <c r="L98">
        <v>0.6</v>
      </c>
      <c r="M98">
        <v>0.1</v>
      </c>
      <c r="N98">
        <v>0.6</v>
      </c>
      <c r="O98" t="s">
        <v>3</v>
      </c>
    </row>
    <row r="99" spans="1:15" x14ac:dyDescent="0.35">
      <c r="A99" t="s">
        <v>50</v>
      </c>
      <c r="B99" t="s">
        <v>0</v>
      </c>
      <c r="C99" t="s">
        <v>5</v>
      </c>
      <c r="D99">
        <v>72754575</v>
      </c>
      <c r="E99" t="str">
        <f t="shared" si="3"/>
        <v>2DO TURNO</v>
      </c>
      <c r="F99" t="str">
        <f t="shared" si="4"/>
        <v>grupo 2</v>
      </c>
      <c r="G99">
        <f t="shared" si="5"/>
        <v>2</v>
      </c>
      <c r="H99">
        <v>2</v>
      </c>
      <c r="I99">
        <v>13</v>
      </c>
      <c r="J99">
        <v>0</v>
      </c>
      <c r="K99">
        <v>0.1333333333333333</v>
      </c>
      <c r="L99">
        <v>0.8666666666666667</v>
      </c>
      <c r="M99">
        <v>0</v>
      </c>
      <c r="N99">
        <v>0.8666666666666667</v>
      </c>
      <c r="O99" t="s">
        <v>6</v>
      </c>
    </row>
    <row r="100" spans="1:15" x14ac:dyDescent="0.35">
      <c r="A100" t="s">
        <v>50</v>
      </c>
      <c r="B100" t="s">
        <v>0</v>
      </c>
      <c r="C100" t="s">
        <v>5</v>
      </c>
      <c r="D100">
        <v>73199712</v>
      </c>
      <c r="E100" t="str">
        <f t="shared" si="3"/>
        <v>2DO TURNO</v>
      </c>
      <c r="F100" t="str">
        <f t="shared" si="4"/>
        <v>grupo 2</v>
      </c>
      <c r="G100">
        <f t="shared" si="5"/>
        <v>2</v>
      </c>
      <c r="H100">
        <v>0</v>
      </c>
      <c r="I100">
        <v>15</v>
      </c>
      <c r="J100">
        <v>0</v>
      </c>
      <c r="K100">
        <v>0</v>
      </c>
      <c r="L100">
        <v>1</v>
      </c>
      <c r="M100">
        <v>0</v>
      </c>
      <c r="N100">
        <v>1</v>
      </c>
      <c r="O100" t="s">
        <v>2</v>
      </c>
    </row>
    <row r="101" spans="1:15" x14ac:dyDescent="0.35">
      <c r="A101" t="s">
        <v>50</v>
      </c>
      <c r="B101" t="s">
        <v>0</v>
      </c>
      <c r="C101" t="s">
        <v>5</v>
      </c>
      <c r="D101">
        <v>73715369</v>
      </c>
      <c r="E101" t="str">
        <f t="shared" si="3"/>
        <v>2DO TURNO</v>
      </c>
      <c r="F101" t="str">
        <f t="shared" si="4"/>
        <v>grupo 2</v>
      </c>
      <c r="G101">
        <f t="shared" si="5"/>
        <v>2</v>
      </c>
      <c r="H101">
        <v>0</v>
      </c>
      <c r="I101">
        <v>5</v>
      </c>
      <c r="J101">
        <v>0</v>
      </c>
      <c r="K101">
        <v>0</v>
      </c>
      <c r="L101">
        <v>1</v>
      </c>
      <c r="M101">
        <v>0</v>
      </c>
      <c r="N101">
        <v>1</v>
      </c>
      <c r="O101" t="s">
        <v>2</v>
      </c>
    </row>
    <row r="102" spans="1:15" x14ac:dyDescent="0.35">
      <c r="A102" t="s">
        <v>50</v>
      </c>
      <c r="B102" t="s">
        <v>0</v>
      </c>
      <c r="C102" t="s">
        <v>5</v>
      </c>
      <c r="D102">
        <v>73974210</v>
      </c>
      <c r="E102" t="str">
        <f t="shared" si="3"/>
        <v>2DO TURNO</v>
      </c>
      <c r="F102" t="str">
        <f t="shared" si="4"/>
        <v>grupo 2</v>
      </c>
      <c r="G102">
        <f t="shared" si="5"/>
        <v>2</v>
      </c>
      <c r="H102">
        <v>0</v>
      </c>
      <c r="I102">
        <v>15</v>
      </c>
      <c r="J102">
        <v>0</v>
      </c>
      <c r="K102">
        <v>0</v>
      </c>
      <c r="L102">
        <v>1</v>
      </c>
      <c r="M102">
        <v>0</v>
      </c>
      <c r="N102">
        <v>1</v>
      </c>
      <c r="O102" t="s">
        <v>2</v>
      </c>
    </row>
    <row r="103" spans="1:15" x14ac:dyDescent="0.35">
      <c r="A103" t="s">
        <v>50</v>
      </c>
      <c r="B103" t="s">
        <v>0</v>
      </c>
      <c r="C103" t="s">
        <v>7</v>
      </c>
      <c r="D103">
        <v>44837589</v>
      </c>
      <c r="E103" t="str">
        <f t="shared" si="3"/>
        <v>1ER TURNO</v>
      </c>
      <c r="F103" t="str">
        <f t="shared" si="4"/>
        <v>grupo 1</v>
      </c>
      <c r="G103">
        <f t="shared" si="5"/>
        <v>1</v>
      </c>
      <c r="H103">
        <v>14</v>
      </c>
      <c r="I103">
        <v>0</v>
      </c>
      <c r="J103">
        <v>0</v>
      </c>
      <c r="K103">
        <v>1</v>
      </c>
      <c r="L103">
        <v>0</v>
      </c>
      <c r="M103">
        <v>0</v>
      </c>
      <c r="N103">
        <v>1</v>
      </c>
      <c r="O103" t="s">
        <v>2</v>
      </c>
    </row>
    <row r="104" spans="1:15" x14ac:dyDescent="0.35">
      <c r="A104" t="s">
        <v>50</v>
      </c>
      <c r="B104" t="s">
        <v>0</v>
      </c>
      <c r="C104" t="s">
        <v>7</v>
      </c>
      <c r="D104">
        <v>61091315</v>
      </c>
      <c r="E104" t="str">
        <f t="shared" si="3"/>
        <v>1ER TURNO</v>
      </c>
      <c r="F104" t="str">
        <f t="shared" si="4"/>
        <v>grupo 1</v>
      </c>
      <c r="G104">
        <f t="shared" si="5"/>
        <v>1</v>
      </c>
      <c r="H104">
        <v>10</v>
      </c>
      <c r="I104">
        <v>0</v>
      </c>
      <c r="J104">
        <v>0</v>
      </c>
      <c r="K104">
        <v>1</v>
      </c>
      <c r="L104">
        <v>0</v>
      </c>
      <c r="M104">
        <v>0</v>
      </c>
      <c r="N104">
        <v>1</v>
      </c>
      <c r="O104" t="s">
        <v>2</v>
      </c>
    </row>
    <row r="105" spans="1:15" x14ac:dyDescent="0.35">
      <c r="A105" t="s">
        <v>50</v>
      </c>
      <c r="B105" t="s">
        <v>0</v>
      </c>
      <c r="C105" t="s">
        <v>7</v>
      </c>
      <c r="D105">
        <v>61099445</v>
      </c>
      <c r="E105" t="str">
        <f t="shared" si="3"/>
        <v>1ER TURNO</v>
      </c>
      <c r="F105" t="str">
        <f t="shared" si="4"/>
        <v>grupo 1</v>
      </c>
      <c r="G105">
        <f t="shared" si="5"/>
        <v>1</v>
      </c>
      <c r="H105">
        <v>14</v>
      </c>
      <c r="I105">
        <v>1</v>
      </c>
      <c r="J105">
        <v>0</v>
      </c>
      <c r="K105">
        <v>0.93333333333333335</v>
      </c>
      <c r="L105">
        <v>6.6666666666666666E-2</v>
      </c>
      <c r="M105">
        <v>0</v>
      </c>
      <c r="N105">
        <v>0.93333333333333335</v>
      </c>
      <c r="O105" t="s">
        <v>2</v>
      </c>
    </row>
    <row r="106" spans="1:15" x14ac:dyDescent="0.35">
      <c r="A106" t="s">
        <v>50</v>
      </c>
      <c r="B106" t="s">
        <v>0</v>
      </c>
      <c r="C106" t="s">
        <v>7</v>
      </c>
      <c r="D106">
        <v>61151568</v>
      </c>
      <c r="E106" t="str">
        <f t="shared" si="3"/>
        <v>1ER TURNO</v>
      </c>
      <c r="F106" t="str">
        <f t="shared" si="4"/>
        <v>grupo 2</v>
      </c>
      <c r="G106">
        <f t="shared" si="5"/>
        <v>2</v>
      </c>
      <c r="H106">
        <v>6</v>
      </c>
      <c r="I106">
        <v>9</v>
      </c>
      <c r="J106">
        <v>0</v>
      </c>
      <c r="K106">
        <v>0.4</v>
      </c>
      <c r="L106">
        <v>0.6</v>
      </c>
      <c r="M106">
        <v>0</v>
      </c>
      <c r="N106">
        <v>0.6</v>
      </c>
      <c r="O106" t="s">
        <v>3</v>
      </c>
    </row>
    <row r="107" spans="1:15" x14ac:dyDescent="0.35">
      <c r="A107" t="s">
        <v>50</v>
      </c>
      <c r="B107" t="s">
        <v>0</v>
      </c>
      <c r="C107" t="s">
        <v>7</v>
      </c>
      <c r="D107">
        <v>61279256</v>
      </c>
      <c r="E107" t="str">
        <f t="shared" si="3"/>
        <v>1ER TURNO</v>
      </c>
      <c r="F107" t="str">
        <f t="shared" si="4"/>
        <v>grupo 1</v>
      </c>
      <c r="G107">
        <f t="shared" si="5"/>
        <v>1</v>
      </c>
      <c r="H107">
        <v>8</v>
      </c>
      <c r="I107">
        <v>7</v>
      </c>
      <c r="J107">
        <v>0</v>
      </c>
      <c r="K107">
        <v>0.53333333333333333</v>
      </c>
      <c r="L107">
        <v>0.46666666666666667</v>
      </c>
      <c r="M107">
        <v>0</v>
      </c>
      <c r="N107">
        <v>0.53333333333333333</v>
      </c>
      <c r="O107" t="s">
        <v>3</v>
      </c>
    </row>
    <row r="108" spans="1:15" x14ac:dyDescent="0.35">
      <c r="A108" t="s">
        <v>50</v>
      </c>
      <c r="B108" t="s">
        <v>0</v>
      </c>
      <c r="C108" t="s">
        <v>7</v>
      </c>
      <c r="D108">
        <v>61345370</v>
      </c>
      <c r="E108" t="str">
        <f t="shared" si="3"/>
        <v>1ER TURNO</v>
      </c>
      <c r="F108" t="str">
        <f t="shared" si="4"/>
        <v>grupo 2</v>
      </c>
      <c r="G108">
        <f t="shared" si="5"/>
        <v>2</v>
      </c>
      <c r="H108">
        <v>0</v>
      </c>
      <c r="I108">
        <v>15</v>
      </c>
      <c r="J108">
        <v>0</v>
      </c>
      <c r="K108">
        <v>0</v>
      </c>
      <c r="L108">
        <v>1</v>
      </c>
      <c r="M108">
        <v>0</v>
      </c>
      <c r="N108">
        <v>1</v>
      </c>
      <c r="O108" t="s">
        <v>2</v>
      </c>
    </row>
    <row r="109" spans="1:15" x14ac:dyDescent="0.35">
      <c r="A109" t="s">
        <v>50</v>
      </c>
      <c r="B109" t="s">
        <v>0</v>
      </c>
      <c r="C109" t="s">
        <v>7</v>
      </c>
      <c r="D109">
        <v>62221971</v>
      </c>
      <c r="E109" t="str">
        <f t="shared" si="3"/>
        <v>1ER TURNO</v>
      </c>
      <c r="F109" t="str">
        <f t="shared" si="4"/>
        <v>grupo 2</v>
      </c>
      <c r="G109">
        <f t="shared" si="5"/>
        <v>2</v>
      </c>
      <c r="H109">
        <v>4</v>
      </c>
      <c r="I109">
        <v>11</v>
      </c>
      <c r="J109">
        <v>0</v>
      </c>
      <c r="K109">
        <v>0.26666666666666672</v>
      </c>
      <c r="L109">
        <v>0.73333333333333328</v>
      </c>
      <c r="M109">
        <v>0</v>
      </c>
      <c r="N109">
        <v>0.73333333333333328</v>
      </c>
      <c r="O109" t="s">
        <v>3</v>
      </c>
    </row>
    <row r="110" spans="1:15" x14ac:dyDescent="0.35">
      <c r="A110" t="s">
        <v>50</v>
      </c>
      <c r="B110" t="s">
        <v>0</v>
      </c>
      <c r="C110" t="s">
        <v>7</v>
      </c>
      <c r="D110">
        <v>72734037</v>
      </c>
      <c r="E110" t="str">
        <f t="shared" si="3"/>
        <v>1ER TURNO</v>
      </c>
      <c r="F110" t="str">
        <f t="shared" si="4"/>
        <v>grupo 1</v>
      </c>
      <c r="G110">
        <f t="shared" si="5"/>
        <v>1</v>
      </c>
      <c r="H110">
        <v>10</v>
      </c>
      <c r="I110">
        <v>5</v>
      </c>
      <c r="J110">
        <v>0</v>
      </c>
      <c r="K110">
        <v>0.66666666666666663</v>
      </c>
      <c r="L110">
        <v>0.33333333333333331</v>
      </c>
      <c r="M110">
        <v>0</v>
      </c>
      <c r="N110">
        <v>0.66666666666666663</v>
      </c>
      <c r="O110" t="s">
        <v>3</v>
      </c>
    </row>
    <row r="111" spans="1:15" x14ac:dyDescent="0.35">
      <c r="A111" t="s">
        <v>50</v>
      </c>
      <c r="B111" t="s">
        <v>0</v>
      </c>
      <c r="C111" t="s">
        <v>7</v>
      </c>
      <c r="D111">
        <v>74916756</v>
      </c>
      <c r="E111" t="str">
        <f t="shared" si="3"/>
        <v>1ER TURNO</v>
      </c>
      <c r="F111" t="str">
        <f t="shared" si="4"/>
        <v>grupo 1</v>
      </c>
      <c r="G111">
        <f t="shared" si="5"/>
        <v>1</v>
      </c>
      <c r="H111">
        <v>13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1</v>
      </c>
      <c r="O111" t="s">
        <v>2</v>
      </c>
    </row>
    <row r="112" spans="1:15" x14ac:dyDescent="0.35">
      <c r="A112" t="s">
        <v>50</v>
      </c>
      <c r="B112" t="s">
        <v>0</v>
      </c>
      <c r="C112" t="s">
        <v>7</v>
      </c>
      <c r="D112">
        <v>75408678</v>
      </c>
      <c r="E112" t="str">
        <f t="shared" si="3"/>
        <v>1ER TURNO</v>
      </c>
      <c r="F112" t="str">
        <f t="shared" si="4"/>
        <v>grupo 1</v>
      </c>
      <c r="G112">
        <f t="shared" si="5"/>
        <v>1</v>
      </c>
      <c r="H112">
        <v>15</v>
      </c>
      <c r="I112">
        <v>0</v>
      </c>
      <c r="J112">
        <v>0</v>
      </c>
      <c r="K112">
        <v>1</v>
      </c>
      <c r="L112">
        <v>0</v>
      </c>
      <c r="M112">
        <v>0</v>
      </c>
      <c r="N112">
        <v>1</v>
      </c>
      <c r="O112" t="s">
        <v>2</v>
      </c>
    </row>
    <row r="113" spans="1:15" x14ac:dyDescent="0.35">
      <c r="A113" t="s">
        <v>50</v>
      </c>
      <c r="B113" t="s">
        <v>0</v>
      </c>
      <c r="C113" t="s">
        <v>8</v>
      </c>
      <c r="D113">
        <v>40636491</v>
      </c>
      <c r="E113" t="str">
        <f t="shared" si="3"/>
        <v>2DO TURNO</v>
      </c>
      <c r="F113" t="str">
        <f t="shared" si="4"/>
        <v>grupo 2</v>
      </c>
      <c r="G113">
        <f t="shared" si="5"/>
        <v>2</v>
      </c>
      <c r="H113">
        <v>0</v>
      </c>
      <c r="I113">
        <v>15</v>
      </c>
      <c r="J113">
        <v>0</v>
      </c>
      <c r="K113">
        <v>0</v>
      </c>
      <c r="L113">
        <v>1</v>
      </c>
      <c r="M113">
        <v>0</v>
      </c>
      <c r="N113">
        <v>1</v>
      </c>
      <c r="O113" t="s">
        <v>2</v>
      </c>
    </row>
    <row r="114" spans="1:15" x14ac:dyDescent="0.35">
      <c r="A114" t="s">
        <v>50</v>
      </c>
      <c r="B114" t="s">
        <v>0</v>
      </c>
      <c r="C114" t="s">
        <v>8</v>
      </c>
      <c r="D114">
        <v>48566634</v>
      </c>
      <c r="E114" t="str">
        <f t="shared" si="3"/>
        <v>2DO TURNO</v>
      </c>
      <c r="F114" t="str">
        <f t="shared" si="4"/>
        <v>grupo 2</v>
      </c>
      <c r="G114">
        <f t="shared" si="5"/>
        <v>2</v>
      </c>
      <c r="H114">
        <v>0</v>
      </c>
      <c r="I114">
        <v>15</v>
      </c>
      <c r="J114">
        <v>0</v>
      </c>
      <c r="K114">
        <v>0</v>
      </c>
      <c r="L114">
        <v>1</v>
      </c>
      <c r="M114">
        <v>0</v>
      </c>
      <c r="N114">
        <v>1</v>
      </c>
      <c r="O114" t="s">
        <v>2</v>
      </c>
    </row>
    <row r="115" spans="1:15" x14ac:dyDescent="0.35">
      <c r="A115" t="s">
        <v>50</v>
      </c>
      <c r="B115" t="s">
        <v>0</v>
      </c>
      <c r="C115" t="s">
        <v>8</v>
      </c>
      <c r="D115">
        <v>60821299</v>
      </c>
      <c r="E115" t="str">
        <f t="shared" si="3"/>
        <v>2DO TURNO</v>
      </c>
      <c r="F115" t="str">
        <f t="shared" si="4"/>
        <v>grupo 2</v>
      </c>
      <c r="G115">
        <f t="shared" si="5"/>
        <v>2</v>
      </c>
      <c r="H115">
        <v>4</v>
      </c>
      <c r="I115">
        <v>11</v>
      </c>
      <c r="J115">
        <v>0</v>
      </c>
      <c r="K115">
        <v>0.26666666666666672</v>
      </c>
      <c r="L115">
        <v>0.73333333333333328</v>
      </c>
      <c r="M115">
        <v>0</v>
      </c>
      <c r="N115">
        <v>0.73333333333333328</v>
      </c>
      <c r="O115" t="s">
        <v>3</v>
      </c>
    </row>
    <row r="116" spans="1:15" x14ac:dyDescent="0.35">
      <c r="A116" t="s">
        <v>50</v>
      </c>
      <c r="B116" t="s">
        <v>0</v>
      </c>
      <c r="C116" t="s">
        <v>8</v>
      </c>
      <c r="D116">
        <v>61158393</v>
      </c>
      <c r="E116" t="str">
        <f t="shared" si="3"/>
        <v>2DO TURNO</v>
      </c>
      <c r="F116" t="str">
        <f t="shared" si="4"/>
        <v>grupo 1</v>
      </c>
      <c r="G116">
        <f t="shared" si="5"/>
        <v>1</v>
      </c>
      <c r="H116">
        <v>12</v>
      </c>
      <c r="I116">
        <v>3</v>
      </c>
      <c r="J116">
        <v>0</v>
      </c>
      <c r="K116">
        <v>0.8</v>
      </c>
      <c r="L116">
        <v>0.2</v>
      </c>
      <c r="M116">
        <v>0</v>
      </c>
      <c r="N116">
        <v>0.8</v>
      </c>
      <c r="O116" t="s">
        <v>6</v>
      </c>
    </row>
    <row r="117" spans="1:15" x14ac:dyDescent="0.35">
      <c r="A117" t="s">
        <v>50</v>
      </c>
      <c r="B117" t="s">
        <v>0</v>
      </c>
      <c r="C117" t="s">
        <v>8</v>
      </c>
      <c r="D117">
        <v>61293270</v>
      </c>
      <c r="E117" t="str">
        <f t="shared" si="3"/>
        <v>2DO TURNO</v>
      </c>
      <c r="F117" t="str">
        <f t="shared" si="4"/>
        <v>grupo 2</v>
      </c>
      <c r="G117">
        <f t="shared" si="5"/>
        <v>2</v>
      </c>
      <c r="H117">
        <v>0</v>
      </c>
      <c r="I117">
        <v>15</v>
      </c>
      <c r="J117">
        <v>0</v>
      </c>
      <c r="K117">
        <v>0</v>
      </c>
      <c r="L117">
        <v>1</v>
      </c>
      <c r="M117">
        <v>0</v>
      </c>
      <c r="N117">
        <v>1</v>
      </c>
      <c r="O117" t="s">
        <v>2</v>
      </c>
    </row>
    <row r="118" spans="1:15" x14ac:dyDescent="0.35">
      <c r="A118" t="s">
        <v>50</v>
      </c>
      <c r="B118" t="s">
        <v>0</v>
      </c>
      <c r="C118" t="s">
        <v>8</v>
      </c>
      <c r="D118">
        <v>61313010</v>
      </c>
      <c r="E118" t="str">
        <f t="shared" si="3"/>
        <v>2DO TURNO</v>
      </c>
      <c r="F118" t="str">
        <f t="shared" si="4"/>
        <v>grupo 2</v>
      </c>
      <c r="G118">
        <f t="shared" si="5"/>
        <v>2</v>
      </c>
      <c r="H118">
        <v>4</v>
      </c>
      <c r="I118">
        <v>11</v>
      </c>
      <c r="J118">
        <v>0</v>
      </c>
      <c r="K118">
        <v>0.26666666666666672</v>
      </c>
      <c r="L118">
        <v>0.73333333333333328</v>
      </c>
      <c r="M118">
        <v>0</v>
      </c>
      <c r="N118">
        <v>0.73333333333333328</v>
      </c>
      <c r="O118" t="s">
        <v>3</v>
      </c>
    </row>
    <row r="119" spans="1:15" x14ac:dyDescent="0.35">
      <c r="A119" t="s">
        <v>50</v>
      </c>
      <c r="B119" t="s">
        <v>0</v>
      </c>
      <c r="C119" t="s">
        <v>8</v>
      </c>
      <c r="D119">
        <v>70530096</v>
      </c>
      <c r="E119" t="str">
        <f t="shared" si="3"/>
        <v>2DO TURNO</v>
      </c>
      <c r="F119" t="str">
        <f t="shared" si="4"/>
        <v>grupo 2</v>
      </c>
      <c r="G119">
        <f t="shared" si="5"/>
        <v>2</v>
      </c>
      <c r="H119">
        <v>2</v>
      </c>
      <c r="I119">
        <v>13</v>
      </c>
      <c r="J119">
        <v>0</v>
      </c>
      <c r="K119">
        <v>0.1333333333333333</v>
      </c>
      <c r="L119">
        <v>0.8666666666666667</v>
      </c>
      <c r="M119">
        <v>0</v>
      </c>
      <c r="N119">
        <v>0.8666666666666667</v>
      </c>
      <c r="O119" t="s">
        <v>6</v>
      </c>
    </row>
    <row r="120" spans="1:15" x14ac:dyDescent="0.35">
      <c r="A120" t="s">
        <v>50</v>
      </c>
      <c r="B120" t="s">
        <v>0</v>
      </c>
      <c r="C120" t="s">
        <v>8</v>
      </c>
      <c r="D120">
        <v>72323269</v>
      </c>
      <c r="E120" t="str">
        <f t="shared" si="3"/>
        <v>2DO TURNO</v>
      </c>
      <c r="F120" t="str">
        <f t="shared" si="4"/>
        <v>grupo 2</v>
      </c>
      <c r="G120">
        <f t="shared" si="5"/>
        <v>2</v>
      </c>
      <c r="H120">
        <v>3</v>
      </c>
      <c r="I120">
        <v>9</v>
      </c>
      <c r="J120">
        <v>3</v>
      </c>
      <c r="K120">
        <v>0.2</v>
      </c>
      <c r="L120">
        <v>0.6</v>
      </c>
      <c r="M120">
        <v>0.2</v>
      </c>
      <c r="N120">
        <v>0.6</v>
      </c>
      <c r="O120" t="s">
        <v>3</v>
      </c>
    </row>
    <row r="121" spans="1:15" x14ac:dyDescent="0.35">
      <c r="A121" t="s">
        <v>50</v>
      </c>
      <c r="B121" t="s">
        <v>0</v>
      </c>
      <c r="C121" t="s">
        <v>8</v>
      </c>
      <c r="D121">
        <v>73003226</v>
      </c>
      <c r="E121" t="str">
        <f t="shared" si="3"/>
        <v>2DO TURNO</v>
      </c>
      <c r="F121" t="str">
        <f t="shared" si="4"/>
        <v>grupo 2</v>
      </c>
      <c r="G121">
        <f t="shared" si="5"/>
        <v>2</v>
      </c>
      <c r="H121">
        <v>0</v>
      </c>
      <c r="I121">
        <v>9</v>
      </c>
      <c r="J121">
        <v>6</v>
      </c>
      <c r="K121">
        <v>0</v>
      </c>
      <c r="L121">
        <v>0.6</v>
      </c>
      <c r="M121">
        <v>0.4</v>
      </c>
      <c r="N121">
        <v>0.6</v>
      </c>
      <c r="O121" t="s">
        <v>3</v>
      </c>
    </row>
    <row r="122" spans="1:15" x14ac:dyDescent="0.35">
      <c r="A122" t="s">
        <v>50</v>
      </c>
      <c r="B122" t="s">
        <v>0</v>
      </c>
      <c r="C122" t="s">
        <v>8</v>
      </c>
      <c r="D122">
        <v>74748159</v>
      </c>
      <c r="E122" t="str">
        <f t="shared" si="3"/>
        <v>2DO TURNO</v>
      </c>
      <c r="F122" t="str">
        <f t="shared" si="4"/>
        <v>grupo 2</v>
      </c>
      <c r="G122">
        <f t="shared" si="5"/>
        <v>2</v>
      </c>
      <c r="H122">
        <v>0</v>
      </c>
      <c r="I122">
        <v>15</v>
      </c>
      <c r="J122">
        <v>0</v>
      </c>
      <c r="K122">
        <v>0</v>
      </c>
      <c r="L122">
        <v>1</v>
      </c>
      <c r="M122">
        <v>0</v>
      </c>
      <c r="N122">
        <v>1</v>
      </c>
      <c r="O122" t="s">
        <v>2</v>
      </c>
    </row>
    <row r="123" spans="1:15" x14ac:dyDescent="0.35">
      <c r="A123" t="s">
        <v>50</v>
      </c>
      <c r="B123" t="s">
        <v>0</v>
      </c>
      <c r="C123" t="s">
        <v>8</v>
      </c>
      <c r="D123">
        <v>74929797</v>
      </c>
      <c r="E123" t="str">
        <f t="shared" si="3"/>
        <v>2DO TURNO</v>
      </c>
      <c r="F123" t="str">
        <f t="shared" si="4"/>
        <v>grupo 2</v>
      </c>
      <c r="G123">
        <f t="shared" si="5"/>
        <v>2</v>
      </c>
      <c r="H123">
        <v>0</v>
      </c>
      <c r="I123">
        <v>14</v>
      </c>
      <c r="J123">
        <v>0</v>
      </c>
      <c r="K123">
        <v>0</v>
      </c>
      <c r="L123">
        <v>1</v>
      </c>
      <c r="M123">
        <v>0</v>
      </c>
      <c r="N123">
        <v>1</v>
      </c>
      <c r="O123" t="s">
        <v>2</v>
      </c>
    </row>
    <row r="124" spans="1:15" x14ac:dyDescent="0.35">
      <c r="A124" t="s">
        <v>50</v>
      </c>
      <c r="B124" t="s">
        <v>0</v>
      </c>
      <c r="C124" t="s">
        <v>8</v>
      </c>
      <c r="D124">
        <v>76043349</v>
      </c>
      <c r="E124" t="str">
        <f t="shared" si="3"/>
        <v>2DO TURNO</v>
      </c>
      <c r="F124" t="str">
        <f t="shared" si="4"/>
        <v>grupo 2</v>
      </c>
      <c r="G124">
        <f t="shared" si="5"/>
        <v>2</v>
      </c>
      <c r="H124">
        <v>2</v>
      </c>
      <c r="I124">
        <v>13</v>
      </c>
      <c r="J124">
        <v>0</v>
      </c>
      <c r="K124">
        <v>0.1333333333333333</v>
      </c>
      <c r="L124">
        <v>0.8666666666666667</v>
      </c>
      <c r="M124">
        <v>0</v>
      </c>
      <c r="N124">
        <v>0.8666666666666667</v>
      </c>
      <c r="O124" t="s">
        <v>6</v>
      </c>
    </row>
    <row r="125" spans="1:15" x14ac:dyDescent="0.35">
      <c r="A125" t="s">
        <v>50</v>
      </c>
      <c r="B125" t="s">
        <v>0</v>
      </c>
      <c r="C125" t="s">
        <v>8</v>
      </c>
      <c r="D125">
        <v>76140596</v>
      </c>
      <c r="E125" t="str">
        <f t="shared" si="3"/>
        <v>2DO TURNO</v>
      </c>
      <c r="F125" t="str">
        <f t="shared" si="4"/>
        <v>grupo 1</v>
      </c>
      <c r="G125">
        <f t="shared" si="5"/>
        <v>1</v>
      </c>
      <c r="H125">
        <v>13</v>
      </c>
      <c r="I125">
        <v>2</v>
      </c>
      <c r="J125">
        <v>0</v>
      </c>
      <c r="K125">
        <v>0.8666666666666667</v>
      </c>
      <c r="L125">
        <v>0.1333333333333333</v>
      </c>
      <c r="M125">
        <v>0</v>
      </c>
      <c r="N125">
        <v>0.8666666666666667</v>
      </c>
      <c r="O125" t="s">
        <v>6</v>
      </c>
    </row>
    <row r="126" spans="1:15" x14ac:dyDescent="0.35">
      <c r="A126" t="s">
        <v>50</v>
      </c>
      <c r="B126" t="s">
        <v>0</v>
      </c>
      <c r="C126" t="s">
        <v>8</v>
      </c>
      <c r="D126">
        <v>76342543</v>
      </c>
      <c r="E126" t="str">
        <f t="shared" si="3"/>
        <v>2DO TURNO</v>
      </c>
      <c r="F126" t="str">
        <f t="shared" si="4"/>
        <v>grupo 2</v>
      </c>
      <c r="G126">
        <f t="shared" si="5"/>
        <v>2</v>
      </c>
      <c r="H126">
        <v>4</v>
      </c>
      <c r="I126">
        <v>7</v>
      </c>
      <c r="J126">
        <v>4</v>
      </c>
      <c r="K126">
        <v>0.26666666666666672</v>
      </c>
      <c r="L126">
        <v>0.46666666666666667</v>
      </c>
      <c r="M126">
        <v>0.26666666666666672</v>
      </c>
      <c r="N126">
        <v>0.46666666666666667</v>
      </c>
      <c r="O126" t="s">
        <v>4</v>
      </c>
    </row>
    <row r="127" spans="1:15" x14ac:dyDescent="0.35">
      <c r="A127" t="s">
        <v>50</v>
      </c>
      <c r="B127" t="s">
        <v>0</v>
      </c>
      <c r="C127" t="s">
        <v>8</v>
      </c>
      <c r="D127">
        <v>76423289</v>
      </c>
      <c r="E127" t="str">
        <f t="shared" si="3"/>
        <v>2DO TURNO</v>
      </c>
      <c r="F127" t="str">
        <f t="shared" si="4"/>
        <v>grupo 2</v>
      </c>
      <c r="G127">
        <f t="shared" si="5"/>
        <v>2</v>
      </c>
      <c r="H127">
        <v>3</v>
      </c>
      <c r="I127">
        <v>12</v>
      </c>
      <c r="J127">
        <v>0</v>
      </c>
      <c r="K127">
        <v>0.2</v>
      </c>
      <c r="L127">
        <v>0.8</v>
      </c>
      <c r="M127">
        <v>0</v>
      </c>
      <c r="N127">
        <v>0.8</v>
      </c>
      <c r="O127" t="s">
        <v>6</v>
      </c>
    </row>
    <row r="128" spans="1:15" x14ac:dyDescent="0.35">
      <c r="A128" t="s">
        <v>50</v>
      </c>
      <c r="B128" t="s">
        <v>9</v>
      </c>
      <c r="C128" t="s">
        <v>1</v>
      </c>
      <c r="D128">
        <v>47686479</v>
      </c>
      <c r="E128" t="str">
        <f t="shared" si="3"/>
        <v>1ER TURNO</v>
      </c>
      <c r="F128" t="str">
        <f t="shared" si="4"/>
        <v>grupo 1</v>
      </c>
      <c r="G128">
        <f t="shared" si="5"/>
        <v>1</v>
      </c>
      <c r="H128">
        <v>12</v>
      </c>
      <c r="I128">
        <v>2</v>
      </c>
      <c r="J128">
        <v>0</v>
      </c>
      <c r="K128">
        <v>0.8571428571428571</v>
      </c>
      <c r="L128">
        <v>0.14285714285714279</v>
      </c>
      <c r="M128">
        <v>0</v>
      </c>
      <c r="N128">
        <v>0.8571428571428571</v>
      </c>
      <c r="O128" t="s">
        <v>6</v>
      </c>
    </row>
    <row r="129" spans="1:15" x14ac:dyDescent="0.35">
      <c r="A129" t="s">
        <v>50</v>
      </c>
      <c r="B129" t="s">
        <v>9</v>
      </c>
      <c r="C129" t="s">
        <v>1</v>
      </c>
      <c r="D129">
        <v>70045551</v>
      </c>
      <c r="E129" t="str">
        <f t="shared" si="3"/>
        <v>1ER TURNO</v>
      </c>
      <c r="F129" t="str">
        <f t="shared" si="4"/>
        <v>grupo 1</v>
      </c>
      <c r="G129">
        <f t="shared" si="5"/>
        <v>1</v>
      </c>
      <c r="H129">
        <v>8</v>
      </c>
      <c r="I129">
        <v>6</v>
      </c>
      <c r="J129">
        <v>0</v>
      </c>
      <c r="K129">
        <v>0.5714285714285714</v>
      </c>
      <c r="L129">
        <v>0.42857142857142849</v>
      </c>
      <c r="M129">
        <v>0</v>
      </c>
      <c r="N129">
        <v>0.5714285714285714</v>
      </c>
      <c r="O129" t="s">
        <v>3</v>
      </c>
    </row>
    <row r="130" spans="1:15" x14ac:dyDescent="0.35">
      <c r="A130" t="s">
        <v>50</v>
      </c>
      <c r="B130" t="s">
        <v>9</v>
      </c>
      <c r="C130" t="s">
        <v>1</v>
      </c>
      <c r="D130">
        <v>70592518</v>
      </c>
      <c r="E130" t="str">
        <f t="shared" si="3"/>
        <v>1ER TURNO</v>
      </c>
      <c r="F130" t="str">
        <f t="shared" si="4"/>
        <v>grupo 2</v>
      </c>
      <c r="G130">
        <f t="shared" si="5"/>
        <v>2</v>
      </c>
      <c r="H130">
        <v>6</v>
      </c>
      <c r="I130">
        <v>8</v>
      </c>
      <c r="J130">
        <v>0</v>
      </c>
      <c r="K130">
        <v>0.42857142857142849</v>
      </c>
      <c r="L130">
        <v>0.5714285714285714</v>
      </c>
      <c r="M130">
        <v>0</v>
      </c>
      <c r="N130">
        <v>0.5714285714285714</v>
      </c>
      <c r="O130" t="s">
        <v>3</v>
      </c>
    </row>
    <row r="131" spans="1:15" x14ac:dyDescent="0.35">
      <c r="A131" t="s">
        <v>50</v>
      </c>
      <c r="B131" t="s">
        <v>9</v>
      </c>
      <c r="C131" t="s">
        <v>1</v>
      </c>
      <c r="D131">
        <v>71483297</v>
      </c>
      <c r="E131" t="str">
        <f t="shared" ref="E131:E159" si="6">RIGHT(C131, 9)</f>
        <v>1ER TURNO</v>
      </c>
      <c r="F131" t="str">
        <f t="shared" ref="F131:F159" si="7">IF(MAX(H131:J131)=H131,"grupo 1",IF(MAX(H131:J131)=I131,"grupo 2","grupo 3"))</f>
        <v>grupo 2</v>
      </c>
      <c r="G131">
        <f t="shared" ref="G131:G159" si="8">IF(MAX(H131:J131)=H131,1,IF(MAX(H131:J131)=I131,2,3))</f>
        <v>2</v>
      </c>
      <c r="H131">
        <v>6</v>
      </c>
      <c r="I131">
        <v>9</v>
      </c>
      <c r="J131">
        <v>0</v>
      </c>
      <c r="K131">
        <v>0.4</v>
      </c>
      <c r="L131">
        <v>0.6</v>
      </c>
      <c r="M131">
        <v>0</v>
      </c>
      <c r="N131">
        <v>0.6</v>
      </c>
      <c r="O131" t="s">
        <v>3</v>
      </c>
    </row>
    <row r="132" spans="1:15" x14ac:dyDescent="0.35">
      <c r="A132" t="s">
        <v>50</v>
      </c>
      <c r="B132" t="s">
        <v>9</v>
      </c>
      <c r="C132" t="s">
        <v>1</v>
      </c>
      <c r="D132">
        <v>73271590</v>
      </c>
      <c r="E132" t="str">
        <f t="shared" si="6"/>
        <v>1ER TURNO</v>
      </c>
      <c r="F132" t="str">
        <f t="shared" si="7"/>
        <v>grupo 2</v>
      </c>
      <c r="G132">
        <f t="shared" si="8"/>
        <v>2</v>
      </c>
      <c r="H132">
        <v>1</v>
      </c>
      <c r="I132">
        <v>14</v>
      </c>
      <c r="J132">
        <v>0</v>
      </c>
      <c r="K132">
        <v>6.6666666666666666E-2</v>
      </c>
      <c r="L132">
        <v>0.93333333333333335</v>
      </c>
      <c r="M132">
        <v>0</v>
      </c>
      <c r="N132">
        <v>0.93333333333333335</v>
      </c>
      <c r="O132" t="s">
        <v>2</v>
      </c>
    </row>
    <row r="133" spans="1:15" x14ac:dyDescent="0.35">
      <c r="A133" t="s">
        <v>50</v>
      </c>
      <c r="B133" t="s">
        <v>9</v>
      </c>
      <c r="C133" t="s">
        <v>1</v>
      </c>
      <c r="D133">
        <v>77059376</v>
      </c>
      <c r="E133" t="str">
        <f t="shared" si="6"/>
        <v>1ER TURNO</v>
      </c>
      <c r="F133" t="str">
        <f t="shared" si="7"/>
        <v>grupo 2</v>
      </c>
      <c r="G133">
        <f t="shared" si="8"/>
        <v>2</v>
      </c>
      <c r="H133">
        <v>3</v>
      </c>
      <c r="I133">
        <v>12</v>
      </c>
      <c r="J133">
        <v>0</v>
      </c>
      <c r="K133">
        <v>0.2</v>
      </c>
      <c r="L133">
        <v>0.8</v>
      </c>
      <c r="M133">
        <v>0</v>
      </c>
      <c r="N133">
        <v>0.8</v>
      </c>
      <c r="O133" t="s">
        <v>6</v>
      </c>
    </row>
    <row r="134" spans="1:15" x14ac:dyDescent="0.35">
      <c r="A134" t="s">
        <v>50</v>
      </c>
      <c r="B134" t="s">
        <v>9</v>
      </c>
      <c r="C134" t="s">
        <v>5</v>
      </c>
      <c r="D134">
        <v>70716100</v>
      </c>
      <c r="E134" t="str">
        <f t="shared" si="6"/>
        <v>2DO TURNO</v>
      </c>
      <c r="F134" t="str">
        <f t="shared" si="7"/>
        <v>grupo 2</v>
      </c>
      <c r="G134">
        <f t="shared" si="8"/>
        <v>2</v>
      </c>
      <c r="H134">
        <v>0</v>
      </c>
      <c r="I134">
        <v>15</v>
      </c>
      <c r="J134">
        <v>0</v>
      </c>
      <c r="K134">
        <v>0</v>
      </c>
      <c r="L134">
        <v>1</v>
      </c>
      <c r="M134">
        <v>0</v>
      </c>
      <c r="N134">
        <v>1</v>
      </c>
      <c r="O134" t="s">
        <v>2</v>
      </c>
    </row>
    <row r="135" spans="1:15" x14ac:dyDescent="0.35">
      <c r="A135" t="s">
        <v>50</v>
      </c>
      <c r="B135" t="s">
        <v>9</v>
      </c>
      <c r="C135" t="s">
        <v>5</v>
      </c>
      <c r="D135">
        <v>72103374</v>
      </c>
      <c r="E135" t="str">
        <f t="shared" si="6"/>
        <v>2DO TURNO</v>
      </c>
      <c r="F135" t="str">
        <f t="shared" si="7"/>
        <v>grupo 2</v>
      </c>
      <c r="G135">
        <f t="shared" si="8"/>
        <v>2</v>
      </c>
      <c r="H135">
        <v>0</v>
      </c>
      <c r="I135">
        <v>15</v>
      </c>
      <c r="J135">
        <v>0</v>
      </c>
      <c r="K135">
        <v>0</v>
      </c>
      <c r="L135">
        <v>1</v>
      </c>
      <c r="M135">
        <v>0</v>
      </c>
      <c r="N135">
        <v>1</v>
      </c>
      <c r="O135" t="s">
        <v>2</v>
      </c>
    </row>
    <row r="136" spans="1:15" x14ac:dyDescent="0.35">
      <c r="A136" t="s">
        <v>50</v>
      </c>
      <c r="B136" t="s">
        <v>9</v>
      </c>
      <c r="C136" t="s">
        <v>5</v>
      </c>
      <c r="D136">
        <v>77091191</v>
      </c>
      <c r="E136" t="str">
        <f t="shared" si="6"/>
        <v>2DO TURNO</v>
      </c>
      <c r="F136" t="str">
        <f t="shared" si="7"/>
        <v>grupo 2</v>
      </c>
      <c r="G136">
        <f t="shared" si="8"/>
        <v>2</v>
      </c>
      <c r="H136">
        <v>0</v>
      </c>
      <c r="I136">
        <v>10</v>
      </c>
      <c r="J136">
        <v>0</v>
      </c>
      <c r="K136">
        <v>0</v>
      </c>
      <c r="L136">
        <v>1</v>
      </c>
      <c r="M136">
        <v>0</v>
      </c>
      <c r="N136">
        <v>1</v>
      </c>
      <c r="O136" t="s">
        <v>2</v>
      </c>
    </row>
    <row r="137" spans="1:15" x14ac:dyDescent="0.35">
      <c r="A137" t="s">
        <v>50</v>
      </c>
      <c r="B137" t="s">
        <v>9</v>
      </c>
      <c r="C137" t="s">
        <v>8</v>
      </c>
      <c r="D137">
        <v>42857028</v>
      </c>
      <c r="E137" t="str">
        <f t="shared" si="6"/>
        <v>2DO TURNO</v>
      </c>
      <c r="F137" t="str">
        <f t="shared" si="7"/>
        <v>grupo 2</v>
      </c>
      <c r="G137">
        <f t="shared" si="8"/>
        <v>2</v>
      </c>
      <c r="H137">
        <v>0</v>
      </c>
      <c r="I137">
        <v>15</v>
      </c>
      <c r="J137">
        <v>0</v>
      </c>
      <c r="K137">
        <v>0</v>
      </c>
      <c r="L137">
        <v>1</v>
      </c>
      <c r="M137">
        <v>0</v>
      </c>
      <c r="N137">
        <v>1</v>
      </c>
      <c r="O137" t="s">
        <v>2</v>
      </c>
    </row>
    <row r="138" spans="1:15" x14ac:dyDescent="0.35">
      <c r="A138" t="s">
        <v>50</v>
      </c>
      <c r="B138" t="s">
        <v>9</v>
      </c>
      <c r="C138" t="s">
        <v>8</v>
      </c>
      <c r="D138">
        <v>60748611</v>
      </c>
      <c r="E138" t="str">
        <f t="shared" si="6"/>
        <v>2DO TURNO</v>
      </c>
      <c r="F138" t="str">
        <f t="shared" si="7"/>
        <v>grupo 2</v>
      </c>
      <c r="G138">
        <f t="shared" si="8"/>
        <v>2</v>
      </c>
      <c r="H138">
        <v>0</v>
      </c>
      <c r="I138">
        <v>11</v>
      </c>
      <c r="J138">
        <v>4</v>
      </c>
      <c r="K138">
        <v>0</v>
      </c>
      <c r="L138">
        <v>0.73333333333333328</v>
      </c>
      <c r="M138">
        <v>0.26666666666666672</v>
      </c>
      <c r="N138">
        <v>0.73333333333333328</v>
      </c>
      <c r="O138" t="s">
        <v>3</v>
      </c>
    </row>
    <row r="139" spans="1:15" x14ac:dyDescent="0.35">
      <c r="A139" t="s">
        <v>50</v>
      </c>
      <c r="B139" t="s">
        <v>9</v>
      </c>
      <c r="C139" t="s">
        <v>8</v>
      </c>
      <c r="D139">
        <v>60772425</v>
      </c>
      <c r="E139" t="str">
        <f t="shared" si="6"/>
        <v>2DO TURNO</v>
      </c>
      <c r="F139" t="str">
        <f t="shared" si="7"/>
        <v>grupo 2</v>
      </c>
      <c r="G139">
        <f t="shared" si="8"/>
        <v>2</v>
      </c>
      <c r="H139">
        <v>0</v>
      </c>
      <c r="I139">
        <v>10</v>
      </c>
      <c r="J139">
        <v>5</v>
      </c>
      <c r="K139">
        <v>0</v>
      </c>
      <c r="L139">
        <v>0.66666666666666663</v>
      </c>
      <c r="M139">
        <v>0.33333333333333331</v>
      </c>
      <c r="N139">
        <v>0.66666666666666663</v>
      </c>
      <c r="O139" t="s">
        <v>3</v>
      </c>
    </row>
    <row r="140" spans="1:15" x14ac:dyDescent="0.35">
      <c r="A140" t="s">
        <v>50</v>
      </c>
      <c r="B140" t="s">
        <v>9</v>
      </c>
      <c r="C140" t="s">
        <v>8</v>
      </c>
      <c r="D140">
        <v>72194117</v>
      </c>
      <c r="E140" t="str">
        <f t="shared" si="6"/>
        <v>2DO TURNO</v>
      </c>
      <c r="F140" t="str">
        <f t="shared" si="7"/>
        <v>grupo 2</v>
      </c>
      <c r="G140">
        <f t="shared" si="8"/>
        <v>2</v>
      </c>
      <c r="H140">
        <v>0</v>
      </c>
      <c r="I140">
        <v>15</v>
      </c>
      <c r="J140">
        <v>0</v>
      </c>
      <c r="K140">
        <v>0</v>
      </c>
      <c r="L140">
        <v>1</v>
      </c>
      <c r="M140">
        <v>0</v>
      </c>
      <c r="N140">
        <v>1</v>
      </c>
      <c r="O140" t="s">
        <v>2</v>
      </c>
    </row>
    <row r="141" spans="1:15" x14ac:dyDescent="0.35">
      <c r="A141" t="s">
        <v>50</v>
      </c>
      <c r="B141" t="s">
        <v>9</v>
      </c>
      <c r="C141" t="s">
        <v>8</v>
      </c>
      <c r="D141">
        <v>73070855</v>
      </c>
      <c r="E141" t="str">
        <f t="shared" si="6"/>
        <v>2DO TURNO</v>
      </c>
      <c r="F141" t="str">
        <f t="shared" si="7"/>
        <v>grupo 2</v>
      </c>
      <c r="G141">
        <f t="shared" si="8"/>
        <v>2</v>
      </c>
      <c r="H141">
        <v>0</v>
      </c>
      <c r="I141">
        <v>13</v>
      </c>
      <c r="J141">
        <v>0</v>
      </c>
      <c r="K141">
        <v>0</v>
      </c>
      <c r="L141">
        <v>1</v>
      </c>
      <c r="M141">
        <v>0</v>
      </c>
      <c r="N141">
        <v>1</v>
      </c>
      <c r="O141" t="s">
        <v>2</v>
      </c>
    </row>
    <row r="142" spans="1:15" x14ac:dyDescent="0.35">
      <c r="A142" t="s">
        <v>50</v>
      </c>
      <c r="B142" t="s">
        <v>9</v>
      </c>
      <c r="C142" t="s">
        <v>8</v>
      </c>
      <c r="D142">
        <v>73799548</v>
      </c>
      <c r="E142" t="str">
        <f t="shared" si="6"/>
        <v>2DO TURNO</v>
      </c>
      <c r="F142" t="str">
        <f t="shared" si="7"/>
        <v>grupo 3</v>
      </c>
      <c r="G142">
        <f t="shared" si="8"/>
        <v>3</v>
      </c>
      <c r="H142">
        <v>3</v>
      </c>
      <c r="I142">
        <v>3</v>
      </c>
      <c r="J142">
        <v>4</v>
      </c>
      <c r="K142">
        <v>0.3</v>
      </c>
      <c r="L142">
        <v>0.3</v>
      </c>
      <c r="M142">
        <v>0.4</v>
      </c>
      <c r="N142">
        <v>0.4</v>
      </c>
      <c r="O142" t="s">
        <v>4</v>
      </c>
    </row>
    <row r="143" spans="1:15" x14ac:dyDescent="0.35">
      <c r="A143" t="s">
        <v>50</v>
      </c>
      <c r="B143" t="s">
        <v>9</v>
      </c>
      <c r="C143" t="s">
        <v>8</v>
      </c>
      <c r="D143">
        <v>74253781</v>
      </c>
      <c r="E143" t="str">
        <f t="shared" si="6"/>
        <v>2DO TURNO</v>
      </c>
      <c r="F143" t="str">
        <f t="shared" si="7"/>
        <v>grupo 1</v>
      </c>
      <c r="G143">
        <f t="shared" si="8"/>
        <v>1</v>
      </c>
      <c r="H143">
        <v>9</v>
      </c>
      <c r="I143">
        <v>1</v>
      </c>
      <c r="J143">
        <v>4</v>
      </c>
      <c r="K143">
        <v>0.6428571428571429</v>
      </c>
      <c r="L143">
        <v>7.1428571428571425E-2</v>
      </c>
      <c r="M143">
        <v>0.2857142857142857</v>
      </c>
      <c r="N143">
        <v>0.6428571428571429</v>
      </c>
      <c r="O143" t="s">
        <v>3</v>
      </c>
    </row>
    <row r="144" spans="1:15" x14ac:dyDescent="0.35">
      <c r="A144" t="s">
        <v>50</v>
      </c>
      <c r="B144" t="s">
        <v>9</v>
      </c>
      <c r="C144" t="s">
        <v>8</v>
      </c>
      <c r="D144">
        <v>76128653</v>
      </c>
      <c r="E144" t="str">
        <f t="shared" si="6"/>
        <v>2DO TURNO</v>
      </c>
      <c r="F144" t="str">
        <f t="shared" si="7"/>
        <v>grupo 2</v>
      </c>
      <c r="G144">
        <f t="shared" si="8"/>
        <v>2</v>
      </c>
      <c r="H144">
        <v>0</v>
      </c>
      <c r="I144">
        <v>15</v>
      </c>
      <c r="J144">
        <v>0</v>
      </c>
      <c r="K144">
        <v>0</v>
      </c>
      <c r="L144">
        <v>1</v>
      </c>
      <c r="M144">
        <v>0</v>
      </c>
      <c r="N144">
        <v>1</v>
      </c>
      <c r="O144" t="s">
        <v>2</v>
      </c>
    </row>
    <row r="145" spans="1:15" x14ac:dyDescent="0.35">
      <c r="A145" t="s">
        <v>50</v>
      </c>
      <c r="B145" t="s">
        <v>9</v>
      </c>
      <c r="C145" t="s">
        <v>8</v>
      </c>
      <c r="D145">
        <v>76593832</v>
      </c>
      <c r="E145" t="str">
        <f t="shared" si="6"/>
        <v>2DO TURNO</v>
      </c>
      <c r="F145" t="str">
        <f t="shared" si="7"/>
        <v>grupo 2</v>
      </c>
      <c r="G145">
        <f t="shared" si="8"/>
        <v>2</v>
      </c>
      <c r="H145">
        <v>0</v>
      </c>
      <c r="I145">
        <v>15</v>
      </c>
      <c r="J145">
        <v>0</v>
      </c>
      <c r="K145">
        <v>0</v>
      </c>
      <c r="L145">
        <v>1</v>
      </c>
      <c r="M145">
        <v>0</v>
      </c>
      <c r="N145">
        <v>1</v>
      </c>
      <c r="O145" t="s">
        <v>2</v>
      </c>
    </row>
    <row r="146" spans="1:15" x14ac:dyDescent="0.35">
      <c r="A146" t="s">
        <v>50</v>
      </c>
      <c r="B146" t="s">
        <v>9</v>
      </c>
      <c r="C146" t="s">
        <v>8</v>
      </c>
      <c r="D146">
        <v>77016605</v>
      </c>
      <c r="E146" t="str">
        <f t="shared" si="6"/>
        <v>2DO TURNO</v>
      </c>
      <c r="F146" t="str">
        <f t="shared" si="7"/>
        <v>grupo 2</v>
      </c>
      <c r="G146">
        <f t="shared" si="8"/>
        <v>2</v>
      </c>
      <c r="H146">
        <v>0</v>
      </c>
      <c r="I146">
        <v>13</v>
      </c>
      <c r="J146">
        <v>2</v>
      </c>
      <c r="K146">
        <v>0</v>
      </c>
      <c r="L146">
        <v>0.8666666666666667</v>
      </c>
      <c r="M146">
        <v>0.1333333333333333</v>
      </c>
      <c r="N146">
        <v>0.8666666666666667</v>
      </c>
      <c r="O146" t="s">
        <v>6</v>
      </c>
    </row>
    <row r="147" spans="1:15" x14ac:dyDescent="0.35">
      <c r="A147" t="s">
        <v>50</v>
      </c>
      <c r="B147" t="s">
        <v>10</v>
      </c>
      <c r="C147" t="s">
        <v>1</v>
      </c>
      <c r="D147">
        <v>70509520</v>
      </c>
      <c r="E147" t="str">
        <f t="shared" si="6"/>
        <v>1ER TURNO</v>
      </c>
      <c r="F147" t="str">
        <f t="shared" si="7"/>
        <v>grupo 2</v>
      </c>
      <c r="G147">
        <f t="shared" si="8"/>
        <v>2</v>
      </c>
      <c r="H147">
        <v>4</v>
      </c>
      <c r="I147">
        <v>10</v>
      </c>
      <c r="J147">
        <v>0</v>
      </c>
      <c r="K147">
        <v>0.2857142857142857</v>
      </c>
      <c r="L147">
        <v>0.7142857142857143</v>
      </c>
      <c r="M147">
        <v>0</v>
      </c>
      <c r="N147">
        <v>0.7142857142857143</v>
      </c>
      <c r="O147" t="s">
        <v>3</v>
      </c>
    </row>
    <row r="148" spans="1:15" x14ac:dyDescent="0.35">
      <c r="A148" t="s">
        <v>50</v>
      </c>
      <c r="B148" t="s">
        <v>10</v>
      </c>
      <c r="C148" t="s">
        <v>1</v>
      </c>
      <c r="D148">
        <v>75067442</v>
      </c>
      <c r="E148" t="str">
        <f t="shared" si="6"/>
        <v>1ER TURNO</v>
      </c>
      <c r="F148" t="str">
        <f t="shared" si="7"/>
        <v>grupo 2</v>
      </c>
      <c r="G148">
        <f t="shared" si="8"/>
        <v>2</v>
      </c>
      <c r="H148">
        <v>2</v>
      </c>
      <c r="I148">
        <v>13</v>
      </c>
      <c r="J148">
        <v>0</v>
      </c>
      <c r="K148">
        <v>0.1333333333333333</v>
      </c>
      <c r="L148">
        <v>0.8666666666666667</v>
      </c>
      <c r="M148">
        <v>0</v>
      </c>
      <c r="N148">
        <v>0.8666666666666667</v>
      </c>
      <c r="O148" t="s">
        <v>6</v>
      </c>
    </row>
    <row r="149" spans="1:15" x14ac:dyDescent="0.35">
      <c r="A149" t="s">
        <v>50</v>
      </c>
      <c r="B149" t="s">
        <v>10</v>
      </c>
      <c r="C149" t="s">
        <v>1</v>
      </c>
      <c r="D149">
        <v>76470491</v>
      </c>
      <c r="E149" t="str">
        <f t="shared" si="6"/>
        <v>1ER TURNO</v>
      </c>
      <c r="F149" t="str">
        <f t="shared" si="7"/>
        <v>grupo 1</v>
      </c>
      <c r="G149">
        <f t="shared" si="8"/>
        <v>1</v>
      </c>
      <c r="H149">
        <v>12</v>
      </c>
      <c r="I149">
        <v>3</v>
      </c>
      <c r="J149">
        <v>0</v>
      </c>
      <c r="K149">
        <v>0.8</v>
      </c>
      <c r="L149">
        <v>0.2</v>
      </c>
      <c r="M149">
        <v>0</v>
      </c>
      <c r="N149">
        <v>0.8</v>
      </c>
      <c r="O149" t="s">
        <v>6</v>
      </c>
    </row>
    <row r="150" spans="1:15" x14ac:dyDescent="0.35">
      <c r="A150" t="s">
        <v>50</v>
      </c>
      <c r="B150" t="s">
        <v>10</v>
      </c>
      <c r="C150" t="s">
        <v>5</v>
      </c>
      <c r="D150">
        <v>60962084</v>
      </c>
      <c r="E150" t="str">
        <f t="shared" si="6"/>
        <v>2DO TURNO</v>
      </c>
      <c r="F150" t="str">
        <f t="shared" si="7"/>
        <v>grupo 2</v>
      </c>
      <c r="G150">
        <f t="shared" si="8"/>
        <v>2</v>
      </c>
      <c r="H150">
        <v>1</v>
      </c>
      <c r="I150">
        <v>14</v>
      </c>
      <c r="J150">
        <v>0</v>
      </c>
      <c r="K150">
        <v>6.6666666666666666E-2</v>
      </c>
      <c r="L150">
        <v>0.93333333333333335</v>
      </c>
      <c r="M150">
        <v>0</v>
      </c>
      <c r="N150">
        <v>0.93333333333333335</v>
      </c>
      <c r="O150" t="s">
        <v>2</v>
      </c>
    </row>
    <row r="151" spans="1:15" x14ac:dyDescent="0.35">
      <c r="A151" t="s">
        <v>50</v>
      </c>
      <c r="B151" t="s">
        <v>10</v>
      </c>
      <c r="C151" t="s">
        <v>5</v>
      </c>
      <c r="D151">
        <v>75233047</v>
      </c>
      <c r="E151" t="str">
        <f t="shared" si="6"/>
        <v>2DO TURNO</v>
      </c>
      <c r="F151" t="str">
        <f t="shared" si="7"/>
        <v>grupo 2</v>
      </c>
      <c r="G151">
        <f t="shared" si="8"/>
        <v>2</v>
      </c>
      <c r="H151">
        <v>0</v>
      </c>
      <c r="I151">
        <v>15</v>
      </c>
      <c r="J151">
        <v>0</v>
      </c>
      <c r="K151">
        <v>0</v>
      </c>
      <c r="L151">
        <v>1</v>
      </c>
      <c r="M151">
        <v>0</v>
      </c>
      <c r="N151">
        <v>1</v>
      </c>
      <c r="O151" t="s">
        <v>2</v>
      </c>
    </row>
    <row r="152" spans="1:15" x14ac:dyDescent="0.35">
      <c r="A152" t="s">
        <v>50</v>
      </c>
      <c r="B152" t="s">
        <v>10</v>
      </c>
      <c r="C152" t="s">
        <v>5</v>
      </c>
      <c r="D152">
        <v>75861127</v>
      </c>
      <c r="E152" t="str">
        <f t="shared" si="6"/>
        <v>2DO TURNO</v>
      </c>
      <c r="F152" t="str">
        <f t="shared" si="7"/>
        <v>grupo 2</v>
      </c>
      <c r="G152">
        <f t="shared" si="8"/>
        <v>2</v>
      </c>
      <c r="H152">
        <v>3</v>
      </c>
      <c r="I152">
        <v>12</v>
      </c>
      <c r="J152">
        <v>0</v>
      </c>
      <c r="K152">
        <v>0.2</v>
      </c>
      <c r="L152">
        <v>0.8</v>
      </c>
      <c r="M152">
        <v>0</v>
      </c>
      <c r="N152">
        <v>0.8</v>
      </c>
      <c r="O152" t="s">
        <v>6</v>
      </c>
    </row>
    <row r="153" spans="1:15" x14ac:dyDescent="0.35">
      <c r="A153" t="s">
        <v>50</v>
      </c>
      <c r="B153" t="s">
        <v>10</v>
      </c>
      <c r="C153" t="s">
        <v>7</v>
      </c>
      <c r="D153">
        <v>71400924</v>
      </c>
      <c r="E153" t="str">
        <f t="shared" si="6"/>
        <v>1ER TURNO</v>
      </c>
      <c r="F153" t="str">
        <f t="shared" si="7"/>
        <v>grupo 1</v>
      </c>
      <c r="G153">
        <f t="shared" si="8"/>
        <v>1</v>
      </c>
      <c r="H153">
        <v>13</v>
      </c>
      <c r="I153">
        <v>0</v>
      </c>
      <c r="J153">
        <v>2</v>
      </c>
      <c r="K153">
        <v>0.8666666666666667</v>
      </c>
      <c r="L153">
        <v>0</v>
      </c>
      <c r="M153">
        <v>0.1333333333333333</v>
      </c>
      <c r="N153">
        <v>0.8666666666666667</v>
      </c>
      <c r="O153" t="s">
        <v>6</v>
      </c>
    </row>
    <row r="154" spans="1:15" x14ac:dyDescent="0.35">
      <c r="A154" t="s">
        <v>50</v>
      </c>
      <c r="B154" t="s">
        <v>10</v>
      </c>
      <c r="C154" t="s">
        <v>7</v>
      </c>
      <c r="D154">
        <v>72704880</v>
      </c>
      <c r="E154" t="str">
        <f t="shared" si="6"/>
        <v>1ER TURNO</v>
      </c>
      <c r="F154" t="str">
        <f t="shared" si="7"/>
        <v>grupo 3</v>
      </c>
      <c r="G154">
        <f t="shared" si="8"/>
        <v>3</v>
      </c>
      <c r="H154">
        <v>0</v>
      </c>
      <c r="I154">
        <v>3</v>
      </c>
      <c r="J154">
        <v>12</v>
      </c>
      <c r="K154">
        <v>0</v>
      </c>
      <c r="L154">
        <v>0.2</v>
      </c>
      <c r="M154">
        <v>0.8</v>
      </c>
      <c r="N154">
        <v>0.8</v>
      </c>
      <c r="O154" t="s">
        <v>6</v>
      </c>
    </row>
    <row r="155" spans="1:15" x14ac:dyDescent="0.35">
      <c r="A155" t="s">
        <v>50</v>
      </c>
      <c r="B155" t="s">
        <v>10</v>
      </c>
      <c r="C155" t="s">
        <v>7</v>
      </c>
      <c r="D155">
        <v>73578305</v>
      </c>
      <c r="E155" t="str">
        <f t="shared" si="6"/>
        <v>1ER TURNO</v>
      </c>
      <c r="F155" t="str">
        <f t="shared" si="7"/>
        <v>grupo 1</v>
      </c>
      <c r="G155">
        <f t="shared" si="8"/>
        <v>1</v>
      </c>
      <c r="H155">
        <v>7</v>
      </c>
      <c r="I155">
        <v>0</v>
      </c>
      <c r="J155">
        <v>3</v>
      </c>
      <c r="K155">
        <v>0.7</v>
      </c>
      <c r="L155">
        <v>0</v>
      </c>
      <c r="M155">
        <v>0.3</v>
      </c>
      <c r="N155">
        <v>0.7</v>
      </c>
      <c r="O155" t="s">
        <v>3</v>
      </c>
    </row>
    <row r="156" spans="1:15" x14ac:dyDescent="0.35">
      <c r="A156" t="s">
        <v>50</v>
      </c>
      <c r="B156" t="s">
        <v>10</v>
      </c>
      <c r="C156" t="s">
        <v>8</v>
      </c>
      <c r="D156">
        <v>70727447</v>
      </c>
      <c r="E156" t="str">
        <f t="shared" si="6"/>
        <v>2DO TURNO</v>
      </c>
      <c r="F156" t="str">
        <f t="shared" si="7"/>
        <v>grupo 2</v>
      </c>
      <c r="G156">
        <f t="shared" si="8"/>
        <v>2</v>
      </c>
      <c r="H156">
        <v>3</v>
      </c>
      <c r="I156">
        <v>5</v>
      </c>
      <c r="J156">
        <v>1</v>
      </c>
      <c r="K156">
        <v>0.33333333333333331</v>
      </c>
      <c r="L156">
        <v>0.55555555555555558</v>
      </c>
      <c r="M156">
        <v>0.1111111111111111</v>
      </c>
      <c r="N156">
        <v>0.55555555555555558</v>
      </c>
      <c r="O156" t="s">
        <v>3</v>
      </c>
    </row>
    <row r="157" spans="1:15" x14ac:dyDescent="0.35">
      <c r="A157" t="s">
        <v>50</v>
      </c>
      <c r="B157" t="s">
        <v>10</v>
      </c>
      <c r="C157" t="s">
        <v>8</v>
      </c>
      <c r="D157">
        <v>73145010</v>
      </c>
      <c r="E157" t="str">
        <f t="shared" si="6"/>
        <v>2DO TURNO</v>
      </c>
      <c r="F157" t="str">
        <f t="shared" si="7"/>
        <v>grupo 2</v>
      </c>
      <c r="G157">
        <f t="shared" si="8"/>
        <v>2</v>
      </c>
      <c r="H157">
        <v>0</v>
      </c>
      <c r="I157">
        <v>15</v>
      </c>
      <c r="J157">
        <v>0</v>
      </c>
      <c r="K157">
        <v>0</v>
      </c>
      <c r="L157">
        <v>1</v>
      </c>
      <c r="M157">
        <v>0</v>
      </c>
      <c r="N157">
        <v>1</v>
      </c>
      <c r="O157" t="s">
        <v>2</v>
      </c>
    </row>
    <row r="158" spans="1:15" x14ac:dyDescent="0.35">
      <c r="A158" t="s">
        <v>50</v>
      </c>
      <c r="B158" t="s">
        <v>10</v>
      </c>
      <c r="C158" t="s">
        <v>8</v>
      </c>
      <c r="D158">
        <v>75147065</v>
      </c>
      <c r="E158" t="str">
        <f t="shared" si="6"/>
        <v>2DO TURNO</v>
      </c>
      <c r="F158" t="str">
        <f t="shared" si="7"/>
        <v>grupo 2</v>
      </c>
      <c r="G158">
        <f t="shared" si="8"/>
        <v>2</v>
      </c>
      <c r="H158">
        <v>2</v>
      </c>
      <c r="I158">
        <v>13</v>
      </c>
      <c r="J158">
        <v>0</v>
      </c>
      <c r="K158">
        <v>0.1333333333333333</v>
      </c>
      <c r="L158">
        <v>0.8666666666666667</v>
      </c>
      <c r="M158">
        <v>0</v>
      </c>
      <c r="N158">
        <v>0.8666666666666667</v>
      </c>
      <c r="O158" t="s">
        <v>6</v>
      </c>
    </row>
    <row r="159" spans="1:15" x14ac:dyDescent="0.35">
      <c r="A159" t="s">
        <v>50</v>
      </c>
      <c r="B159" t="s">
        <v>10</v>
      </c>
      <c r="C159" t="s">
        <v>8</v>
      </c>
      <c r="D159">
        <v>76139361</v>
      </c>
      <c r="E159" t="str">
        <f t="shared" si="6"/>
        <v>2DO TURNO</v>
      </c>
      <c r="F159" t="str">
        <f t="shared" si="7"/>
        <v>grupo 2</v>
      </c>
      <c r="G159">
        <f t="shared" si="8"/>
        <v>2</v>
      </c>
      <c r="H159">
        <v>0</v>
      </c>
      <c r="I159">
        <v>15</v>
      </c>
      <c r="J159">
        <v>0</v>
      </c>
      <c r="K159">
        <v>0</v>
      </c>
      <c r="L159">
        <v>1</v>
      </c>
      <c r="M159">
        <v>0</v>
      </c>
      <c r="N159">
        <v>1</v>
      </c>
      <c r="O159" t="s">
        <v>2</v>
      </c>
    </row>
  </sheetData>
  <autoFilter ref="A1:O15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87"/>
  <sheetViews>
    <sheetView topLeftCell="D4" workbookViewId="0">
      <selection activeCell="K5" sqref="K5:K83"/>
    </sheetView>
  </sheetViews>
  <sheetFormatPr baseColWidth="10" defaultRowHeight="14.5" x14ac:dyDescent="0.35"/>
  <cols>
    <col min="1" max="1" width="22" bestFit="1" customWidth="1"/>
    <col min="2" max="2" width="28.36328125" style="5" customWidth="1"/>
    <col min="3" max="3" width="8.81640625" style="5" customWidth="1"/>
    <col min="4" max="4" width="8.90625" style="5" customWidth="1"/>
    <col min="5" max="5" width="5.453125" style="5" customWidth="1"/>
    <col min="6" max="6" width="15.90625" style="5" bestFit="1" customWidth="1"/>
    <col min="7" max="7" width="18.1796875" style="5" bestFit="1" customWidth="1"/>
  </cols>
  <sheetData>
    <row r="3" spans="1:15" x14ac:dyDescent="0.35">
      <c r="A3" s="1" t="s">
        <v>60</v>
      </c>
      <c r="B3"/>
      <c r="C3"/>
      <c r="D3" s="21" t="s">
        <v>48</v>
      </c>
    </row>
    <row r="4" spans="1:15" x14ac:dyDescent="0.35">
      <c r="A4" s="1" t="s">
        <v>40</v>
      </c>
      <c r="B4" s="1" t="s">
        <v>41</v>
      </c>
      <c r="C4" s="1" t="s">
        <v>42</v>
      </c>
      <c r="D4" s="5" t="s">
        <v>50</v>
      </c>
      <c r="E4" s="5" t="s">
        <v>49</v>
      </c>
      <c r="F4" s="5" t="s">
        <v>61</v>
      </c>
      <c r="H4" t="s">
        <v>40</v>
      </c>
      <c r="I4" t="s">
        <v>41</v>
      </c>
      <c r="J4" t="s">
        <v>42</v>
      </c>
      <c r="K4" t="s">
        <v>51</v>
      </c>
      <c r="L4" s="5" t="s">
        <v>50</v>
      </c>
      <c r="M4" s="5" t="s">
        <v>49</v>
      </c>
      <c r="N4" s="5" t="s">
        <v>62</v>
      </c>
      <c r="O4" s="5" t="s">
        <v>61</v>
      </c>
    </row>
    <row r="5" spans="1:15" x14ac:dyDescent="0.35">
      <c r="A5" t="s">
        <v>0</v>
      </c>
      <c r="B5" t="s">
        <v>1</v>
      </c>
      <c r="C5">
        <v>9953385</v>
      </c>
      <c r="D5" s="22">
        <v>1</v>
      </c>
      <c r="E5" s="22">
        <v>2</v>
      </c>
      <c r="F5" s="5">
        <f>IF(E5=D5,1,0)</f>
        <v>0</v>
      </c>
      <c r="H5" t="s">
        <v>0</v>
      </c>
      <c r="I5" t="s">
        <v>1</v>
      </c>
      <c r="J5">
        <v>9953385</v>
      </c>
      <c r="K5">
        <f>AVERAGE(L5:M5)</f>
        <v>1.5</v>
      </c>
      <c r="L5" s="22">
        <v>1</v>
      </c>
      <c r="M5" s="22">
        <v>2</v>
      </c>
      <c r="N5" s="22">
        <v>1</v>
      </c>
      <c r="O5" s="5">
        <f>IF(M5=L5,1,0)</f>
        <v>0</v>
      </c>
    </row>
    <row r="6" spans="1:15" x14ac:dyDescent="0.35">
      <c r="A6" t="s">
        <v>0</v>
      </c>
      <c r="B6" t="s">
        <v>1</v>
      </c>
      <c r="C6">
        <v>40144857</v>
      </c>
      <c r="D6" s="22">
        <v>1</v>
      </c>
      <c r="E6" s="22">
        <v>1</v>
      </c>
      <c r="F6" s="5">
        <f t="shared" ref="F6:F69" si="0">IF(E6=D6,1,0)</f>
        <v>1</v>
      </c>
      <c r="H6" t="s">
        <v>0</v>
      </c>
      <c r="I6" t="s">
        <v>1</v>
      </c>
      <c r="J6">
        <v>40144857</v>
      </c>
      <c r="K6">
        <f t="shared" ref="K6:K69" si="1">AVERAGE(L6:M6)</f>
        <v>1</v>
      </c>
      <c r="L6" s="22">
        <v>1</v>
      </c>
      <c r="M6" s="22">
        <v>1</v>
      </c>
      <c r="N6" s="22">
        <v>1</v>
      </c>
      <c r="O6" s="5">
        <f t="shared" ref="O6:O69" si="2">IF(M6=L6,1,0)</f>
        <v>1</v>
      </c>
    </row>
    <row r="7" spans="1:15" x14ac:dyDescent="0.35">
      <c r="A7" t="s">
        <v>0</v>
      </c>
      <c r="B7" t="s">
        <v>1</v>
      </c>
      <c r="C7">
        <v>44205134</v>
      </c>
      <c r="D7" s="22">
        <v>2</v>
      </c>
      <c r="E7" s="22">
        <v>1</v>
      </c>
      <c r="F7" s="5">
        <f t="shared" si="0"/>
        <v>0</v>
      </c>
      <c r="H7" t="s">
        <v>0</v>
      </c>
      <c r="I7" t="s">
        <v>1</v>
      </c>
      <c r="J7">
        <v>44205134</v>
      </c>
      <c r="K7">
        <f t="shared" si="1"/>
        <v>1.5</v>
      </c>
      <c r="L7" s="22">
        <v>2</v>
      </c>
      <c r="M7" s="22">
        <v>1</v>
      </c>
      <c r="N7" s="22">
        <v>1</v>
      </c>
      <c r="O7" s="5">
        <f t="shared" si="2"/>
        <v>0</v>
      </c>
    </row>
    <row r="8" spans="1:15" x14ac:dyDescent="0.35">
      <c r="A8" t="s">
        <v>0</v>
      </c>
      <c r="B8" t="s">
        <v>1</v>
      </c>
      <c r="C8">
        <v>44275637</v>
      </c>
      <c r="D8" s="22">
        <v>2</v>
      </c>
      <c r="E8" s="22">
        <v>2</v>
      </c>
      <c r="F8" s="5">
        <f t="shared" si="0"/>
        <v>1</v>
      </c>
      <c r="H8" t="s">
        <v>0</v>
      </c>
      <c r="I8" t="s">
        <v>1</v>
      </c>
      <c r="J8">
        <v>44275637</v>
      </c>
      <c r="K8">
        <f t="shared" si="1"/>
        <v>2</v>
      </c>
      <c r="L8" s="22">
        <v>2</v>
      </c>
      <c r="M8" s="22">
        <v>2</v>
      </c>
      <c r="N8" s="22">
        <v>1</v>
      </c>
      <c r="O8" s="5">
        <f t="shared" si="2"/>
        <v>1</v>
      </c>
    </row>
    <row r="9" spans="1:15" x14ac:dyDescent="0.35">
      <c r="A9" t="s">
        <v>0</v>
      </c>
      <c r="B9" t="s">
        <v>1</v>
      </c>
      <c r="C9">
        <v>46318947</v>
      </c>
      <c r="D9" s="22">
        <v>2</v>
      </c>
      <c r="E9" s="22">
        <v>2</v>
      </c>
      <c r="F9" s="5">
        <f t="shared" si="0"/>
        <v>1</v>
      </c>
      <c r="H9" t="s">
        <v>0</v>
      </c>
      <c r="I9" t="s">
        <v>1</v>
      </c>
      <c r="J9">
        <v>46318947</v>
      </c>
      <c r="K9">
        <f t="shared" si="1"/>
        <v>2</v>
      </c>
      <c r="L9" s="22">
        <v>2</v>
      </c>
      <c r="M9" s="22">
        <v>2</v>
      </c>
      <c r="N9" s="22">
        <v>1</v>
      </c>
      <c r="O9" s="5">
        <f t="shared" si="2"/>
        <v>1</v>
      </c>
    </row>
    <row r="10" spans="1:15" x14ac:dyDescent="0.35">
      <c r="A10" t="s">
        <v>0</v>
      </c>
      <c r="B10" t="s">
        <v>1</v>
      </c>
      <c r="C10">
        <v>60777199</v>
      </c>
      <c r="D10" s="22">
        <v>2</v>
      </c>
      <c r="E10" s="22">
        <v>2</v>
      </c>
      <c r="F10" s="5">
        <f t="shared" si="0"/>
        <v>1</v>
      </c>
      <c r="H10" t="s">
        <v>0</v>
      </c>
      <c r="I10" t="s">
        <v>1</v>
      </c>
      <c r="J10">
        <v>60777199</v>
      </c>
      <c r="K10">
        <f t="shared" si="1"/>
        <v>2</v>
      </c>
      <c r="L10" s="22">
        <v>2</v>
      </c>
      <c r="M10" s="22">
        <v>2</v>
      </c>
      <c r="N10" s="22">
        <v>1</v>
      </c>
      <c r="O10" s="5">
        <f t="shared" si="2"/>
        <v>1</v>
      </c>
    </row>
    <row r="11" spans="1:15" x14ac:dyDescent="0.35">
      <c r="A11" t="s">
        <v>0</v>
      </c>
      <c r="B11" t="s">
        <v>1</v>
      </c>
      <c r="C11">
        <v>60875529</v>
      </c>
      <c r="D11" s="22">
        <v>2</v>
      </c>
      <c r="E11" s="22">
        <v>2</v>
      </c>
      <c r="F11" s="5">
        <f t="shared" si="0"/>
        <v>1</v>
      </c>
      <c r="H11" t="s">
        <v>0</v>
      </c>
      <c r="I11" t="s">
        <v>1</v>
      </c>
      <c r="J11">
        <v>60875529</v>
      </c>
      <c r="K11">
        <f t="shared" si="1"/>
        <v>2</v>
      </c>
      <c r="L11" s="22">
        <v>2</v>
      </c>
      <c r="M11" s="22">
        <v>2</v>
      </c>
      <c r="N11" s="22">
        <v>1</v>
      </c>
      <c r="O11" s="5">
        <f t="shared" si="2"/>
        <v>1</v>
      </c>
    </row>
    <row r="12" spans="1:15" x14ac:dyDescent="0.35">
      <c r="A12" t="s">
        <v>0</v>
      </c>
      <c r="B12" t="s">
        <v>1</v>
      </c>
      <c r="C12">
        <v>60978271</v>
      </c>
      <c r="D12" s="22">
        <v>2</v>
      </c>
      <c r="E12" s="22">
        <v>2</v>
      </c>
      <c r="F12" s="5">
        <f t="shared" si="0"/>
        <v>1</v>
      </c>
      <c r="H12" t="s">
        <v>0</v>
      </c>
      <c r="I12" t="s">
        <v>1</v>
      </c>
      <c r="J12">
        <v>60978271</v>
      </c>
      <c r="K12">
        <f t="shared" si="1"/>
        <v>2</v>
      </c>
      <c r="L12" s="22">
        <v>2</v>
      </c>
      <c r="M12" s="22">
        <v>2</v>
      </c>
      <c r="N12" s="22">
        <v>1</v>
      </c>
      <c r="O12" s="5">
        <f t="shared" si="2"/>
        <v>1</v>
      </c>
    </row>
    <row r="13" spans="1:15" x14ac:dyDescent="0.35">
      <c r="A13" t="s">
        <v>0</v>
      </c>
      <c r="B13" t="s">
        <v>1</v>
      </c>
      <c r="C13">
        <v>72526341</v>
      </c>
      <c r="D13" s="22">
        <v>2</v>
      </c>
      <c r="E13" s="22">
        <v>2</v>
      </c>
      <c r="F13" s="5">
        <f t="shared" si="0"/>
        <v>1</v>
      </c>
      <c r="H13" t="s">
        <v>0</v>
      </c>
      <c r="I13" t="s">
        <v>1</v>
      </c>
      <c r="J13">
        <v>72526341</v>
      </c>
      <c r="K13">
        <f t="shared" si="1"/>
        <v>2</v>
      </c>
      <c r="L13" s="22">
        <v>2</v>
      </c>
      <c r="M13" s="22">
        <v>2</v>
      </c>
      <c r="N13" s="22">
        <v>1</v>
      </c>
      <c r="O13" s="5">
        <f t="shared" si="2"/>
        <v>1</v>
      </c>
    </row>
    <row r="14" spans="1:15" x14ac:dyDescent="0.35">
      <c r="A14" t="s">
        <v>0</v>
      </c>
      <c r="B14" t="s">
        <v>1</v>
      </c>
      <c r="C14">
        <v>75317287</v>
      </c>
      <c r="D14" s="22">
        <v>2</v>
      </c>
      <c r="E14" s="22">
        <v>2</v>
      </c>
      <c r="F14" s="5">
        <f t="shared" si="0"/>
        <v>1</v>
      </c>
      <c r="H14" t="s">
        <v>0</v>
      </c>
      <c r="I14" t="s">
        <v>1</v>
      </c>
      <c r="J14">
        <v>75317287</v>
      </c>
      <c r="K14">
        <f t="shared" si="1"/>
        <v>2</v>
      </c>
      <c r="L14" s="22">
        <v>2</v>
      </c>
      <c r="M14" s="22">
        <v>2</v>
      </c>
      <c r="N14" s="22">
        <v>1</v>
      </c>
      <c r="O14" s="5">
        <f t="shared" si="2"/>
        <v>1</v>
      </c>
    </row>
    <row r="15" spans="1:15" x14ac:dyDescent="0.35">
      <c r="A15" t="s">
        <v>0</v>
      </c>
      <c r="B15" t="s">
        <v>5</v>
      </c>
      <c r="C15">
        <v>9827728</v>
      </c>
      <c r="D15" s="22">
        <v>2</v>
      </c>
      <c r="E15" s="22">
        <v>2</v>
      </c>
      <c r="F15" s="5">
        <f t="shared" si="0"/>
        <v>1</v>
      </c>
      <c r="H15" t="s">
        <v>0</v>
      </c>
      <c r="I15" t="s">
        <v>5</v>
      </c>
      <c r="J15">
        <v>9827728</v>
      </c>
      <c r="K15">
        <f t="shared" si="1"/>
        <v>2</v>
      </c>
      <c r="L15" s="22">
        <v>2</v>
      </c>
      <c r="M15" s="22">
        <v>2</v>
      </c>
      <c r="N15" s="22">
        <v>1</v>
      </c>
      <c r="O15" s="5">
        <f t="shared" si="2"/>
        <v>1</v>
      </c>
    </row>
    <row r="16" spans="1:15" x14ac:dyDescent="0.35">
      <c r="A16" t="s">
        <v>0</v>
      </c>
      <c r="B16" t="s">
        <v>5</v>
      </c>
      <c r="C16">
        <v>21541359</v>
      </c>
      <c r="D16" s="22">
        <v>1</v>
      </c>
      <c r="E16" s="22">
        <v>1</v>
      </c>
      <c r="F16" s="5">
        <f t="shared" si="0"/>
        <v>1</v>
      </c>
      <c r="H16" t="s">
        <v>0</v>
      </c>
      <c r="I16" t="s">
        <v>5</v>
      </c>
      <c r="J16">
        <v>21541359</v>
      </c>
      <c r="K16">
        <f t="shared" si="1"/>
        <v>1</v>
      </c>
      <c r="L16" s="22">
        <v>1</v>
      </c>
      <c r="M16" s="22">
        <v>1</v>
      </c>
      <c r="N16" s="22">
        <v>1</v>
      </c>
      <c r="O16" s="5">
        <f t="shared" si="2"/>
        <v>1</v>
      </c>
    </row>
    <row r="17" spans="1:15" x14ac:dyDescent="0.35">
      <c r="A17" t="s">
        <v>0</v>
      </c>
      <c r="B17" t="s">
        <v>5</v>
      </c>
      <c r="C17">
        <v>48896255</v>
      </c>
      <c r="D17" s="22">
        <v>2</v>
      </c>
      <c r="E17" s="22">
        <v>2</v>
      </c>
      <c r="F17" s="5">
        <f t="shared" si="0"/>
        <v>1</v>
      </c>
      <c r="H17" t="s">
        <v>0</v>
      </c>
      <c r="I17" t="s">
        <v>5</v>
      </c>
      <c r="J17">
        <v>48896255</v>
      </c>
      <c r="K17">
        <f t="shared" si="1"/>
        <v>2</v>
      </c>
      <c r="L17" s="22">
        <v>2</v>
      </c>
      <c r="M17" s="22">
        <v>2</v>
      </c>
      <c r="N17" s="22">
        <v>1</v>
      </c>
      <c r="O17" s="5">
        <f t="shared" si="2"/>
        <v>1</v>
      </c>
    </row>
    <row r="18" spans="1:15" x14ac:dyDescent="0.35">
      <c r="A18" t="s">
        <v>0</v>
      </c>
      <c r="B18" t="s">
        <v>5</v>
      </c>
      <c r="C18">
        <v>61163672</v>
      </c>
      <c r="D18" s="22">
        <v>2</v>
      </c>
      <c r="E18" s="22">
        <v>2</v>
      </c>
      <c r="F18" s="5">
        <f t="shared" si="0"/>
        <v>1</v>
      </c>
      <c r="H18" t="s">
        <v>0</v>
      </c>
      <c r="I18" t="s">
        <v>5</v>
      </c>
      <c r="J18">
        <v>61163672</v>
      </c>
      <c r="K18">
        <f t="shared" si="1"/>
        <v>2</v>
      </c>
      <c r="L18" s="22">
        <v>2</v>
      </c>
      <c r="M18" s="22">
        <v>2</v>
      </c>
      <c r="N18" s="22">
        <v>1</v>
      </c>
      <c r="O18" s="5">
        <f t="shared" si="2"/>
        <v>1</v>
      </c>
    </row>
    <row r="19" spans="1:15" x14ac:dyDescent="0.35">
      <c r="A19" t="s">
        <v>0</v>
      </c>
      <c r="B19" t="s">
        <v>5</v>
      </c>
      <c r="C19">
        <v>61222652</v>
      </c>
      <c r="D19" s="22">
        <v>2</v>
      </c>
      <c r="E19" s="22">
        <v>2</v>
      </c>
      <c r="F19" s="5">
        <f t="shared" si="0"/>
        <v>1</v>
      </c>
      <c r="H19" t="s">
        <v>0</v>
      </c>
      <c r="I19" t="s">
        <v>5</v>
      </c>
      <c r="J19">
        <v>61222652</v>
      </c>
      <c r="K19">
        <f t="shared" si="1"/>
        <v>2</v>
      </c>
      <c r="L19" s="22">
        <v>2</v>
      </c>
      <c r="M19" s="22">
        <v>2</v>
      </c>
      <c r="N19" s="22">
        <v>1</v>
      </c>
      <c r="O19" s="5">
        <f t="shared" si="2"/>
        <v>1</v>
      </c>
    </row>
    <row r="20" spans="1:15" x14ac:dyDescent="0.35">
      <c r="A20" t="s">
        <v>0</v>
      </c>
      <c r="B20" t="s">
        <v>5</v>
      </c>
      <c r="C20">
        <v>61378874</v>
      </c>
      <c r="D20" s="22">
        <v>2</v>
      </c>
      <c r="E20" s="22">
        <v>2</v>
      </c>
      <c r="F20" s="5">
        <f t="shared" si="0"/>
        <v>1</v>
      </c>
      <c r="H20" t="s">
        <v>0</v>
      </c>
      <c r="I20" t="s">
        <v>5</v>
      </c>
      <c r="J20">
        <v>61378874</v>
      </c>
      <c r="K20">
        <f t="shared" si="1"/>
        <v>2</v>
      </c>
      <c r="L20" s="22">
        <v>2</v>
      </c>
      <c r="M20" s="22">
        <v>2</v>
      </c>
      <c r="N20" s="22">
        <v>1</v>
      </c>
      <c r="O20" s="5">
        <f t="shared" si="2"/>
        <v>1</v>
      </c>
    </row>
    <row r="21" spans="1:15" x14ac:dyDescent="0.35">
      <c r="A21" t="s">
        <v>0</v>
      </c>
      <c r="B21" t="s">
        <v>5</v>
      </c>
      <c r="C21">
        <v>70923581</v>
      </c>
      <c r="D21" s="22">
        <v>2</v>
      </c>
      <c r="E21" s="22">
        <v>2</v>
      </c>
      <c r="F21" s="5">
        <f t="shared" si="0"/>
        <v>1</v>
      </c>
      <c r="H21" t="s">
        <v>0</v>
      </c>
      <c r="I21" t="s">
        <v>5</v>
      </c>
      <c r="J21">
        <v>70923581</v>
      </c>
      <c r="K21">
        <f t="shared" si="1"/>
        <v>2</v>
      </c>
      <c r="L21" s="22">
        <v>2</v>
      </c>
      <c r="M21" s="22">
        <v>2</v>
      </c>
      <c r="N21" s="22">
        <v>1</v>
      </c>
      <c r="O21" s="5">
        <f t="shared" si="2"/>
        <v>1</v>
      </c>
    </row>
    <row r="22" spans="1:15" x14ac:dyDescent="0.35">
      <c r="A22" t="s">
        <v>0</v>
      </c>
      <c r="B22" t="s">
        <v>5</v>
      </c>
      <c r="C22">
        <v>72710256</v>
      </c>
      <c r="D22" s="22">
        <v>2</v>
      </c>
      <c r="E22" s="22">
        <v>2</v>
      </c>
      <c r="F22" s="5">
        <f t="shared" si="0"/>
        <v>1</v>
      </c>
      <c r="H22" t="s">
        <v>0</v>
      </c>
      <c r="I22" t="s">
        <v>5</v>
      </c>
      <c r="J22">
        <v>72710256</v>
      </c>
      <c r="K22">
        <f t="shared" si="1"/>
        <v>2</v>
      </c>
      <c r="L22" s="22">
        <v>2</v>
      </c>
      <c r="M22" s="22">
        <v>2</v>
      </c>
      <c r="N22" s="22">
        <v>1</v>
      </c>
      <c r="O22" s="5">
        <f t="shared" si="2"/>
        <v>1</v>
      </c>
    </row>
    <row r="23" spans="1:15" x14ac:dyDescent="0.35">
      <c r="A23" t="s">
        <v>0</v>
      </c>
      <c r="B23" t="s">
        <v>5</v>
      </c>
      <c r="C23">
        <v>72754575</v>
      </c>
      <c r="D23" s="22">
        <v>2</v>
      </c>
      <c r="E23" s="22">
        <v>2</v>
      </c>
      <c r="F23" s="5">
        <f t="shared" si="0"/>
        <v>1</v>
      </c>
      <c r="H23" t="s">
        <v>0</v>
      </c>
      <c r="I23" t="s">
        <v>5</v>
      </c>
      <c r="J23">
        <v>72754575</v>
      </c>
      <c r="K23">
        <f t="shared" si="1"/>
        <v>2</v>
      </c>
      <c r="L23" s="22">
        <v>2</v>
      </c>
      <c r="M23" s="22">
        <v>2</v>
      </c>
      <c r="N23" s="22">
        <v>1</v>
      </c>
      <c r="O23" s="5">
        <f t="shared" si="2"/>
        <v>1</v>
      </c>
    </row>
    <row r="24" spans="1:15" x14ac:dyDescent="0.35">
      <c r="A24" t="s">
        <v>0</v>
      </c>
      <c r="B24" t="s">
        <v>5</v>
      </c>
      <c r="C24">
        <v>73199712</v>
      </c>
      <c r="D24" s="22">
        <v>2</v>
      </c>
      <c r="E24" s="22">
        <v>2</v>
      </c>
      <c r="F24" s="5">
        <f t="shared" si="0"/>
        <v>1</v>
      </c>
      <c r="H24" t="s">
        <v>0</v>
      </c>
      <c r="I24" t="s">
        <v>5</v>
      </c>
      <c r="J24">
        <v>73199712</v>
      </c>
      <c r="K24">
        <f t="shared" si="1"/>
        <v>2</v>
      </c>
      <c r="L24" s="22">
        <v>2</v>
      </c>
      <c r="M24" s="22">
        <v>2</v>
      </c>
      <c r="N24" s="22">
        <v>1</v>
      </c>
      <c r="O24" s="5">
        <f t="shared" si="2"/>
        <v>1</v>
      </c>
    </row>
    <row r="25" spans="1:15" x14ac:dyDescent="0.35">
      <c r="A25" t="s">
        <v>0</v>
      </c>
      <c r="B25" t="s">
        <v>5</v>
      </c>
      <c r="C25">
        <v>73715369</v>
      </c>
      <c r="D25" s="22">
        <v>2</v>
      </c>
      <c r="E25" s="22">
        <v>1</v>
      </c>
      <c r="F25" s="5">
        <f t="shared" si="0"/>
        <v>0</v>
      </c>
      <c r="H25" t="s">
        <v>0</v>
      </c>
      <c r="I25" t="s">
        <v>5</v>
      </c>
      <c r="J25">
        <v>73715369</v>
      </c>
      <c r="K25">
        <f t="shared" si="1"/>
        <v>1.5</v>
      </c>
      <c r="L25" s="22">
        <v>2</v>
      </c>
      <c r="M25" s="22">
        <v>1</v>
      </c>
      <c r="N25" s="22">
        <v>1</v>
      </c>
      <c r="O25" s="5">
        <f t="shared" si="2"/>
        <v>0</v>
      </c>
    </row>
    <row r="26" spans="1:15" x14ac:dyDescent="0.35">
      <c r="A26" t="s">
        <v>0</v>
      </c>
      <c r="B26" t="s">
        <v>5</v>
      </c>
      <c r="C26">
        <v>73974210</v>
      </c>
      <c r="D26" s="22">
        <v>2</v>
      </c>
      <c r="E26" s="22">
        <v>2</v>
      </c>
      <c r="F26" s="5">
        <f t="shared" si="0"/>
        <v>1</v>
      </c>
      <c r="H26" t="s">
        <v>0</v>
      </c>
      <c r="I26" t="s">
        <v>5</v>
      </c>
      <c r="J26">
        <v>73974210</v>
      </c>
      <c r="K26">
        <f t="shared" si="1"/>
        <v>2</v>
      </c>
      <c r="L26" s="22">
        <v>2</v>
      </c>
      <c r="M26" s="22">
        <v>2</v>
      </c>
      <c r="N26" s="22">
        <v>1</v>
      </c>
      <c r="O26" s="5">
        <f t="shared" si="2"/>
        <v>1</v>
      </c>
    </row>
    <row r="27" spans="1:15" x14ac:dyDescent="0.35">
      <c r="A27" t="s">
        <v>0</v>
      </c>
      <c r="B27" t="s">
        <v>7</v>
      </c>
      <c r="C27">
        <v>44837589</v>
      </c>
      <c r="D27" s="22">
        <v>1</v>
      </c>
      <c r="E27" s="22">
        <v>1</v>
      </c>
      <c r="F27" s="5">
        <f t="shared" si="0"/>
        <v>1</v>
      </c>
      <c r="H27" t="s">
        <v>0</v>
      </c>
      <c r="I27" t="s">
        <v>7</v>
      </c>
      <c r="J27">
        <v>44837589</v>
      </c>
      <c r="K27">
        <f t="shared" si="1"/>
        <v>1</v>
      </c>
      <c r="L27" s="22">
        <v>1</v>
      </c>
      <c r="M27" s="22">
        <v>1</v>
      </c>
      <c r="N27" s="22">
        <v>1</v>
      </c>
      <c r="O27" s="5">
        <f t="shared" si="2"/>
        <v>1</v>
      </c>
    </row>
    <row r="28" spans="1:15" x14ac:dyDescent="0.35">
      <c r="A28" t="s">
        <v>0</v>
      </c>
      <c r="B28" t="s">
        <v>7</v>
      </c>
      <c r="C28">
        <v>61091315</v>
      </c>
      <c r="D28" s="22">
        <v>1</v>
      </c>
      <c r="E28" s="22">
        <v>1</v>
      </c>
      <c r="F28" s="5">
        <f t="shared" si="0"/>
        <v>1</v>
      </c>
      <c r="H28" t="s">
        <v>0</v>
      </c>
      <c r="I28" t="s">
        <v>7</v>
      </c>
      <c r="J28">
        <v>61091315</v>
      </c>
      <c r="K28">
        <f t="shared" si="1"/>
        <v>1</v>
      </c>
      <c r="L28" s="22">
        <v>1</v>
      </c>
      <c r="M28" s="22">
        <v>1</v>
      </c>
      <c r="N28" s="22">
        <v>1</v>
      </c>
      <c r="O28" s="5">
        <f t="shared" si="2"/>
        <v>1</v>
      </c>
    </row>
    <row r="29" spans="1:15" x14ac:dyDescent="0.35">
      <c r="A29" t="s">
        <v>0</v>
      </c>
      <c r="B29" t="s">
        <v>7</v>
      </c>
      <c r="C29">
        <v>61099445</v>
      </c>
      <c r="D29" s="22">
        <v>1</v>
      </c>
      <c r="E29" s="22">
        <v>2</v>
      </c>
      <c r="F29" s="5">
        <f t="shared" si="0"/>
        <v>0</v>
      </c>
      <c r="H29" t="s">
        <v>0</v>
      </c>
      <c r="I29" t="s">
        <v>7</v>
      </c>
      <c r="J29">
        <v>61099445</v>
      </c>
      <c r="K29">
        <f t="shared" si="1"/>
        <v>1.5</v>
      </c>
      <c r="L29" s="22">
        <v>1</v>
      </c>
      <c r="M29" s="22">
        <v>2</v>
      </c>
      <c r="N29" s="22">
        <v>1</v>
      </c>
      <c r="O29" s="5">
        <f t="shared" si="2"/>
        <v>0</v>
      </c>
    </row>
    <row r="30" spans="1:15" x14ac:dyDescent="0.35">
      <c r="A30" t="s">
        <v>0</v>
      </c>
      <c r="B30" t="s">
        <v>7</v>
      </c>
      <c r="C30">
        <v>61151568</v>
      </c>
      <c r="D30" s="22">
        <v>2</v>
      </c>
      <c r="E30" s="22">
        <v>1</v>
      </c>
      <c r="F30" s="5">
        <f t="shared" si="0"/>
        <v>0</v>
      </c>
      <c r="H30" t="s">
        <v>0</v>
      </c>
      <c r="I30" t="s">
        <v>7</v>
      </c>
      <c r="J30">
        <v>61151568</v>
      </c>
      <c r="K30">
        <f t="shared" si="1"/>
        <v>1.5</v>
      </c>
      <c r="L30" s="22">
        <v>2</v>
      </c>
      <c r="M30" s="22">
        <v>1</v>
      </c>
      <c r="N30" s="22">
        <v>1</v>
      </c>
      <c r="O30" s="5">
        <f t="shared" si="2"/>
        <v>0</v>
      </c>
    </row>
    <row r="31" spans="1:15" x14ac:dyDescent="0.35">
      <c r="A31" t="s">
        <v>0</v>
      </c>
      <c r="B31" t="s">
        <v>7</v>
      </c>
      <c r="C31">
        <v>61279256</v>
      </c>
      <c r="D31" s="22">
        <v>1</v>
      </c>
      <c r="E31" s="22">
        <v>1</v>
      </c>
      <c r="F31" s="5">
        <f t="shared" si="0"/>
        <v>1</v>
      </c>
      <c r="H31" t="s">
        <v>0</v>
      </c>
      <c r="I31" t="s">
        <v>7</v>
      </c>
      <c r="J31">
        <v>61279256</v>
      </c>
      <c r="K31">
        <f t="shared" si="1"/>
        <v>1</v>
      </c>
      <c r="L31" s="22">
        <v>1</v>
      </c>
      <c r="M31" s="22">
        <v>1</v>
      </c>
      <c r="N31" s="22">
        <v>1</v>
      </c>
      <c r="O31" s="5">
        <f t="shared" si="2"/>
        <v>1</v>
      </c>
    </row>
    <row r="32" spans="1:15" x14ac:dyDescent="0.35">
      <c r="A32" t="s">
        <v>0</v>
      </c>
      <c r="B32" t="s">
        <v>7</v>
      </c>
      <c r="C32">
        <v>61345370</v>
      </c>
      <c r="D32" s="22">
        <v>2</v>
      </c>
      <c r="E32" s="22">
        <v>2</v>
      </c>
      <c r="F32" s="5">
        <f t="shared" si="0"/>
        <v>1</v>
      </c>
      <c r="H32" t="s">
        <v>0</v>
      </c>
      <c r="I32" t="s">
        <v>7</v>
      </c>
      <c r="J32">
        <v>61345370</v>
      </c>
      <c r="K32">
        <f t="shared" si="1"/>
        <v>2</v>
      </c>
      <c r="L32" s="22">
        <v>2</v>
      </c>
      <c r="M32" s="22">
        <v>2</v>
      </c>
      <c r="N32" s="22">
        <v>1</v>
      </c>
      <c r="O32" s="5">
        <f t="shared" si="2"/>
        <v>1</v>
      </c>
    </row>
    <row r="33" spans="1:15" x14ac:dyDescent="0.35">
      <c r="A33" t="s">
        <v>0</v>
      </c>
      <c r="B33" t="s">
        <v>7</v>
      </c>
      <c r="C33">
        <v>62221971</v>
      </c>
      <c r="D33" s="22">
        <v>2</v>
      </c>
      <c r="E33" s="22">
        <v>2</v>
      </c>
      <c r="F33" s="5">
        <f t="shared" si="0"/>
        <v>1</v>
      </c>
      <c r="H33" t="s">
        <v>0</v>
      </c>
      <c r="I33" t="s">
        <v>7</v>
      </c>
      <c r="J33">
        <v>62221971</v>
      </c>
      <c r="K33">
        <f t="shared" si="1"/>
        <v>2</v>
      </c>
      <c r="L33" s="22">
        <v>2</v>
      </c>
      <c r="M33" s="22">
        <v>2</v>
      </c>
      <c r="N33" s="22">
        <v>1</v>
      </c>
      <c r="O33" s="5">
        <f t="shared" si="2"/>
        <v>1</v>
      </c>
    </row>
    <row r="34" spans="1:15" x14ac:dyDescent="0.35">
      <c r="A34" t="s">
        <v>0</v>
      </c>
      <c r="B34" t="s">
        <v>7</v>
      </c>
      <c r="C34">
        <v>72734037</v>
      </c>
      <c r="D34" s="22">
        <v>1</v>
      </c>
      <c r="E34" s="22">
        <v>1</v>
      </c>
      <c r="F34" s="5">
        <f t="shared" si="0"/>
        <v>1</v>
      </c>
      <c r="H34" t="s">
        <v>0</v>
      </c>
      <c r="I34" t="s">
        <v>7</v>
      </c>
      <c r="J34">
        <v>72734037</v>
      </c>
      <c r="K34">
        <f t="shared" si="1"/>
        <v>1</v>
      </c>
      <c r="L34" s="22">
        <v>1</v>
      </c>
      <c r="M34" s="22">
        <v>1</v>
      </c>
      <c r="N34" s="22">
        <v>1</v>
      </c>
      <c r="O34" s="5">
        <f t="shared" si="2"/>
        <v>1</v>
      </c>
    </row>
    <row r="35" spans="1:15" x14ac:dyDescent="0.35">
      <c r="A35" t="s">
        <v>0</v>
      </c>
      <c r="B35" t="s">
        <v>7</v>
      </c>
      <c r="C35">
        <v>74916756</v>
      </c>
      <c r="D35" s="22">
        <v>1</v>
      </c>
      <c r="E35" s="22">
        <v>1</v>
      </c>
      <c r="F35" s="5">
        <f t="shared" si="0"/>
        <v>1</v>
      </c>
      <c r="H35" t="s">
        <v>0</v>
      </c>
      <c r="I35" t="s">
        <v>7</v>
      </c>
      <c r="J35">
        <v>74916756</v>
      </c>
      <c r="K35">
        <f t="shared" si="1"/>
        <v>1</v>
      </c>
      <c r="L35" s="22">
        <v>1</v>
      </c>
      <c r="M35" s="22">
        <v>1</v>
      </c>
      <c r="N35" s="22">
        <v>1</v>
      </c>
      <c r="O35" s="5">
        <f t="shared" si="2"/>
        <v>1</v>
      </c>
    </row>
    <row r="36" spans="1:15" x14ac:dyDescent="0.35">
      <c r="A36" t="s">
        <v>0</v>
      </c>
      <c r="B36" t="s">
        <v>7</v>
      </c>
      <c r="C36">
        <v>75408678</v>
      </c>
      <c r="D36" s="22">
        <v>1</v>
      </c>
      <c r="E36" s="22">
        <v>1</v>
      </c>
      <c r="F36" s="5">
        <f t="shared" si="0"/>
        <v>1</v>
      </c>
      <c r="H36" t="s">
        <v>0</v>
      </c>
      <c r="I36" t="s">
        <v>7</v>
      </c>
      <c r="J36">
        <v>75408678</v>
      </c>
      <c r="K36">
        <f t="shared" si="1"/>
        <v>1</v>
      </c>
      <c r="L36" s="22">
        <v>1</v>
      </c>
      <c r="M36" s="22">
        <v>1</v>
      </c>
      <c r="N36" s="22">
        <v>1</v>
      </c>
      <c r="O36" s="5">
        <f t="shared" si="2"/>
        <v>1</v>
      </c>
    </row>
    <row r="37" spans="1:15" x14ac:dyDescent="0.35">
      <c r="A37" t="s">
        <v>0</v>
      </c>
      <c r="B37" t="s">
        <v>8</v>
      </c>
      <c r="C37">
        <v>40636491</v>
      </c>
      <c r="D37" s="22">
        <v>2</v>
      </c>
      <c r="E37" s="22">
        <v>2</v>
      </c>
      <c r="F37" s="5">
        <f t="shared" si="0"/>
        <v>1</v>
      </c>
      <c r="H37" t="s">
        <v>0</v>
      </c>
      <c r="I37" t="s">
        <v>8</v>
      </c>
      <c r="J37">
        <v>40636491</v>
      </c>
      <c r="K37">
        <f t="shared" si="1"/>
        <v>2</v>
      </c>
      <c r="L37" s="22">
        <v>2</v>
      </c>
      <c r="M37" s="22">
        <v>2</v>
      </c>
      <c r="N37" s="22">
        <v>1</v>
      </c>
      <c r="O37" s="5">
        <f t="shared" si="2"/>
        <v>1</v>
      </c>
    </row>
    <row r="38" spans="1:15" x14ac:dyDescent="0.35">
      <c r="A38" t="s">
        <v>0</v>
      </c>
      <c r="B38" t="s">
        <v>8</v>
      </c>
      <c r="C38">
        <v>48566634</v>
      </c>
      <c r="D38" s="22">
        <v>2</v>
      </c>
      <c r="E38" s="22">
        <v>2</v>
      </c>
      <c r="F38" s="5">
        <f t="shared" si="0"/>
        <v>1</v>
      </c>
      <c r="H38" t="s">
        <v>0</v>
      </c>
      <c r="I38" t="s">
        <v>8</v>
      </c>
      <c r="J38">
        <v>48566634</v>
      </c>
      <c r="K38">
        <f t="shared" si="1"/>
        <v>2</v>
      </c>
      <c r="L38" s="22">
        <v>2</v>
      </c>
      <c r="M38" s="22">
        <v>2</v>
      </c>
      <c r="N38" s="22">
        <v>1</v>
      </c>
      <c r="O38" s="5">
        <f t="shared" si="2"/>
        <v>1</v>
      </c>
    </row>
    <row r="39" spans="1:15" x14ac:dyDescent="0.35">
      <c r="A39" t="s">
        <v>0</v>
      </c>
      <c r="B39" t="s">
        <v>8</v>
      </c>
      <c r="C39">
        <v>60821299</v>
      </c>
      <c r="D39" s="22">
        <v>2</v>
      </c>
      <c r="E39" s="22">
        <v>2</v>
      </c>
      <c r="F39" s="5">
        <f t="shared" si="0"/>
        <v>1</v>
      </c>
      <c r="H39" t="s">
        <v>0</v>
      </c>
      <c r="I39" t="s">
        <v>8</v>
      </c>
      <c r="J39">
        <v>60821299</v>
      </c>
      <c r="K39">
        <f t="shared" si="1"/>
        <v>2</v>
      </c>
      <c r="L39" s="22">
        <v>2</v>
      </c>
      <c r="M39" s="22">
        <v>2</v>
      </c>
      <c r="N39" s="22">
        <v>1</v>
      </c>
      <c r="O39" s="5">
        <f t="shared" si="2"/>
        <v>1</v>
      </c>
    </row>
    <row r="40" spans="1:15" x14ac:dyDescent="0.35">
      <c r="A40" t="s">
        <v>0</v>
      </c>
      <c r="B40" t="s">
        <v>8</v>
      </c>
      <c r="C40">
        <v>61158393</v>
      </c>
      <c r="D40" s="22">
        <v>1</v>
      </c>
      <c r="E40" s="22">
        <v>1</v>
      </c>
      <c r="F40" s="5">
        <f t="shared" si="0"/>
        <v>1</v>
      </c>
      <c r="H40" t="s">
        <v>0</v>
      </c>
      <c r="I40" t="s">
        <v>8</v>
      </c>
      <c r="J40">
        <v>61158393</v>
      </c>
      <c r="K40">
        <f t="shared" si="1"/>
        <v>1</v>
      </c>
      <c r="L40" s="22">
        <v>1</v>
      </c>
      <c r="M40" s="22">
        <v>1</v>
      </c>
      <c r="N40" s="22">
        <v>1</v>
      </c>
      <c r="O40" s="5">
        <f t="shared" si="2"/>
        <v>1</v>
      </c>
    </row>
    <row r="41" spans="1:15" x14ac:dyDescent="0.35">
      <c r="A41" t="s">
        <v>0</v>
      </c>
      <c r="B41" t="s">
        <v>8</v>
      </c>
      <c r="C41">
        <v>61293270</v>
      </c>
      <c r="D41" s="22">
        <v>2</v>
      </c>
      <c r="E41" s="22">
        <v>2</v>
      </c>
      <c r="F41" s="5">
        <f t="shared" si="0"/>
        <v>1</v>
      </c>
      <c r="H41" t="s">
        <v>0</v>
      </c>
      <c r="I41" t="s">
        <v>8</v>
      </c>
      <c r="J41">
        <v>61293270</v>
      </c>
      <c r="K41">
        <f t="shared" si="1"/>
        <v>2</v>
      </c>
      <c r="L41" s="22">
        <v>2</v>
      </c>
      <c r="M41" s="22">
        <v>2</v>
      </c>
      <c r="N41" s="22">
        <v>1</v>
      </c>
      <c r="O41" s="5">
        <f t="shared" si="2"/>
        <v>1</v>
      </c>
    </row>
    <row r="42" spans="1:15" x14ac:dyDescent="0.35">
      <c r="A42" t="s">
        <v>0</v>
      </c>
      <c r="B42" t="s">
        <v>8</v>
      </c>
      <c r="C42">
        <v>61313010</v>
      </c>
      <c r="D42" s="22">
        <v>2</v>
      </c>
      <c r="E42" s="22">
        <v>2</v>
      </c>
      <c r="F42" s="5">
        <f t="shared" si="0"/>
        <v>1</v>
      </c>
      <c r="H42" t="s">
        <v>0</v>
      </c>
      <c r="I42" t="s">
        <v>8</v>
      </c>
      <c r="J42">
        <v>61313010</v>
      </c>
      <c r="K42">
        <f t="shared" si="1"/>
        <v>2</v>
      </c>
      <c r="L42" s="22">
        <v>2</v>
      </c>
      <c r="M42" s="22">
        <v>2</v>
      </c>
      <c r="N42" s="22">
        <v>1</v>
      </c>
      <c r="O42" s="5">
        <f t="shared" si="2"/>
        <v>1</v>
      </c>
    </row>
    <row r="43" spans="1:15" x14ac:dyDescent="0.35">
      <c r="A43" t="s">
        <v>0</v>
      </c>
      <c r="B43" t="s">
        <v>8</v>
      </c>
      <c r="C43">
        <v>70530096</v>
      </c>
      <c r="D43" s="22">
        <v>2</v>
      </c>
      <c r="E43" s="22">
        <v>2</v>
      </c>
      <c r="F43" s="5">
        <f t="shared" si="0"/>
        <v>1</v>
      </c>
      <c r="H43" t="s">
        <v>0</v>
      </c>
      <c r="I43" t="s">
        <v>8</v>
      </c>
      <c r="J43">
        <v>70530096</v>
      </c>
      <c r="K43">
        <f t="shared" si="1"/>
        <v>2</v>
      </c>
      <c r="L43" s="22">
        <v>2</v>
      </c>
      <c r="M43" s="22">
        <v>2</v>
      </c>
      <c r="N43" s="22">
        <v>1</v>
      </c>
      <c r="O43" s="5">
        <f t="shared" si="2"/>
        <v>1</v>
      </c>
    </row>
    <row r="44" spans="1:15" x14ac:dyDescent="0.35">
      <c r="A44" t="s">
        <v>0</v>
      </c>
      <c r="B44" t="s">
        <v>8</v>
      </c>
      <c r="C44">
        <v>72323269</v>
      </c>
      <c r="D44" s="22">
        <v>2</v>
      </c>
      <c r="E44" s="22">
        <v>3</v>
      </c>
      <c r="F44" s="5">
        <f t="shared" si="0"/>
        <v>0</v>
      </c>
      <c r="H44" t="s">
        <v>0</v>
      </c>
      <c r="I44" t="s">
        <v>8</v>
      </c>
      <c r="J44">
        <v>72323269</v>
      </c>
      <c r="K44">
        <f t="shared" si="1"/>
        <v>2.5</v>
      </c>
      <c r="L44" s="22">
        <v>2</v>
      </c>
      <c r="M44" s="22">
        <v>3</v>
      </c>
      <c r="N44" s="22">
        <v>1</v>
      </c>
      <c r="O44" s="5">
        <f t="shared" si="2"/>
        <v>0</v>
      </c>
    </row>
    <row r="45" spans="1:15" x14ac:dyDescent="0.35">
      <c r="A45" t="s">
        <v>0</v>
      </c>
      <c r="B45" t="s">
        <v>8</v>
      </c>
      <c r="C45">
        <v>73003226</v>
      </c>
      <c r="D45" s="22">
        <v>2</v>
      </c>
      <c r="E45" s="22">
        <v>3</v>
      </c>
      <c r="F45" s="5">
        <f t="shared" si="0"/>
        <v>0</v>
      </c>
      <c r="H45" t="s">
        <v>0</v>
      </c>
      <c r="I45" t="s">
        <v>8</v>
      </c>
      <c r="J45">
        <v>73003226</v>
      </c>
      <c r="K45">
        <f t="shared" si="1"/>
        <v>2.5</v>
      </c>
      <c r="L45" s="22">
        <v>2</v>
      </c>
      <c r="M45" s="22">
        <v>3</v>
      </c>
      <c r="N45" s="22">
        <v>1</v>
      </c>
      <c r="O45" s="5">
        <f t="shared" si="2"/>
        <v>0</v>
      </c>
    </row>
    <row r="46" spans="1:15" x14ac:dyDescent="0.35">
      <c r="A46" t="s">
        <v>0</v>
      </c>
      <c r="B46" t="s">
        <v>8</v>
      </c>
      <c r="C46">
        <v>74748159</v>
      </c>
      <c r="D46" s="22">
        <v>2</v>
      </c>
      <c r="E46" s="22">
        <v>2</v>
      </c>
      <c r="F46" s="5">
        <f t="shared" si="0"/>
        <v>1</v>
      </c>
      <c r="H46" t="s">
        <v>0</v>
      </c>
      <c r="I46" t="s">
        <v>8</v>
      </c>
      <c r="J46">
        <v>74748159</v>
      </c>
      <c r="K46">
        <f t="shared" si="1"/>
        <v>2</v>
      </c>
      <c r="L46" s="22">
        <v>2</v>
      </c>
      <c r="M46" s="22">
        <v>2</v>
      </c>
      <c r="N46" s="22">
        <v>1</v>
      </c>
      <c r="O46" s="5">
        <f t="shared" si="2"/>
        <v>1</v>
      </c>
    </row>
    <row r="47" spans="1:15" x14ac:dyDescent="0.35">
      <c r="A47" t="s">
        <v>0</v>
      </c>
      <c r="B47" t="s">
        <v>8</v>
      </c>
      <c r="C47">
        <v>74929797</v>
      </c>
      <c r="D47" s="22">
        <v>2</v>
      </c>
      <c r="E47" s="22">
        <v>2</v>
      </c>
      <c r="F47" s="5">
        <f t="shared" si="0"/>
        <v>1</v>
      </c>
      <c r="H47" t="s">
        <v>0</v>
      </c>
      <c r="I47" t="s">
        <v>8</v>
      </c>
      <c r="J47">
        <v>74929797</v>
      </c>
      <c r="K47">
        <f t="shared" si="1"/>
        <v>2</v>
      </c>
      <c r="L47" s="22">
        <v>2</v>
      </c>
      <c r="M47" s="22">
        <v>2</v>
      </c>
      <c r="N47" s="22">
        <v>1</v>
      </c>
      <c r="O47" s="5">
        <f t="shared" si="2"/>
        <v>1</v>
      </c>
    </row>
    <row r="48" spans="1:15" x14ac:dyDescent="0.35">
      <c r="A48" t="s">
        <v>0</v>
      </c>
      <c r="B48" t="s">
        <v>8</v>
      </c>
      <c r="C48">
        <v>76043349</v>
      </c>
      <c r="D48" s="22">
        <v>2</v>
      </c>
      <c r="E48" s="22">
        <v>2</v>
      </c>
      <c r="F48" s="5">
        <f t="shared" si="0"/>
        <v>1</v>
      </c>
      <c r="H48" t="s">
        <v>0</v>
      </c>
      <c r="I48" t="s">
        <v>8</v>
      </c>
      <c r="J48">
        <v>76043349</v>
      </c>
      <c r="K48">
        <f t="shared" si="1"/>
        <v>2</v>
      </c>
      <c r="L48" s="22">
        <v>2</v>
      </c>
      <c r="M48" s="22">
        <v>2</v>
      </c>
      <c r="N48" s="22">
        <v>1</v>
      </c>
      <c r="O48" s="5">
        <f t="shared" si="2"/>
        <v>1</v>
      </c>
    </row>
    <row r="49" spans="1:15" x14ac:dyDescent="0.35">
      <c r="A49" t="s">
        <v>0</v>
      </c>
      <c r="B49" t="s">
        <v>8</v>
      </c>
      <c r="C49">
        <v>76140596</v>
      </c>
      <c r="D49" s="22">
        <v>1</v>
      </c>
      <c r="E49" s="22">
        <v>1</v>
      </c>
      <c r="F49" s="5">
        <f t="shared" si="0"/>
        <v>1</v>
      </c>
      <c r="H49" t="s">
        <v>0</v>
      </c>
      <c r="I49" t="s">
        <v>8</v>
      </c>
      <c r="J49">
        <v>76140596</v>
      </c>
      <c r="K49">
        <f t="shared" si="1"/>
        <v>1</v>
      </c>
      <c r="L49" s="22">
        <v>1</v>
      </c>
      <c r="M49" s="22">
        <v>1</v>
      </c>
      <c r="N49" s="22">
        <v>1</v>
      </c>
      <c r="O49" s="5">
        <f t="shared" si="2"/>
        <v>1</v>
      </c>
    </row>
    <row r="50" spans="1:15" x14ac:dyDescent="0.35">
      <c r="A50" t="s">
        <v>0</v>
      </c>
      <c r="B50" t="s">
        <v>8</v>
      </c>
      <c r="C50">
        <v>76342543</v>
      </c>
      <c r="D50" s="22">
        <v>2</v>
      </c>
      <c r="E50" s="22">
        <v>3</v>
      </c>
      <c r="F50" s="5">
        <f t="shared" si="0"/>
        <v>0</v>
      </c>
      <c r="H50" t="s">
        <v>0</v>
      </c>
      <c r="I50" t="s">
        <v>8</v>
      </c>
      <c r="J50">
        <v>76342543</v>
      </c>
      <c r="K50">
        <f t="shared" si="1"/>
        <v>2.5</v>
      </c>
      <c r="L50" s="22">
        <v>2</v>
      </c>
      <c r="M50" s="22">
        <v>3</v>
      </c>
      <c r="N50" s="22">
        <v>1</v>
      </c>
      <c r="O50" s="5">
        <f t="shared" si="2"/>
        <v>0</v>
      </c>
    </row>
    <row r="51" spans="1:15" x14ac:dyDescent="0.35">
      <c r="A51" t="s">
        <v>0</v>
      </c>
      <c r="B51" t="s">
        <v>8</v>
      </c>
      <c r="C51">
        <v>76423289</v>
      </c>
      <c r="D51" s="22">
        <v>2</v>
      </c>
      <c r="E51" s="22">
        <v>2</v>
      </c>
      <c r="F51" s="5">
        <f t="shared" si="0"/>
        <v>1</v>
      </c>
      <c r="H51" t="s">
        <v>0</v>
      </c>
      <c r="I51" t="s">
        <v>8</v>
      </c>
      <c r="J51">
        <v>76423289</v>
      </c>
      <c r="K51">
        <f t="shared" si="1"/>
        <v>2</v>
      </c>
      <c r="L51" s="22">
        <v>2</v>
      </c>
      <c r="M51" s="22">
        <v>2</v>
      </c>
      <c r="N51" s="22">
        <v>1</v>
      </c>
      <c r="O51" s="5">
        <f t="shared" si="2"/>
        <v>1</v>
      </c>
    </row>
    <row r="52" spans="1:15" x14ac:dyDescent="0.35">
      <c r="A52" t="s">
        <v>9</v>
      </c>
      <c r="B52" t="s">
        <v>1</v>
      </c>
      <c r="C52">
        <v>47686479</v>
      </c>
      <c r="D52" s="22">
        <v>1</v>
      </c>
      <c r="E52" s="22">
        <v>1</v>
      </c>
      <c r="F52" s="5">
        <f t="shared" si="0"/>
        <v>1</v>
      </c>
      <c r="H52" t="s">
        <v>9</v>
      </c>
      <c r="I52" t="s">
        <v>1</v>
      </c>
      <c r="J52">
        <v>47686479</v>
      </c>
      <c r="K52">
        <f t="shared" si="1"/>
        <v>1</v>
      </c>
      <c r="L52" s="22">
        <v>1</v>
      </c>
      <c r="M52" s="22">
        <v>1</v>
      </c>
      <c r="N52" s="22">
        <v>1</v>
      </c>
      <c r="O52" s="5">
        <f t="shared" si="2"/>
        <v>1</v>
      </c>
    </row>
    <row r="53" spans="1:15" x14ac:dyDescent="0.35">
      <c r="A53" t="s">
        <v>9</v>
      </c>
      <c r="B53" t="s">
        <v>1</v>
      </c>
      <c r="C53">
        <v>70045551</v>
      </c>
      <c r="D53" s="22">
        <v>1</v>
      </c>
      <c r="E53" s="22">
        <v>2</v>
      </c>
      <c r="F53" s="5">
        <f t="shared" si="0"/>
        <v>0</v>
      </c>
      <c r="H53" t="s">
        <v>9</v>
      </c>
      <c r="I53" t="s">
        <v>1</v>
      </c>
      <c r="J53">
        <v>70045551</v>
      </c>
      <c r="K53">
        <f t="shared" si="1"/>
        <v>1.5</v>
      </c>
      <c r="L53" s="22">
        <v>1</v>
      </c>
      <c r="M53" s="22">
        <v>2</v>
      </c>
      <c r="N53" s="22">
        <v>1</v>
      </c>
      <c r="O53" s="5">
        <f t="shared" si="2"/>
        <v>0</v>
      </c>
    </row>
    <row r="54" spans="1:15" x14ac:dyDescent="0.35">
      <c r="A54" t="s">
        <v>9</v>
      </c>
      <c r="B54" t="s">
        <v>1</v>
      </c>
      <c r="C54">
        <v>70592518</v>
      </c>
      <c r="D54" s="22">
        <v>2</v>
      </c>
      <c r="E54" s="22">
        <v>1</v>
      </c>
      <c r="F54" s="5">
        <f t="shared" si="0"/>
        <v>0</v>
      </c>
      <c r="H54" t="s">
        <v>9</v>
      </c>
      <c r="I54" t="s">
        <v>1</v>
      </c>
      <c r="J54">
        <v>70592518</v>
      </c>
      <c r="K54">
        <f t="shared" si="1"/>
        <v>1.5</v>
      </c>
      <c r="L54" s="22">
        <v>2</v>
      </c>
      <c r="M54" s="22">
        <v>1</v>
      </c>
      <c r="N54" s="22">
        <v>1</v>
      </c>
      <c r="O54" s="5">
        <f t="shared" si="2"/>
        <v>0</v>
      </c>
    </row>
    <row r="55" spans="1:15" x14ac:dyDescent="0.35">
      <c r="A55" t="s">
        <v>9</v>
      </c>
      <c r="B55" t="s">
        <v>1</v>
      </c>
      <c r="C55">
        <v>71483297</v>
      </c>
      <c r="D55" s="22">
        <v>2</v>
      </c>
      <c r="E55" s="22">
        <v>2</v>
      </c>
      <c r="F55" s="5">
        <f t="shared" si="0"/>
        <v>1</v>
      </c>
      <c r="H55" t="s">
        <v>9</v>
      </c>
      <c r="I55" t="s">
        <v>1</v>
      </c>
      <c r="J55">
        <v>71483297</v>
      </c>
      <c r="K55">
        <f t="shared" si="1"/>
        <v>2</v>
      </c>
      <c r="L55" s="22">
        <v>2</v>
      </c>
      <c r="M55" s="22">
        <v>2</v>
      </c>
      <c r="N55" s="22">
        <v>1</v>
      </c>
      <c r="O55" s="5">
        <f t="shared" si="2"/>
        <v>1</v>
      </c>
    </row>
    <row r="56" spans="1:15" x14ac:dyDescent="0.35">
      <c r="A56" t="s">
        <v>9</v>
      </c>
      <c r="B56" t="s">
        <v>1</v>
      </c>
      <c r="C56">
        <v>73271590</v>
      </c>
      <c r="D56" s="22">
        <v>2</v>
      </c>
      <c r="E56" s="22">
        <v>2</v>
      </c>
      <c r="F56" s="5">
        <f t="shared" si="0"/>
        <v>1</v>
      </c>
      <c r="H56" t="s">
        <v>9</v>
      </c>
      <c r="I56" t="s">
        <v>1</v>
      </c>
      <c r="J56">
        <v>73271590</v>
      </c>
      <c r="K56">
        <f t="shared" si="1"/>
        <v>2</v>
      </c>
      <c r="L56" s="22">
        <v>2</v>
      </c>
      <c r="M56" s="22">
        <v>2</v>
      </c>
      <c r="N56" s="22">
        <v>1</v>
      </c>
      <c r="O56" s="5">
        <f t="shared" si="2"/>
        <v>1</v>
      </c>
    </row>
    <row r="57" spans="1:15" x14ac:dyDescent="0.35">
      <c r="A57" t="s">
        <v>9</v>
      </c>
      <c r="B57" t="s">
        <v>1</v>
      </c>
      <c r="C57">
        <v>77059376</v>
      </c>
      <c r="D57" s="22">
        <v>2</v>
      </c>
      <c r="E57" s="22">
        <v>2</v>
      </c>
      <c r="F57" s="5">
        <f t="shared" si="0"/>
        <v>1</v>
      </c>
      <c r="H57" t="s">
        <v>9</v>
      </c>
      <c r="I57" t="s">
        <v>1</v>
      </c>
      <c r="J57">
        <v>77059376</v>
      </c>
      <c r="K57">
        <f t="shared" si="1"/>
        <v>2</v>
      </c>
      <c r="L57" s="22">
        <v>2</v>
      </c>
      <c r="M57" s="22">
        <v>2</v>
      </c>
      <c r="N57" s="22">
        <v>1</v>
      </c>
      <c r="O57" s="5">
        <f t="shared" si="2"/>
        <v>1</v>
      </c>
    </row>
    <row r="58" spans="1:15" x14ac:dyDescent="0.35">
      <c r="A58" t="s">
        <v>9</v>
      </c>
      <c r="B58" t="s">
        <v>5</v>
      </c>
      <c r="C58">
        <v>70716100</v>
      </c>
      <c r="D58" s="22">
        <v>2</v>
      </c>
      <c r="E58" s="22">
        <v>2</v>
      </c>
      <c r="F58" s="5">
        <f t="shared" si="0"/>
        <v>1</v>
      </c>
      <c r="H58" t="s">
        <v>9</v>
      </c>
      <c r="I58" t="s">
        <v>5</v>
      </c>
      <c r="J58">
        <v>70716100</v>
      </c>
      <c r="K58">
        <f t="shared" si="1"/>
        <v>2</v>
      </c>
      <c r="L58" s="22">
        <v>2</v>
      </c>
      <c r="M58" s="22">
        <v>2</v>
      </c>
      <c r="N58" s="22">
        <v>1</v>
      </c>
      <c r="O58" s="5">
        <f t="shared" si="2"/>
        <v>1</v>
      </c>
    </row>
    <row r="59" spans="1:15" x14ac:dyDescent="0.35">
      <c r="A59" t="s">
        <v>9</v>
      </c>
      <c r="B59" t="s">
        <v>5</v>
      </c>
      <c r="C59">
        <v>72103374</v>
      </c>
      <c r="D59" s="22">
        <v>2</v>
      </c>
      <c r="E59" s="22">
        <v>2</v>
      </c>
      <c r="F59" s="5">
        <f t="shared" si="0"/>
        <v>1</v>
      </c>
      <c r="H59" t="s">
        <v>9</v>
      </c>
      <c r="I59" t="s">
        <v>5</v>
      </c>
      <c r="J59">
        <v>72103374</v>
      </c>
      <c r="K59">
        <f t="shared" si="1"/>
        <v>2</v>
      </c>
      <c r="L59" s="22">
        <v>2</v>
      </c>
      <c r="M59" s="22">
        <v>2</v>
      </c>
      <c r="N59" s="22">
        <v>1</v>
      </c>
      <c r="O59" s="5">
        <f t="shared" si="2"/>
        <v>1</v>
      </c>
    </row>
    <row r="60" spans="1:15" x14ac:dyDescent="0.35">
      <c r="A60" t="s">
        <v>9</v>
      </c>
      <c r="B60" t="s">
        <v>5</v>
      </c>
      <c r="C60">
        <v>77091191</v>
      </c>
      <c r="D60" s="22">
        <v>2</v>
      </c>
      <c r="E60" s="22">
        <v>2</v>
      </c>
      <c r="F60" s="5">
        <f t="shared" si="0"/>
        <v>1</v>
      </c>
      <c r="H60" t="s">
        <v>9</v>
      </c>
      <c r="I60" t="s">
        <v>5</v>
      </c>
      <c r="J60">
        <v>77091191</v>
      </c>
      <c r="K60">
        <f t="shared" si="1"/>
        <v>2</v>
      </c>
      <c r="L60" s="22">
        <v>2</v>
      </c>
      <c r="M60" s="22">
        <v>2</v>
      </c>
      <c r="N60" s="22">
        <v>1</v>
      </c>
      <c r="O60" s="5">
        <f t="shared" si="2"/>
        <v>1</v>
      </c>
    </row>
    <row r="61" spans="1:15" x14ac:dyDescent="0.35">
      <c r="A61" t="s">
        <v>9</v>
      </c>
      <c r="B61" t="s">
        <v>8</v>
      </c>
      <c r="C61">
        <v>42857028</v>
      </c>
      <c r="D61" s="22">
        <v>2</v>
      </c>
      <c r="E61" s="22">
        <v>2</v>
      </c>
      <c r="F61" s="5">
        <f t="shared" si="0"/>
        <v>1</v>
      </c>
      <c r="H61" t="s">
        <v>9</v>
      </c>
      <c r="I61" t="s">
        <v>8</v>
      </c>
      <c r="J61">
        <v>42857028</v>
      </c>
      <c r="K61">
        <f t="shared" si="1"/>
        <v>2</v>
      </c>
      <c r="L61" s="22">
        <v>2</v>
      </c>
      <c r="M61" s="22">
        <v>2</v>
      </c>
      <c r="N61" s="22">
        <v>1</v>
      </c>
      <c r="O61" s="5">
        <f t="shared" si="2"/>
        <v>1</v>
      </c>
    </row>
    <row r="62" spans="1:15" x14ac:dyDescent="0.35">
      <c r="A62" t="s">
        <v>9</v>
      </c>
      <c r="B62" t="s">
        <v>8</v>
      </c>
      <c r="C62">
        <v>60748611</v>
      </c>
      <c r="D62" s="22">
        <v>2</v>
      </c>
      <c r="E62" s="22">
        <v>2</v>
      </c>
      <c r="F62" s="5">
        <f t="shared" si="0"/>
        <v>1</v>
      </c>
      <c r="H62" t="s">
        <v>9</v>
      </c>
      <c r="I62" t="s">
        <v>8</v>
      </c>
      <c r="J62">
        <v>60748611</v>
      </c>
      <c r="K62">
        <f t="shared" si="1"/>
        <v>2</v>
      </c>
      <c r="L62" s="22">
        <v>2</v>
      </c>
      <c r="M62" s="22">
        <v>2</v>
      </c>
      <c r="N62" s="22">
        <v>1</v>
      </c>
      <c r="O62" s="5">
        <f t="shared" si="2"/>
        <v>1</v>
      </c>
    </row>
    <row r="63" spans="1:15" x14ac:dyDescent="0.35">
      <c r="A63" t="s">
        <v>9</v>
      </c>
      <c r="B63" t="s">
        <v>8</v>
      </c>
      <c r="C63">
        <v>60772425</v>
      </c>
      <c r="D63" s="22">
        <v>2</v>
      </c>
      <c r="E63" s="22">
        <v>2</v>
      </c>
      <c r="F63" s="5">
        <f t="shared" si="0"/>
        <v>1</v>
      </c>
      <c r="H63" t="s">
        <v>9</v>
      </c>
      <c r="I63" t="s">
        <v>8</v>
      </c>
      <c r="J63">
        <v>60772425</v>
      </c>
      <c r="K63">
        <f t="shared" si="1"/>
        <v>2</v>
      </c>
      <c r="L63" s="22">
        <v>2</v>
      </c>
      <c r="M63" s="22">
        <v>2</v>
      </c>
      <c r="N63" s="22">
        <v>1</v>
      </c>
      <c r="O63" s="5">
        <f t="shared" si="2"/>
        <v>1</v>
      </c>
    </row>
    <row r="64" spans="1:15" x14ac:dyDescent="0.35">
      <c r="A64" t="s">
        <v>9</v>
      </c>
      <c r="B64" t="s">
        <v>8</v>
      </c>
      <c r="C64">
        <v>72194117</v>
      </c>
      <c r="D64" s="22">
        <v>2</v>
      </c>
      <c r="E64" s="22">
        <v>2</v>
      </c>
      <c r="F64" s="5">
        <f t="shared" si="0"/>
        <v>1</v>
      </c>
      <c r="H64" t="s">
        <v>9</v>
      </c>
      <c r="I64" t="s">
        <v>8</v>
      </c>
      <c r="J64">
        <v>72194117</v>
      </c>
      <c r="K64">
        <f t="shared" si="1"/>
        <v>2</v>
      </c>
      <c r="L64" s="22">
        <v>2</v>
      </c>
      <c r="M64" s="22">
        <v>2</v>
      </c>
      <c r="N64" s="22">
        <v>1</v>
      </c>
      <c r="O64" s="5">
        <f t="shared" si="2"/>
        <v>1</v>
      </c>
    </row>
    <row r="65" spans="1:15" x14ac:dyDescent="0.35">
      <c r="A65" t="s">
        <v>9</v>
      </c>
      <c r="B65" t="s">
        <v>8</v>
      </c>
      <c r="C65">
        <v>73070855</v>
      </c>
      <c r="D65" s="22">
        <v>2</v>
      </c>
      <c r="E65" s="22">
        <v>2</v>
      </c>
      <c r="F65" s="5">
        <f t="shared" si="0"/>
        <v>1</v>
      </c>
      <c r="H65" t="s">
        <v>9</v>
      </c>
      <c r="I65" t="s">
        <v>8</v>
      </c>
      <c r="J65">
        <v>73070855</v>
      </c>
      <c r="K65">
        <f t="shared" si="1"/>
        <v>2</v>
      </c>
      <c r="L65" s="22">
        <v>2</v>
      </c>
      <c r="M65" s="22">
        <v>2</v>
      </c>
      <c r="N65" s="22">
        <v>1</v>
      </c>
      <c r="O65" s="5">
        <f t="shared" si="2"/>
        <v>1</v>
      </c>
    </row>
    <row r="66" spans="1:15" x14ac:dyDescent="0.35">
      <c r="A66" t="s">
        <v>9</v>
      </c>
      <c r="B66" t="s">
        <v>8</v>
      </c>
      <c r="C66">
        <v>73799548</v>
      </c>
      <c r="D66" s="22">
        <v>3</v>
      </c>
      <c r="E66" s="22">
        <v>1</v>
      </c>
      <c r="F66" s="5">
        <f t="shared" si="0"/>
        <v>0</v>
      </c>
      <c r="H66" t="s">
        <v>9</v>
      </c>
      <c r="I66" t="s">
        <v>8</v>
      </c>
      <c r="J66">
        <v>73799548</v>
      </c>
      <c r="K66">
        <f t="shared" si="1"/>
        <v>2</v>
      </c>
      <c r="L66" s="22">
        <v>3</v>
      </c>
      <c r="M66" s="22">
        <v>1</v>
      </c>
      <c r="N66" s="22">
        <v>1</v>
      </c>
      <c r="O66" s="5">
        <f t="shared" si="2"/>
        <v>0</v>
      </c>
    </row>
    <row r="67" spans="1:15" x14ac:dyDescent="0.35">
      <c r="A67" t="s">
        <v>9</v>
      </c>
      <c r="B67" t="s">
        <v>8</v>
      </c>
      <c r="C67">
        <v>74253781</v>
      </c>
      <c r="D67" s="22">
        <v>1</v>
      </c>
      <c r="E67" s="22">
        <v>3</v>
      </c>
      <c r="F67" s="5">
        <f t="shared" si="0"/>
        <v>0</v>
      </c>
      <c r="H67" t="s">
        <v>9</v>
      </c>
      <c r="I67" t="s">
        <v>8</v>
      </c>
      <c r="J67">
        <v>74253781</v>
      </c>
      <c r="K67">
        <f t="shared" si="1"/>
        <v>2</v>
      </c>
      <c r="L67" s="22">
        <v>1</v>
      </c>
      <c r="M67" s="22">
        <v>3</v>
      </c>
      <c r="N67" s="22">
        <v>1</v>
      </c>
      <c r="O67" s="5">
        <f t="shared" si="2"/>
        <v>0</v>
      </c>
    </row>
    <row r="68" spans="1:15" x14ac:dyDescent="0.35">
      <c r="A68" t="s">
        <v>9</v>
      </c>
      <c r="B68" t="s">
        <v>8</v>
      </c>
      <c r="C68">
        <v>76128653</v>
      </c>
      <c r="D68" s="22">
        <v>2</v>
      </c>
      <c r="E68" s="22">
        <v>2</v>
      </c>
      <c r="F68" s="5">
        <f t="shared" si="0"/>
        <v>1</v>
      </c>
      <c r="H68" t="s">
        <v>9</v>
      </c>
      <c r="I68" t="s">
        <v>8</v>
      </c>
      <c r="J68">
        <v>76128653</v>
      </c>
      <c r="K68">
        <f t="shared" si="1"/>
        <v>2</v>
      </c>
      <c r="L68" s="22">
        <v>2</v>
      </c>
      <c r="M68" s="22">
        <v>2</v>
      </c>
      <c r="N68" s="22">
        <v>1</v>
      </c>
      <c r="O68" s="5">
        <f t="shared" si="2"/>
        <v>1</v>
      </c>
    </row>
    <row r="69" spans="1:15" x14ac:dyDescent="0.35">
      <c r="A69" t="s">
        <v>9</v>
      </c>
      <c r="B69" t="s">
        <v>8</v>
      </c>
      <c r="C69">
        <v>76593832</v>
      </c>
      <c r="D69" s="22">
        <v>2</v>
      </c>
      <c r="E69" s="22">
        <v>2</v>
      </c>
      <c r="F69" s="5">
        <f t="shared" si="0"/>
        <v>1</v>
      </c>
      <c r="H69" t="s">
        <v>9</v>
      </c>
      <c r="I69" t="s">
        <v>8</v>
      </c>
      <c r="J69">
        <v>76593832</v>
      </c>
      <c r="K69">
        <f t="shared" si="1"/>
        <v>2</v>
      </c>
      <c r="L69" s="22">
        <v>2</v>
      </c>
      <c r="M69" s="22">
        <v>2</v>
      </c>
      <c r="N69" s="22">
        <v>1</v>
      </c>
      <c r="O69" s="5">
        <f t="shared" si="2"/>
        <v>1</v>
      </c>
    </row>
    <row r="70" spans="1:15" x14ac:dyDescent="0.35">
      <c r="A70" t="s">
        <v>9</v>
      </c>
      <c r="B70" t="s">
        <v>8</v>
      </c>
      <c r="C70">
        <v>77016605</v>
      </c>
      <c r="D70" s="22">
        <v>2</v>
      </c>
      <c r="E70" s="22">
        <v>2</v>
      </c>
      <c r="F70" s="5">
        <f t="shared" ref="F70:F83" si="3">IF(E70=D70,1,0)</f>
        <v>1</v>
      </c>
      <c r="H70" t="s">
        <v>9</v>
      </c>
      <c r="I70" t="s">
        <v>8</v>
      </c>
      <c r="J70">
        <v>77016605</v>
      </c>
      <c r="K70">
        <f t="shared" ref="K70:K83" si="4">AVERAGE(L70:M70)</f>
        <v>2</v>
      </c>
      <c r="L70" s="22">
        <v>2</v>
      </c>
      <c r="M70" s="22">
        <v>2</v>
      </c>
      <c r="N70" s="22">
        <v>1</v>
      </c>
      <c r="O70" s="5">
        <f t="shared" ref="O70:O83" si="5">IF(M70=L70,1,0)</f>
        <v>1</v>
      </c>
    </row>
    <row r="71" spans="1:15" x14ac:dyDescent="0.35">
      <c r="A71" t="s">
        <v>10</v>
      </c>
      <c r="B71" t="s">
        <v>1</v>
      </c>
      <c r="C71">
        <v>70509520</v>
      </c>
      <c r="D71" s="22">
        <v>2</v>
      </c>
      <c r="E71" s="22">
        <v>2</v>
      </c>
      <c r="F71" s="5">
        <f t="shared" si="3"/>
        <v>1</v>
      </c>
      <c r="H71" t="s">
        <v>10</v>
      </c>
      <c r="I71" t="s">
        <v>1</v>
      </c>
      <c r="J71">
        <v>70509520</v>
      </c>
      <c r="K71">
        <f t="shared" si="4"/>
        <v>2</v>
      </c>
      <c r="L71" s="22">
        <v>2</v>
      </c>
      <c r="M71" s="22">
        <v>2</v>
      </c>
      <c r="N71" s="22">
        <v>1</v>
      </c>
      <c r="O71" s="5">
        <f t="shared" si="5"/>
        <v>1</v>
      </c>
    </row>
    <row r="72" spans="1:15" x14ac:dyDescent="0.35">
      <c r="A72" t="s">
        <v>10</v>
      </c>
      <c r="B72" t="s">
        <v>1</v>
      </c>
      <c r="C72">
        <v>75067442</v>
      </c>
      <c r="D72" s="22">
        <v>2</v>
      </c>
      <c r="E72" s="22">
        <v>2</v>
      </c>
      <c r="F72" s="5">
        <f t="shared" si="3"/>
        <v>1</v>
      </c>
      <c r="H72" t="s">
        <v>10</v>
      </c>
      <c r="I72" t="s">
        <v>1</v>
      </c>
      <c r="J72">
        <v>75067442</v>
      </c>
      <c r="K72">
        <f t="shared" si="4"/>
        <v>2</v>
      </c>
      <c r="L72" s="22">
        <v>2</v>
      </c>
      <c r="M72" s="22">
        <v>2</v>
      </c>
      <c r="N72" s="22">
        <v>1</v>
      </c>
      <c r="O72" s="5">
        <f t="shared" si="5"/>
        <v>1</v>
      </c>
    </row>
    <row r="73" spans="1:15" x14ac:dyDescent="0.35">
      <c r="A73" t="s">
        <v>10</v>
      </c>
      <c r="B73" t="s">
        <v>1</v>
      </c>
      <c r="C73">
        <v>76470491</v>
      </c>
      <c r="D73" s="22">
        <v>1</v>
      </c>
      <c r="E73" s="22">
        <v>1</v>
      </c>
      <c r="F73" s="5">
        <f t="shared" si="3"/>
        <v>1</v>
      </c>
      <c r="H73" t="s">
        <v>10</v>
      </c>
      <c r="I73" t="s">
        <v>1</v>
      </c>
      <c r="J73">
        <v>76470491</v>
      </c>
      <c r="K73">
        <f t="shared" si="4"/>
        <v>1</v>
      </c>
      <c r="L73" s="22">
        <v>1</v>
      </c>
      <c r="M73" s="22">
        <v>1</v>
      </c>
      <c r="N73" s="22">
        <v>1</v>
      </c>
      <c r="O73" s="5">
        <f t="shared" si="5"/>
        <v>1</v>
      </c>
    </row>
    <row r="74" spans="1:15" x14ac:dyDescent="0.35">
      <c r="A74" t="s">
        <v>10</v>
      </c>
      <c r="B74" t="s">
        <v>5</v>
      </c>
      <c r="C74">
        <v>60962084</v>
      </c>
      <c r="D74" s="22">
        <v>2</v>
      </c>
      <c r="E74" s="22">
        <v>2</v>
      </c>
      <c r="F74" s="5">
        <f t="shared" si="3"/>
        <v>1</v>
      </c>
      <c r="H74" t="s">
        <v>10</v>
      </c>
      <c r="I74" t="s">
        <v>5</v>
      </c>
      <c r="J74">
        <v>60962084</v>
      </c>
      <c r="K74">
        <f t="shared" si="4"/>
        <v>2</v>
      </c>
      <c r="L74" s="22">
        <v>2</v>
      </c>
      <c r="M74" s="22">
        <v>2</v>
      </c>
      <c r="N74" s="22">
        <v>1</v>
      </c>
      <c r="O74" s="5">
        <f t="shared" si="5"/>
        <v>1</v>
      </c>
    </row>
    <row r="75" spans="1:15" x14ac:dyDescent="0.35">
      <c r="A75" t="s">
        <v>10</v>
      </c>
      <c r="B75" t="s">
        <v>5</v>
      </c>
      <c r="C75">
        <v>75233047</v>
      </c>
      <c r="D75" s="22">
        <v>2</v>
      </c>
      <c r="E75" s="22">
        <v>2</v>
      </c>
      <c r="F75" s="5">
        <f t="shared" si="3"/>
        <v>1</v>
      </c>
      <c r="H75" t="s">
        <v>10</v>
      </c>
      <c r="I75" t="s">
        <v>5</v>
      </c>
      <c r="J75">
        <v>75233047</v>
      </c>
      <c r="K75">
        <f t="shared" si="4"/>
        <v>2</v>
      </c>
      <c r="L75" s="22">
        <v>2</v>
      </c>
      <c r="M75" s="22">
        <v>2</v>
      </c>
      <c r="N75" s="22">
        <v>1</v>
      </c>
      <c r="O75" s="5">
        <f t="shared" si="5"/>
        <v>1</v>
      </c>
    </row>
    <row r="76" spans="1:15" x14ac:dyDescent="0.35">
      <c r="A76" t="s">
        <v>10</v>
      </c>
      <c r="B76" t="s">
        <v>5</v>
      </c>
      <c r="C76">
        <v>75861127</v>
      </c>
      <c r="D76" s="22">
        <v>2</v>
      </c>
      <c r="E76" s="22">
        <v>2</v>
      </c>
      <c r="F76" s="5">
        <f t="shared" si="3"/>
        <v>1</v>
      </c>
      <c r="H76" t="s">
        <v>10</v>
      </c>
      <c r="I76" t="s">
        <v>5</v>
      </c>
      <c r="J76">
        <v>75861127</v>
      </c>
      <c r="K76">
        <f t="shared" si="4"/>
        <v>2</v>
      </c>
      <c r="L76" s="22">
        <v>2</v>
      </c>
      <c r="M76" s="22">
        <v>2</v>
      </c>
      <c r="N76" s="22">
        <v>1</v>
      </c>
      <c r="O76" s="5">
        <f t="shared" si="5"/>
        <v>1</v>
      </c>
    </row>
    <row r="77" spans="1:15" x14ac:dyDescent="0.35">
      <c r="A77" t="s">
        <v>10</v>
      </c>
      <c r="B77" t="s">
        <v>7</v>
      </c>
      <c r="C77">
        <v>71400924</v>
      </c>
      <c r="D77" s="22">
        <v>1</v>
      </c>
      <c r="E77" s="22">
        <v>1</v>
      </c>
      <c r="F77" s="5">
        <f t="shared" si="3"/>
        <v>1</v>
      </c>
      <c r="H77" t="s">
        <v>10</v>
      </c>
      <c r="I77" t="s">
        <v>7</v>
      </c>
      <c r="J77">
        <v>71400924</v>
      </c>
      <c r="K77">
        <f t="shared" si="4"/>
        <v>1</v>
      </c>
      <c r="L77" s="22">
        <v>1</v>
      </c>
      <c r="M77" s="22">
        <v>1</v>
      </c>
      <c r="N77" s="22">
        <v>1</v>
      </c>
      <c r="O77" s="5">
        <f t="shared" si="5"/>
        <v>1</v>
      </c>
    </row>
    <row r="78" spans="1:15" x14ac:dyDescent="0.35">
      <c r="A78" t="s">
        <v>10</v>
      </c>
      <c r="B78" t="s">
        <v>7</v>
      </c>
      <c r="C78">
        <v>72704880</v>
      </c>
      <c r="D78" s="22">
        <v>3</v>
      </c>
      <c r="E78" s="22">
        <v>3</v>
      </c>
      <c r="F78" s="5">
        <f t="shared" si="3"/>
        <v>1</v>
      </c>
      <c r="H78" t="s">
        <v>10</v>
      </c>
      <c r="I78" t="s">
        <v>7</v>
      </c>
      <c r="J78">
        <v>72704880</v>
      </c>
      <c r="K78">
        <f t="shared" si="4"/>
        <v>3</v>
      </c>
      <c r="L78" s="22">
        <v>3</v>
      </c>
      <c r="M78" s="22">
        <v>3</v>
      </c>
      <c r="N78" s="22">
        <v>1</v>
      </c>
      <c r="O78" s="5">
        <f t="shared" si="5"/>
        <v>1</v>
      </c>
    </row>
    <row r="79" spans="1:15" x14ac:dyDescent="0.35">
      <c r="A79" t="s">
        <v>10</v>
      </c>
      <c r="B79" t="s">
        <v>7</v>
      </c>
      <c r="C79">
        <v>73578305</v>
      </c>
      <c r="D79" s="22">
        <v>1</v>
      </c>
      <c r="E79" s="22">
        <v>2</v>
      </c>
      <c r="F79" s="5">
        <f t="shared" si="3"/>
        <v>0</v>
      </c>
      <c r="H79" t="s">
        <v>10</v>
      </c>
      <c r="I79" t="s">
        <v>7</v>
      </c>
      <c r="J79">
        <v>73578305</v>
      </c>
      <c r="K79">
        <f t="shared" si="4"/>
        <v>1.5</v>
      </c>
      <c r="L79" s="22">
        <v>1</v>
      </c>
      <c r="M79" s="22">
        <v>2</v>
      </c>
      <c r="N79" s="22">
        <v>1</v>
      </c>
      <c r="O79" s="5">
        <f t="shared" si="5"/>
        <v>0</v>
      </c>
    </row>
    <row r="80" spans="1:15" x14ac:dyDescent="0.35">
      <c r="A80" t="s">
        <v>10</v>
      </c>
      <c r="B80" t="s">
        <v>8</v>
      </c>
      <c r="C80">
        <v>70727447</v>
      </c>
      <c r="D80" s="22">
        <v>2</v>
      </c>
      <c r="E80" s="22">
        <v>2</v>
      </c>
      <c r="F80" s="5">
        <f t="shared" si="3"/>
        <v>1</v>
      </c>
      <c r="H80" t="s">
        <v>10</v>
      </c>
      <c r="I80" t="s">
        <v>8</v>
      </c>
      <c r="J80">
        <v>70727447</v>
      </c>
      <c r="K80">
        <f t="shared" si="4"/>
        <v>2</v>
      </c>
      <c r="L80" s="22">
        <v>2</v>
      </c>
      <c r="M80" s="22">
        <v>2</v>
      </c>
      <c r="N80" s="22">
        <v>1</v>
      </c>
      <c r="O80" s="5">
        <f t="shared" si="5"/>
        <v>1</v>
      </c>
    </row>
    <row r="81" spans="1:15" x14ac:dyDescent="0.35">
      <c r="A81" t="s">
        <v>10</v>
      </c>
      <c r="B81" t="s">
        <v>8</v>
      </c>
      <c r="C81">
        <v>73145010</v>
      </c>
      <c r="D81" s="22">
        <v>2</v>
      </c>
      <c r="E81" s="22">
        <v>2</v>
      </c>
      <c r="F81" s="5">
        <f t="shared" si="3"/>
        <v>1</v>
      </c>
      <c r="H81" t="s">
        <v>10</v>
      </c>
      <c r="I81" t="s">
        <v>8</v>
      </c>
      <c r="J81">
        <v>73145010</v>
      </c>
      <c r="K81">
        <f t="shared" si="4"/>
        <v>2</v>
      </c>
      <c r="L81" s="22">
        <v>2</v>
      </c>
      <c r="M81" s="22">
        <v>2</v>
      </c>
      <c r="N81" s="22">
        <v>1</v>
      </c>
      <c r="O81" s="5">
        <f t="shared" si="5"/>
        <v>1</v>
      </c>
    </row>
    <row r="82" spans="1:15" x14ac:dyDescent="0.35">
      <c r="A82" t="s">
        <v>10</v>
      </c>
      <c r="B82" t="s">
        <v>8</v>
      </c>
      <c r="C82">
        <v>75147065</v>
      </c>
      <c r="D82" s="22">
        <v>2</v>
      </c>
      <c r="E82" s="22">
        <v>2</v>
      </c>
      <c r="F82" s="5">
        <f t="shared" si="3"/>
        <v>1</v>
      </c>
      <c r="H82" t="s">
        <v>10</v>
      </c>
      <c r="I82" t="s">
        <v>8</v>
      </c>
      <c r="J82">
        <v>75147065</v>
      </c>
      <c r="K82">
        <f t="shared" si="4"/>
        <v>2</v>
      </c>
      <c r="L82" s="22">
        <v>2</v>
      </c>
      <c r="M82" s="22">
        <v>2</v>
      </c>
      <c r="N82" s="22">
        <v>1</v>
      </c>
      <c r="O82" s="5">
        <f t="shared" si="5"/>
        <v>1</v>
      </c>
    </row>
    <row r="83" spans="1:15" x14ac:dyDescent="0.35">
      <c r="A83" t="s">
        <v>10</v>
      </c>
      <c r="B83" t="s">
        <v>8</v>
      </c>
      <c r="C83">
        <v>76139361</v>
      </c>
      <c r="D83" s="22">
        <v>2</v>
      </c>
      <c r="E83" s="22">
        <v>2</v>
      </c>
      <c r="F83" s="5">
        <f t="shared" si="3"/>
        <v>1</v>
      </c>
      <c r="H83" t="s">
        <v>10</v>
      </c>
      <c r="I83" t="s">
        <v>8</v>
      </c>
      <c r="J83">
        <v>76139361</v>
      </c>
      <c r="K83">
        <f t="shared" si="4"/>
        <v>2</v>
      </c>
      <c r="L83" s="22">
        <v>2</v>
      </c>
      <c r="M83" s="22">
        <v>2</v>
      </c>
      <c r="N83" s="22">
        <v>1</v>
      </c>
      <c r="O83" s="5">
        <f t="shared" si="5"/>
        <v>1</v>
      </c>
    </row>
    <row r="84" spans="1:15" x14ac:dyDescent="0.35">
      <c r="B84"/>
      <c r="C84"/>
      <c r="D84"/>
      <c r="E84"/>
    </row>
    <row r="85" spans="1:15" x14ac:dyDescent="0.35">
      <c r="B85"/>
      <c r="C85"/>
      <c r="D85"/>
      <c r="E85"/>
    </row>
    <row r="86" spans="1:15" x14ac:dyDescent="0.35">
      <c r="B86"/>
      <c r="C86"/>
      <c r="D86"/>
      <c r="E86"/>
    </row>
    <row r="87" spans="1:15" x14ac:dyDescent="0.35">
      <c r="B87"/>
      <c r="C87"/>
      <c r="D87"/>
      <c r="E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Consideraciones</vt:lpstr>
      <vt:lpstr>Resumen</vt:lpstr>
      <vt:lpstr>Hoja1</vt:lpstr>
      <vt:lpstr>Resumen Análisis</vt:lpstr>
      <vt:lpstr>BD</vt:lpstr>
      <vt:lpstr>BD Analisis x 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Paredes</cp:lastModifiedBy>
  <dcterms:created xsi:type="dcterms:W3CDTF">2026-07-10T22:16:50Z</dcterms:created>
  <dcterms:modified xsi:type="dcterms:W3CDTF">2026-07-14T14:05:18Z</dcterms:modified>
</cp:coreProperties>
</file>