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rcorpretail.sharepoint.com/sites/ProductividadPV-VV/Documentos compartidos/EP/01_Velocidad/"/>
    </mc:Choice>
  </mc:AlternateContent>
  <xr:revisionPtr revIDLastSave="0" documentId="8_{26683B22-B816-4EB9-A033-AB1D65B70FE8}" xr6:coauthVersionLast="47" xr6:coauthVersionMax="47" xr10:uidLastSave="{00000000-0000-0000-0000-000000000000}"/>
  <bookViews>
    <workbookView xWindow="-108" yWindow="-108" windowWidth="30936" windowHeight="16776" activeTab="1" xr2:uid="{92D13732-6A4C-45B8-9AD1-C33278118B30}"/>
  </bookViews>
  <sheets>
    <sheet name="Hoja3" sheetId="3" r:id="rId1"/>
    <sheet name="Hoja1" sheetId="1" r:id="rId2"/>
    <sheet name="Hoja2" sheetId="2" r:id="rId3"/>
  </sheets>
  <definedNames>
    <definedName name="_xlnm._FilterDatabase" localSheetId="1" hidden="1">Hoja1!$A$1:$D$112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7" i="1" l="1"/>
  <c r="U13" i="1"/>
  <c r="U11" i="1"/>
  <c r="U7" i="1"/>
  <c r="U3" i="1"/>
  <c r="F3" i="1"/>
  <c r="S4" i="1"/>
  <c r="S5" i="1"/>
  <c r="S6" i="1"/>
  <c r="S3" i="1"/>
  <c r="P11" i="1"/>
  <c r="P12" i="1"/>
  <c r="O11" i="1"/>
  <c r="O1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3" i="1"/>
  <c r="N11" i="1"/>
  <c r="R11" i="1" s="1"/>
  <c r="N12" i="1"/>
  <c r="R12" i="1" s="1"/>
  <c r="E107" i="1"/>
  <c r="E108" i="1"/>
  <c r="E109" i="1"/>
  <c r="E110" i="1"/>
  <c r="E111" i="1"/>
  <c r="E112" i="1"/>
  <c r="E106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82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7" i="1"/>
  <c r="E5" i="1"/>
  <c r="E4" i="1"/>
  <c r="E3" i="1"/>
  <c r="E2" i="1"/>
  <c r="E6" i="1"/>
  <c r="O4" i="1" l="1"/>
  <c r="O7" i="1"/>
  <c r="O6" i="1"/>
  <c r="P10" i="1"/>
  <c r="P13" i="1"/>
  <c r="O18" i="1"/>
  <c r="O16" i="1"/>
  <c r="O17" i="1"/>
  <c r="O5" i="1"/>
  <c r="O15" i="1"/>
  <c r="P3" i="1"/>
  <c r="P9" i="1"/>
  <c r="O14" i="1"/>
  <c r="P20" i="1"/>
  <c r="P8" i="1"/>
  <c r="O13" i="1"/>
  <c r="P19" i="1"/>
  <c r="P7" i="1"/>
  <c r="P18" i="1"/>
  <c r="P6" i="1"/>
  <c r="P17" i="1"/>
  <c r="P5" i="1"/>
  <c r="O10" i="1"/>
  <c r="P16" i="1"/>
  <c r="P4" i="1"/>
  <c r="O3" i="1"/>
  <c r="O9" i="1"/>
  <c r="P15" i="1"/>
  <c r="O20" i="1"/>
  <c r="O8" i="1"/>
  <c r="P14" i="1"/>
  <c r="O19" i="1"/>
  <c r="N19" i="1"/>
  <c r="R19" i="1" s="1"/>
  <c r="N18" i="1"/>
  <c r="R18" i="1" s="1"/>
  <c r="N7" i="1"/>
  <c r="N16" i="1"/>
  <c r="N4" i="1"/>
  <c r="R4" i="1" s="1"/>
  <c r="N15" i="1"/>
  <c r="Q16" i="1" s="1"/>
  <c r="N14" i="1"/>
  <c r="Q15" i="1" s="1"/>
  <c r="R15" i="1" s="1"/>
  <c r="N13" i="1"/>
  <c r="N17" i="1"/>
  <c r="N10" i="1"/>
  <c r="N3" i="1"/>
  <c r="N9" i="1"/>
  <c r="N20" i="1"/>
  <c r="R20" i="1" s="1"/>
  <c r="N8" i="1"/>
  <c r="N6" i="1"/>
  <c r="R6" i="1" s="1"/>
  <c r="N5" i="1"/>
  <c r="R5" i="1" s="1"/>
  <c r="S10" i="1" l="1"/>
  <c r="T10" i="1" s="1"/>
  <c r="U10" i="1" s="1"/>
  <c r="S7" i="1"/>
  <c r="T7" i="1" s="1"/>
  <c r="R7" i="1"/>
  <c r="S8" i="1"/>
  <c r="T8" i="1" s="1"/>
  <c r="U8" i="1" s="1"/>
  <c r="S9" i="1"/>
  <c r="T9" i="1" s="1"/>
  <c r="U9" i="1" s="1"/>
  <c r="T4" i="1"/>
  <c r="T5" i="1"/>
  <c r="T6" i="1"/>
  <c r="U6" i="1" s="1"/>
  <c r="T3" i="1"/>
  <c r="R3" i="1"/>
  <c r="S18" i="1"/>
  <c r="T18" i="1" s="1"/>
  <c r="R17" i="1"/>
  <c r="S19" i="1"/>
  <c r="T19" i="1" s="1"/>
  <c r="U19" i="1" s="1"/>
  <c r="S20" i="1"/>
  <c r="T20" i="1" s="1"/>
  <c r="U20" i="1" s="1"/>
  <c r="S17" i="1"/>
  <c r="T17" i="1" s="1"/>
  <c r="R16" i="1"/>
  <c r="S14" i="1"/>
  <c r="T14" i="1" s="1"/>
  <c r="U14" i="1" s="1"/>
  <c r="S15" i="1"/>
  <c r="T15" i="1" s="1"/>
  <c r="U15" i="1" s="1"/>
  <c r="S16" i="1"/>
  <c r="T16" i="1" s="1"/>
  <c r="U16" i="1" s="1"/>
  <c r="S13" i="1"/>
  <c r="R13" i="1"/>
  <c r="Q8" i="1"/>
  <c r="R8" i="1" s="1"/>
  <c r="Q9" i="1"/>
  <c r="R9" i="1" s="1"/>
  <c r="Q10" i="1"/>
  <c r="R10" i="1" s="1"/>
  <c r="Q14" i="1"/>
  <c r="R14" i="1" s="1"/>
  <c r="T13" i="1" l="1"/>
  <c r="S12" i="1"/>
  <c r="T12" i="1" s="1"/>
  <c r="U12" i="1" s="1"/>
  <c r="S11" i="1"/>
  <c r="T11" i="1" s="1"/>
  <c r="U5" i="1"/>
  <c r="F4" i="1" s="1"/>
  <c r="U4" i="1"/>
  <c r="F2" i="1" s="1"/>
  <c r="G2" i="1" s="1"/>
  <c r="F18" i="1"/>
  <c r="F16" i="1"/>
  <c r="F22" i="1"/>
  <c r="F15" i="1"/>
  <c r="F10" i="1"/>
  <c r="F13" i="1"/>
  <c r="F14" i="1"/>
  <c r="F21" i="1"/>
  <c r="F9" i="1"/>
  <c r="F24" i="1"/>
  <c r="F7" i="1"/>
  <c r="F11" i="1"/>
  <c r="F12" i="1"/>
  <c r="F20" i="1"/>
  <c r="F8" i="1"/>
  <c r="F17" i="1"/>
  <c r="F23" i="1"/>
  <c r="F19" i="1"/>
  <c r="F86" i="1"/>
  <c r="F85" i="1"/>
  <c r="F84" i="1"/>
  <c r="F82" i="1"/>
  <c r="F87" i="1"/>
  <c r="F83" i="1"/>
  <c r="U18" i="1"/>
  <c r="F6" i="1"/>
  <c r="G6" i="1" s="1"/>
  <c r="I6" i="1" s="1"/>
  <c r="F5" i="1"/>
  <c r="G5" i="1" s="1"/>
  <c r="F48" i="1"/>
  <c r="F59" i="1"/>
  <c r="F44" i="1"/>
  <c r="F50" i="1"/>
  <c r="F53" i="1"/>
  <c r="F54" i="1"/>
  <c r="F57" i="1"/>
  <c r="F47" i="1"/>
  <c r="F51" i="1"/>
  <c r="F46" i="1"/>
  <c r="F52" i="1"/>
  <c r="F43" i="1"/>
  <c r="F45" i="1"/>
  <c r="F58" i="1"/>
  <c r="F55" i="1"/>
  <c r="F49" i="1"/>
  <c r="F60" i="1"/>
  <c r="F56" i="1"/>
  <c r="F100" i="1"/>
  <c r="F104" i="1"/>
  <c r="F105" i="1"/>
  <c r="F101" i="1"/>
  <c r="F102" i="1"/>
  <c r="F103" i="1"/>
  <c r="F99" i="1"/>
  <c r="F96" i="1"/>
  <c r="F95" i="1"/>
  <c r="F97" i="1"/>
  <c r="F94" i="1"/>
  <c r="F98" i="1"/>
  <c r="F88" i="1"/>
  <c r="F93" i="1"/>
  <c r="F89" i="1"/>
  <c r="F92" i="1"/>
  <c r="F91" i="1"/>
  <c r="F90" i="1"/>
  <c r="F31" i="1"/>
  <c r="F32" i="1"/>
  <c r="F38" i="1"/>
  <c r="F37" i="1"/>
  <c r="F26" i="1"/>
  <c r="F25" i="1"/>
  <c r="F35" i="1"/>
  <c r="F36" i="1"/>
  <c r="F39" i="1"/>
  <c r="F40" i="1"/>
  <c r="F27" i="1"/>
  <c r="F34" i="1"/>
  <c r="F29" i="1"/>
  <c r="F28" i="1"/>
  <c r="F33" i="1"/>
  <c r="F30" i="1"/>
  <c r="F42" i="1"/>
  <c r="F41" i="1"/>
  <c r="F112" i="1"/>
  <c r="F111" i="1"/>
  <c r="F109" i="1"/>
  <c r="F110" i="1"/>
  <c r="F65" i="1"/>
  <c r="F75" i="1"/>
  <c r="F79" i="1"/>
  <c r="F72" i="1"/>
  <c r="F76" i="1"/>
  <c r="F63" i="1"/>
  <c r="F64" i="1"/>
  <c r="F77" i="1"/>
  <c r="F71" i="1"/>
  <c r="F69" i="1"/>
  <c r="F73" i="1"/>
  <c r="F66" i="1"/>
  <c r="F70" i="1"/>
  <c r="F78" i="1"/>
  <c r="F61" i="1"/>
  <c r="F68" i="1"/>
  <c r="F67" i="1"/>
  <c r="F62" i="1"/>
  <c r="F74" i="1"/>
  <c r="I5" i="1" l="1"/>
  <c r="G4" i="1"/>
  <c r="I4" i="1" s="1"/>
  <c r="I2" i="1"/>
  <c r="G3" i="1"/>
  <c r="I3" i="1" s="1"/>
  <c r="G46" i="1"/>
  <c r="I46" i="1" s="1"/>
  <c r="G44" i="1"/>
  <c r="I44" i="1" s="1"/>
  <c r="G64" i="1"/>
  <c r="I64" i="1" s="1"/>
  <c r="G65" i="1"/>
  <c r="I65" i="1" s="1"/>
  <c r="G32" i="1"/>
  <c r="I32" i="1" s="1"/>
  <c r="G39" i="1"/>
  <c r="I39" i="1" s="1"/>
  <c r="G99" i="1"/>
  <c r="I99" i="1" s="1"/>
  <c r="G51" i="1"/>
  <c r="I51" i="1" s="1"/>
  <c r="G52" i="1"/>
  <c r="I52" i="1" s="1"/>
  <c r="G88" i="1"/>
  <c r="I88" i="1" s="1"/>
  <c r="G16" i="1"/>
  <c r="I16" i="1" s="1"/>
  <c r="G15" i="1"/>
  <c r="I15" i="1" s="1"/>
  <c r="G12" i="1"/>
  <c r="I12" i="1" s="1"/>
  <c r="G17" i="1"/>
  <c r="I17" i="1" s="1"/>
  <c r="G24" i="1"/>
  <c r="I24" i="1" s="1"/>
  <c r="G21" i="1"/>
  <c r="I21" i="1" s="1"/>
  <c r="G63" i="1"/>
  <c r="I63" i="1" s="1"/>
  <c r="G47" i="1"/>
  <c r="I47" i="1" s="1"/>
  <c r="G36" i="1"/>
  <c r="I36" i="1" s="1"/>
  <c r="G8" i="1"/>
  <c r="I8" i="1" s="1"/>
  <c r="G10" i="1"/>
  <c r="I10" i="1" s="1"/>
  <c r="G67" i="1"/>
  <c r="I67" i="1" s="1"/>
  <c r="G29" i="1"/>
  <c r="I29" i="1" s="1"/>
  <c r="G93" i="1"/>
  <c r="I93" i="1" s="1"/>
  <c r="G54" i="1"/>
  <c r="I54" i="1" s="1"/>
  <c r="G22" i="1"/>
  <c r="I22" i="1" s="1"/>
  <c r="G18" i="1"/>
  <c r="I18" i="1" s="1"/>
  <c r="G20" i="1"/>
  <c r="I20" i="1" s="1"/>
  <c r="G69" i="1"/>
  <c r="I69" i="1" s="1"/>
  <c r="G35" i="1"/>
  <c r="I35" i="1" s="1"/>
  <c r="G70" i="1"/>
  <c r="I70" i="1" s="1"/>
  <c r="G98" i="1"/>
  <c r="I98" i="1" s="1"/>
  <c r="G79" i="1"/>
  <c r="I79" i="1" s="1"/>
  <c r="G50" i="1"/>
  <c r="I50" i="1" s="1"/>
  <c r="G68" i="1"/>
  <c r="I68" i="1" s="1"/>
  <c r="G94" i="1"/>
  <c r="I94" i="1" s="1"/>
  <c r="G75" i="1"/>
  <c r="I75" i="1" s="1"/>
  <c r="G91" i="1"/>
  <c r="I91" i="1" s="1"/>
  <c r="G53" i="1"/>
  <c r="I53" i="1" s="1"/>
  <c r="G83" i="1"/>
  <c r="I83" i="1" s="1"/>
  <c r="G85" i="1"/>
  <c r="I85" i="1" s="1"/>
  <c r="G13" i="1"/>
  <c r="I13" i="1" s="1"/>
  <c r="G97" i="1"/>
  <c r="I97" i="1" s="1"/>
  <c r="G30" i="1"/>
  <c r="I30" i="1" s="1"/>
  <c r="G60" i="1"/>
  <c r="G33" i="1"/>
  <c r="I33" i="1" s="1"/>
  <c r="G78" i="1"/>
  <c r="I78" i="1" s="1"/>
  <c r="G45" i="1"/>
  <c r="I45" i="1" s="1"/>
  <c r="G111" i="1"/>
  <c r="I111" i="1" s="1"/>
  <c r="G110" i="1"/>
  <c r="I110" i="1" s="1"/>
  <c r="G48" i="1"/>
  <c r="I48" i="1" s="1"/>
  <c r="G41" i="1"/>
  <c r="I41" i="1" s="1"/>
  <c r="G71" i="1"/>
  <c r="I71" i="1" s="1"/>
  <c r="G95" i="1"/>
  <c r="I95" i="1" s="1"/>
  <c r="G49" i="1"/>
  <c r="I49" i="1" s="1"/>
  <c r="G89" i="1"/>
  <c r="I89" i="1" s="1"/>
  <c r="G7" i="1"/>
  <c r="I7" i="1" s="1"/>
  <c r="G9" i="1"/>
  <c r="I9" i="1" s="1"/>
  <c r="G57" i="1"/>
  <c r="I57" i="1" s="1"/>
  <c r="G34" i="1"/>
  <c r="I34" i="1" s="1"/>
  <c r="G25" i="1"/>
  <c r="I25" i="1" s="1"/>
  <c r="G31" i="1"/>
  <c r="I31" i="1" s="1"/>
  <c r="G77" i="1"/>
  <c r="I77" i="1" s="1"/>
  <c r="G42" i="1"/>
  <c r="I42" i="1" s="1"/>
  <c r="G14" i="1"/>
  <c r="I14" i="1" s="1"/>
  <c r="G105" i="1"/>
  <c r="I105" i="1" s="1"/>
  <c r="G38" i="1"/>
  <c r="I38" i="1" s="1"/>
  <c r="G112" i="1"/>
  <c r="I112" i="1" s="1"/>
  <c r="G37" i="1"/>
  <c r="I37" i="1" s="1"/>
  <c r="G90" i="1"/>
  <c r="I90" i="1" s="1"/>
  <c r="G102" i="1"/>
  <c r="I102" i="1" s="1"/>
  <c r="G59" i="1"/>
  <c r="I59" i="1" s="1"/>
  <c r="G84" i="1"/>
  <c r="I84" i="1" s="1"/>
  <c r="G82" i="1"/>
  <c r="I82" i="1" s="1"/>
  <c r="G26" i="1"/>
  <c r="I26" i="1" s="1"/>
  <c r="G40" i="1"/>
  <c r="I40" i="1" s="1"/>
  <c r="G74" i="1"/>
  <c r="I74" i="1" s="1"/>
  <c r="G101" i="1"/>
  <c r="I101" i="1" s="1"/>
  <c r="G19" i="1"/>
  <c r="I19" i="1" s="1"/>
  <c r="G92" i="1"/>
  <c r="I92" i="1" s="1"/>
  <c r="G72" i="1"/>
  <c r="I72" i="1" s="1"/>
  <c r="G103" i="1"/>
  <c r="I103" i="1" s="1"/>
  <c r="G104" i="1"/>
  <c r="I104" i="1" s="1"/>
  <c r="G73" i="1"/>
  <c r="I73" i="1" s="1"/>
  <c r="G43" i="1"/>
  <c r="I43" i="1" s="1"/>
  <c r="G27" i="1"/>
  <c r="I27" i="1" s="1"/>
  <c r="G100" i="1"/>
  <c r="I100" i="1" s="1"/>
  <c r="G58" i="1"/>
  <c r="I58" i="1" s="1"/>
  <c r="G56" i="1"/>
  <c r="I56" i="1" s="1"/>
  <c r="G86" i="1"/>
  <c r="I86" i="1" s="1"/>
  <c r="G11" i="1"/>
  <c r="I11" i="1" s="1"/>
  <c r="G76" i="1"/>
  <c r="I76" i="1" s="1"/>
  <c r="G66" i="1"/>
  <c r="I66" i="1" s="1"/>
  <c r="G28" i="1"/>
  <c r="I28" i="1" s="1"/>
  <c r="G96" i="1"/>
  <c r="I96" i="1" s="1"/>
  <c r="G62" i="1"/>
  <c r="I62" i="1" s="1"/>
  <c r="G55" i="1"/>
  <c r="I55" i="1" s="1"/>
  <c r="G87" i="1"/>
  <c r="I87" i="1" s="1"/>
  <c r="G23" i="1"/>
  <c r="I23" i="1" s="1"/>
  <c r="F108" i="1"/>
  <c r="F106" i="1"/>
  <c r="F107" i="1"/>
  <c r="F80" i="1"/>
  <c r="F81" i="1"/>
  <c r="G61" i="1" l="1"/>
  <c r="I61" i="1" s="1"/>
  <c r="I60" i="1"/>
  <c r="G107" i="1"/>
  <c r="I107" i="1" s="1"/>
  <c r="G109" i="1"/>
  <c r="I109" i="1" s="1"/>
  <c r="G106" i="1"/>
  <c r="I106" i="1" s="1"/>
  <c r="G108" i="1"/>
  <c r="I108" i="1" s="1"/>
  <c r="G81" i="1"/>
  <c r="G80" i="1" l="1"/>
  <c r="I80" i="1" s="1"/>
  <c r="I81" i="1"/>
</calcChain>
</file>

<file path=xl/sharedStrings.xml><?xml version="1.0" encoding="utf-8"?>
<sst xmlns="http://schemas.openxmlformats.org/spreadsheetml/2006/main" count="525" uniqueCount="250">
  <si>
    <t>codigo_local</t>
  </si>
  <si>
    <t>Unid x Minuto 2</t>
  </si>
  <si>
    <t>Cusco Wanchaq-PVH</t>
  </si>
  <si>
    <t>San Miguel - PVH</t>
  </si>
  <si>
    <t>SJL Aventura - PVH</t>
  </si>
  <si>
    <t>SJB Ayacucho - PVH</t>
  </si>
  <si>
    <t>P001</t>
  </si>
  <si>
    <t>Los Olivos - PVH</t>
  </si>
  <si>
    <t>P010</t>
  </si>
  <si>
    <t>Caminos del Inca - PVS</t>
  </si>
  <si>
    <t>P037</t>
  </si>
  <si>
    <t>Jockey Plaza - PVH</t>
  </si>
  <si>
    <t>P048</t>
  </si>
  <si>
    <t>Higuereta - PVH</t>
  </si>
  <si>
    <t>P052</t>
  </si>
  <si>
    <t>Brasil - PVH</t>
  </si>
  <si>
    <t>P059</t>
  </si>
  <si>
    <t>Callao - PVH</t>
  </si>
  <si>
    <t>P061</t>
  </si>
  <si>
    <t>Cortijo - PVH</t>
  </si>
  <si>
    <t>P064</t>
  </si>
  <si>
    <t>Miraflores - PVH</t>
  </si>
  <si>
    <t>P066</t>
  </si>
  <si>
    <t>Ate - PVH</t>
  </si>
  <si>
    <t>P068</t>
  </si>
  <si>
    <t>Primavera - PVH</t>
  </si>
  <si>
    <t>P080</t>
  </si>
  <si>
    <t>Bolichera - PVH</t>
  </si>
  <si>
    <t>P081</t>
  </si>
  <si>
    <t>La Molina - PVH</t>
  </si>
  <si>
    <t>P084</t>
  </si>
  <si>
    <t>Comas - PVH</t>
  </si>
  <si>
    <t>P089</t>
  </si>
  <si>
    <t>Risso - PVH</t>
  </si>
  <si>
    <t>P096</t>
  </si>
  <si>
    <t>San Jorge - PVS</t>
  </si>
  <si>
    <t>P102</t>
  </si>
  <si>
    <t>Chiclayo - PVH</t>
  </si>
  <si>
    <t>P104</t>
  </si>
  <si>
    <t>Arequipa - PVH</t>
  </si>
  <si>
    <t>P105</t>
  </si>
  <si>
    <t>Salamanca - PVS</t>
  </si>
  <si>
    <t>P106</t>
  </si>
  <si>
    <t>Valle Hermoso - PVH</t>
  </si>
  <si>
    <t>P107</t>
  </si>
  <si>
    <t>Mercaderes - PVS</t>
  </si>
  <si>
    <t>P108</t>
  </si>
  <si>
    <t>Ayacucho - PVS</t>
  </si>
  <si>
    <t>P109</t>
  </si>
  <si>
    <t>Dasso - PVS</t>
  </si>
  <si>
    <t>P110</t>
  </si>
  <si>
    <t>Corpac - PVS</t>
  </si>
  <si>
    <t>P112</t>
  </si>
  <si>
    <t>Ceres - PVH</t>
  </si>
  <si>
    <t>P114</t>
  </si>
  <si>
    <t>Pro - PVH</t>
  </si>
  <si>
    <t>P115</t>
  </si>
  <si>
    <t>Huancayo - PVH</t>
  </si>
  <si>
    <t>P117</t>
  </si>
  <si>
    <t>Izaguirre - PVH</t>
  </si>
  <si>
    <t>P118</t>
  </si>
  <si>
    <t>Alfonso Ugarte - PVH</t>
  </si>
  <si>
    <t>P119</t>
  </si>
  <si>
    <t>Puente Piedra - PVH</t>
  </si>
  <si>
    <t>P120</t>
  </si>
  <si>
    <t>Universitaria - PVH</t>
  </si>
  <si>
    <t>P122</t>
  </si>
  <si>
    <t>Ica - PVH</t>
  </si>
  <si>
    <t>P123</t>
  </si>
  <si>
    <t>El Chacarero - PVH</t>
  </si>
  <si>
    <t>P125</t>
  </si>
  <si>
    <t>SJ Lurigancho - PVH</t>
  </si>
  <si>
    <t>P126</t>
  </si>
  <si>
    <t>Santa Clara - PVH</t>
  </si>
  <si>
    <t>P130</t>
  </si>
  <si>
    <t>Chimbote - PVH</t>
  </si>
  <si>
    <t>P132</t>
  </si>
  <si>
    <t>El Ejercito - PVS</t>
  </si>
  <si>
    <t>P133</t>
  </si>
  <si>
    <t>Guardia Civil - PVH</t>
  </si>
  <si>
    <t>P134</t>
  </si>
  <si>
    <t>Centro Civico - PVH</t>
  </si>
  <si>
    <t>P135</t>
  </si>
  <si>
    <t>Colonial - PVH</t>
  </si>
  <si>
    <t>P138</t>
  </si>
  <si>
    <t>Jiron de la Union - PVE</t>
  </si>
  <si>
    <t>P139</t>
  </si>
  <si>
    <t>Alameda Sur - PVS</t>
  </si>
  <si>
    <t>P141</t>
  </si>
  <si>
    <t>Chosica - PVH</t>
  </si>
  <si>
    <t>P142</t>
  </si>
  <si>
    <t>Chincha - PVH</t>
  </si>
  <si>
    <t>P143</t>
  </si>
  <si>
    <t>Nvo Chimbote - PVH</t>
  </si>
  <si>
    <t>P144</t>
  </si>
  <si>
    <t>Huacho - PVH</t>
  </si>
  <si>
    <t>P145</t>
  </si>
  <si>
    <t>Piura - PVH</t>
  </si>
  <si>
    <t>P146</t>
  </si>
  <si>
    <t>Tacna - PVH</t>
  </si>
  <si>
    <t>P147</t>
  </si>
  <si>
    <t>Juliaca - PVH</t>
  </si>
  <si>
    <t>P156</t>
  </si>
  <si>
    <t>El Tambo Huancayo - PVS</t>
  </si>
  <si>
    <t>P158</t>
  </si>
  <si>
    <t>Villa el Salvador - PVS</t>
  </si>
  <si>
    <t>P159</t>
  </si>
  <si>
    <t>Acho - PVH</t>
  </si>
  <si>
    <t>P172</t>
  </si>
  <si>
    <t>Puno - PVH</t>
  </si>
  <si>
    <t>P177</t>
  </si>
  <si>
    <t>Talara - PVH</t>
  </si>
  <si>
    <t>P180</t>
  </si>
  <si>
    <t>Centro Trujillo - PVE</t>
  </si>
  <si>
    <t>P181</t>
  </si>
  <si>
    <t>Supermercados SKA - PVE</t>
  </si>
  <si>
    <t>P191</t>
  </si>
  <si>
    <t>Cine Rimac - PVS</t>
  </si>
  <si>
    <t>P192</t>
  </si>
  <si>
    <t>Sullana - PVH</t>
  </si>
  <si>
    <t>P193</t>
  </si>
  <si>
    <t>Trujillo Mansiche - PVS</t>
  </si>
  <si>
    <t>P195</t>
  </si>
  <si>
    <t>San Borja - PVH</t>
  </si>
  <si>
    <t>P198</t>
  </si>
  <si>
    <t>Chorrillos Iglesias - PVS</t>
  </si>
  <si>
    <t>P199</t>
  </si>
  <si>
    <t>Grifo Kio - PVS</t>
  </si>
  <si>
    <t>P201</t>
  </si>
  <si>
    <t>Huaral - PVH</t>
  </si>
  <si>
    <t>P202</t>
  </si>
  <si>
    <t>LurIn - PVH</t>
  </si>
  <si>
    <t>P203</t>
  </si>
  <si>
    <t>Rimac Alcazar - PVH</t>
  </si>
  <si>
    <t>P206</t>
  </si>
  <si>
    <t>La Paz - PVS</t>
  </si>
  <si>
    <t>P207</t>
  </si>
  <si>
    <t>Villa Marina - PVS</t>
  </si>
  <si>
    <t>P208</t>
  </si>
  <si>
    <t>La Victoria PVS</t>
  </si>
  <si>
    <t>P215</t>
  </si>
  <si>
    <t>Magdalena - PVS</t>
  </si>
  <si>
    <t>P216</t>
  </si>
  <si>
    <t>Proceres - PVS</t>
  </si>
  <si>
    <t>P219</t>
  </si>
  <si>
    <t>La Perla - PVS</t>
  </si>
  <si>
    <t>P220</t>
  </si>
  <si>
    <t>Trujillo Valcarcel - PVS</t>
  </si>
  <si>
    <t>P221</t>
  </si>
  <si>
    <t>Barranca - PVH</t>
  </si>
  <si>
    <t>P223</t>
  </si>
  <si>
    <t>Cusco Mall - PVH</t>
  </si>
  <si>
    <t>P224</t>
  </si>
  <si>
    <t>Brena - PVH</t>
  </si>
  <si>
    <t>P225</t>
  </si>
  <si>
    <t>Cajamarca - PVH</t>
  </si>
  <si>
    <t>P226</t>
  </si>
  <si>
    <t>Paita - PVH</t>
  </si>
  <si>
    <t>P227</t>
  </si>
  <si>
    <t>San Isidro - PVH</t>
  </si>
  <si>
    <t>P229</t>
  </si>
  <si>
    <t>Salaverry - PVH</t>
  </si>
  <si>
    <t>P231</t>
  </si>
  <si>
    <t>Ventanilla - PVH</t>
  </si>
  <si>
    <t>P236</t>
  </si>
  <si>
    <t>Pisco - PVH</t>
  </si>
  <si>
    <t>P238</t>
  </si>
  <si>
    <t>Grifo Mexico - PVH</t>
  </si>
  <si>
    <t>P258</t>
  </si>
  <si>
    <t>Chaclacayo - PVS</t>
  </si>
  <si>
    <t>P259</t>
  </si>
  <si>
    <t>Moquegua - PVH</t>
  </si>
  <si>
    <t>P261</t>
  </si>
  <si>
    <t>El Agustino - PVH</t>
  </si>
  <si>
    <t>P262</t>
  </si>
  <si>
    <t>Talara Municipalidad - PVH</t>
  </si>
  <si>
    <t>P291</t>
  </si>
  <si>
    <t>La Curva - PVH</t>
  </si>
  <si>
    <t>P333</t>
  </si>
  <si>
    <t>Ves Placita - PVH</t>
  </si>
  <si>
    <t>P422</t>
  </si>
  <si>
    <t>Art Express - PVS</t>
  </si>
  <si>
    <t>P465</t>
  </si>
  <si>
    <t>Sucre - PVH</t>
  </si>
  <si>
    <t>P516</t>
  </si>
  <si>
    <t>Ilo - PVH</t>
  </si>
  <si>
    <t>P723</t>
  </si>
  <si>
    <t>Puruchuco - PVH</t>
  </si>
  <si>
    <t>P724</t>
  </si>
  <si>
    <t>Tumbes - PVH</t>
  </si>
  <si>
    <t>P769</t>
  </si>
  <si>
    <t>Chiclayo Aventura - PVH</t>
  </si>
  <si>
    <t>SO02</t>
  </si>
  <si>
    <t>Pucallpa - PVO</t>
  </si>
  <si>
    <t>SO03</t>
  </si>
  <si>
    <t>Huanuco - PVO</t>
  </si>
  <si>
    <t>SO04</t>
  </si>
  <si>
    <t>Jaen - PVO</t>
  </si>
  <si>
    <t>SO05</t>
  </si>
  <si>
    <t>Tarapoto - PVO</t>
  </si>
  <si>
    <t>SO06</t>
  </si>
  <si>
    <t>Tarapoto 2 - PVO</t>
  </si>
  <si>
    <t>V090</t>
  </si>
  <si>
    <t>Pezet - VIV</t>
  </si>
  <si>
    <t>V093</t>
  </si>
  <si>
    <t>Dos de Mayo - VIV</t>
  </si>
  <si>
    <t>V094</t>
  </si>
  <si>
    <t>Benavides - VIV</t>
  </si>
  <si>
    <t>V095</t>
  </si>
  <si>
    <t>Monterrico - VIV</t>
  </si>
  <si>
    <t>V116</t>
  </si>
  <si>
    <t>Javier Prado - VIV</t>
  </si>
  <si>
    <t>V140</t>
  </si>
  <si>
    <t>Libertadores - VIV</t>
  </si>
  <si>
    <t>V290</t>
  </si>
  <si>
    <t>Asia - VIV</t>
  </si>
  <si>
    <t>X209</t>
  </si>
  <si>
    <t>Bolognesi - PVE</t>
  </si>
  <si>
    <t>X210</t>
  </si>
  <si>
    <t>Santa Cruz - PVE</t>
  </si>
  <si>
    <t>Formato</t>
  </si>
  <si>
    <t>Tienda</t>
  </si>
  <si>
    <t>Otro</t>
  </si>
  <si>
    <t>Vivanda</t>
  </si>
  <si>
    <t>Hiper</t>
  </si>
  <si>
    <t>super</t>
  </si>
  <si>
    <t>Express</t>
  </si>
  <si>
    <t>Q1</t>
  </si>
  <si>
    <t>Q2</t>
  </si>
  <si>
    <t>Q3</t>
  </si>
  <si>
    <t>Q4</t>
  </si>
  <si>
    <t>Cuartil</t>
  </si>
  <si>
    <t>llave</t>
  </si>
  <si>
    <t>Valor Prom</t>
  </si>
  <si>
    <t>Valor Min</t>
  </si>
  <si>
    <t>Valor Max</t>
  </si>
  <si>
    <t>llegar al siguiente cuartil</t>
  </si>
  <si>
    <t>llegar al q4</t>
  </si>
  <si>
    <t>brecha</t>
  </si>
  <si>
    <t>q4</t>
  </si>
  <si>
    <t>q siguiente</t>
  </si>
  <si>
    <t>crec</t>
  </si>
  <si>
    <t>MetaCrecimiento</t>
  </si>
  <si>
    <t>Meta2026</t>
  </si>
  <si>
    <t>Cump</t>
  </si>
  <si>
    <t>Etiquetas de fila</t>
  </si>
  <si>
    <t>Total general</t>
  </si>
  <si>
    <t>Suma de Campo1</t>
  </si>
  <si>
    <t>Meta2026*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</si>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</sst>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0.0"/>
    <numFmt numFmtId="166" formatCode="_-* #,##0.0_-;\-* #,##0.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43" fontId="0" fillId="0" borderId="0" xfId="1" applyFont="1"/>
    <xf numFmtId="2" fontId="0" fillId="0" borderId="0" xfId="1" applyNumberFormat="1" applyFont="1" applyAlignment="1">
      <alignment horizontal="center" vertical="center"/>
    </xf>
    <xf numFmtId="43" fontId="0" fillId="0" borderId="0" xfId="0" applyNumberFormat="1"/>
    <xf numFmtId="9" fontId="0" fillId="0" borderId="0" xfId="2" applyFont="1"/>
    <xf numFmtId="164" fontId="0" fillId="0" borderId="0" xfId="2" applyNumberFormat="1" applyFont="1"/>
    <xf numFmtId="0" fontId="0" fillId="0" borderId="1" xfId="0" applyBorder="1"/>
    <xf numFmtId="0" fontId="0" fillId="0" borderId="2" xfId="0" applyBorder="1"/>
    <xf numFmtId="43" fontId="0" fillId="0" borderId="2" xfId="1" applyFont="1" applyBorder="1"/>
    <xf numFmtId="0" fontId="0" fillId="0" borderId="3" xfId="0" applyBorder="1"/>
    <xf numFmtId="43" fontId="0" fillId="0" borderId="0" xfId="1" applyFont="1" applyBorder="1"/>
    <xf numFmtId="9" fontId="0" fillId="0" borderId="4" xfId="2" applyFont="1" applyBorder="1"/>
    <xf numFmtId="0" fontId="0" fillId="0" borderId="5" xfId="0" applyBorder="1"/>
    <xf numFmtId="0" fontId="0" fillId="0" borderId="6" xfId="0" applyBorder="1"/>
    <xf numFmtId="43" fontId="0" fillId="0" borderId="6" xfId="1" applyFont="1" applyBorder="1"/>
    <xf numFmtId="165" fontId="0" fillId="0" borderId="0" xfId="0" applyNumberFormat="1"/>
    <xf numFmtId="1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5" fontId="0" fillId="2" borderId="0" xfId="0" applyNumberFormat="1" applyFill="1"/>
    <xf numFmtId="0" fontId="0" fillId="0" borderId="0" xfId="0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19.764109374999" createdVersion="8" refreshedVersion="8" minRefreshableVersion="3" recordCount="111" xr:uid="{5340BF1F-47C4-49E1-B268-D323496E13D2}">
  <cacheSource type="worksheet">
    <worksheetSource ref="A1:H112" sheet="Hoja1"/>
  </cacheSource>
  <cacheFields count="8">
    <cacheField name="codigo_local" numFmtId="0">
      <sharedItems containsMixedTypes="1" containsNumber="1" containsInteger="1" minValue="1198" maxValue="2638"/>
    </cacheField>
    <cacheField name="Formato" numFmtId="0">
      <sharedItems count="5">
        <s v="Express"/>
        <s v="Hiper"/>
        <s v="Otro"/>
        <s v="super"/>
        <s v="Vivanda"/>
      </sharedItems>
    </cacheField>
    <cacheField name="Tienda" numFmtId="0">
      <sharedItems/>
    </cacheField>
    <cacheField name="Unid x Minuto 2" numFmtId="2">
      <sharedItems containsSemiMixedTypes="0" containsString="0" containsNumber="1" minValue="7.8680897046366001" maxValue="14.3175232831379"/>
    </cacheField>
    <cacheField name="Cuartil" numFmtId="0">
      <sharedItems count="4">
        <s v="Q4"/>
        <s v="Q3"/>
        <s v="Q2"/>
        <s v="Q1"/>
      </sharedItems>
    </cacheField>
    <cacheField name="Meta2026" numFmtId="165">
      <sharedItems containsSemiMixedTypes="0" containsString="0" containsNumber="1" minValue="9" maxValue="15.5"/>
    </cacheField>
    <cacheField name="Jul-26" numFmtId="0">
      <sharedItems containsSemiMixedTypes="0" containsString="0" containsNumber="1" minValue="8.7119832565948805" maxValue="18.107716157634002"/>
    </cacheField>
    <cacheField name="Campo1" numFmtId="0" formula="'Jul-26'/Meta2026 -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s v="P181"/>
    <x v="0"/>
    <s v="Supermercados SKA - PVE"/>
    <n v="12.891808891536099"/>
    <x v="0"/>
    <n v="13.5"/>
    <n v="15.1547619047619"/>
  </r>
  <r>
    <s v="X209"/>
    <x v="0"/>
    <s v="Bolognesi - PVE"/>
    <n v="12.5966344140452"/>
    <x v="1"/>
    <n v="13"/>
    <n v="12.016696397787401"/>
  </r>
  <r>
    <s v="P180"/>
    <x v="0"/>
    <s v="Centro Trujillo - PVE"/>
    <n v="12.3744943698209"/>
    <x v="2"/>
    <n v="13"/>
    <n v="14.238952190767"/>
  </r>
  <r>
    <s v="P138"/>
    <x v="0"/>
    <s v="Jiron de la Union - PVE"/>
    <n v="11.008519286824599"/>
    <x v="3"/>
    <n v="13.5"/>
    <n v="12.9611818523196"/>
  </r>
  <r>
    <s v="X210"/>
    <x v="0"/>
    <s v="Santa Cruz - PVE"/>
    <n v="9.6264585883304292"/>
    <x v="3"/>
    <n v="11.5"/>
    <n v="12.1020790985561"/>
  </r>
  <r>
    <s v="P172"/>
    <x v="1"/>
    <s v="Puno - PVH"/>
    <n v="14.3175232831379"/>
    <x v="0"/>
    <n v="15.5"/>
    <n v="16.5526481948331"/>
  </r>
  <r>
    <s v="P147"/>
    <x v="1"/>
    <s v="Juliaca - PVH"/>
    <n v="13.9949313125665"/>
    <x v="0"/>
    <n v="15"/>
    <n v="14.393396493627501"/>
  </r>
  <r>
    <s v="SO04"/>
    <x v="1"/>
    <s v="Jaen - PVO"/>
    <n v="13.9118467247991"/>
    <x v="0"/>
    <n v="15"/>
    <n v="15.005455044282799"/>
  </r>
  <r>
    <s v="P192"/>
    <x v="1"/>
    <s v="Sullana - PVH"/>
    <n v="13.774369575100801"/>
    <x v="0"/>
    <n v="15"/>
    <n v="13.3364622317963"/>
  </r>
  <r>
    <s v="P236"/>
    <x v="1"/>
    <s v="Pisco - PVH"/>
    <n v="13.047357551717299"/>
    <x v="0"/>
    <n v="14"/>
    <n v="14.9343421891832"/>
  </r>
  <r>
    <s v="P259"/>
    <x v="1"/>
    <s v="Moquegua - PVH"/>
    <n v="12.8932562465508"/>
    <x v="0"/>
    <n v="14"/>
    <n v="13.7683970419577"/>
  </r>
  <r>
    <s v="P238"/>
    <x v="1"/>
    <s v="Grifo Mexico - PVH"/>
    <n v="12.8474368888619"/>
    <x v="0"/>
    <n v="14"/>
    <n v="16.310374730480401"/>
  </r>
  <r>
    <s v="P221"/>
    <x v="1"/>
    <s v="Barranca - PVH"/>
    <n v="12.7406669577542"/>
    <x v="0"/>
    <n v="13.5"/>
    <n v="13.801333546674099"/>
  </r>
  <r>
    <s v="P225"/>
    <x v="1"/>
    <s v="Cajamarca - PVH"/>
    <n v="12.7401131273299"/>
    <x v="0"/>
    <n v="13.5"/>
    <n v="15.2423687741218"/>
  </r>
  <r>
    <s v="P159"/>
    <x v="1"/>
    <s v="Acho - PVH"/>
    <n v="12.698497735573101"/>
    <x v="0"/>
    <n v="13.5"/>
    <n v="14.341935951924601"/>
  </r>
  <r>
    <s v="P115"/>
    <x v="1"/>
    <s v="Huancayo - PVH"/>
    <n v="12.6509223786547"/>
    <x v="0"/>
    <n v="13.5"/>
    <n v="12.4202230156938"/>
  </r>
  <r>
    <s v="P516"/>
    <x v="1"/>
    <s v="Ilo - PVH"/>
    <n v="12.5744588307225"/>
    <x v="0"/>
    <n v="13.5"/>
    <n v="13.011434749022399"/>
  </r>
  <r>
    <s v="P261"/>
    <x v="1"/>
    <s v="El Agustino - PVH"/>
    <n v="12.4898340894221"/>
    <x v="0"/>
    <n v="13.5"/>
    <n v="15.2350189356188"/>
  </r>
  <r>
    <s v="P142"/>
    <x v="1"/>
    <s v="Chincha - PVH"/>
    <n v="12.392118226810799"/>
    <x v="0"/>
    <n v="13.5"/>
    <n v="15.234053917430799"/>
  </r>
  <r>
    <n v="1198"/>
    <x v="1"/>
    <s v="Cusco Wanchaq-PVH"/>
    <n v="12.2694382335818"/>
    <x v="0"/>
    <n v="13"/>
    <n v="15.334581329168399"/>
  </r>
  <r>
    <n v="1593"/>
    <x v="1"/>
    <s v="SJL Aventura - PVH"/>
    <n v="12.2618070234677"/>
    <x v="0"/>
    <n v="13"/>
    <n v="14.5581490469164"/>
  </r>
  <r>
    <s v="P123"/>
    <x v="1"/>
    <s v="El Chacarero - PVH"/>
    <n v="11.896284637131901"/>
    <x v="0"/>
    <n v="13"/>
    <n v="12.737633379829701"/>
  </r>
  <r>
    <s v="P724"/>
    <x v="1"/>
    <s v="Tumbes - PVH"/>
    <n v="11.888075718871001"/>
    <x v="0"/>
    <n v="13"/>
    <n v="13.3987526458248"/>
  </r>
  <r>
    <s v="P146"/>
    <x v="1"/>
    <s v="Tacna - PVH"/>
    <n v="11.883662920842101"/>
    <x v="1"/>
    <n v="13.5"/>
    <n v="12.4997637779208"/>
  </r>
  <r>
    <s v="P262"/>
    <x v="1"/>
    <s v="Talara Municipalidad - PVH"/>
    <n v="11.721871797477601"/>
    <x v="1"/>
    <n v="13.5"/>
    <n v="13.7079785535191"/>
  </r>
  <r>
    <s v="P001"/>
    <x v="1"/>
    <s v="Los Olivos - PVH"/>
    <n v="11.5958440802687"/>
    <x v="1"/>
    <n v="13"/>
    <n v="12.8484195846028"/>
  </r>
  <r>
    <s v="P145"/>
    <x v="1"/>
    <s v="Piura - PVH"/>
    <n v="11.482755015607299"/>
    <x v="1"/>
    <n v="13"/>
    <n v="14.2240163034958"/>
  </r>
  <r>
    <s v="P226"/>
    <x v="1"/>
    <s v="Paita - PVH"/>
    <n v="11.3485999205577"/>
    <x v="1"/>
    <n v="13"/>
    <n v="13.897573762188101"/>
  </r>
  <r>
    <s v="P130"/>
    <x v="1"/>
    <s v="Chimbote - PVH"/>
    <n v="11.3285660686005"/>
    <x v="1"/>
    <n v="13"/>
    <n v="11.692946601732499"/>
  </r>
  <r>
    <s v="P769"/>
    <x v="1"/>
    <s v="Chiclayo Aventura - PVH"/>
    <n v="11.307690184717201"/>
    <x v="1"/>
    <n v="13"/>
    <n v="12.055029148304101"/>
  </r>
  <r>
    <s v="P112"/>
    <x v="1"/>
    <s v="Ceres - PVH"/>
    <n v="11.2978957577555"/>
    <x v="1"/>
    <n v="13"/>
    <n v="14.3673701642953"/>
  </r>
  <r>
    <n v="1199"/>
    <x v="1"/>
    <s v="San Miguel - PVH"/>
    <n v="11.2913687901695"/>
    <x v="1"/>
    <n v="13"/>
    <n v="11.6969679865472"/>
  </r>
  <r>
    <s v="P134"/>
    <x v="1"/>
    <s v="Centro Civico - PVH"/>
    <n v="11.2742156639417"/>
    <x v="1"/>
    <n v="13"/>
    <n v="11.8254519990593"/>
  </r>
  <r>
    <s v="P223"/>
    <x v="1"/>
    <s v="Cusco Mall - PVH"/>
    <n v="11.269711075024199"/>
    <x v="1"/>
    <n v="13"/>
    <n v="12.3203892071258"/>
  </r>
  <r>
    <s v="P066"/>
    <x v="1"/>
    <s v="Ate - PVH"/>
    <n v="11.1664503576696"/>
    <x v="1"/>
    <n v="12.5"/>
    <n v="11.817497986287201"/>
  </r>
  <r>
    <s v="P135"/>
    <x v="1"/>
    <s v="Colonial - PVH"/>
    <n v="11.115841298001801"/>
    <x v="1"/>
    <n v="12.5"/>
    <n v="12.7692166974798"/>
  </r>
  <r>
    <s v="P203"/>
    <x v="1"/>
    <s v="Rimac Alcazar - PVH"/>
    <n v="11.0966693377304"/>
    <x v="1"/>
    <n v="12.5"/>
    <n v="13.4577305571142"/>
  </r>
  <r>
    <s v="P143"/>
    <x v="1"/>
    <s v="Nvo Chimbote - PVH"/>
    <n v="10.945386229867101"/>
    <x v="1"/>
    <n v="12.5"/>
    <n v="11.428952383044299"/>
  </r>
  <r>
    <s v="P465"/>
    <x v="1"/>
    <s v="Sucre - PVH"/>
    <n v="10.8710615164544"/>
    <x v="1"/>
    <n v="12.5"/>
    <n v="11.543086943275201"/>
  </r>
  <r>
    <s v="P141"/>
    <x v="1"/>
    <s v="Chosica - PVH"/>
    <n v="10.822857485835801"/>
    <x v="1"/>
    <n v="12.5"/>
    <n v="12.277408655524599"/>
  </r>
  <r>
    <s v="P064"/>
    <x v="1"/>
    <s v="Miraflores - PVH"/>
    <n v="10.6635348037093"/>
    <x v="1"/>
    <n v="12"/>
    <n v="11.308542233646399"/>
  </r>
  <r>
    <s v="P114"/>
    <x v="1"/>
    <s v="Pro - PVH"/>
    <n v="10.640368007360699"/>
    <x v="2"/>
    <n v="13"/>
    <n v="12.260089494163401"/>
  </r>
  <r>
    <s v="P037"/>
    <x v="1"/>
    <s v="Jockey Plaza - PVH"/>
    <n v="10.5785718306948"/>
    <x v="2"/>
    <n v="12.5"/>
    <n v="11.419083053767499"/>
  </r>
  <r>
    <s v="P333"/>
    <x v="1"/>
    <s v="Ves Placita - PVH"/>
    <n v="10.5667983871329"/>
    <x v="2"/>
    <n v="12.5"/>
    <n v="11.733610198604801"/>
  </r>
  <r>
    <s v="P119"/>
    <x v="1"/>
    <s v="Puente Piedra - PVH"/>
    <n v="10.5601954492045"/>
    <x v="2"/>
    <n v="12.5"/>
    <n v="11.650875317293799"/>
  </r>
  <r>
    <s v="SO05"/>
    <x v="1"/>
    <s v="Tarapoto - PVO"/>
    <n v="10.545497560847"/>
    <x v="2"/>
    <n v="12.5"/>
    <n v="13.186410982672699"/>
  </r>
  <r>
    <s v="P144"/>
    <x v="1"/>
    <s v="Huacho - PVH"/>
    <n v="10.5182330806864"/>
    <x v="2"/>
    <n v="12.5"/>
    <n v="12.9464780174164"/>
  </r>
  <r>
    <s v="P120"/>
    <x v="1"/>
    <s v="Universitaria - PVH"/>
    <n v="10.49830899847"/>
    <x v="2"/>
    <n v="12.5"/>
    <n v="12.7883864993166"/>
  </r>
  <r>
    <s v="P125"/>
    <x v="1"/>
    <s v="SJ Lurigancho - PVH"/>
    <n v="10.4822209278428"/>
    <x v="2"/>
    <n v="12.5"/>
    <n v="14.1713203161374"/>
  </r>
  <r>
    <s v="P177"/>
    <x v="1"/>
    <s v="Talara - PVH"/>
    <n v="10.4755248653378"/>
    <x v="2"/>
    <n v="12.5"/>
    <n v="10.962879750608501"/>
  </r>
  <r>
    <s v="P291"/>
    <x v="1"/>
    <s v="La Curva - PVH"/>
    <n v="10.471396348979299"/>
    <x v="2"/>
    <n v="12.5"/>
    <n v="11.5901444644146"/>
  </r>
  <r>
    <s v="P224"/>
    <x v="1"/>
    <s v="Brena - PVH"/>
    <n v="10.358677333481401"/>
    <x v="2"/>
    <n v="12.5"/>
    <n v="13.2595516371005"/>
  </r>
  <r>
    <s v="SO03"/>
    <x v="1"/>
    <s v="Huanuco - PVO"/>
    <n v="10.327208830406599"/>
    <x v="2"/>
    <n v="12.5"/>
    <n v="13.141910513181401"/>
  </r>
  <r>
    <s v="P102"/>
    <x v="1"/>
    <s v="Chiclayo - PVH"/>
    <n v="10.275410094768199"/>
    <x v="2"/>
    <n v="12.5"/>
    <n v="13.0002242356548"/>
  </r>
  <r>
    <s v="P061"/>
    <x v="1"/>
    <s v="Cortijo - PVH"/>
    <n v="10.2217220174781"/>
    <x v="2"/>
    <n v="12.5"/>
    <n v="11.149654281214501"/>
  </r>
  <r>
    <s v="P052"/>
    <x v="1"/>
    <s v="Brasil - PVH"/>
    <n v="10.214713574583399"/>
    <x v="2"/>
    <n v="12.5"/>
    <n v="12.150757867966499"/>
  </r>
  <r>
    <s v="P133"/>
    <x v="1"/>
    <s v="Guardia Civil - PVH"/>
    <n v="10.2049884598849"/>
    <x v="2"/>
    <n v="12.5"/>
    <n v="11.211642799215699"/>
  </r>
  <r>
    <s v="P201"/>
    <x v="1"/>
    <s v="Huaral - PVH"/>
    <n v="10.1542014791229"/>
    <x v="2"/>
    <n v="12"/>
    <n v="13.8053100844983"/>
  </r>
  <r>
    <s v="P229"/>
    <x v="1"/>
    <s v="Salaverry - PVH"/>
    <n v="10.1040363635347"/>
    <x v="2"/>
    <n v="12"/>
    <n v="12.950028969941901"/>
  </r>
  <r>
    <s v="P231"/>
    <x v="1"/>
    <s v="Ventanilla - PVH"/>
    <n v="10.0952169621688"/>
    <x v="3"/>
    <n v="13"/>
    <n v="12.992659422542401"/>
  </r>
  <r>
    <s v="P122"/>
    <x v="1"/>
    <s v="Ica - PVH"/>
    <n v="10.0724354056099"/>
    <x v="3"/>
    <n v="12.5"/>
    <n v="11.290451581482101"/>
  </r>
  <r>
    <s v="P106"/>
    <x v="1"/>
    <s v="Valle Hermoso - PVH"/>
    <n v="10.0658446429074"/>
    <x v="3"/>
    <n v="12.5"/>
    <n v="11.9082383723646"/>
  </r>
  <r>
    <s v="P059"/>
    <x v="1"/>
    <s v="Callao - PVH"/>
    <n v="10.0605649957496"/>
    <x v="3"/>
    <n v="12.5"/>
    <n v="12.4449387832634"/>
  </r>
  <r>
    <s v="P723"/>
    <x v="1"/>
    <s v="Puruchuco - PVH"/>
    <n v="10.0600463434179"/>
    <x v="3"/>
    <n v="12.5"/>
    <n v="13.1139542281767"/>
  </r>
  <r>
    <s v="P126"/>
    <x v="1"/>
    <s v="Santa Clara - PVH"/>
    <n v="10.045723372884201"/>
    <x v="3"/>
    <n v="12.5"/>
    <n v="12.1119420146783"/>
  </r>
  <r>
    <s v="P089"/>
    <x v="1"/>
    <s v="Risso - PVH"/>
    <n v="9.8559610896331407"/>
    <x v="3"/>
    <n v="12.5"/>
    <n v="11.9593023573289"/>
  </r>
  <r>
    <s v="P117"/>
    <x v="1"/>
    <s v="Izaguirre - PVH"/>
    <n v="9.8421777633452905"/>
    <x v="3"/>
    <n v="12.5"/>
    <n v="12.398768744759201"/>
  </r>
  <r>
    <s v="SO02"/>
    <x v="1"/>
    <s v="Pucallpa - PVO"/>
    <n v="9.8320566227600192"/>
    <x v="3"/>
    <n v="12.5"/>
    <n v="12.642657257286899"/>
  </r>
  <r>
    <s v="P081"/>
    <x v="1"/>
    <s v="La Molina - PVH"/>
    <n v="9.8215075708867197"/>
    <x v="3"/>
    <n v="12.5"/>
    <n v="11.465170456915001"/>
  </r>
  <r>
    <s v="P048"/>
    <x v="1"/>
    <s v="Higuereta - PVH"/>
    <n v="9.7781291350551598"/>
    <x v="3"/>
    <n v="12.5"/>
    <n v="11.0740330759825"/>
  </r>
  <r>
    <s v="P227"/>
    <x v="1"/>
    <s v="San Isidro - PVH"/>
    <n v="9.7476010541271094"/>
    <x v="3"/>
    <n v="12.5"/>
    <n v="11.976343920827601"/>
  </r>
  <r>
    <s v="P202"/>
    <x v="1"/>
    <s v="LurIn - PVH"/>
    <n v="9.6136868016032597"/>
    <x v="3"/>
    <n v="12"/>
    <n v="11.097278868690299"/>
  </r>
  <r>
    <s v="P118"/>
    <x v="1"/>
    <s v="Alfonso Ugarte - PVH"/>
    <n v="9.6103102603074593"/>
    <x v="3"/>
    <n v="12"/>
    <n v="10.220933804143201"/>
  </r>
  <r>
    <s v="P080"/>
    <x v="1"/>
    <s v="Bolichera - PVH"/>
    <n v="9.5688458718698204"/>
    <x v="3"/>
    <n v="12"/>
    <n v="12.619246822035899"/>
  </r>
  <r>
    <s v="P104"/>
    <x v="1"/>
    <s v="Arequipa - PVH"/>
    <n v="9.4652723897189208"/>
    <x v="3"/>
    <n v="12"/>
    <n v="13.018802115941201"/>
  </r>
  <r>
    <s v="P084"/>
    <x v="1"/>
    <s v="Comas - PVH"/>
    <n v="9.3635672365497395"/>
    <x v="3"/>
    <n v="12"/>
    <n v="13.8211033671182"/>
  </r>
  <r>
    <s v="P195"/>
    <x v="1"/>
    <s v="San Borja - PVH"/>
    <n v="9.1631542520658495"/>
    <x v="3"/>
    <n v="11.5"/>
    <n v="11.722475520564601"/>
  </r>
  <r>
    <s v="P068"/>
    <x v="1"/>
    <s v="Primavera - PVH"/>
    <n v="8.9664258879020799"/>
    <x v="3"/>
    <n v="11.5"/>
    <n v="11.055212703657601"/>
  </r>
  <r>
    <s v="SO06"/>
    <x v="2"/>
    <s v="Tarapoto 2 - PVO"/>
    <n v="9.24744061844636"/>
    <x v="3"/>
    <n v="9.5"/>
    <n v="14.438941867467401"/>
  </r>
  <r>
    <n v="2638"/>
    <x v="2"/>
    <s v="SJB Ayacucho - PVH"/>
    <n v="8.7889979479365401"/>
    <x v="2"/>
    <n v="9.5"/>
    <n v="14.353589174786"/>
  </r>
  <r>
    <s v="P207"/>
    <x v="3"/>
    <s v="Villa Marina - PVS"/>
    <n v="13.7186862162879"/>
    <x v="0"/>
    <n v="14.5"/>
    <n v="18.107716157634002"/>
  </r>
  <r>
    <s v="P216"/>
    <x v="3"/>
    <s v="Proceres - PVS"/>
    <n v="13.5848559719785"/>
    <x v="0"/>
    <n v="14.5"/>
    <n v="16.058040501943999"/>
  </r>
  <r>
    <s v="P208"/>
    <x v="3"/>
    <s v="La Victoria PVS"/>
    <n v="13.4216613551758"/>
    <x v="0"/>
    <n v="14"/>
    <n v="17.040886286994599"/>
  </r>
  <r>
    <s v="P191"/>
    <x v="3"/>
    <s v="Cine Rimac - PVS"/>
    <n v="12.817461213295999"/>
    <x v="0"/>
    <n v="13.5"/>
    <n v="15.9254007905138"/>
  </r>
  <r>
    <s v="P193"/>
    <x v="3"/>
    <s v="Trujillo Mansiche - PVS"/>
    <n v="12.638108690522801"/>
    <x v="0"/>
    <n v="13.5"/>
    <n v="14.567529608046801"/>
  </r>
  <r>
    <s v="P156"/>
    <x v="3"/>
    <s v="El Tambo Huancayo - PVS"/>
    <n v="12.6116586406919"/>
    <x v="0"/>
    <n v="13.5"/>
    <n v="16.754933370269299"/>
  </r>
  <r>
    <s v="P422"/>
    <x v="3"/>
    <s v="Art Express - PVS"/>
    <n v="12.3709770266299"/>
    <x v="1"/>
    <n v="13.5"/>
    <n v="10.8509573868969"/>
  </r>
  <r>
    <s v="P206"/>
    <x v="3"/>
    <s v="La Paz - PVS"/>
    <n v="12.043035421634301"/>
    <x v="1"/>
    <n v="13.5"/>
    <n v="12.5463081149062"/>
  </r>
  <r>
    <s v="P258"/>
    <x v="3"/>
    <s v="Chaclacayo - PVS"/>
    <n v="11.9051667327946"/>
    <x v="1"/>
    <n v="13"/>
    <n v="14.111950185082399"/>
  </r>
  <r>
    <s v="P215"/>
    <x v="3"/>
    <s v="Magdalena - PVS"/>
    <n v="11.616028624647299"/>
    <x v="1"/>
    <n v="13"/>
    <n v="11.433849785496699"/>
  </r>
  <r>
    <s v="P139"/>
    <x v="3"/>
    <s v="Alameda Sur - PVS"/>
    <n v="11.5693074323449"/>
    <x v="1"/>
    <n v="12.5"/>
    <n v="12.9011668387786"/>
  </r>
  <r>
    <s v="P132"/>
    <x v="3"/>
    <s v="El Ejercito - PVS"/>
    <n v="11.4277920984189"/>
    <x v="1"/>
    <n v="12.5"/>
    <n v="13.0964573744509"/>
  </r>
  <r>
    <s v="P096"/>
    <x v="3"/>
    <s v="San Jorge - PVS"/>
    <n v="11.279262475105"/>
    <x v="2"/>
    <n v="13"/>
    <n v="13.269269389794999"/>
  </r>
  <r>
    <s v="P105"/>
    <x v="3"/>
    <s v="Salamanca - PVS"/>
    <n v="11.194289463821301"/>
    <x v="2"/>
    <n v="13"/>
    <n v="13.190227189558801"/>
  </r>
  <r>
    <s v="P107"/>
    <x v="3"/>
    <s v="Mercaderes - PVS"/>
    <n v="11.1308835333146"/>
    <x v="2"/>
    <n v="13"/>
    <n v="12.3225818519126"/>
  </r>
  <r>
    <s v="P108"/>
    <x v="3"/>
    <s v="Ayacucho - PVS"/>
    <n v="11.1039067071662"/>
    <x v="2"/>
    <n v="13"/>
    <n v="13.3742991704734"/>
  </r>
  <r>
    <s v="P158"/>
    <x v="3"/>
    <s v="Villa el Salvador - PVS"/>
    <n v="11.0327090605201"/>
    <x v="2"/>
    <n v="13"/>
    <n v="13.8965305974416"/>
  </r>
  <r>
    <s v="P110"/>
    <x v="3"/>
    <s v="Corpac - PVS"/>
    <n v="10.862910231506699"/>
    <x v="2"/>
    <n v="12.5"/>
    <n v="13.0845278356088"/>
  </r>
  <r>
    <s v="P219"/>
    <x v="3"/>
    <s v="La Perla - PVS"/>
    <n v="10.813509144796701"/>
    <x v="3"/>
    <n v="13.5"/>
    <n v="13.1699400711867"/>
  </r>
  <r>
    <s v="P220"/>
    <x v="3"/>
    <s v="Trujillo Valcarcel - PVS"/>
    <n v="10.4561040049743"/>
    <x v="3"/>
    <n v="13"/>
    <n v="12.5115109056958"/>
  </r>
  <r>
    <s v="P010"/>
    <x v="3"/>
    <s v="Caminos del Inca - PVS"/>
    <n v="10.1322102670687"/>
    <x v="3"/>
    <n v="12.5"/>
    <n v="11.1856496338909"/>
  </r>
  <r>
    <s v="P109"/>
    <x v="3"/>
    <s v="Dasso - PVS"/>
    <n v="10.1106075473313"/>
    <x v="3"/>
    <n v="12.5"/>
    <n v="11.532782141673099"/>
  </r>
  <r>
    <s v="P198"/>
    <x v="3"/>
    <s v="Chorrillos Iglesias - PVS"/>
    <n v="9.8698077273235008"/>
    <x v="3"/>
    <n v="12.5"/>
    <n v="11.2090057008645"/>
  </r>
  <r>
    <s v="P199"/>
    <x v="3"/>
    <s v="Grifo Kio - PVS"/>
    <n v="9.4492172258189004"/>
    <x v="3"/>
    <n v="12"/>
    <n v="11.5163198753282"/>
  </r>
  <r>
    <s v="V140"/>
    <x v="4"/>
    <s v="Libertadores - VIV"/>
    <n v="9.5896396578210101"/>
    <x v="0"/>
    <n v="10"/>
    <n v="10.693054042219501"/>
  </r>
  <r>
    <s v="V094"/>
    <x v="4"/>
    <s v="Benavides - VIV"/>
    <n v="9.0600520357470007"/>
    <x v="0"/>
    <n v="9.5"/>
    <n v="10.084802152052699"/>
  </r>
  <r>
    <s v="V090"/>
    <x v="4"/>
    <s v="Pezet - VIV"/>
    <n v="8.8302655110083208"/>
    <x v="1"/>
    <n v="9.5"/>
    <n v="9.3750023568556795"/>
  </r>
  <r>
    <s v="V290"/>
    <x v="4"/>
    <s v="Asia - VIV"/>
    <n v="8.8128730781126698"/>
    <x v="2"/>
    <n v="9.5"/>
    <n v="10.8162133059864"/>
  </r>
  <r>
    <s v="V093"/>
    <x v="4"/>
    <s v="Dos de Mayo - VIV"/>
    <n v="8.7616763166956204"/>
    <x v="2"/>
    <n v="9.5"/>
    <n v="8.8604573590004794"/>
  </r>
  <r>
    <s v="V095"/>
    <x v="4"/>
    <s v="Monterrico - VIV"/>
    <n v="8.6629640193433097"/>
    <x v="3"/>
    <n v="10"/>
    <n v="8.7119832565948805"/>
  </r>
  <r>
    <s v="V116"/>
    <x v="4"/>
    <s v="Javier Prado - VIV"/>
    <n v="7.8680897046366001"/>
    <x v="3"/>
    <n v="9"/>
    <n v="9.29951897614376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466D7-1C42-4CDA-BE0B-A9F45F822BBF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7" firstHeaderRow="1" firstDataRow="1" firstDataCol="1"/>
  <pivotFields count="8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2" showAll="0"/>
    <pivotField axis="axisRow" showAll="0">
      <items count="5">
        <item x="3"/>
        <item x="2"/>
        <item x="1"/>
        <item x="0"/>
        <item t="default"/>
      </items>
    </pivotField>
    <pivotField numFmtId="165" showAll="0"/>
    <pivotField showAll="0"/>
    <pivotField dataField="1" dragToRow="0" dragToCol="0" dragToPage="0" showAll="0" defaultSubtotal="0"/>
  </pivotFields>
  <rowFields count="2">
    <field x="1"/>
    <field x="4"/>
  </rowFields>
  <rowItems count="24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a de Campo1" fld="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12AF-D24C-4AED-974D-9F64147DDA4F}">
  <dimension ref="A3:B27"/>
  <sheetViews>
    <sheetView workbookViewId="0">
      <selection activeCell="A14" activeCellId="2" sqref="A4 A9 A14 A17 A22"/>
      <pivotSelection pane="bottomRight" showHeader="1" axis="axisRow" activeRow="13" previousRow="13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baseColWidth="10" defaultRowHeight="14.4" x14ac:dyDescent="0.3"/>
  <cols>
    <col min="1" max="1" width="16.5546875" bestFit="1" customWidth="1"/>
    <col min="2" max="2" width="22.6640625" style="4" customWidth="1"/>
  </cols>
  <sheetData>
    <row r="3" spans="1:2" x14ac:dyDescent="0.3">
      <c r="A3" s="17" t="s">
        <v>245</v>
      </c>
      <c r="B3" s="4" t="s">
        <v>247</v>
      </c>
    </row>
    <row r="4" spans="1:2" x14ac:dyDescent="0.3">
      <c r="A4" s="18" t="s">
        <v>226</v>
      </c>
      <c r="B4" s="4">
        <v>3.0599557274294753E-2</v>
      </c>
    </row>
    <row r="5" spans="1:2" x14ac:dyDescent="0.3">
      <c r="A5" s="19" t="s">
        <v>227</v>
      </c>
      <c r="B5" s="4">
        <v>2.5304380350279487E-3</v>
      </c>
    </row>
    <row r="6" spans="1:2" x14ac:dyDescent="0.3">
      <c r="A6" s="19" t="s">
        <v>228</v>
      </c>
      <c r="B6" s="4">
        <v>9.5304014674384652E-2</v>
      </c>
    </row>
    <row r="7" spans="1:2" x14ac:dyDescent="0.3">
      <c r="A7" s="19" t="s">
        <v>229</v>
      </c>
      <c r="B7" s="4">
        <v>-7.5638738631738422E-2</v>
      </c>
    </row>
    <row r="8" spans="1:2" x14ac:dyDescent="0.3">
      <c r="A8" s="19" t="s">
        <v>230</v>
      </c>
      <c r="B8" s="4">
        <v>0.12257495590828893</v>
      </c>
    </row>
    <row r="9" spans="1:2" x14ac:dyDescent="0.3">
      <c r="A9" s="18" t="s">
        <v>224</v>
      </c>
      <c r="B9" s="4">
        <v>-3.5524982465162669E-4</v>
      </c>
    </row>
    <row r="10" spans="1:2" x14ac:dyDescent="0.3">
      <c r="A10" s="19" t="s">
        <v>227</v>
      </c>
      <c r="B10" s="4">
        <v>-1.9556687718378707E-2</v>
      </c>
    </row>
    <row r="11" spans="1:2" x14ac:dyDescent="0.3">
      <c r="A11" s="19" t="s">
        <v>228</v>
      </c>
      <c r="B11" s="4">
        <v>-4.9961760215174733E-3</v>
      </c>
    </row>
    <row r="12" spans="1:2" x14ac:dyDescent="0.3">
      <c r="A12" s="19" t="s">
        <v>229</v>
      </c>
      <c r="B12" s="4">
        <v>-2.2777737899729367E-2</v>
      </c>
    </row>
    <row r="13" spans="1:2" x14ac:dyDescent="0.3">
      <c r="A13" s="19" t="s">
        <v>230</v>
      </c>
      <c r="B13" s="4">
        <v>4.2636792041713445E-2</v>
      </c>
    </row>
    <row r="14" spans="1:2" x14ac:dyDescent="0.3">
      <c r="A14" s="18" t="s">
        <v>222</v>
      </c>
      <c r="B14" s="4">
        <v>0.51539637064491584</v>
      </c>
    </row>
    <row r="15" spans="1:2" x14ac:dyDescent="0.3">
      <c r="A15" s="19" t="s">
        <v>227</v>
      </c>
      <c r="B15" s="4">
        <v>0.51988861762814742</v>
      </c>
    </row>
    <row r="16" spans="1:2" x14ac:dyDescent="0.3">
      <c r="A16" s="19" t="s">
        <v>228</v>
      </c>
      <c r="B16" s="4">
        <v>0.51090412366168425</v>
      </c>
    </row>
    <row r="17" spans="1:2" x14ac:dyDescent="0.3">
      <c r="A17" s="18" t="s">
        <v>225</v>
      </c>
      <c r="B17" s="4">
        <v>2.7485208776011349E-2</v>
      </c>
    </row>
    <row r="18" spans="1:2" x14ac:dyDescent="0.3">
      <c r="A18" s="19" t="s">
        <v>227</v>
      </c>
      <c r="B18" s="4">
        <v>-6.4141995675799923E-2</v>
      </c>
    </row>
    <row r="19" spans="1:2" x14ac:dyDescent="0.3">
      <c r="A19" s="19" t="s">
        <v>228</v>
      </c>
      <c r="B19" s="4">
        <v>2.1128206900518753E-2</v>
      </c>
    </row>
    <row r="20" spans="1:2" x14ac:dyDescent="0.3">
      <c r="A20" s="19" t="s">
        <v>229</v>
      </c>
      <c r="B20" s="4">
        <v>-3.9221927107542465E-2</v>
      </c>
    </row>
    <row r="21" spans="1:2" x14ac:dyDescent="0.3">
      <c r="A21" s="19" t="s">
        <v>230</v>
      </c>
      <c r="B21" s="4">
        <v>0.17909588880721561</v>
      </c>
    </row>
    <row r="22" spans="1:2" x14ac:dyDescent="0.3">
      <c r="A22" s="18" t="s">
        <v>223</v>
      </c>
      <c r="B22" s="4">
        <v>1.2552708191841955E-2</v>
      </c>
    </row>
    <row r="23" spans="1:2" x14ac:dyDescent="0.3">
      <c r="A23" s="19" t="s">
        <v>227</v>
      </c>
      <c r="B23" s="4">
        <v>-5.2026198276913127E-2</v>
      </c>
    </row>
    <row r="24" spans="1:2" x14ac:dyDescent="0.3">
      <c r="A24" s="19" t="s">
        <v>228</v>
      </c>
      <c r="B24" s="4">
        <v>3.5614245525625199E-2</v>
      </c>
    </row>
    <row r="25" spans="1:2" x14ac:dyDescent="0.3">
      <c r="A25" s="19" t="s">
        <v>229</v>
      </c>
      <c r="B25" s="4">
        <v>-1.3157646646770549E-2</v>
      </c>
    </row>
    <row r="26" spans="1:2" x14ac:dyDescent="0.3">
      <c r="A26" s="19" t="s">
        <v>230</v>
      </c>
      <c r="B26" s="4">
        <v>6.5531086885753931E-2</v>
      </c>
    </row>
    <row r="27" spans="1:2" x14ac:dyDescent="0.3">
      <c r="A27" s="18" t="s">
        <v>246</v>
      </c>
      <c r="B27" s="4">
        <v>1.4914036597235114E-2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F9AB0-B81C-484A-B7BD-1739690B9D26}">
  <dimension ref="A1:X112"/>
  <sheetViews>
    <sheetView tabSelected="1" workbookViewId="0">
      <selection activeCell="G89" sqref="G89"/>
    </sheetView>
  </sheetViews>
  <sheetFormatPr baseColWidth="10" defaultRowHeight="14.4" x14ac:dyDescent="0.3"/>
  <cols>
    <col min="1" max="1" width="11.33203125" bestFit="1" customWidth="1"/>
    <col min="2" max="2" width="11.33203125" customWidth="1"/>
    <col min="3" max="3" width="42.44140625" customWidth="1"/>
    <col min="4" max="4" width="25.5546875" style="2" customWidth="1"/>
    <col min="6" max="7" width="11.5546875" style="15"/>
    <col min="8" max="8" width="11.5546875" style="20"/>
    <col min="11" max="11" width="11.33203125" customWidth="1"/>
    <col min="18" max="18" width="14" customWidth="1"/>
    <col min="21" max="21" width="15.21875" style="5" bestFit="1" customWidth="1"/>
  </cols>
  <sheetData>
    <row r="1" spans="1:24" x14ac:dyDescent="0.3">
      <c r="A1" t="s">
        <v>0</v>
      </c>
      <c r="B1" t="s">
        <v>220</v>
      </c>
      <c r="C1" t="s">
        <v>221</v>
      </c>
      <c r="D1" s="2" t="s">
        <v>1</v>
      </c>
      <c r="E1" t="s">
        <v>231</v>
      </c>
      <c r="F1" s="15" t="s">
        <v>243</v>
      </c>
      <c r="G1" s="15" t="s">
        <v>248</v>
      </c>
      <c r="H1" s="20" t="s">
        <v>249</v>
      </c>
      <c r="I1" s="16" t="s">
        <v>244</v>
      </c>
      <c r="Q1" s="22" t="s">
        <v>236</v>
      </c>
      <c r="R1" s="22"/>
      <c r="S1" s="22" t="s">
        <v>237</v>
      </c>
      <c r="T1" s="22"/>
      <c r="U1" s="22"/>
      <c r="W1" t="s">
        <v>238</v>
      </c>
      <c r="X1">
        <v>0.75</v>
      </c>
    </row>
    <row r="2" spans="1:24" x14ac:dyDescent="0.3">
      <c r="A2" t="s">
        <v>114</v>
      </c>
      <c r="B2" t="s">
        <v>226</v>
      </c>
      <c r="C2" t="s">
        <v>115</v>
      </c>
      <c r="D2" s="2">
        <v>12.891808891536099</v>
      </c>
      <c r="E2" t="str">
        <f>IF(D2&lt;=_xlfn.QUARTILE.INC($D$2:$D$6,1),"Q1",
IF(D2&lt;=_xlfn.QUARTILE.INC($D$2:$D$6,2),"Q2",
IF(D2&lt;=_xlfn.QUARTILE.INC($D$2:$D$6,3),"Q3","Q4")))</f>
        <v>Q4</v>
      </c>
      <c r="F2" s="15">
        <f>ROUNDUP((1+VLOOKUP(B2&amp;E2, M:U,9,0))*D2*2,0)/2</f>
        <v>13.5</v>
      </c>
      <c r="G2" s="15">
        <f>+F2</f>
        <v>13.5</v>
      </c>
      <c r="H2" s="20">
        <v>15.1547619047619</v>
      </c>
      <c r="I2" s="4">
        <f>+H2/G2-1</f>
        <v>0.12257495590828893</v>
      </c>
      <c r="K2" t="s">
        <v>220</v>
      </c>
      <c r="L2" t="s">
        <v>231</v>
      </c>
      <c r="M2" t="s">
        <v>232</v>
      </c>
      <c r="N2" t="s">
        <v>233</v>
      </c>
      <c r="O2" t="s">
        <v>234</v>
      </c>
      <c r="P2" t="s">
        <v>235</v>
      </c>
      <c r="Q2" t="s">
        <v>240</v>
      </c>
      <c r="R2" t="s">
        <v>241</v>
      </c>
      <c r="S2" t="s">
        <v>239</v>
      </c>
      <c r="T2" t="s">
        <v>238</v>
      </c>
      <c r="U2" s="5" t="s">
        <v>242</v>
      </c>
    </row>
    <row r="3" spans="1:24" x14ac:dyDescent="0.3">
      <c r="A3" t="s">
        <v>216</v>
      </c>
      <c r="B3" t="s">
        <v>226</v>
      </c>
      <c r="C3" t="s">
        <v>217</v>
      </c>
      <c r="D3" s="2">
        <v>12.5966344140452</v>
      </c>
      <c r="E3" t="str">
        <f>IF(D3&lt;=_xlfn.QUARTILE.INC($D$2:$D$6,1),"Q1",
IF(D3&lt;=_xlfn.QUARTILE.INC($D$2:$D$6,2),"Q2",
IF(D3&lt;=_xlfn.QUARTILE.INC($D$2:$D$6,3),"Q3","Q4")))</f>
        <v>Q3</v>
      </c>
      <c r="F3" s="15">
        <f>ROUNDUP((1+VLOOKUP(B3&amp;E3, M:U,9,0))*D3*2,0)/2</f>
        <v>13</v>
      </c>
      <c r="G3" s="15">
        <f>+G2</f>
        <v>13.5</v>
      </c>
      <c r="H3" s="20">
        <v>12.016696397787401</v>
      </c>
      <c r="I3" s="4">
        <f t="shared" ref="I3:I66" si="0">+H3/G3-1</f>
        <v>-0.10987434090463699</v>
      </c>
      <c r="K3" t="s">
        <v>226</v>
      </c>
      <c r="L3" t="s">
        <v>230</v>
      </c>
      <c r="M3" t="str">
        <f>K3&amp;L3</f>
        <v>ExpressQ4</v>
      </c>
      <c r="N3" s="1">
        <f t="shared" ref="N3:N20" si="1">AVERAGEIFS(D:D,B:B,K3,E:E,L3)</f>
        <v>12.891808891536099</v>
      </c>
      <c r="O3" s="1">
        <f t="shared" ref="O3:O20" si="2">_xlfn.MINIFS(D:D,B:B,K3,E:E,L3)</f>
        <v>12.891808891536099</v>
      </c>
      <c r="P3" s="1">
        <f t="shared" ref="P3:P20" si="3">_xlfn.MAXIFS(D:D,B:B,K3,E:E,L3)</f>
        <v>12.891808891536099</v>
      </c>
      <c r="Q3" s="1"/>
      <c r="R3" s="11">
        <f t="shared" ref="R3:R20" si="4">+ROUND((Q3/N3-1)*100,0)/100</f>
        <v>-1</v>
      </c>
      <c r="S3" s="3">
        <f>+S11</f>
        <v>13.132072014658817</v>
      </c>
      <c r="T3" s="4">
        <f t="shared" ref="T3:T20" si="5">+S3/N3-1</f>
        <v>1.8636882158597601E-2</v>
      </c>
      <c r="U3" s="5">
        <f>+ROUNDUP(U4/2*100,0)/100</f>
        <v>0.02</v>
      </c>
    </row>
    <row r="4" spans="1:24" x14ac:dyDescent="0.3">
      <c r="A4" t="s">
        <v>112</v>
      </c>
      <c r="B4" t="s">
        <v>226</v>
      </c>
      <c r="C4" t="s">
        <v>113</v>
      </c>
      <c r="D4" s="2">
        <v>12.3744943698209</v>
      </c>
      <c r="E4" t="str">
        <f>IF(D4&lt;=_xlfn.QUARTILE.INC($D$2:$D$6,1),"Q1",
IF(D4&lt;=_xlfn.QUARTILE.INC($D$2:$D$6,2),"Q2",
IF(D4&lt;=_xlfn.QUARTILE.INC($D$2:$D$6,3),"Q3","Q4")))</f>
        <v>Q2</v>
      </c>
      <c r="F4" s="15">
        <f t="shared" ref="F4:F66" si="6">ROUNDUP((1+VLOOKUP(B4&amp;E4, M:U,9,0))*D4*2,0)/2</f>
        <v>13</v>
      </c>
      <c r="G4" s="15">
        <f>+G5</f>
        <v>13.5</v>
      </c>
      <c r="H4" s="20">
        <v>14.238952190767</v>
      </c>
      <c r="I4" s="4">
        <f t="shared" si="0"/>
        <v>5.4737199316074125E-2</v>
      </c>
      <c r="K4" t="s">
        <v>226</v>
      </c>
      <c r="L4" t="s">
        <v>229</v>
      </c>
      <c r="M4" t="str">
        <f t="shared" ref="M4:M20" si="7">K4&amp;L4</f>
        <v>ExpressQ3</v>
      </c>
      <c r="N4" s="1">
        <f t="shared" si="1"/>
        <v>12.5966344140452</v>
      </c>
      <c r="O4" s="1">
        <f t="shared" si="2"/>
        <v>12.5966344140452</v>
      </c>
      <c r="P4" s="1">
        <f t="shared" si="3"/>
        <v>12.5966344140452</v>
      </c>
      <c r="Q4" s="1"/>
      <c r="R4" s="11">
        <f t="shared" si="4"/>
        <v>-1</v>
      </c>
      <c r="S4" s="3">
        <f>+S12</f>
        <v>13.132072014658817</v>
      </c>
      <c r="T4" s="4">
        <f t="shared" si="5"/>
        <v>4.2506401552513617E-2</v>
      </c>
      <c r="U4" s="5">
        <f>ROUND((T4*100*$X$1),0)/100</f>
        <v>0.03</v>
      </c>
    </row>
    <row r="5" spans="1:24" x14ac:dyDescent="0.3">
      <c r="A5" t="s">
        <v>84</v>
      </c>
      <c r="B5" t="s">
        <v>226</v>
      </c>
      <c r="C5" t="s">
        <v>85</v>
      </c>
      <c r="D5" s="2">
        <v>11.008519286824599</v>
      </c>
      <c r="E5" t="str">
        <f>IF(D5&lt;=_xlfn.QUARTILE.INC($D$2:$D$6,1),"Q1",
IF(D5&lt;=_xlfn.QUARTILE.INC($D$2:$D$6,2),"Q2",
IF(D5&lt;=_xlfn.QUARTILE.INC($D$2:$D$6,3),"Q3","Q4")))</f>
        <v>Q1</v>
      </c>
      <c r="F5" s="15">
        <f t="shared" si="6"/>
        <v>13.5</v>
      </c>
      <c r="G5" s="15">
        <f>+F5</f>
        <v>13.5</v>
      </c>
      <c r="H5" s="20">
        <v>12.9611818523196</v>
      </c>
      <c r="I5" s="4">
        <f t="shared" si="0"/>
        <v>-3.9912455383733336E-2</v>
      </c>
      <c r="K5" t="s">
        <v>226</v>
      </c>
      <c r="L5" t="s">
        <v>228</v>
      </c>
      <c r="M5" t="str">
        <f t="shared" si="7"/>
        <v>ExpressQ2</v>
      </c>
      <c r="N5" s="1">
        <f t="shared" si="1"/>
        <v>12.3744943698209</v>
      </c>
      <c r="O5" s="1">
        <f t="shared" si="2"/>
        <v>12.3744943698209</v>
      </c>
      <c r="P5" s="1">
        <f t="shared" si="3"/>
        <v>12.3744943698209</v>
      </c>
      <c r="Q5" s="1"/>
      <c r="R5" s="11">
        <f t="shared" si="4"/>
        <v>-1</v>
      </c>
      <c r="S5" s="3">
        <f>+S13</f>
        <v>13.132072014658817</v>
      </c>
      <c r="T5" s="4">
        <f t="shared" si="5"/>
        <v>6.1220896967354888E-2</v>
      </c>
      <c r="U5" s="5">
        <f>ROUND((T5*100*$X$1),0)/100</f>
        <v>0.05</v>
      </c>
    </row>
    <row r="6" spans="1:24" x14ac:dyDescent="0.3">
      <c r="A6" t="s">
        <v>218</v>
      </c>
      <c r="B6" t="s">
        <v>226</v>
      </c>
      <c r="C6" t="s">
        <v>219</v>
      </c>
      <c r="D6" s="2">
        <v>9.6264585883304292</v>
      </c>
      <c r="E6" t="str">
        <f>IF(D6&lt;=_xlfn.QUARTILE.INC($D$2:$D$6,1),"Q1",
IF(D6&lt;=_xlfn.QUARTILE.INC($D$2:$D$6,2),"Q2",
IF(D6&lt;=_xlfn.QUARTILE.INC($D$2:$D$6,3),"Q3","Q4")))</f>
        <v>Q1</v>
      </c>
      <c r="F6" s="15">
        <f t="shared" si="6"/>
        <v>12</v>
      </c>
      <c r="G6" s="15">
        <f>+F6</f>
        <v>12</v>
      </c>
      <c r="H6" s="20">
        <v>12.1020790985561</v>
      </c>
      <c r="I6" s="4">
        <f t="shared" si="0"/>
        <v>8.5065915463415909E-3</v>
      </c>
      <c r="K6" t="s">
        <v>226</v>
      </c>
      <c r="L6" t="s">
        <v>227</v>
      </c>
      <c r="M6" t="str">
        <f t="shared" si="7"/>
        <v>ExpressQ1</v>
      </c>
      <c r="N6" s="1">
        <f t="shared" si="1"/>
        <v>10.317488937577515</v>
      </c>
      <c r="O6" s="1">
        <f t="shared" si="2"/>
        <v>9.6264585883304292</v>
      </c>
      <c r="P6" s="1">
        <f t="shared" si="3"/>
        <v>11.008519286824599</v>
      </c>
      <c r="Q6" s="1"/>
      <c r="R6" s="11">
        <f t="shared" si="4"/>
        <v>-1</v>
      </c>
      <c r="S6" s="3">
        <f>+S14</f>
        <v>13.132072014658817</v>
      </c>
      <c r="T6" s="4">
        <f t="shared" si="5"/>
        <v>0.27279729536033304</v>
      </c>
      <c r="U6" s="5">
        <f>ROUND((T6*100*$X$1),0)/100</f>
        <v>0.2</v>
      </c>
    </row>
    <row r="7" spans="1:24" x14ac:dyDescent="0.3">
      <c r="A7" t="s">
        <v>108</v>
      </c>
      <c r="B7" t="s">
        <v>224</v>
      </c>
      <c r="C7" t="s">
        <v>109</v>
      </c>
      <c r="D7" s="2">
        <v>14.3175232831379</v>
      </c>
      <c r="E7" t="str">
        <f>IF(D7&lt;=_xlfn.QUARTILE.INC($D$7:$D$79,1),"Q1",
IF(D7&lt;=_xlfn.QUARTILE.INC($D$7:$D$79,2),"Q2",
IF(D7&lt;=_xlfn.QUARTILE.INC($D$7:$D$79,3),"Q3","Q4")))</f>
        <v>Q4</v>
      </c>
      <c r="F7" s="15">
        <f t="shared" si="6"/>
        <v>15.5</v>
      </c>
      <c r="G7" s="15">
        <f>+F7</f>
        <v>15.5</v>
      </c>
      <c r="H7" s="20">
        <v>16.5526481948331</v>
      </c>
      <c r="I7" s="4">
        <f t="shared" si="0"/>
        <v>6.7912786763425936E-2</v>
      </c>
      <c r="K7" s="6" t="s">
        <v>224</v>
      </c>
      <c r="L7" s="7" t="s">
        <v>230</v>
      </c>
      <c r="M7" s="7" t="str">
        <f t="shared" si="7"/>
        <v>HiperQ4</v>
      </c>
      <c r="N7" s="8">
        <f t="shared" si="1"/>
        <v>12.854941030114112</v>
      </c>
      <c r="O7" s="8">
        <f t="shared" si="2"/>
        <v>11.888075718871001</v>
      </c>
      <c r="P7" s="8">
        <f t="shared" si="3"/>
        <v>14.3175232831379</v>
      </c>
      <c r="Q7" s="8"/>
      <c r="R7" s="11">
        <f t="shared" si="4"/>
        <v>-1</v>
      </c>
      <c r="S7" s="3">
        <f>+$N$7</f>
        <v>12.854941030114112</v>
      </c>
      <c r="T7" s="4">
        <f t="shared" si="5"/>
        <v>0</v>
      </c>
      <c r="U7" s="5">
        <f>+ROUNDUP(U8/2*100,0)/100</f>
        <v>0.06</v>
      </c>
    </row>
    <row r="8" spans="1:24" x14ac:dyDescent="0.3">
      <c r="A8" t="s">
        <v>100</v>
      </c>
      <c r="B8" t="s">
        <v>224</v>
      </c>
      <c r="C8" t="s">
        <v>101</v>
      </c>
      <c r="D8" s="2">
        <v>13.9949313125665</v>
      </c>
      <c r="E8" t="str">
        <f t="shared" ref="E8:E71" si="8">IF(D8&lt;=_xlfn.QUARTILE.INC($D$7:$D$79,1),"Q1",
IF(D8&lt;=_xlfn.QUARTILE.INC($D$7:$D$79,2),"Q2",
IF(D8&lt;=_xlfn.QUARTILE.INC($D$7:$D$79,3),"Q3","Q4")))</f>
        <v>Q4</v>
      </c>
      <c r="F8" s="15">
        <f t="shared" si="6"/>
        <v>15</v>
      </c>
      <c r="G8" s="15">
        <f>+F8</f>
        <v>15</v>
      </c>
      <c r="H8" s="20">
        <v>14.393396493627501</v>
      </c>
      <c r="I8" s="4">
        <f t="shared" si="0"/>
        <v>-4.0440233758166633E-2</v>
      </c>
      <c r="K8" s="9" t="s">
        <v>224</v>
      </c>
      <c r="L8" t="s">
        <v>229</v>
      </c>
      <c r="M8" t="str">
        <f t="shared" si="7"/>
        <v>HiperQ3</v>
      </c>
      <c r="N8" s="10">
        <f t="shared" si="1"/>
        <v>11.2491101280128</v>
      </c>
      <c r="O8" s="10">
        <f t="shared" si="2"/>
        <v>10.6635348037093</v>
      </c>
      <c r="P8" s="10">
        <f t="shared" si="3"/>
        <v>11.883662920842101</v>
      </c>
      <c r="Q8" s="14">
        <f>+N7</f>
        <v>12.854941030114112</v>
      </c>
      <c r="R8" s="11">
        <f t="shared" si="4"/>
        <v>0.14000000000000001</v>
      </c>
      <c r="S8" s="3">
        <f>+$N$7</f>
        <v>12.854941030114112</v>
      </c>
      <c r="T8" s="4">
        <f t="shared" si="5"/>
        <v>0.14275181626166455</v>
      </c>
      <c r="U8" s="5">
        <f>ROUND((T8*100*$X$1),0)/100</f>
        <v>0.11</v>
      </c>
    </row>
    <row r="9" spans="1:24" x14ac:dyDescent="0.3">
      <c r="A9" t="s">
        <v>196</v>
      </c>
      <c r="B9" t="s">
        <v>224</v>
      </c>
      <c r="C9" t="s">
        <v>197</v>
      </c>
      <c r="D9" s="2">
        <v>13.9118467247991</v>
      </c>
      <c r="E9" t="str">
        <f t="shared" si="8"/>
        <v>Q4</v>
      </c>
      <c r="F9" s="15">
        <f t="shared" si="6"/>
        <v>15</v>
      </c>
      <c r="G9" s="15">
        <f t="shared" ref="G9:G49" si="9">+MODE(F7:F11)</f>
        <v>15</v>
      </c>
      <c r="H9" s="20">
        <v>15.005455044282799</v>
      </c>
      <c r="I9" s="4">
        <f t="shared" si="0"/>
        <v>3.6366961885336835E-4</v>
      </c>
      <c r="K9" s="9" t="s">
        <v>224</v>
      </c>
      <c r="L9" t="s">
        <v>228</v>
      </c>
      <c r="M9" t="str">
        <f t="shared" si="7"/>
        <v>HiperQ2</v>
      </c>
      <c r="N9" s="10">
        <f t="shared" si="1"/>
        <v>10.39989297832313</v>
      </c>
      <c r="O9" s="10">
        <f t="shared" si="2"/>
        <v>10.1040363635347</v>
      </c>
      <c r="P9" s="10">
        <f t="shared" si="3"/>
        <v>10.640368007360699</v>
      </c>
      <c r="Q9" s="14">
        <f>+N8</f>
        <v>11.2491101280128</v>
      </c>
      <c r="R9" s="11">
        <f t="shared" si="4"/>
        <v>0.08</v>
      </c>
      <c r="S9" s="3">
        <f>+$N$7</f>
        <v>12.854941030114112</v>
      </c>
      <c r="T9" s="4">
        <f t="shared" si="5"/>
        <v>0.23606474190726057</v>
      </c>
      <c r="U9" s="5">
        <f>ROUND((T9*100*$X$1),0)/100</f>
        <v>0.18</v>
      </c>
    </row>
    <row r="10" spans="1:24" x14ac:dyDescent="0.3">
      <c r="A10" t="s">
        <v>118</v>
      </c>
      <c r="B10" t="s">
        <v>224</v>
      </c>
      <c r="C10" t="s">
        <v>119</v>
      </c>
      <c r="D10" s="2">
        <v>13.774369575100801</v>
      </c>
      <c r="E10" t="str">
        <f t="shared" si="8"/>
        <v>Q4</v>
      </c>
      <c r="F10" s="15">
        <f t="shared" si="6"/>
        <v>15</v>
      </c>
      <c r="G10" s="15">
        <f t="shared" si="9"/>
        <v>15</v>
      </c>
      <c r="H10" s="20">
        <v>13.3364622317963</v>
      </c>
      <c r="I10" s="4">
        <f t="shared" si="0"/>
        <v>-0.11090251788024663</v>
      </c>
      <c r="K10" s="12" t="s">
        <v>224</v>
      </c>
      <c r="L10" s="13" t="s">
        <v>227</v>
      </c>
      <c r="M10" s="13" t="str">
        <f t="shared" si="7"/>
        <v>HiperQ1</v>
      </c>
      <c r="N10" s="14">
        <f t="shared" si="1"/>
        <v>9.7383435609769666</v>
      </c>
      <c r="O10" s="14">
        <f t="shared" si="2"/>
        <v>8.9664258879020799</v>
      </c>
      <c r="P10" s="14">
        <f t="shared" si="3"/>
        <v>10.0952169621688</v>
      </c>
      <c r="Q10" s="14">
        <f>+N9</f>
        <v>10.39989297832313</v>
      </c>
      <c r="R10" s="11">
        <f t="shared" si="4"/>
        <v>7.0000000000000007E-2</v>
      </c>
      <c r="S10" s="3">
        <f>+$N$7</f>
        <v>12.854941030114112</v>
      </c>
      <c r="T10" s="4">
        <f t="shared" si="5"/>
        <v>0.32003363299132603</v>
      </c>
      <c r="U10" s="5">
        <f>ROUND((T10*100*$X$1),0)/100</f>
        <v>0.24</v>
      </c>
    </row>
    <row r="11" spans="1:24" x14ac:dyDescent="0.3">
      <c r="A11" t="s">
        <v>164</v>
      </c>
      <c r="B11" t="s">
        <v>224</v>
      </c>
      <c r="C11" t="s">
        <v>165</v>
      </c>
      <c r="D11" s="2">
        <v>13.047357551717299</v>
      </c>
      <c r="E11" t="str">
        <f t="shared" si="8"/>
        <v>Q4</v>
      </c>
      <c r="F11" s="15">
        <f t="shared" si="6"/>
        <v>14</v>
      </c>
      <c r="G11" s="15">
        <f t="shared" si="9"/>
        <v>14</v>
      </c>
      <c r="H11" s="20">
        <v>14.9343421891832</v>
      </c>
      <c r="I11" s="4">
        <f t="shared" si="0"/>
        <v>6.6738727798800079E-2</v>
      </c>
      <c r="K11" t="s">
        <v>222</v>
      </c>
      <c r="L11" t="s">
        <v>227</v>
      </c>
      <c r="M11" t="str">
        <f t="shared" si="7"/>
        <v>OtroQ1</v>
      </c>
      <c r="N11" s="1">
        <f t="shared" si="1"/>
        <v>9.24744061844636</v>
      </c>
      <c r="O11" s="1">
        <f t="shared" si="2"/>
        <v>9.24744061844636</v>
      </c>
      <c r="P11" s="1">
        <f t="shared" si="3"/>
        <v>9.24744061844636</v>
      </c>
      <c r="Q11" s="1"/>
      <c r="R11" s="11">
        <f t="shared" si="4"/>
        <v>-1</v>
      </c>
      <c r="S11" s="3">
        <f>+S13</f>
        <v>13.132072014658817</v>
      </c>
      <c r="T11" s="4">
        <f t="shared" si="5"/>
        <v>0.42007638183299889</v>
      </c>
      <c r="U11" s="5">
        <f>+ROUNDUP(U12/2*100,0)/100</f>
        <v>0.19</v>
      </c>
    </row>
    <row r="12" spans="1:24" x14ac:dyDescent="0.3">
      <c r="A12" t="s">
        <v>170</v>
      </c>
      <c r="B12" t="s">
        <v>224</v>
      </c>
      <c r="C12" t="s">
        <v>171</v>
      </c>
      <c r="D12" s="2">
        <v>12.8932562465508</v>
      </c>
      <c r="E12" t="str">
        <f t="shared" si="8"/>
        <v>Q4</v>
      </c>
      <c r="F12" s="15">
        <f t="shared" si="6"/>
        <v>14</v>
      </c>
      <c r="G12" s="15">
        <f t="shared" si="9"/>
        <v>14</v>
      </c>
      <c r="H12" s="20">
        <v>13.7683970419577</v>
      </c>
      <c r="I12" s="4">
        <f t="shared" si="0"/>
        <v>-1.6543068431592922E-2</v>
      </c>
      <c r="K12" t="s">
        <v>222</v>
      </c>
      <c r="L12" t="s">
        <v>228</v>
      </c>
      <c r="M12" t="str">
        <f t="shared" si="7"/>
        <v>OtroQ2</v>
      </c>
      <c r="N12" s="1">
        <f t="shared" si="1"/>
        <v>8.7889979479365401</v>
      </c>
      <c r="O12" s="1">
        <f t="shared" si="2"/>
        <v>8.7889979479365401</v>
      </c>
      <c r="P12" s="1">
        <f t="shared" si="3"/>
        <v>8.7889979479365401</v>
      </c>
      <c r="Q12" s="1"/>
      <c r="R12" s="11">
        <f t="shared" si="4"/>
        <v>-1</v>
      </c>
      <c r="S12" s="3">
        <f>+S13</f>
        <v>13.132072014658817</v>
      </c>
      <c r="T12" s="4">
        <f t="shared" si="5"/>
        <v>0.49414894535752318</v>
      </c>
      <c r="U12" s="5">
        <f>ROUND((T12*100*$X$1),0)/100</f>
        <v>0.37</v>
      </c>
    </row>
    <row r="13" spans="1:24" x14ac:dyDescent="0.3">
      <c r="A13" t="s">
        <v>166</v>
      </c>
      <c r="B13" t="s">
        <v>224</v>
      </c>
      <c r="C13" t="s">
        <v>167</v>
      </c>
      <c r="D13" s="2">
        <v>12.8474368888619</v>
      </c>
      <c r="E13" t="str">
        <f t="shared" si="8"/>
        <v>Q4</v>
      </c>
      <c r="F13" s="15">
        <f t="shared" si="6"/>
        <v>14</v>
      </c>
      <c r="G13" s="15">
        <f t="shared" si="9"/>
        <v>14</v>
      </c>
      <c r="H13" s="20">
        <v>16.310374730480401</v>
      </c>
      <c r="I13" s="4">
        <f t="shared" si="0"/>
        <v>0.16502676646288572</v>
      </c>
      <c r="K13" t="s">
        <v>225</v>
      </c>
      <c r="L13" t="s">
        <v>230</v>
      </c>
      <c r="M13" t="str">
        <f t="shared" si="7"/>
        <v>superQ4</v>
      </c>
      <c r="N13" s="1">
        <f t="shared" si="1"/>
        <v>13.132072014658817</v>
      </c>
      <c r="O13" s="1">
        <f t="shared" si="2"/>
        <v>12.6116586406919</v>
      </c>
      <c r="P13" s="1">
        <f t="shared" si="3"/>
        <v>13.7186862162879</v>
      </c>
      <c r="Q13" s="1"/>
      <c r="R13" s="11">
        <f t="shared" si="4"/>
        <v>-1</v>
      </c>
      <c r="S13" s="3">
        <f>+$N$13</f>
        <v>13.132072014658817</v>
      </c>
      <c r="T13" s="4">
        <f t="shared" si="5"/>
        <v>0</v>
      </c>
      <c r="U13" s="5">
        <f>+ROUNDUP(U14/2*100,0)/100</f>
        <v>0.04</v>
      </c>
    </row>
    <row r="14" spans="1:24" x14ac:dyDescent="0.3">
      <c r="A14" t="s">
        <v>148</v>
      </c>
      <c r="B14" t="s">
        <v>224</v>
      </c>
      <c r="C14" t="s">
        <v>149</v>
      </c>
      <c r="D14" s="2">
        <v>12.7406669577542</v>
      </c>
      <c r="E14" t="str">
        <f t="shared" si="8"/>
        <v>Q4</v>
      </c>
      <c r="F14" s="15">
        <f t="shared" si="6"/>
        <v>14</v>
      </c>
      <c r="G14" s="15">
        <f t="shared" si="9"/>
        <v>14</v>
      </c>
      <c r="H14" s="20">
        <v>13.801333546674099</v>
      </c>
      <c r="I14" s="4">
        <f t="shared" si="0"/>
        <v>-1.4190460951850059E-2</v>
      </c>
      <c r="K14" t="s">
        <v>225</v>
      </c>
      <c r="L14" t="s">
        <v>229</v>
      </c>
      <c r="M14" t="str">
        <f t="shared" si="7"/>
        <v>superQ3</v>
      </c>
      <c r="N14" s="1">
        <f t="shared" si="1"/>
        <v>11.822051222744983</v>
      </c>
      <c r="O14" s="1">
        <f t="shared" si="2"/>
        <v>11.4277920984189</v>
      </c>
      <c r="P14" s="1">
        <f t="shared" si="3"/>
        <v>12.3709770266299</v>
      </c>
      <c r="Q14" s="14">
        <f>+N13</f>
        <v>13.132072014658817</v>
      </c>
      <c r="R14" s="11">
        <f t="shared" si="4"/>
        <v>0.11</v>
      </c>
      <c r="S14" s="3">
        <f>+$N$13</f>
        <v>13.132072014658817</v>
      </c>
      <c r="T14" s="4">
        <f t="shared" si="5"/>
        <v>0.11081163219741641</v>
      </c>
      <c r="U14" s="5">
        <f>ROUND((T14*100*$X$1),0)/100</f>
        <v>0.08</v>
      </c>
    </row>
    <row r="15" spans="1:24" x14ac:dyDescent="0.3">
      <c r="A15" t="s">
        <v>154</v>
      </c>
      <c r="B15" t="s">
        <v>224</v>
      </c>
      <c r="C15" t="s">
        <v>155</v>
      </c>
      <c r="D15" s="2">
        <v>12.7401131273299</v>
      </c>
      <c r="E15" t="str">
        <f t="shared" si="8"/>
        <v>Q4</v>
      </c>
      <c r="F15" s="15">
        <f t="shared" si="6"/>
        <v>14</v>
      </c>
      <c r="G15" s="15">
        <f t="shared" si="9"/>
        <v>14</v>
      </c>
      <c r="H15" s="20">
        <v>15.2423687741218</v>
      </c>
      <c r="I15" s="4">
        <f t="shared" si="0"/>
        <v>8.8740626722985771E-2</v>
      </c>
      <c r="K15" t="s">
        <v>225</v>
      </c>
      <c r="L15" t="s">
        <v>228</v>
      </c>
      <c r="M15" t="str">
        <f t="shared" si="7"/>
        <v>superQ2</v>
      </c>
      <c r="N15" s="1">
        <f t="shared" si="1"/>
        <v>11.100660245238982</v>
      </c>
      <c r="O15" s="1">
        <f t="shared" si="2"/>
        <v>10.862910231506699</v>
      </c>
      <c r="P15" s="1">
        <f t="shared" si="3"/>
        <v>11.279262475105</v>
      </c>
      <c r="Q15" s="14">
        <f>+N14</f>
        <v>11.822051222744983</v>
      </c>
      <c r="R15" s="11">
        <f t="shared" si="4"/>
        <v>0.06</v>
      </c>
      <c r="S15" s="3">
        <f>+$N$13</f>
        <v>13.132072014658817</v>
      </c>
      <c r="T15" s="4">
        <f t="shared" si="5"/>
        <v>0.18299918424141448</v>
      </c>
      <c r="U15" s="5">
        <f>ROUND((T15*100*$X$1),0)/100</f>
        <v>0.14000000000000001</v>
      </c>
    </row>
    <row r="16" spans="1:24" x14ac:dyDescent="0.3">
      <c r="A16" t="s">
        <v>106</v>
      </c>
      <c r="B16" t="s">
        <v>224</v>
      </c>
      <c r="C16" t="s">
        <v>107</v>
      </c>
      <c r="D16" s="2">
        <v>12.698497735573101</v>
      </c>
      <c r="E16" t="str">
        <f t="shared" si="8"/>
        <v>Q4</v>
      </c>
      <c r="F16" s="15">
        <f t="shared" si="6"/>
        <v>13.5</v>
      </c>
      <c r="G16" s="15">
        <f t="shared" si="9"/>
        <v>13.5</v>
      </c>
      <c r="H16" s="20">
        <v>14.341935951924601</v>
      </c>
      <c r="I16" s="4">
        <f t="shared" si="0"/>
        <v>6.2365626068489055E-2</v>
      </c>
      <c r="K16" t="s">
        <v>225</v>
      </c>
      <c r="L16" t="s">
        <v>227</v>
      </c>
      <c r="M16" t="str">
        <f t="shared" si="7"/>
        <v>superQ1</v>
      </c>
      <c r="N16" s="1">
        <f t="shared" si="1"/>
        <v>10.138575986218902</v>
      </c>
      <c r="O16" s="1">
        <f t="shared" si="2"/>
        <v>9.4492172258189004</v>
      </c>
      <c r="P16" s="1">
        <f t="shared" si="3"/>
        <v>10.813509144796701</v>
      </c>
      <c r="Q16" s="14">
        <f>+N15</f>
        <v>11.100660245238982</v>
      </c>
      <c r="R16" s="11">
        <f t="shared" si="4"/>
        <v>0.09</v>
      </c>
      <c r="S16" s="3">
        <f>+$N$13</f>
        <v>13.132072014658817</v>
      </c>
      <c r="T16" s="4">
        <f t="shared" si="5"/>
        <v>0.2952580354981702</v>
      </c>
      <c r="U16" s="5">
        <f>ROUND((T16*100*$X$1),0)/100</f>
        <v>0.22</v>
      </c>
    </row>
    <row r="17" spans="1:21" x14ac:dyDescent="0.3">
      <c r="A17" t="s">
        <v>56</v>
      </c>
      <c r="B17" t="s">
        <v>224</v>
      </c>
      <c r="C17" t="s">
        <v>57</v>
      </c>
      <c r="D17" s="2">
        <v>12.6509223786547</v>
      </c>
      <c r="E17" t="str">
        <f t="shared" si="8"/>
        <v>Q4</v>
      </c>
      <c r="F17" s="15">
        <f t="shared" si="6"/>
        <v>13.5</v>
      </c>
      <c r="G17" s="15">
        <f t="shared" si="9"/>
        <v>13.5</v>
      </c>
      <c r="H17" s="20">
        <v>12.4202230156938</v>
      </c>
      <c r="I17" s="4">
        <f t="shared" si="0"/>
        <v>-7.9983480318977729E-2</v>
      </c>
      <c r="K17" t="s">
        <v>223</v>
      </c>
      <c r="L17" t="s">
        <v>230</v>
      </c>
      <c r="M17" t="str">
        <f t="shared" si="7"/>
        <v>VivandaQ4</v>
      </c>
      <c r="N17" s="1">
        <f t="shared" si="1"/>
        <v>9.3248458467840045</v>
      </c>
      <c r="O17" s="1">
        <f t="shared" si="2"/>
        <v>9.0600520357470007</v>
      </c>
      <c r="P17" s="1">
        <f t="shared" si="3"/>
        <v>9.5896396578210101</v>
      </c>
      <c r="Q17" s="1"/>
      <c r="R17" s="11">
        <f t="shared" si="4"/>
        <v>-1</v>
      </c>
      <c r="S17" s="3">
        <f>+$N$17</f>
        <v>9.3248458467840045</v>
      </c>
      <c r="T17" s="4">
        <f t="shared" si="5"/>
        <v>0</v>
      </c>
      <c r="U17" s="5">
        <f>+ROUNDUP(U18/2*100,0)/100</f>
        <v>0.02</v>
      </c>
    </row>
    <row r="18" spans="1:21" x14ac:dyDescent="0.3">
      <c r="A18" t="s">
        <v>184</v>
      </c>
      <c r="B18" t="s">
        <v>224</v>
      </c>
      <c r="C18" t="s">
        <v>185</v>
      </c>
      <c r="D18" s="2">
        <v>12.5744588307225</v>
      </c>
      <c r="E18" t="str">
        <f t="shared" si="8"/>
        <v>Q4</v>
      </c>
      <c r="F18" s="15">
        <f t="shared" si="6"/>
        <v>13.5</v>
      </c>
      <c r="G18" s="15">
        <f t="shared" si="9"/>
        <v>13.5</v>
      </c>
      <c r="H18" s="20">
        <v>13.011434749022399</v>
      </c>
      <c r="I18" s="4">
        <f t="shared" si="0"/>
        <v>-3.6190018590933404E-2</v>
      </c>
      <c r="K18" t="s">
        <v>223</v>
      </c>
      <c r="L18" t="s">
        <v>229</v>
      </c>
      <c r="M18" t="str">
        <f t="shared" si="7"/>
        <v>VivandaQ3</v>
      </c>
      <c r="N18" s="1">
        <f t="shared" si="1"/>
        <v>8.8302655110083208</v>
      </c>
      <c r="O18" s="1">
        <f t="shared" si="2"/>
        <v>8.8302655110083208</v>
      </c>
      <c r="P18" s="1">
        <f t="shared" si="3"/>
        <v>8.8302655110083208</v>
      </c>
      <c r="Q18" s="1"/>
      <c r="R18" s="11">
        <f t="shared" si="4"/>
        <v>-1</v>
      </c>
      <c r="S18" s="3">
        <f>+$N$17</f>
        <v>9.3248458467840045</v>
      </c>
      <c r="T18" s="4">
        <f t="shared" si="5"/>
        <v>5.6009678888943037E-2</v>
      </c>
      <c r="U18" s="5">
        <f>ROUND((T18*100*$X$1),0)/100</f>
        <v>0.04</v>
      </c>
    </row>
    <row r="19" spans="1:21" x14ac:dyDescent="0.3">
      <c r="A19" t="s">
        <v>172</v>
      </c>
      <c r="B19" t="s">
        <v>224</v>
      </c>
      <c r="C19" t="s">
        <v>173</v>
      </c>
      <c r="D19" s="2">
        <v>12.4898340894221</v>
      </c>
      <c r="E19" t="str">
        <f t="shared" si="8"/>
        <v>Q4</v>
      </c>
      <c r="F19" s="15">
        <f t="shared" si="6"/>
        <v>13.5</v>
      </c>
      <c r="G19" s="15">
        <f t="shared" si="9"/>
        <v>13.5</v>
      </c>
      <c r="H19" s="20">
        <v>15.2350189356188</v>
      </c>
      <c r="I19" s="4">
        <f t="shared" si="0"/>
        <v>0.1285199211569481</v>
      </c>
      <c r="K19" t="s">
        <v>223</v>
      </c>
      <c r="L19" t="s">
        <v>228</v>
      </c>
      <c r="M19" t="str">
        <f t="shared" si="7"/>
        <v>VivandaQ2</v>
      </c>
      <c r="N19" s="1">
        <f t="shared" si="1"/>
        <v>8.7872746974041451</v>
      </c>
      <c r="O19" s="1">
        <f t="shared" si="2"/>
        <v>8.7616763166956204</v>
      </c>
      <c r="P19" s="1">
        <f t="shared" si="3"/>
        <v>8.8128730781126698</v>
      </c>
      <c r="Q19" s="1"/>
      <c r="R19" s="11">
        <f t="shared" si="4"/>
        <v>-1</v>
      </c>
      <c r="S19" s="3">
        <f>+$N$17</f>
        <v>9.3248458467840045</v>
      </c>
      <c r="T19" s="4">
        <f t="shared" si="5"/>
        <v>6.1176094738299547E-2</v>
      </c>
      <c r="U19" s="5">
        <f>ROUND((T19*100*$X$1),0)/100</f>
        <v>0.05</v>
      </c>
    </row>
    <row r="20" spans="1:21" x14ac:dyDescent="0.3">
      <c r="A20" t="s">
        <v>90</v>
      </c>
      <c r="B20" t="s">
        <v>224</v>
      </c>
      <c r="C20" t="s">
        <v>91</v>
      </c>
      <c r="D20" s="2">
        <v>12.392118226810799</v>
      </c>
      <c r="E20" t="str">
        <f t="shared" si="8"/>
        <v>Q4</v>
      </c>
      <c r="F20" s="15">
        <f t="shared" si="6"/>
        <v>13.5</v>
      </c>
      <c r="G20" s="15">
        <f t="shared" si="9"/>
        <v>13.5</v>
      </c>
      <c r="H20" s="20">
        <v>15.234053917430799</v>
      </c>
      <c r="I20" s="4">
        <f t="shared" si="0"/>
        <v>0.1284484383282074</v>
      </c>
      <c r="K20" t="s">
        <v>223</v>
      </c>
      <c r="L20" t="s">
        <v>227</v>
      </c>
      <c r="M20" t="str">
        <f t="shared" si="7"/>
        <v>VivandaQ1</v>
      </c>
      <c r="N20" s="1">
        <f t="shared" si="1"/>
        <v>8.2655268619899545</v>
      </c>
      <c r="O20" s="1">
        <f t="shared" si="2"/>
        <v>7.8680897046366001</v>
      </c>
      <c r="P20" s="1">
        <f t="shared" si="3"/>
        <v>8.6629640193433097</v>
      </c>
      <c r="Q20" s="1"/>
      <c r="R20" s="11">
        <f t="shared" si="4"/>
        <v>-1</v>
      </c>
      <c r="S20" s="3">
        <f>+$N$17</f>
        <v>9.3248458467840045</v>
      </c>
      <c r="T20" s="4">
        <f t="shared" si="5"/>
        <v>0.12816109638037232</v>
      </c>
      <c r="U20" s="5">
        <f>ROUND((T20*100*$X$1),0)/100</f>
        <v>0.1</v>
      </c>
    </row>
    <row r="21" spans="1:21" x14ac:dyDescent="0.3">
      <c r="A21">
        <v>1198</v>
      </c>
      <c r="B21" t="s">
        <v>224</v>
      </c>
      <c r="C21" t="s">
        <v>2</v>
      </c>
      <c r="D21" s="2">
        <v>12.2694382335818</v>
      </c>
      <c r="E21" t="str">
        <f t="shared" si="8"/>
        <v>Q4</v>
      </c>
      <c r="F21" s="21">
        <f t="shared" si="6"/>
        <v>13.5</v>
      </c>
      <c r="G21" s="15">
        <f t="shared" si="9"/>
        <v>13.5</v>
      </c>
      <c r="H21" s="20">
        <v>15.334581329168399</v>
      </c>
      <c r="I21" s="4">
        <f t="shared" si="0"/>
        <v>0.13589491327173331</v>
      </c>
    </row>
    <row r="22" spans="1:21" x14ac:dyDescent="0.3">
      <c r="A22">
        <v>1593</v>
      </c>
      <c r="B22" t="s">
        <v>224</v>
      </c>
      <c r="C22" t="s">
        <v>4</v>
      </c>
      <c r="D22" s="2">
        <v>12.2618070234677</v>
      </c>
      <c r="E22" t="str">
        <f t="shared" si="8"/>
        <v>Q4</v>
      </c>
      <c r="F22" s="21">
        <f t="shared" si="6"/>
        <v>13</v>
      </c>
      <c r="G22" s="15">
        <f t="shared" si="9"/>
        <v>13</v>
      </c>
      <c r="H22" s="20">
        <v>14.5581490469164</v>
      </c>
      <c r="I22" s="4">
        <f t="shared" si="0"/>
        <v>0.11985761899356917</v>
      </c>
    </row>
    <row r="23" spans="1:21" x14ac:dyDescent="0.3">
      <c r="A23" t="s">
        <v>68</v>
      </c>
      <c r="B23" t="s">
        <v>224</v>
      </c>
      <c r="C23" t="s">
        <v>69</v>
      </c>
      <c r="D23" s="2">
        <v>11.896284637131901</v>
      </c>
      <c r="E23" t="str">
        <f t="shared" si="8"/>
        <v>Q4</v>
      </c>
      <c r="F23" s="21">
        <f t="shared" si="6"/>
        <v>13</v>
      </c>
      <c r="G23" s="15">
        <f t="shared" si="9"/>
        <v>13</v>
      </c>
      <c r="H23" s="20">
        <v>12.737633379829701</v>
      </c>
      <c r="I23" s="4">
        <f t="shared" si="0"/>
        <v>-2.0182047705407657E-2</v>
      </c>
    </row>
    <row r="24" spans="1:21" x14ac:dyDescent="0.3">
      <c r="A24" t="s">
        <v>188</v>
      </c>
      <c r="B24" t="s">
        <v>224</v>
      </c>
      <c r="C24" t="s">
        <v>189</v>
      </c>
      <c r="D24" s="2">
        <v>11.888075718871001</v>
      </c>
      <c r="E24" t="str">
        <f t="shared" si="8"/>
        <v>Q4</v>
      </c>
      <c r="F24" s="21">
        <f t="shared" si="6"/>
        <v>13</v>
      </c>
      <c r="G24" s="15">
        <f t="shared" si="9"/>
        <v>13</v>
      </c>
      <c r="H24" s="20">
        <v>13.3987526458248</v>
      </c>
      <c r="I24" s="4">
        <f t="shared" si="0"/>
        <v>3.0673280448061613E-2</v>
      </c>
    </row>
    <row r="25" spans="1:21" x14ac:dyDescent="0.3">
      <c r="A25" t="s">
        <v>98</v>
      </c>
      <c r="B25" t="s">
        <v>224</v>
      </c>
      <c r="C25" t="s">
        <v>99</v>
      </c>
      <c r="D25" s="2">
        <v>11.883662920842101</v>
      </c>
      <c r="E25" t="str">
        <f t="shared" si="8"/>
        <v>Q3</v>
      </c>
      <c r="F25" s="15">
        <f t="shared" si="6"/>
        <v>13.5</v>
      </c>
      <c r="G25" s="15">
        <f t="shared" si="9"/>
        <v>13</v>
      </c>
      <c r="H25" s="20">
        <v>12.4997637779208</v>
      </c>
      <c r="I25" s="4">
        <f t="shared" si="0"/>
        <v>-3.8479709390707773E-2</v>
      </c>
    </row>
    <row r="26" spans="1:21" x14ac:dyDescent="0.3">
      <c r="A26" t="s">
        <v>174</v>
      </c>
      <c r="B26" t="s">
        <v>224</v>
      </c>
      <c r="C26" t="s">
        <v>175</v>
      </c>
      <c r="D26" s="2">
        <v>11.721871797477601</v>
      </c>
      <c r="E26" t="str">
        <f t="shared" si="8"/>
        <v>Q3</v>
      </c>
      <c r="F26" s="15">
        <f t="shared" si="6"/>
        <v>13.5</v>
      </c>
      <c r="G26" s="15">
        <f t="shared" si="9"/>
        <v>13</v>
      </c>
      <c r="H26" s="20">
        <v>13.7079785535191</v>
      </c>
      <c r="I26" s="4">
        <f t="shared" si="0"/>
        <v>5.4459888732238504E-2</v>
      </c>
    </row>
    <row r="27" spans="1:21" x14ac:dyDescent="0.3">
      <c r="A27" t="s">
        <v>6</v>
      </c>
      <c r="B27" t="s">
        <v>224</v>
      </c>
      <c r="C27" t="s">
        <v>7</v>
      </c>
      <c r="D27" s="2">
        <v>11.5958440802687</v>
      </c>
      <c r="E27" t="str">
        <f t="shared" si="8"/>
        <v>Q3</v>
      </c>
      <c r="F27" s="15">
        <f t="shared" si="6"/>
        <v>13</v>
      </c>
      <c r="G27" s="15">
        <f t="shared" si="9"/>
        <v>13</v>
      </c>
      <c r="H27" s="20">
        <v>12.8484195846028</v>
      </c>
      <c r="I27" s="4">
        <f t="shared" si="0"/>
        <v>-1.1660031953630745E-2</v>
      </c>
    </row>
    <row r="28" spans="1:21" x14ac:dyDescent="0.3">
      <c r="A28" t="s">
        <v>96</v>
      </c>
      <c r="B28" t="s">
        <v>224</v>
      </c>
      <c r="C28" t="s">
        <v>97</v>
      </c>
      <c r="D28" s="2">
        <v>11.482755015607299</v>
      </c>
      <c r="E28" t="str">
        <f t="shared" si="8"/>
        <v>Q3</v>
      </c>
      <c r="F28" s="15">
        <f t="shared" si="6"/>
        <v>13</v>
      </c>
      <c r="G28" s="15">
        <f t="shared" si="9"/>
        <v>13</v>
      </c>
      <c r="H28" s="20">
        <v>14.2240163034958</v>
      </c>
      <c r="I28" s="4">
        <f t="shared" si="0"/>
        <v>9.415510026890761E-2</v>
      </c>
    </row>
    <row r="29" spans="1:21" x14ac:dyDescent="0.3">
      <c r="A29" t="s">
        <v>156</v>
      </c>
      <c r="B29" t="s">
        <v>224</v>
      </c>
      <c r="C29" t="s">
        <v>157</v>
      </c>
      <c r="D29" s="2">
        <v>11.3485999205577</v>
      </c>
      <c r="E29" t="str">
        <f t="shared" si="8"/>
        <v>Q3</v>
      </c>
      <c r="F29" s="15">
        <f t="shared" si="6"/>
        <v>13</v>
      </c>
      <c r="G29" s="15">
        <f t="shared" si="9"/>
        <v>13</v>
      </c>
      <c r="H29" s="20">
        <v>13.897573762188101</v>
      </c>
      <c r="I29" s="4">
        <f t="shared" si="0"/>
        <v>6.9044135552930763E-2</v>
      </c>
    </row>
    <row r="30" spans="1:21" x14ac:dyDescent="0.3">
      <c r="A30" t="s">
        <v>74</v>
      </c>
      <c r="B30" t="s">
        <v>224</v>
      </c>
      <c r="C30" t="s">
        <v>75</v>
      </c>
      <c r="D30" s="2">
        <v>11.3285660686005</v>
      </c>
      <c r="E30" t="str">
        <f t="shared" si="8"/>
        <v>Q3</v>
      </c>
      <c r="F30" s="15">
        <f t="shared" si="6"/>
        <v>13</v>
      </c>
      <c r="G30" s="15">
        <f t="shared" si="9"/>
        <v>13</v>
      </c>
      <c r="H30" s="20">
        <v>11.692946601732499</v>
      </c>
      <c r="I30" s="4">
        <f t="shared" si="0"/>
        <v>-0.10054256909750003</v>
      </c>
    </row>
    <row r="31" spans="1:21" x14ac:dyDescent="0.3">
      <c r="A31" t="s">
        <v>190</v>
      </c>
      <c r="B31" t="s">
        <v>224</v>
      </c>
      <c r="C31" t="s">
        <v>191</v>
      </c>
      <c r="D31" s="2">
        <v>11.307690184717201</v>
      </c>
      <c r="E31" t="str">
        <f t="shared" si="8"/>
        <v>Q3</v>
      </c>
      <c r="F31" s="15">
        <f t="shared" si="6"/>
        <v>13</v>
      </c>
      <c r="G31" s="15">
        <f t="shared" si="9"/>
        <v>13</v>
      </c>
      <c r="H31" s="20">
        <v>12.055029148304101</v>
      </c>
      <c r="I31" s="4">
        <f t="shared" si="0"/>
        <v>-7.269006551506918E-2</v>
      </c>
    </row>
    <row r="32" spans="1:21" x14ac:dyDescent="0.3">
      <c r="A32" t="s">
        <v>52</v>
      </c>
      <c r="B32" t="s">
        <v>224</v>
      </c>
      <c r="C32" t="s">
        <v>53</v>
      </c>
      <c r="D32" s="2">
        <v>11.2978957577555</v>
      </c>
      <c r="E32" t="str">
        <f t="shared" si="8"/>
        <v>Q3</v>
      </c>
      <c r="F32" s="15">
        <f t="shared" si="6"/>
        <v>13</v>
      </c>
      <c r="G32" s="15">
        <f t="shared" si="9"/>
        <v>13</v>
      </c>
      <c r="H32" s="20">
        <v>14.3673701642953</v>
      </c>
      <c r="I32" s="4">
        <f t="shared" si="0"/>
        <v>0.10518232033040764</v>
      </c>
    </row>
    <row r="33" spans="1:9" x14ac:dyDescent="0.3">
      <c r="A33">
        <v>1199</v>
      </c>
      <c r="B33" t="s">
        <v>224</v>
      </c>
      <c r="C33" t="s">
        <v>3</v>
      </c>
      <c r="D33" s="2">
        <v>11.2913687901695</v>
      </c>
      <c r="E33" t="str">
        <f t="shared" si="8"/>
        <v>Q3</v>
      </c>
      <c r="F33" s="15">
        <f t="shared" si="6"/>
        <v>13</v>
      </c>
      <c r="G33" s="15">
        <f t="shared" si="9"/>
        <v>13</v>
      </c>
      <c r="H33" s="20">
        <v>11.6969679865472</v>
      </c>
      <c r="I33" s="4">
        <f t="shared" si="0"/>
        <v>-0.10023323180406152</v>
      </c>
    </row>
    <row r="34" spans="1:9" x14ac:dyDescent="0.3">
      <c r="A34" t="s">
        <v>80</v>
      </c>
      <c r="B34" t="s">
        <v>224</v>
      </c>
      <c r="C34" t="s">
        <v>81</v>
      </c>
      <c r="D34" s="2">
        <v>11.2742156639417</v>
      </c>
      <c r="E34" t="str">
        <f t="shared" si="8"/>
        <v>Q3</v>
      </c>
      <c r="F34" s="15">
        <f t="shared" si="6"/>
        <v>13</v>
      </c>
      <c r="G34" s="15">
        <f t="shared" si="9"/>
        <v>13</v>
      </c>
      <c r="H34" s="20">
        <v>11.8254519990593</v>
      </c>
      <c r="I34" s="4">
        <f t="shared" si="0"/>
        <v>-9.0349846226207675E-2</v>
      </c>
    </row>
    <row r="35" spans="1:9" x14ac:dyDescent="0.3">
      <c r="A35" t="s">
        <v>150</v>
      </c>
      <c r="B35" t="s">
        <v>224</v>
      </c>
      <c r="C35" t="s">
        <v>151</v>
      </c>
      <c r="D35" s="2">
        <v>11.269711075024199</v>
      </c>
      <c r="E35" t="str">
        <f t="shared" si="8"/>
        <v>Q3</v>
      </c>
      <c r="F35" s="15">
        <f t="shared" si="6"/>
        <v>13</v>
      </c>
      <c r="G35" s="15">
        <f t="shared" si="9"/>
        <v>13</v>
      </c>
      <c r="H35" s="20">
        <v>12.3203892071258</v>
      </c>
      <c r="I35" s="4">
        <f t="shared" si="0"/>
        <v>-5.2277753298015428E-2</v>
      </c>
    </row>
    <row r="36" spans="1:9" x14ac:dyDescent="0.3">
      <c r="A36" t="s">
        <v>22</v>
      </c>
      <c r="B36" t="s">
        <v>224</v>
      </c>
      <c r="C36" t="s">
        <v>23</v>
      </c>
      <c r="D36" s="2">
        <v>11.1664503576696</v>
      </c>
      <c r="E36" t="str">
        <f t="shared" si="8"/>
        <v>Q3</v>
      </c>
      <c r="F36" s="15">
        <f t="shared" si="6"/>
        <v>12.5</v>
      </c>
      <c r="G36" s="15">
        <f t="shared" si="9"/>
        <v>12.5</v>
      </c>
      <c r="H36" s="20">
        <v>11.817497986287201</v>
      </c>
      <c r="I36" s="4">
        <f t="shared" si="0"/>
        <v>-5.4600161097023925E-2</v>
      </c>
    </row>
    <row r="37" spans="1:9" x14ac:dyDescent="0.3">
      <c r="A37" t="s">
        <v>82</v>
      </c>
      <c r="B37" t="s">
        <v>224</v>
      </c>
      <c r="C37" t="s">
        <v>83</v>
      </c>
      <c r="D37" s="2">
        <v>11.115841298001801</v>
      </c>
      <c r="E37" t="str">
        <f t="shared" si="8"/>
        <v>Q3</v>
      </c>
      <c r="F37" s="15">
        <f t="shared" si="6"/>
        <v>12.5</v>
      </c>
      <c r="G37" s="15">
        <f t="shared" si="9"/>
        <v>12.5</v>
      </c>
      <c r="H37" s="20">
        <v>12.7692166974798</v>
      </c>
      <c r="I37" s="4">
        <f t="shared" si="0"/>
        <v>2.1537335798384127E-2</v>
      </c>
    </row>
    <row r="38" spans="1:9" x14ac:dyDescent="0.3">
      <c r="A38" t="s">
        <v>132</v>
      </c>
      <c r="B38" t="s">
        <v>224</v>
      </c>
      <c r="C38" t="s">
        <v>133</v>
      </c>
      <c r="D38" s="2">
        <v>11.0966693377304</v>
      </c>
      <c r="E38" t="str">
        <f t="shared" si="8"/>
        <v>Q3</v>
      </c>
      <c r="F38" s="15">
        <f t="shared" si="6"/>
        <v>12.5</v>
      </c>
      <c r="G38" s="15">
        <f t="shared" si="9"/>
        <v>12.5</v>
      </c>
      <c r="H38" s="20">
        <v>13.4577305571142</v>
      </c>
      <c r="I38" s="4">
        <f t="shared" si="0"/>
        <v>7.6618444569136024E-2</v>
      </c>
    </row>
    <row r="39" spans="1:9" x14ac:dyDescent="0.3">
      <c r="A39" t="s">
        <v>92</v>
      </c>
      <c r="B39" t="s">
        <v>224</v>
      </c>
      <c r="C39" t="s">
        <v>93</v>
      </c>
      <c r="D39" s="2">
        <v>10.945386229867101</v>
      </c>
      <c r="E39" t="str">
        <f t="shared" si="8"/>
        <v>Q3</v>
      </c>
      <c r="F39" s="15">
        <f t="shared" si="6"/>
        <v>12.5</v>
      </c>
      <c r="G39" s="15">
        <f t="shared" si="9"/>
        <v>12.5</v>
      </c>
      <c r="H39" s="20">
        <v>11.428952383044299</v>
      </c>
      <c r="I39" s="4">
        <f t="shared" si="0"/>
        <v>-8.5683809356456031E-2</v>
      </c>
    </row>
    <row r="40" spans="1:9" x14ac:dyDescent="0.3">
      <c r="A40" t="s">
        <v>182</v>
      </c>
      <c r="B40" t="s">
        <v>224</v>
      </c>
      <c r="C40" t="s">
        <v>183</v>
      </c>
      <c r="D40" s="2">
        <v>10.8710615164544</v>
      </c>
      <c r="E40" t="str">
        <f t="shared" si="8"/>
        <v>Q3</v>
      </c>
      <c r="F40" s="15">
        <f t="shared" si="6"/>
        <v>12.5</v>
      </c>
      <c r="G40" s="15">
        <f t="shared" si="9"/>
        <v>12.5</v>
      </c>
      <c r="H40" s="20">
        <v>11.543086943275201</v>
      </c>
      <c r="I40" s="4">
        <f t="shared" si="0"/>
        <v>-7.655304453798395E-2</v>
      </c>
    </row>
    <row r="41" spans="1:9" x14ac:dyDescent="0.3">
      <c r="A41" t="s">
        <v>88</v>
      </c>
      <c r="B41" t="s">
        <v>224</v>
      </c>
      <c r="C41" t="s">
        <v>89</v>
      </c>
      <c r="D41" s="2">
        <v>10.822857485835801</v>
      </c>
      <c r="E41" t="str">
        <f t="shared" si="8"/>
        <v>Q3</v>
      </c>
      <c r="F41" s="15">
        <f t="shared" si="6"/>
        <v>12.5</v>
      </c>
      <c r="G41" s="15">
        <f t="shared" si="9"/>
        <v>12.5</v>
      </c>
      <c r="H41" s="20">
        <v>12.277408655524599</v>
      </c>
      <c r="I41" s="4">
        <f t="shared" si="0"/>
        <v>-1.7807307558032059E-2</v>
      </c>
    </row>
    <row r="42" spans="1:9" x14ac:dyDescent="0.3">
      <c r="A42" t="s">
        <v>20</v>
      </c>
      <c r="B42" t="s">
        <v>224</v>
      </c>
      <c r="C42" t="s">
        <v>21</v>
      </c>
      <c r="D42" s="2">
        <v>10.6635348037093</v>
      </c>
      <c r="E42" t="str">
        <f t="shared" si="8"/>
        <v>Q3</v>
      </c>
      <c r="F42" s="21">
        <f t="shared" si="6"/>
        <v>12</v>
      </c>
      <c r="G42" s="15">
        <f t="shared" si="9"/>
        <v>12.5</v>
      </c>
      <c r="H42" s="20">
        <v>11.308542233646399</v>
      </c>
      <c r="I42" s="4">
        <f t="shared" si="0"/>
        <v>-9.5316621308288108E-2</v>
      </c>
    </row>
    <row r="43" spans="1:9" x14ac:dyDescent="0.3">
      <c r="A43" t="s">
        <v>54</v>
      </c>
      <c r="B43" t="s">
        <v>224</v>
      </c>
      <c r="C43" t="s">
        <v>55</v>
      </c>
      <c r="D43" s="2">
        <v>10.640368007360699</v>
      </c>
      <c r="E43" t="str">
        <f t="shared" si="8"/>
        <v>Q2</v>
      </c>
      <c r="F43" s="21">
        <f t="shared" si="6"/>
        <v>13</v>
      </c>
      <c r="G43" s="15">
        <f t="shared" si="9"/>
        <v>12.5</v>
      </c>
      <c r="H43" s="20">
        <v>12.260089494163401</v>
      </c>
      <c r="I43" s="4">
        <f t="shared" si="0"/>
        <v>-1.919284046692793E-2</v>
      </c>
    </row>
    <row r="44" spans="1:9" x14ac:dyDescent="0.3">
      <c r="A44" t="s">
        <v>10</v>
      </c>
      <c r="B44" t="s">
        <v>224</v>
      </c>
      <c r="C44" t="s">
        <v>11</v>
      </c>
      <c r="D44" s="2">
        <v>10.5785718306948</v>
      </c>
      <c r="E44" t="str">
        <f t="shared" si="8"/>
        <v>Q2</v>
      </c>
      <c r="F44" s="15">
        <f t="shared" si="6"/>
        <v>12.5</v>
      </c>
      <c r="G44" s="15">
        <f t="shared" si="9"/>
        <v>12.5</v>
      </c>
      <c r="H44" s="20">
        <v>11.419083053767499</v>
      </c>
      <c r="I44" s="4">
        <f t="shared" si="0"/>
        <v>-8.6473355698600041E-2</v>
      </c>
    </row>
    <row r="45" spans="1:9" x14ac:dyDescent="0.3">
      <c r="A45" t="s">
        <v>178</v>
      </c>
      <c r="B45" t="s">
        <v>224</v>
      </c>
      <c r="C45" t="s">
        <v>179</v>
      </c>
      <c r="D45" s="2">
        <v>10.5667983871329</v>
      </c>
      <c r="E45" t="str">
        <f t="shared" si="8"/>
        <v>Q2</v>
      </c>
      <c r="F45" s="15">
        <f t="shared" si="6"/>
        <v>12.5</v>
      </c>
      <c r="G45" s="15">
        <f t="shared" si="9"/>
        <v>12.5</v>
      </c>
      <c r="H45" s="20">
        <v>11.733610198604801</v>
      </c>
      <c r="I45" s="4">
        <f t="shared" si="0"/>
        <v>-6.1311184111615957E-2</v>
      </c>
    </row>
    <row r="46" spans="1:9" x14ac:dyDescent="0.3">
      <c r="A46" t="s">
        <v>62</v>
      </c>
      <c r="B46" t="s">
        <v>224</v>
      </c>
      <c r="C46" t="s">
        <v>63</v>
      </c>
      <c r="D46" s="2">
        <v>10.5601954492045</v>
      </c>
      <c r="E46" t="str">
        <f t="shared" si="8"/>
        <v>Q2</v>
      </c>
      <c r="F46" s="15">
        <f t="shared" si="6"/>
        <v>12.5</v>
      </c>
      <c r="G46" s="15">
        <f t="shared" si="9"/>
        <v>12.5</v>
      </c>
      <c r="H46" s="20">
        <v>11.650875317293799</v>
      </c>
      <c r="I46" s="4">
        <f t="shared" si="0"/>
        <v>-6.792997461649608E-2</v>
      </c>
    </row>
    <row r="47" spans="1:9" x14ac:dyDescent="0.3">
      <c r="A47" t="s">
        <v>198</v>
      </c>
      <c r="B47" t="s">
        <v>224</v>
      </c>
      <c r="C47" t="s">
        <v>199</v>
      </c>
      <c r="D47" s="2">
        <v>10.545497560847</v>
      </c>
      <c r="E47" t="str">
        <f t="shared" si="8"/>
        <v>Q2</v>
      </c>
      <c r="F47" s="15">
        <f t="shared" si="6"/>
        <v>12.5</v>
      </c>
      <c r="G47" s="15">
        <f t="shared" si="9"/>
        <v>12.5</v>
      </c>
      <c r="H47" s="20">
        <v>13.186410982672699</v>
      </c>
      <c r="I47" s="4">
        <f t="shared" si="0"/>
        <v>5.4912878613815996E-2</v>
      </c>
    </row>
    <row r="48" spans="1:9" x14ac:dyDescent="0.3">
      <c r="A48" t="s">
        <v>94</v>
      </c>
      <c r="B48" t="s">
        <v>224</v>
      </c>
      <c r="C48" t="s">
        <v>95</v>
      </c>
      <c r="D48" s="2">
        <v>10.5182330806864</v>
      </c>
      <c r="E48" t="str">
        <f t="shared" si="8"/>
        <v>Q2</v>
      </c>
      <c r="F48" s="15">
        <f t="shared" si="6"/>
        <v>12.5</v>
      </c>
      <c r="G48" s="15">
        <f t="shared" si="9"/>
        <v>12.5</v>
      </c>
      <c r="H48" s="20">
        <v>12.9464780174164</v>
      </c>
      <c r="I48" s="4">
        <f t="shared" si="0"/>
        <v>3.5718241393311922E-2</v>
      </c>
    </row>
    <row r="49" spans="1:9" x14ac:dyDescent="0.3">
      <c r="A49" t="s">
        <v>64</v>
      </c>
      <c r="B49" t="s">
        <v>224</v>
      </c>
      <c r="C49" t="s">
        <v>65</v>
      </c>
      <c r="D49" s="2">
        <v>10.49830899847</v>
      </c>
      <c r="E49" t="str">
        <f t="shared" si="8"/>
        <v>Q2</v>
      </c>
      <c r="F49" s="15">
        <f t="shared" si="6"/>
        <v>12.5</v>
      </c>
      <c r="G49" s="15">
        <f t="shared" si="9"/>
        <v>12.5</v>
      </c>
      <c r="H49" s="20">
        <v>12.7883864993166</v>
      </c>
      <c r="I49" s="4">
        <f t="shared" si="0"/>
        <v>2.3070919945328061E-2</v>
      </c>
    </row>
    <row r="50" spans="1:9" x14ac:dyDescent="0.3">
      <c r="A50" t="s">
        <v>70</v>
      </c>
      <c r="B50" t="s">
        <v>224</v>
      </c>
      <c r="C50" t="s">
        <v>71</v>
      </c>
      <c r="D50" s="2">
        <v>10.4822209278428</v>
      </c>
      <c r="E50" t="str">
        <f t="shared" si="8"/>
        <v>Q2</v>
      </c>
      <c r="F50" s="15">
        <f t="shared" si="6"/>
        <v>12.5</v>
      </c>
      <c r="G50" s="15">
        <f t="shared" ref="G50:G76" si="10">+MODE(F48:F52)</f>
        <v>12.5</v>
      </c>
      <c r="H50" s="20">
        <v>14.1713203161374</v>
      </c>
      <c r="I50" s="4">
        <f t="shared" si="0"/>
        <v>0.13370562529099206</v>
      </c>
    </row>
    <row r="51" spans="1:9" x14ac:dyDescent="0.3">
      <c r="A51" t="s">
        <v>110</v>
      </c>
      <c r="B51" t="s">
        <v>224</v>
      </c>
      <c r="C51" t="s">
        <v>111</v>
      </c>
      <c r="D51" s="2">
        <v>10.4755248653378</v>
      </c>
      <c r="E51" t="str">
        <f t="shared" si="8"/>
        <v>Q2</v>
      </c>
      <c r="F51" s="15">
        <f t="shared" si="6"/>
        <v>12.5</v>
      </c>
      <c r="G51" s="15">
        <f t="shared" si="10"/>
        <v>12.5</v>
      </c>
      <c r="H51" s="20">
        <v>10.962879750608501</v>
      </c>
      <c r="I51" s="4">
        <f t="shared" si="0"/>
        <v>-0.12296961995131994</v>
      </c>
    </row>
    <row r="52" spans="1:9" x14ac:dyDescent="0.3">
      <c r="A52" t="s">
        <v>176</v>
      </c>
      <c r="B52" t="s">
        <v>224</v>
      </c>
      <c r="C52" t="s">
        <v>177</v>
      </c>
      <c r="D52" s="2">
        <v>10.471396348979299</v>
      </c>
      <c r="E52" t="str">
        <f t="shared" si="8"/>
        <v>Q2</v>
      </c>
      <c r="F52" s="15">
        <f t="shared" si="6"/>
        <v>12.5</v>
      </c>
      <c r="G52" s="15">
        <f t="shared" si="10"/>
        <v>12.5</v>
      </c>
      <c r="H52" s="20">
        <v>11.5901444644146</v>
      </c>
      <c r="I52" s="4">
        <f t="shared" si="0"/>
        <v>-7.2788442846832058E-2</v>
      </c>
    </row>
    <row r="53" spans="1:9" x14ac:dyDescent="0.3">
      <c r="A53" t="s">
        <v>152</v>
      </c>
      <c r="B53" t="s">
        <v>224</v>
      </c>
      <c r="C53" t="s">
        <v>153</v>
      </c>
      <c r="D53" s="2">
        <v>10.358677333481401</v>
      </c>
      <c r="E53" t="str">
        <f t="shared" si="8"/>
        <v>Q2</v>
      </c>
      <c r="F53" s="15">
        <f t="shared" si="6"/>
        <v>12.5</v>
      </c>
      <c r="G53" s="15">
        <f t="shared" si="10"/>
        <v>12.5</v>
      </c>
      <c r="H53" s="20">
        <v>13.2595516371005</v>
      </c>
      <c r="I53" s="4">
        <f t="shared" si="0"/>
        <v>6.0764130968040009E-2</v>
      </c>
    </row>
    <row r="54" spans="1:9" x14ac:dyDescent="0.3">
      <c r="A54" t="s">
        <v>194</v>
      </c>
      <c r="B54" t="s">
        <v>224</v>
      </c>
      <c r="C54" t="s">
        <v>195</v>
      </c>
      <c r="D54" s="2">
        <v>10.327208830406599</v>
      </c>
      <c r="E54" t="str">
        <f t="shared" si="8"/>
        <v>Q2</v>
      </c>
      <c r="F54" s="15">
        <f t="shared" si="6"/>
        <v>12.5</v>
      </c>
      <c r="G54" s="15">
        <f t="shared" si="10"/>
        <v>12.5</v>
      </c>
      <c r="H54" s="20">
        <v>13.141910513181401</v>
      </c>
      <c r="I54" s="4">
        <f t="shared" si="0"/>
        <v>5.1352841054512099E-2</v>
      </c>
    </row>
    <row r="55" spans="1:9" x14ac:dyDescent="0.3">
      <c r="A55" t="s">
        <v>36</v>
      </c>
      <c r="B55" t="s">
        <v>224</v>
      </c>
      <c r="C55" t="s">
        <v>37</v>
      </c>
      <c r="D55" s="2">
        <v>10.275410094768199</v>
      </c>
      <c r="E55" t="str">
        <f t="shared" si="8"/>
        <v>Q2</v>
      </c>
      <c r="F55" s="15">
        <f t="shared" si="6"/>
        <v>12.5</v>
      </c>
      <c r="G55" s="15">
        <f t="shared" si="10"/>
        <v>12.5</v>
      </c>
      <c r="H55" s="20">
        <v>13.0002242356548</v>
      </c>
      <c r="I55" s="4">
        <f t="shared" si="0"/>
        <v>4.0017938852384027E-2</v>
      </c>
    </row>
    <row r="56" spans="1:9" x14ac:dyDescent="0.3">
      <c r="A56" t="s">
        <v>18</v>
      </c>
      <c r="B56" t="s">
        <v>224</v>
      </c>
      <c r="C56" t="s">
        <v>19</v>
      </c>
      <c r="D56" s="2">
        <v>10.2217220174781</v>
      </c>
      <c r="E56" t="str">
        <f t="shared" si="8"/>
        <v>Q2</v>
      </c>
      <c r="F56" s="15">
        <f t="shared" si="6"/>
        <v>12.5</v>
      </c>
      <c r="G56" s="15">
        <f t="shared" si="10"/>
        <v>12.5</v>
      </c>
      <c r="H56" s="20">
        <v>11.149654281214501</v>
      </c>
      <c r="I56" s="4">
        <f t="shared" si="0"/>
        <v>-0.10802765750283994</v>
      </c>
    </row>
    <row r="57" spans="1:9" x14ac:dyDescent="0.3">
      <c r="A57" t="s">
        <v>14</v>
      </c>
      <c r="B57" t="s">
        <v>224</v>
      </c>
      <c r="C57" t="s">
        <v>15</v>
      </c>
      <c r="D57" s="2">
        <v>10.214713574583399</v>
      </c>
      <c r="E57" t="str">
        <f t="shared" si="8"/>
        <v>Q2</v>
      </c>
      <c r="F57" s="15">
        <f t="shared" si="6"/>
        <v>12.5</v>
      </c>
      <c r="G57" s="15">
        <f t="shared" si="10"/>
        <v>12.5</v>
      </c>
      <c r="H57" s="20">
        <v>12.150757867966499</v>
      </c>
      <c r="I57" s="4">
        <f t="shared" si="0"/>
        <v>-2.7939370562680033E-2</v>
      </c>
    </row>
    <row r="58" spans="1:9" x14ac:dyDescent="0.3">
      <c r="A58" t="s">
        <v>78</v>
      </c>
      <c r="B58" t="s">
        <v>224</v>
      </c>
      <c r="C58" t="s">
        <v>79</v>
      </c>
      <c r="D58" s="2">
        <v>10.2049884598849</v>
      </c>
      <c r="E58" t="str">
        <f t="shared" si="8"/>
        <v>Q2</v>
      </c>
      <c r="F58" s="15">
        <f t="shared" si="6"/>
        <v>12.5</v>
      </c>
      <c r="G58" s="15">
        <f t="shared" si="10"/>
        <v>12.5</v>
      </c>
      <c r="H58" s="20">
        <v>11.211642799215699</v>
      </c>
      <c r="I58" s="4">
        <f t="shared" si="0"/>
        <v>-0.10306857606274411</v>
      </c>
    </row>
    <row r="59" spans="1:9" x14ac:dyDescent="0.3">
      <c r="A59" t="s">
        <v>128</v>
      </c>
      <c r="B59" t="s">
        <v>224</v>
      </c>
      <c r="C59" t="s">
        <v>129</v>
      </c>
      <c r="D59" s="2">
        <v>10.1542014791229</v>
      </c>
      <c r="E59" t="str">
        <f t="shared" si="8"/>
        <v>Q2</v>
      </c>
      <c r="F59" s="21">
        <f t="shared" si="6"/>
        <v>12</v>
      </c>
      <c r="G59" s="15">
        <f t="shared" si="10"/>
        <v>12.5</v>
      </c>
      <c r="H59" s="20">
        <v>13.8053100844983</v>
      </c>
      <c r="I59" s="4">
        <f t="shared" si="0"/>
        <v>0.1044248067598641</v>
      </c>
    </row>
    <row r="60" spans="1:9" x14ac:dyDescent="0.3">
      <c r="A60" t="s">
        <v>160</v>
      </c>
      <c r="B60" t="s">
        <v>224</v>
      </c>
      <c r="C60" t="s">
        <v>161</v>
      </c>
      <c r="D60" s="2">
        <v>10.1040363635347</v>
      </c>
      <c r="E60" t="str">
        <f t="shared" si="8"/>
        <v>Q2</v>
      </c>
      <c r="F60" s="21">
        <f t="shared" si="6"/>
        <v>12</v>
      </c>
      <c r="G60" s="15">
        <f t="shared" si="10"/>
        <v>12.5</v>
      </c>
      <c r="H60" s="20">
        <v>12.950028969941901</v>
      </c>
      <c r="I60" s="4">
        <f t="shared" si="0"/>
        <v>3.6002317595352107E-2</v>
      </c>
    </row>
    <row r="61" spans="1:9" x14ac:dyDescent="0.3">
      <c r="A61" t="s">
        <v>162</v>
      </c>
      <c r="B61" t="s">
        <v>224</v>
      </c>
      <c r="C61" t="s">
        <v>163</v>
      </c>
      <c r="D61" s="2">
        <v>10.0952169621688</v>
      </c>
      <c r="E61" t="str">
        <f t="shared" si="8"/>
        <v>Q1</v>
      </c>
      <c r="F61" s="21">
        <f t="shared" si="6"/>
        <v>13</v>
      </c>
      <c r="G61" s="15">
        <f>+G60</f>
        <v>12.5</v>
      </c>
      <c r="H61" s="20">
        <v>12.992659422542401</v>
      </c>
      <c r="I61" s="4">
        <f t="shared" si="0"/>
        <v>3.9412753803392153E-2</v>
      </c>
    </row>
    <row r="62" spans="1:9" x14ac:dyDescent="0.3">
      <c r="A62" t="s">
        <v>66</v>
      </c>
      <c r="B62" t="s">
        <v>224</v>
      </c>
      <c r="C62" t="s">
        <v>67</v>
      </c>
      <c r="D62" s="2">
        <v>10.0724354056099</v>
      </c>
      <c r="E62" t="str">
        <f t="shared" si="8"/>
        <v>Q1</v>
      </c>
      <c r="F62" s="15">
        <f t="shared" si="6"/>
        <v>12.5</v>
      </c>
      <c r="G62" s="15">
        <f t="shared" si="10"/>
        <v>12.5</v>
      </c>
      <c r="H62" s="20">
        <v>11.290451581482101</v>
      </c>
      <c r="I62" s="4">
        <f t="shared" si="0"/>
        <v>-9.6763873481431895E-2</v>
      </c>
    </row>
    <row r="63" spans="1:9" x14ac:dyDescent="0.3">
      <c r="A63" t="s">
        <v>42</v>
      </c>
      <c r="B63" t="s">
        <v>224</v>
      </c>
      <c r="C63" t="s">
        <v>43</v>
      </c>
      <c r="D63" s="2">
        <v>10.0658446429074</v>
      </c>
      <c r="E63" t="str">
        <f t="shared" si="8"/>
        <v>Q1</v>
      </c>
      <c r="F63" s="15">
        <f t="shared" si="6"/>
        <v>12.5</v>
      </c>
      <c r="G63" s="15">
        <f t="shared" si="10"/>
        <v>12.5</v>
      </c>
      <c r="H63" s="20">
        <v>11.9082383723646</v>
      </c>
      <c r="I63" s="4">
        <f t="shared" si="0"/>
        <v>-4.7340930210831966E-2</v>
      </c>
    </row>
    <row r="64" spans="1:9" x14ac:dyDescent="0.3">
      <c r="A64" t="s">
        <v>16</v>
      </c>
      <c r="B64" t="s">
        <v>224</v>
      </c>
      <c r="C64" t="s">
        <v>17</v>
      </c>
      <c r="D64" s="2">
        <v>10.0605649957496</v>
      </c>
      <c r="E64" t="str">
        <f t="shared" si="8"/>
        <v>Q1</v>
      </c>
      <c r="F64" s="15">
        <f t="shared" si="6"/>
        <v>12.5</v>
      </c>
      <c r="G64" s="15">
        <f t="shared" si="10"/>
        <v>12.5</v>
      </c>
      <c r="H64" s="20">
        <v>12.4449387832634</v>
      </c>
      <c r="I64" s="4">
        <f t="shared" si="0"/>
        <v>-4.4048973389280155E-3</v>
      </c>
    </row>
    <row r="65" spans="1:9" x14ac:dyDescent="0.3">
      <c r="A65" t="s">
        <v>186</v>
      </c>
      <c r="B65" t="s">
        <v>224</v>
      </c>
      <c r="C65" t="s">
        <v>187</v>
      </c>
      <c r="D65" s="2">
        <v>10.0600463434179</v>
      </c>
      <c r="E65" t="str">
        <f t="shared" si="8"/>
        <v>Q1</v>
      </c>
      <c r="F65" s="15">
        <f t="shared" si="6"/>
        <v>12.5</v>
      </c>
      <c r="G65" s="15">
        <f t="shared" si="10"/>
        <v>12.5</v>
      </c>
      <c r="H65" s="20">
        <v>13.1139542281767</v>
      </c>
      <c r="I65" s="4">
        <f t="shared" si="0"/>
        <v>4.9116338254135972E-2</v>
      </c>
    </row>
    <row r="66" spans="1:9" x14ac:dyDescent="0.3">
      <c r="A66" t="s">
        <v>72</v>
      </c>
      <c r="B66" t="s">
        <v>224</v>
      </c>
      <c r="C66" t="s">
        <v>73</v>
      </c>
      <c r="D66" s="2">
        <v>10.045723372884201</v>
      </c>
      <c r="E66" t="str">
        <f t="shared" si="8"/>
        <v>Q1</v>
      </c>
      <c r="F66" s="15">
        <f t="shared" si="6"/>
        <v>12.5</v>
      </c>
      <c r="G66" s="15">
        <f t="shared" si="10"/>
        <v>12.5</v>
      </c>
      <c r="H66" s="20">
        <v>12.1119420146783</v>
      </c>
      <c r="I66" s="4">
        <f t="shared" si="0"/>
        <v>-3.1044638825735937E-2</v>
      </c>
    </row>
    <row r="67" spans="1:9" x14ac:dyDescent="0.3">
      <c r="A67" t="s">
        <v>32</v>
      </c>
      <c r="B67" t="s">
        <v>224</v>
      </c>
      <c r="C67" t="s">
        <v>33</v>
      </c>
      <c r="D67" s="2">
        <v>9.8559610896331407</v>
      </c>
      <c r="E67" t="str">
        <f t="shared" si="8"/>
        <v>Q1</v>
      </c>
      <c r="F67" s="15">
        <f t="shared" ref="F67:F112" si="11">ROUNDUP((1+VLOOKUP(B67&amp;E67, M:U,9,0))*D67*2,0)/2</f>
        <v>12.5</v>
      </c>
      <c r="G67" s="15">
        <f t="shared" si="10"/>
        <v>12.5</v>
      </c>
      <c r="H67" s="20">
        <v>11.9593023573289</v>
      </c>
      <c r="I67" s="4">
        <f t="shared" ref="I67:I112" si="12">+H67/G67-1</f>
        <v>-4.3255811413688061E-2</v>
      </c>
    </row>
    <row r="68" spans="1:9" x14ac:dyDescent="0.3">
      <c r="A68" t="s">
        <v>58</v>
      </c>
      <c r="B68" t="s">
        <v>224</v>
      </c>
      <c r="C68" t="s">
        <v>59</v>
      </c>
      <c r="D68" s="2">
        <v>9.8421777633452905</v>
      </c>
      <c r="E68" t="str">
        <f t="shared" si="8"/>
        <v>Q1</v>
      </c>
      <c r="F68" s="15">
        <f t="shared" si="11"/>
        <v>12.5</v>
      </c>
      <c r="G68" s="15">
        <f t="shared" si="10"/>
        <v>12.5</v>
      </c>
      <c r="H68" s="20">
        <v>12.398768744759201</v>
      </c>
      <c r="I68" s="4">
        <f t="shared" si="12"/>
        <v>-8.0985004192639654E-3</v>
      </c>
    </row>
    <row r="69" spans="1:9" x14ac:dyDescent="0.3">
      <c r="A69" t="s">
        <v>192</v>
      </c>
      <c r="B69" t="s">
        <v>224</v>
      </c>
      <c r="C69" t="s">
        <v>193</v>
      </c>
      <c r="D69" s="2">
        <v>9.8320566227600192</v>
      </c>
      <c r="E69" t="str">
        <f t="shared" si="8"/>
        <v>Q1</v>
      </c>
      <c r="F69" s="15">
        <f t="shared" si="11"/>
        <v>12.5</v>
      </c>
      <c r="G69" s="15">
        <f t="shared" si="10"/>
        <v>12.5</v>
      </c>
      <c r="H69" s="20">
        <v>12.642657257286899</v>
      </c>
      <c r="I69" s="4">
        <f t="shared" si="12"/>
        <v>1.1412580582951914E-2</v>
      </c>
    </row>
    <row r="70" spans="1:9" x14ac:dyDescent="0.3">
      <c r="A70" t="s">
        <v>28</v>
      </c>
      <c r="B70" t="s">
        <v>224</v>
      </c>
      <c r="C70" t="s">
        <v>29</v>
      </c>
      <c r="D70" s="2">
        <v>9.8215075708867197</v>
      </c>
      <c r="E70" t="str">
        <f t="shared" si="8"/>
        <v>Q1</v>
      </c>
      <c r="F70" s="15">
        <f t="shared" si="11"/>
        <v>12.5</v>
      </c>
      <c r="G70" s="15">
        <f t="shared" si="10"/>
        <v>12.5</v>
      </c>
      <c r="H70" s="20">
        <v>11.465170456915001</v>
      </c>
      <c r="I70" s="4">
        <f t="shared" si="12"/>
        <v>-8.2786363446799904E-2</v>
      </c>
    </row>
    <row r="71" spans="1:9" x14ac:dyDescent="0.3">
      <c r="A71" t="s">
        <v>12</v>
      </c>
      <c r="B71" t="s">
        <v>224</v>
      </c>
      <c r="C71" t="s">
        <v>13</v>
      </c>
      <c r="D71" s="2">
        <v>9.7781291350551598</v>
      </c>
      <c r="E71" t="str">
        <f t="shared" si="8"/>
        <v>Q1</v>
      </c>
      <c r="F71" s="15">
        <f t="shared" si="11"/>
        <v>12.5</v>
      </c>
      <c r="G71" s="15">
        <f t="shared" si="10"/>
        <v>12.5</v>
      </c>
      <c r="H71" s="20">
        <v>11.0740330759825</v>
      </c>
      <c r="I71" s="4">
        <f t="shared" si="12"/>
        <v>-0.11407735392139995</v>
      </c>
    </row>
    <row r="72" spans="1:9" x14ac:dyDescent="0.3">
      <c r="A72" t="s">
        <v>158</v>
      </c>
      <c r="B72" t="s">
        <v>224</v>
      </c>
      <c r="C72" t="s">
        <v>159</v>
      </c>
      <c r="D72" s="2">
        <v>9.7476010541271094</v>
      </c>
      <c r="E72" t="str">
        <f t="shared" ref="E72:E79" si="13">IF(D72&lt;=_xlfn.QUARTILE.INC($D$7:$D$79,1),"Q1",
IF(D72&lt;=_xlfn.QUARTILE.INC($D$7:$D$79,2),"Q2",
IF(D72&lt;=_xlfn.QUARTILE.INC($D$7:$D$79,3),"Q3","Q4")))</f>
        <v>Q1</v>
      </c>
      <c r="F72" s="15">
        <f t="shared" si="11"/>
        <v>12.5</v>
      </c>
      <c r="G72" s="15">
        <f t="shared" si="10"/>
        <v>12.5</v>
      </c>
      <c r="H72" s="20">
        <v>11.976343920827601</v>
      </c>
      <c r="I72" s="4">
        <f t="shared" si="12"/>
        <v>-4.1892486333791945E-2</v>
      </c>
    </row>
    <row r="73" spans="1:9" x14ac:dyDescent="0.3">
      <c r="A73" t="s">
        <v>130</v>
      </c>
      <c r="B73" t="s">
        <v>224</v>
      </c>
      <c r="C73" t="s">
        <v>131</v>
      </c>
      <c r="D73" s="2">
        <v>9.6136868016032597</v>
      </c>
      <c r="E73" t="str">
        <f t="shared" si="13"/>
        <v>Q1</v>
      </c>
      <c r="F73" s="15">
        <f t="shared" si="11"/>
        <v>12</v>
      </c>
      <c r="G73" s="15">
        <f t="shared" si="10"/>
        <v>12</v>
      </c>
      <c r="H73" s="20">
        <v>11.097278868690299</v>
      </c>
      <c r="I73" s="4">
        <f t="shared" si="12"/>
        <v>-7.5226760942475046E-2</v>
      </c>
    </row>
    <row r="74" spans="1:9" x14ac:dyDescent="0.3">
      <c r="A74" t="s">
        <v>60</v>
      </c>
      <c r="B74" t="s">
        <v>224</v>
      </c>
      <c r="C74" t="s">
        <v>61</v>
      </c>
      <c r="D74" s="2">
        <v>9.6103102603074593</v>
      </c>
      <c r="E74" t="str">
        <f t="shared" si="13"/>
        <v>Q1</v>
      </c>
      <c r="F74" s="15">
        <f t="shared" si="11"/>
        <v>12</v>
      </c>
      <c r="G74" s="15">
        <f t="shared" si="10"/>
        <v>12</v>
      </c>
      <c r="H74" s="20">
        <v>10.220933804143201</v>
      </c>
      <c r="I74" s="4">
        <f t="shared" si="12"/>
        <v>-0.14825551632139999</v>
      </c>
    </row>
    <row r="75" spans="1:9" x14ac:dyDescent="0.3">
      <c r="A75" t="s">
        <v>26</v>
      </c>
      <c r="B75" t="s">
        <v>224</v>
      </c>
      <c r="C75" t="s">
        <v>27</v>
      </c>
      <c r="D75" s="2">
        <v>9.5688458718698204</v>
      </c>
      <c r="E75" t="str">
        <f t="shared" si="13"/>
        <v>Q1</v>
      </c>
      <c r="F75" s="15">
        <f t="shared" si="11"/>
        <v>12</v>
      </c>
      <c r="G75" s="15">
        <f t="shared" si="10"/>
        <v>12</v>
      </c>
      <c r="H75" s="20">
        <v>12.619246822035899</v>
      </c>
      <c r="I75" s="4">
        <f t="shared" si="12"/>
        <v>5.1603901836325017E-2</v>
      </c>
    </row>
    <row r="76" spans="1:9" x14ac:dyDescent="0.3">
      <c r="A76" t="s">
        <v>38</v>
      </c>
      <c r="B76" t="s">
        <v>224</v>
      </c>
      <c r="C76" t="s">
        <v>39</v>
      </c>
      <c r="D76" s="2">
        <v>9.4652723897189208</v>
      </c>
      <c r="E76" t="str">
        <f t="shared" si="13"/>
        <v>Q1</v>
      </c>
      <c r="F76" s="15">
        <f t="shared" si="11"/>
        <v>12</v>
      </c>
      <c r="G76" s="15">
        <f t="shared" si="10"/>
        <v>12</v>
      </c>
      <c r="H76" s="20">
        <v>13.018802115941201</v>
      </c>
      <c r="I76" s="4">
        <f t="shared" si="12"/>
        <v>8.4900176328433385E-2</v>
      </c>
    </row>
    <row r="77" spans="1:9" x14ac:dyDescent="0.3">
      <c r="A77" t="s">
        <v>30</v>
      </c>
      <c r="B77" t="s">
        <v>224</v>
      </c>
      <c r="C77" t="s">
        <v>31</v>
      </c>
      <c r="D77" s="2">
        <v>9.3635672365497395</v>
      </c>
      <c r="E77" t="str">
        <f t="shared" si="13"/>
        <v>Q1</v>
      </c>
      <c r="F77" s="15">
        <f t="shared" si="11"/>
        <v>12</v>
      </c>
      <c r="G77" s="15">
        <f>+MODE(F75:F79)</f>
        <v>12</v>
      </c>
      <c r="H77" s="20">
        <v>13.8211033671182</v>
      </c>
      <c r="I77" s="4">
        <f t="shared" si="12"/>
        <v>0.15175861392651657</v>
      </c>
    </row>
    <row r="78" spans="1:9" x14ac:dyDescent="0.3">
      <c r="A78" t="s">
        <v>122</v>
      </c>
      <c r="B78" t="s">
        <v>224</v>
      </c>
      <c r="C78" t="s">
        <v>123</v>
      </c>
      <c r="D78" s="2">
        <v>9.1631542520658495</v>
      </c>
      <c r="E78" t="str">
        <f t="shared" si="13"/>
        <v>Q1</v>
      </c>
      <c r="F78" s="15">
        <f t="shared" si="11"/>
        <v>11.5</v>
      </c>
      <c r="G78" s="15">
        <f>+F78</f>
        <v>11.5</v>
      </c>
      <c r="H78" s="20">
        <v>11.722475520564601</v>
      </c>
      <c r="I78" s="4">
        <f t="shared" si="12"/>
        <v>1.9345697440400045E-2</v>
      </c>
    </row>
    <row r="79" spans="1:9" x14ac:dyDescent="0.3">
      <c r="A79" t="s">
        <v>24</v>
      </c>
      <c r="B79" t="s">
        <v>224</v>
      </c>
      <c r="C79" t="s">
        <v>25</v>
      </c>
      <c r="D79" s="2">
        <v>8.9664258879020799</v>
      </c>
      <c r="E79" t="str">
        <f t="shared" si="13"/>
        <v>Q1</v>
      </c>
      <c r="F79" s="15">
        <f t="shared" si="11"/>
        <v>11.5</v>
      </c>
      <c r="G79" s="15">
        <f>+F79</f>
        <v>11.5</v>
      </c>
      <c r="H79" s="20">
        <v>11.055212703657601</v>
      </c>
      <c r="I79" s="4">
        <f t="shared" si="12"/>
        <v>-3.8677156203686947E-2</v>
      </c>
    </row>
    <row r="80" spans="1:9" x14ac:dyDescent="0.3">
      <c r="A80" t="s">
        <v>200</v>
      </c>
      <c r="B80" t="s">
        <v>222</v>
      </c>
      <c r="C80" t="s">
        <v>201</v>
      </c>
      <c r="D80" s="2">
        <v>9.24744061844636</v>
      </c>
      <c r="E80" t="s">
        <v>227</v>
      </c>
      <c r="F80" s="15">
        <f t="shared" si="11"/>
        <v>11.5</v>
      </c>
      <c r="G80" s="15">
        <f>+G81</f>
        <v>12.5</v>
      </c>
      <c r="H80" s="20">
        <v>14.438941867467401</v>
      </c>
      <c r="I80" s="4">
        <f t="shared" si="12"/>
        <v>0.15511534939739202</v>
      </c>
    </row>
    <row r="81" spans="1:9" x14ac:dyDescent="0.3">
      <c r="A81">
        <v>2638</v>
      </c>
      <c r="B81" t="s">
        <v>222</v>
      </c>
      <c r="C81" t="s">
        <v>5</v>
      </c>
      <c r="D81" s="2">
        <v>8.7889979479365401</v>
      </c>
      <c r="E81" t="s">
        <v>228</v>
      </c>
      <c r="F81" s="15">
        <f t="shared" si="11"/>
        <v>12.5</v>
      </c>
      <c r="G81" s="15">
        <f>+F81</f>
        <v>12.5</v>
      </c>
      <c r="H81" s="20">
        <v>14.353589174786</v>
      </c>
      <c r="I81" s="4">
        <f t="shared" si="12"/>
        <v>0.14828713398287996</v>
      </c>
    </row>
    <row r="82" spans="1:9" x14ac:dyDescent="0.3">
      <c r="A82" t="s">
        <v>136</v>
      </c>
      <c r="B82" t="s">
        <v>225</v>
      </c>
      <c r="C82" t="s">
        <v>137</v>
      </c>
      <c r="D82" s="2">
        <v>13.7186862162879</v>
      </c>
      <c r="E82" t="str">
        <f>IF(D82&lt;=_xlfn.QUARTILE.INC($D$82:$D$105,1),"Q1",
IF(D82&lt;=_xlfn.QUARTILE.INC($D$82:$D$105,2),"Q2",
IF(D82&lt;=_xlfn.QUARTILE.INC($D$82:$D$105,3),"Q3","Q4")))</f>
        <v>Q4</v>
      </c>
      <c r="F82" s="15">
        <f t="shared" si="11"/>
        <v>14.5</v>
      </c>
      <c r="G82" s="15">
        <f>+F82</f>
        <v>14.5</v>
      </c>
      <c r="H82" s="20">
        <v>18.107716157634002</v>
      </c>
      <c r="I82" s="4">
        <f t="shared" si="12"/>
        <v>0.24880801087131044</v>
      </c>
    </row>
    <row r="83" spans="1:9" x14ac:dyDescent="0.3">
      <c r="A83" t="s">
        <v>142</v>
      </c>
      <c r="B83" t="s">
        <v>225</v>
      </c>
      <c r="C83" t="s">
        <v>143</v>
      </c>
      <c r="D83" s="2">
        <v>13.5848559719785</v>
      </c>
      <c r="E83" t="str">
        <f t="shared" ref="E83:E105" si="14">IF(D83&lt;=_xlfn.QUARTILE.INC($D$82:$D$105,1),"Q1",
IF(D83&lt;=_xlfn.QUARTILE.INC($D$82:$D$105,2),"Q2",
IF(D83&lt;=_xlfn.QUARTILE.INC($D$82:$D$105,3),"Q3","Q4")))</f>
        <v>Q4</v>
      </c>
      <c r="F83" s="15">
        <f t="shared" si="11"/>
        <v>14.5</v>
      </c>
      <c r="G83" s="15">
        <f>+F83</f>
        <v>14.5</v>
      </c>
      <c r="H83" s="20">
        <v>16.058040501943999</v>
      </c>
      <c r="I83" s="4">
        <f t="shared" si="12"/>
        <v>0.10745106909958624</v>
      </c>
    </row>
    <row r="84" spans="1:9" x14ac:dyDescent="0.3">
      <c r="A84" t="s">
        <v>138</v>
      </c>
      <c r="B84" t="s">
        <v>225</v>
      </c>
      <c r="C84" t="s">
        <v>139</v>
      </c>
      <c r="D84" s="2">
        <v>13.4216613551758</v>
      </c>
      <c r="E84" t="str">
        <f t="shared" si="14"/>
        <v>Q4</v>
      </c>
      <c r="F84" s="15">
        <f t="shared" si="11"/>
        <v>14</v>
      </c>
      <c r="G84" s="15">
        <f t="shared" ref="G84:G102" si="15">+MODE(F82:F86)</f>
        <v>14.5</v>
      </c>
      <c r="H84" s="20">
        <v>17.040886286994599</v>
      </c>
      <c r="I84" s="4">
        <f t="shared" si="12"/>
        <v>0.17523353703411026</v>
      </c>
    </row>
    <row r="85" spans="1:9" x14ac:dyDescent="0.3">
      <c r="A85" t="s">
        <v>116</v>
      </c>
      <c r="B85" t="s">
        <v>225</v>
      </c>
      <c r="C85" t="s">
        <v>117</v>
      </c>
      <c r="D85" s="2">
        <v>12.817461213295999</v>
      </c>
      <c r="E85" t="str">
        <f t="shared" si="14"/>
        <v>Q4</v>
      </c>
      <c r="F85" s="15">
        <f t="shared" si="11"/>
        <v>13.5</v>
      </c>
      <c r="G85" s="15">
        <f t="shared" si="15"/>
        <v>13.5</v>
      </c>
      <c r="H85" s="20">
        <v>15.9254007905138</v>
      </c>
      <c r="I85" s="4">
        <f t="shared" si="12"/>
        <v>0.17965931781583699</v>
      </c>
    </row>
    <row r="86" spans="1:9" x14ac:dyDescent="0.3">
      <c r="A86" t="s">
        <v>120</v>
      </c>
      <c r="B86" t="s">
        <v>225</v>
      </c>
      <c r="C86" t="s">
        <v>121</v>
      </c>
      <c r="D86" s="2">
        <v>12.638108690522801</v>
      </c>
      <c r="E86" t="str">
        <f t="shared" si="14"/>
        <v>Q4</v>
      </c>
      <c r="F86" s="15">
        <f t="shared" si="11"/>
        <v>13.5</v>
      </c>
      <c r="G86" s="15">
        <f t="shared" si="15"/>
        <v>13.5</v>
      </c>
      <c r="H86" s="20">
        <v>14.567529608046801</v>
      </c>
      <c r="I86" s="4">
        <f t="shared" si="12"/>
        <v>7.9076267262726097E-2</v>
      </c>
    </row>
    <row r="87" spans="1:9" x14ac:dyDescent="0.3">
      <c r="A87" t="s">
        <v>102</v>
      </c>
      <c r="B87" t="s">
        <v>225</v>
      </c>
      <c r="C87" t="s">
        <v>103</v>
      </c>
      <c r="D87" s="2">
        <v>12.6116586406919</v>
      </c>
      <c r="E87" t="str">
        <f t="shared" si="14"/>
        <v>Q4</v>
      </c>
      <c r="F87" s="15">
        <f t="shared" si="11"/>
        <v>13.5</v>
      </c>
      <c r="G87" s="15">
        <f t="shared" si="15"/>
        <v>13.5</v>
      </c>
      <c r="H87" s="20">
        <v>16.754933370269299</v>
      </c>
      <c r="I87" s="4">
        <f t="shared" si="12"/>
        <v>0.24110617557550373</v>
      </c>
    </row>
    <row r="88" spans="1:9" x14ac:dyDescent="0.3">
      <c r="A88" t="s">
        <v>180</v>
      </c>
      <c r="B88" t="s">
        <v>225</v>
      </c>
      <c r="C88" t="s">
        <v>181</v>
      </c>
      <c r="D88" s="2">
        <v>12.3709770266299</v>
      </c>
      <c r="E88" t="str">
        <f t="shared" si="14"/>
        <v>Q3</v>
      </c>
      <c r="F88" s="15">
        <f t="shared" si="11"/>
        <v>13.5</v>
      </c>
      <c r="G88" s="15">
        <f t="shared" si="15"/>
        <v>13.5</v>
      </c>
      <c r="H88" s="20">
        <v>10.8509573868969</v>
      </c>
      <c r="I88" s="4">
        <f t="shared" si="12"/>
        <v>-0.19622537874837775</v>
      </c>
    </row>
    <row r="89" spans="1:9" x14ac:dyDescent="0.3">
      <c r="A89" t="s">
        <v>134</v>
      </c>
      <c r="B89" t="s">
        <v>225</v>
      </c>
      <c r="C89" t="s">
        <v>135</v>
      </c>
      <c r="D89" s="2">
        <v>12.043035421634301</v>
      </c>
      <c r="E89" t="str">
        <f t="shared" si="14"/>
        <v>Q3</v>
      </c>
      <c r="F89" s="15">
        <f t="shared" si="11"/>
        <v>13.5</v>
      </c>
      <c r="G89" s="15">
        <f t="shared" si="15"/>
        <v>13.5</v>
      </c>
      <c r="H89" s="20">
        <v>12.5463081149062</v>
      </c>
      <c r="I89" s="4">
        <f t="shared" si="12"/>
        <v>-7.0643843340281509E-2</v>
      </c>
    </row>
    <row r="90" spans="1:9" x14ac:dyDescent="0.3">
      <c r="A90" t="s">
        <v>168</v>
      </c>
      <c r="B90" t="s">
        <v>225</v>
      </c>
      <c r="C90" t="s">
        <v>169</v>
      </c>
      <c r="D90" s="2">
        <v>11.9051667327946</v>
      </c>
      <c r="E90" t="str">
        <f t="shared" si="14"/>
        <v>Q3</v>
      </c>
      <c r="F90" s="15">
        <f t="shared" si="11"/>
        <v>13</v>
      </c>
      <c r="G90" s="15">
        <f t="shared" si="15"/>
        <v>13.5</v>
      </c>
      <c r="H90" s="20">
        <v>14.111950185082399</v>
      </c>
      <c r="I90" s="4">
        <f t="shared" si="12"/>
        <v>4.5329643339437009E-2</v>
      </c>
    </row>
    <row r="91" spans="1:9" x14ac:dyDescent="0.3">
      <c r="A91" t="s">
        <v>140</v>
      </c>
      <c r="B91" t="s">
        <v>225</v>
      </c>
      <c r="C91" t="s">
        <v>141</v>
      </c>
      <c r="D91" s="2">
        <v>11.616028624647299</v>
      </c>
      <c r="E91" t="str">
        <f t="shared" si="14"/>
        <v>Q3</v>
      </c>
      <c r="F91" s="15">
        <f t="shared" si="11"/>
        <v>13</v>
      </c>
      <c r="G91" s="15">
        <f t="shared" si="15"/>
        <v>13</v>
      </c>
      <c r="H91" s="20">
        <v>11.433849785496699</v>
      </c>
      <c r="I91" s="4">
        <f t="shared" si="12"/>
        <v>-0.12047309342333079</v>
      </c>
    </row>
    <row r="92" spans="1:9" x14ac:dyDescent="0.3">
      <c r="A92" t="s">
        <v>86</v>
      </c>
      <c r="B92" t="s">
        <v>225</v>
      </c>
      <c r="C92" t="s">
        <v>87</v>
      </c>
      <c r="D92" s="2">
        <v>11.5693074323449</v>
      </c>
      <c r="E92" t="str">
        <f t="shared" si="14"/>
        <v>Q3</v>
      </c>
      <c r="F92" s="15">
        <f t="shared" si="11"/>
        <v>12.5</v>
      </c>
      <c r="G92" s="15">
        <f t="shared" si="15"/>
        <v>13</v>
      </c>
      <c r="H92" s="20">
        <v>12.9011668387786</v>
      </c>
      <c r="I92" s="4">
        <f t="shared" si="12"/>
        <v>-7.6025508631846206E-3</v>
      </c>
    </row>
    <row r="93" spans="1:9" x14ac:dyDescent="0.3">
      <c r="A93" t="s">
        <v>76</v>
      </c>
      <c r="B93" t="s">
        <v>225</v>
      </c>
      <c r="C93" t="s">
        <v>77</v>
      </c>
      <c r="D93" s="2">
        <v>11.4277920984189</v>
      </c>
      <c r="E93" t="str">
        <f t="shared" si="14"/>
        <v>Q3</v>
      </c>
      <c r="F93" s="15">
        <f t="shared" si="11"/>
        <v>12.5</v>
      </c>
      <c r="G93" s="15">
        <f t="shared" si="15"/>
        <v>13</v>
      </c>
      <c r="H93" s="20">
        <v>13.0964573744509</v>
      </c>
      <c r="I93" s="4">
        <f t="shared" si="12"/>
        <v>7.4197980346846215E-3</v>
      </c>
    </row>
    <row r="94" spans="1:9" x14ac:dyDescent="0.3">
      <c r="A94" t="s">
        <v>34</v>
      </c>
      <c r="B94" t="s">
        <v>225</v>
      </c>
      <c r="C94" t="s">
        <v>35</v>
      </c>
      <c r="D94" s="2">
        <v>11.279262475105</v>
      </c>
      <c r="E94" t="str">
        <f t="shared" si="14"/>
        <v>Q2</v>
      </c>
      <c r="F94" s="15">
        <f t="shared" si="11"/>
        <v>13</v>
      </c>
      <c r="G94" s="15">
        <f t="shared" si="15"/>
        <v>13</v>
      </c>
      <c r="H94" s="20">
        <v>13.269269389794999</v>
      </c>
      <c r="I94" s="4">
        <f t="shared" si="12"/>
        <v>2.0713029984230635E-2</v>
      </c>
    </row>
    <row r="95" spans="1:9" x14ac:dyDescent="0.3">
      <c r="A95" t="s">
        <v>40</v>
      </c>
      <c r="B95" t="s">
        <v>225</v>
      </c>
      <c r="C95" t="s">
        <v>41</v>
      </c>
      <c r="D95" s="2">
        <v>11.194289463821301</v>
      </c>
      <c r="E95" t="str">
        <f t="shared" si="14"/>
        <v>Q2</v>
      </c>
      <c r="F95" s="15">
        <f t="shared" si="11"/>
        <v>13</v>
      </c>
      <c r="G95" s="15">
        <f t="shared" si="15"/>
        <v>13</v>
      </c>
      <c r="H95" s="20">
        <v>13.190227189558801</v>
      </c>
      <c r="I95" s="4">
        <f t="shared" si="12"/>
        <v>1.4632860735292352E-2</v>
      </c>
    </row>
    <row r="96" spans="1:9" x14ac:dyDescent="0.3">
      <c r="A96" t="s">
        <v>44</v>
      </c>
      <c r="B96" t="s">
        <v>225</v>
      </c>
      <c r="C96" t="s">
        <v>45</v>
      </c>
      <c r="D96" s="2">
        <v>11.1308835333146</v>
      </c>
      <c r="E96" t="str">
        <f t="shared" si="14"/>
        <v>Q2</v>
      </c>
      <c r="F96" s="15">
        <f t="shared" si="11"/>
        <v>13</v>
      </c>
      <c r="G96" s="15">
        <f t="shared" si="15"/>
        <v>13</v>
      </c>
      <c r="H96" s="20">
        <v>12.3225818519126</v>
      </c>
      <c r="I96" s="4">
        <f t="shared" si="12"/>
        <v>-5.2109088314415297E-2</v>
      </c>
    </row>
    <row r="97" spans="1:9" x14ac:dyDescent="0.3">
      <c r="A97" t="s">
        <v>46</v>
      </c>
      <c r="B97" t="s">
        <v>225</v>
      </c>
      <c r="C97" t="s">
        <v>47</v>
      </c>
      <c r="D97" s="2">
        <v>11.1039067071662</v>
      </c>
      <c r="E97" t="str">
        <f t="shared" si="14"/>
        <v>Q2</v>
      </c>
      <c r="F97" s="15">
        <f t="shared" si="11"/>
        <v>13</v>
      </c>
      <c r="G97" s="15">
        <f t="shared" si="15"/>
        <v>13</v>
      </c>
      <c r="H97" s="20">
        <v>13.3742991704734</v>
      </c>
      <c r="I97" s="4">
        <f t="shared" si="12"/>
        <v>2.879224388256918E-2</v>
      </c>
    </row>
    <row r="98" spans="1:9" x14ac:dyDescent="0.3">
      <c r="A98" t="s">
        <v>104</v>
      </c>
      <c r="B98" t="s">
        <v>225</v>
      </c>
      <c r="C98" t="s">
        <v>105</v>
      </c>
      <c r="D98" s="2">
        <v>11.0327090605201</v>
      </c>
      <c r="E98" t="str">
        <f t="shared" si="14"/>
        <v>Q2</v>
      </c>
      <c r="F98" s="15">
        <f t="shared" si="11"/>
        <v>13</v>
      </c>
      <c r="G98" s="15">
        <f t="shared" si="15"/>
        <v>13</v>
      </c>
      <c r="H98" s="20">
        <v>13.8965305974416</v>
      </c>
      <c r="I98" s="4">
        <f t="shared" si="12"/>
        <v>6.8963892110892377E-2</v>
      </c>
    </row>
    <row r="99" spans="1:9" x14ac:dyDescent="0.3">
      <c r="A99" t="s">
        <v>50</v>
      </c>
      <c r="B99" t="s">
        <v>225</v>
      </c>
      <c r="C99" t="s">
        <v>51</v>
      </c>
      <c r="D99" s="2">
        <v>10.862910231506699</v>
      </c>
      <c r="E99" t="str">
        <f t="shared" si="14"/>
        <v>Q2</v>
      </c>
      <c r="F99" s="15">
        <f t="shared" si="11"/>
        <v>12.5</v>
      </c>
      <c r="G99" s="15">
        <f t="shared" si="15"/>
        <v>13</v>
      </c>
      <c r="H99" s="20">
        <v>13.0845278356088</v>
      </c>
      <c r="I99" s="4">
        <f t="shared" si="12"/>
        <v>6.5021412006769364E-3</v>
      </c>
    </row>
    <row r="100" spans="1:9" x14ac:dyDescent="0.3">
      <c r="A100" t="s">
        <v>144</v>
      </c>
      <c r="B100" t="s">
        <v>225</v>
      </c>
      <c r="C100" t="s">
        <v>145</v>
      </c>
      <c r="D100" s="2">
        <v>10.813509144796701</v>
      </c>
      <c r="E100" t="str">
        <f t="shared" si="14"/>
        <v>Q1</v>
      </c>
      <c r="F100" s="15">
        <f t="shared" si="11"/>
        <v>13.5</v>
      </c>
      <c r="G100" s="15">
        <f t="shared" si="15"/>
        <v>13</v>
      </c>
      <c r="H100" s="20">
        <v>13.1699400711867</v>
      </c>
      <c r="I100" s="4">
        <f t="shared" si="12"/>
        <v>1.3072313168207561E-2</v>
      </c>
    </row>
    <row r="101" spans="1:9" x14ac:dyDescent="0.3">
      <c r="A101" t="s">
        <v>146</v>
      </c>
      <c r="B101" t="s">
        <v>225</v>
      </c>
      <c r="C101" t="s">
        <v>147</v>
      </c>
      <c r="D101" s="2">
        <v>10.4561040049743</v>
      </c>
      <c r="E101" t="str">
        <f t="shared" si="14"/>
        <v>Q1</v>
      </c>
      <c r="F101" s="15">
        <f t="shared" si="11"/>
        <v>13</v>
      </c>
      <c r="G101" s="15">
        <f t="shared" si="15"/>
        <v>12.5</v>
      </c>
      <c r="H101" s="20">
        <v>12.5115109056958</v>
      </c>
      <c r="I101" s="4">
        <f t="shared" si="12"/>
        <v>9.2087245566396803E-4</v>
      </c>
    </row>
    <row r="102" spans="1:9" x14ac:dyDescent="0.3">
      <c r="A102" t="s">
        <v>8</v>
      </c>
      <c r="B102" t="s">
        <v>225</v>
      </c>
      <c r="C102" t="s">
        <v>9</v>
      </c>
      <c r="D102" s="2">
        <v>10.1322102670687</v>
      </c>
      <c r="E102" t="str">
        <f t="shared" si="14"/>
        <v>Q1</v>
      </c>
      <c r="F102" s="15">
        <f t="shared" si="11"/>
        <v>12.5</v>
      </c>
      <c r="G102" s="15">
        <f t="shared" si="15"/>
        <v>12.5</v>
      </c>
      <c r="H102" s="20">
        <v>11.1856496338909</v>
      </c>
      <c r="I102" s="4">
        <f t="shared" si="12"/>
        <v>-0.10514802928872802</v>
      </c>
    </row>
    <row r="103" spans="1:9" x14ac:dyDescent="0.3">
      <c r="A103" t="s">
        <v>48</v>
      </c>
      <c r="B103" t="s">
        <v>225</v>
      </c>
      <c r="C103" t="s">
        <v>49</v>
      </c>
      <c r="D103" s="2">
        <v>10.1106075473313</v>
      </c>
      <c r="E103" t="str">
        <f t="shared" si="14"/>
        <v>Q1</v>
      </c>
      <c r="F103" s="15">
        <f t="shared" si="11"/>
        <v>12.5</v>
      </c>
      <c r="G103" s="15">
        <f>+MODE(F101:F105)</f>
        <v>12.5</v>
      </c>
      <c r="H103" s="20">
        <v>11.532782141673099</v>
      </c>
      <c r="I103" s="4">
        <f t="shared" si="12"/>
        <v>-7.7377428666152048E-2</v>
      </c>
    </row>
    <row r="104" spans="1:9" x14ac:dyDescent="0.3">
      <c r="A104" t="s">
        <v>124</v>
      </c>
      <c r="B104" t="s">
        <v>225</v>
      </c>
      <c r="C104" t="s">
        <v>125</v>
      </c>
      <c r="D104" s="2">
        <v>9.8698077273235008</v>
      </c>
      <c r="E104" t="str">
        <f t="shared" si="14"/>
        <v>Q1</v>
      </c>
      <c r="F104" s="15">
        <f t="shared" si="11"/>
        <v>12.5</v>
      </c>
      <c r="G104" s="15">
        <f>+F104</f>
        <v>12.5</v>
      </c>
      <c r="H104" s="20">
        <v>11.2090057008645</v>
      </c>
      <c r="I104" s="4">
        <f t="shared" si="12"/>
        <v>-0.10327954393084005</v>
      </c>
    </row>
    <row r="105" spans="1:9" x14ac:dyDescent="0.3">
      <c r="A105" t="s">
        <v>126</v>
      </c>
      <c r="B105" t="s">
        <v>225</v>
      </c>
      <c r="C105" t="s">
        <v>127</v>
      </c>
      <c r="D105" s="2">
        <v>9.4492172258189004</v>
      </c>
      <c r="E105" t="str">
        <f t="shared" si="14"/>
        <v>Q1</v>
      </c>
      <c r="F105" s="15">
        <f t="shared" si="11"/>
        <v>12</v>
      </c>
      <c r="G105" s="15">
        <f>+F105</f>
        <v>12</v>
      </c>
      <c r="H105" s="20">
        <v>11.5163198753282</v>
      </c>
      <c r="I105" s="4">
        <f t="shared" si="12"/>
        <v>-4.0306677055983342E-2</v>
      </c>
    </row>
    <row r="106" spans="1:9" x14ac:dyDescent="0.3">
      <c r="A106" t="s">
        <v>212</v>
      </c>
      <c r="B106" t="s">
        <v>223</v>
      </c>
      <c r="C106" t="s">
        <v>213</v>
      </c>
      <c r="D106" s="2">
        <v>9.5896396578210101</v>
      </c>
      <c r="E106" t="str">
        <f>IF(D106&lt;=_xlfn.QUARTILE.INC($D$106:$D$112,1),"Q1",
IF(D106&lt;=_xlfn.QUARTILE.INC($D$106:$D$112,2),"Q2",
IF(D106&lt;=_xlfn.QUARTILE.INC($D$106:$D$112,3),"Q3","Q4")))</f>
        <v>Q4</v>
      </c>
      <c r="F106" s="15">
        <f t="shared" si="11"/>
        <v>10</v>
      </c>
      <c r="G106" s="15">
        <f>+F106</f>
        <v>10</v>
      </c>
      <c r="H106" s="20">
        <v>10.693054042219501</v>
      </c>
      <c r="I106" s="4">
        <f t="shared" si="12"/>
        <v>6.9305404221950084E-2</v>
      </c>
    </row>
    <row r="107" spans="1:9" x14ac:dyDescent="0.3">
      <c r="A107" t="s">
        <v>206</v>
      </c>
      <c r="B107" t="s">
        <v>223</v>
      </c>
      <c r="C107" t="s">
        <v>207</v>
      </c>
      <c r="D107" s="2">
        <v>9.0600520357470007</v>
      </c>
      <c r="E107" t="str">
        <f t="shared" ref="E107:E112" si="16">IF(D107&lt;=_xlfn.QUARTILE.INC($D$106:$D$112,1),"Q1",
IF(D107&lt;=_xlfn.QUARTILE.INC($D$106:$D$112,2),"Q2",
IF(D107&lt;=_xlfn.QUARTILE.INC($D$106:$D$112,3),"Q3","Q4")))</f>
        <v>Q4</v>
      </c>
      <c r="F107" s="15">
        <f t="shared" si="11"/>
        <v>9.5</v>
      </c>
      <c r="G107" s="15">
        <f>+F107</f>
        <v>9.5</v>
      </c>
      <c r="H107" s="20">
        <v>10.084802152052699</v>
      </c>
      <c r="I107" s="4">
        <f t="shared" si="12"/>
        <v>6.1558121268705079E-2</v>
      </c>
    </row>
    <row r="108" spans="1:9" x14ac:dyDescent="0.3">
      <c r="A108" t="s">
        <v>202</v>
      </c>
      <c r="B108" t="s">
        <v>223</v>
      </c>
      <c r="C108" t="s">
        <v>203</v>
      </c>
      <c r="D108" s="2">
        <v>8.8302655110083208</v>
      </c>
      <c r="E108" t="str">
        <f t="shared" si="16"/>
        <v>Q3</v>
      </c>
      <c r="F108" s="15">
        <f t="shared" si="11"/>
        <v>9.5</v>
      </c>
      <c r="G108" s="15">
        <f>+MODE(F106:F110)</f>
        <v>9.5</v>
      </c>
      <c r="H108" s="20">
        <v>9.3750023568556795</v>
      </c>
      <c r="I108" s="4">
        <f t="shared" si="12"/>
        <v>-1.3157646646770549E-2</v>
      </c>
    </row>
    <row r="109" spans="1:9" x14ac:dyDescent="0.3">
      <c r="A109" t="s">
        <v>214</v>
      </c>
      <c r="B109" t="s">
        <v>223</v>
      </c>
      <c r="C109" t="s">
        <v>215</v>
      </c>
      <c r="D109" s="2">
        <v>8.8128730781126698</v>
      </c>
      <c r="E109" t="str">
        <f t="shared" si="16"/>
        <v>Q2</v>
      </c>
      <c r="F109" s="15">
        <f t="shared" si="11"/>
        <v>9.5</v>
      </c>
      <c r="G109" s="15">
        <f>+MODE(F107:F111)</f>
        <v>9.5</v>
      </c>
      <c r="H109" s="20">
        <v>10.8162133059864</v>
      </c>
      <c r="I109" s="4">
        <f t="shared" si="12"/>
        <v>0.13854876905119995</v>
      </c>
    </row>
    <row r="110" spans="1:9" x14ac:dyDescent="0.3">
      <c r="A110" t="s">
        <v>204</v>
      </c>
      <c r="B110" t="s">
        <v>223</v>
      </c>
      <c r="C110" t="s">
        <v>205</v>
      </c>
      <c r="D110" s="2">
        <v>8.7616763166956204</v>
      </c>
      <c r="E110" t="str">
        <f t="shared" si="16"/>
        <v>Q2</v>
      </c>
      <c r="F110" s="15">
        <f t="shared" si="11"/>
        <v>9.5</v>
      </c>
      <c r="G110" s="15">
        <f>+F110</f>
        <v>9.5</v>
      </c>
      <c r="H110" s="20">
        <v>8.8604573590004794</v>
      </c>
      <c r="I110" s="4">
        <f t="shared" si="12"/>
        <v>-6.7320277999949552E-2</v>
      </c>
    </row>
    <row r="111" spans="1:9" x14ac:dyDescent="0.3">
      <c r="A111" t="s">
        <v>208</v>
      </c>
      <c r="B111" t="s">
        <v>223</v>
      </c>
      <c r="C111" t="s">
        <v>209</v>
      </c>
      <c r="D111" s="2">
        <v>8.6629640193433097</v>
      </c>
      <c r="E111" t="str">
        <f t="shared" si="16"/>
        <v>Q1</v>
      </c>
      <c r="F111" s="15">
        <f t="shared" si="11"/>
        <v>10</v>
      </c>
      <c r="G111" s="15">
        <f>+F110</f>
        <v>9.5</v>
      </c>
      <c r="H111" s="20">
        <v>8.7119832565948805</v>
      </c>
      <c r="I111" s="4">
        <f t="shared" si="12"/>
        <v>-8.2949130884749422E-2</v>
      </c>
    </row>
    <row r="112" spans="1:9" x14ac:dyDescent="0.3">
      <c r="A112" t="s">
        <v>210</v>
      </c>
      <c r="B112" t="s">
        <v>223</v>
      </c>
      <c r="C112" t="s">
        <v>211</v>
      </c>
      <c r="D112" s="2">
        <v>7.8680897046366001</v>
      </c>
      <c r="E112" t="str">
        <f t="shared" si="16"/>
        <v>Q1</v>
      </c>
      <c r="F112" s="15">
        <f t="shared" si="11"/>
        <v>9</v>
      </c>
      <c r="G112" s="15">
        <f>+F112</f>
        <v>9</v>
      </c>
      <c r="H112" s="20">
        <v>9.2995189761437693</v>
      </c>
      <c r="I112" s="4">
        <f t="shared" si="12"/>
        <v>3.3279886238196665E-2</v>
      </c>
    </row>
  </sheetData>
  <autoFilter ref="A1:D112" xr:uid="{239F9AB0-B81C-484A-B7BD-1739690B9D26}">
    <sortState xmlns:xlrd2="http://schemas.microsoft.com/office/spreadsheetml/2017/richdata2" ref="A2:D112">
      <sortCondition ref="B1:B112"/>
    </sortState>
  </autoFilter>
  <mergeCells count="2">
    <mergeCell ref="Q1:R1"/>
    <mergeCell ref="S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6B4E5-E897-4F04-BF6A-C26DBADAA95F}">
  <dimension ref="A1:B112"/>
  <sheetViews>
    <sheetView workbookViewId="0">
      <selection activeCell="F18" sqref="F18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1198</v>
      </c>
      <c r="B2">
        <v>15.334581329168399</v>
      </c>
    </row>
    <row r="3" spans="1:2" x14ac:dyDescent="0.3">
      <c r="A3">
        <v>1199</v>
      </c>
      <c r="B3">
        <v>11.6969679865472</v>
      </c>
    </row>
    <row r="4" spans="1:2" x14ac:dyDescent="0.3">
      <c r="A4">
        <v>1593</v>
      </c>
      <c r="B4">
        <v>14.5581490469164</v>
      </c>
    </row>
    <row r="5" spans="1:2" x14ac:dyDescent="0.3">
      <c r="A5">
        <v>2638</v>
      </c>
      <c r="B5">
        <v>14.353589174786</v>
      </c>
    </row>
    <row r="6" spans="1:2" x14ac:dyDescent="0.3">
      <c r="A6" t="s">
        <v>6</v>
      </c>
      <c r="B6">
        <v>12.8484195846028</v>
      </c>
    </row>
    <row r="7" spans="1:2" x14ac:dyDescent="0.3">
      <c r="A7" t="s">
        <v>8</v>
      </c>
      <c r="B7">
        <v>11.1856496338909</v>
      </c>
    </row>
    <row r="8" spans="1:2" x14ac:dyDescent="0.3">
      <c r="A8" t="s">
        <v>10</v>
      </c>
      <c r="B8">
        <v>11.419083053767499</v>
      </c>
    </row>
    <row r="9" spans="1:2" x14ac:dyDescent="0.3">
      <c r="A9" t="s">
        <v>12</v>
      </c>
      <c r="B9">
        <v>11.0740330759825</v>
      </c>
    </row>
    <row r="10" spans="1:2" x14ac:dyDescent="0.3">
      <c r="A10" t="s">
        <v>14</v>
      </c>
      <c r="B10">
        <v>12.150757867966499</v>
      </c>
    </row>
    <row r="11" spans="1:2" x14ac:dyDescent="0.3">
      <c r="A11" t="s">
        <v>16</v>
      </c>
      <c r="B11">
        <v>12.4449387832634</v>
      </c>
    </row>
    <row r="12" spans="1:2" x14ac:dyDescent="0.3">
      <c r="A12" t="s">
        <v>18</v>
      </c>
      <c r="B12">
        <v>11.149654281214501</v>
      </c>
    </row>
    <row r="13" spans="1:2" x14ac:dyDescent="0.3">
      <c r="A13" t="s">
        <v>20</v>
      </c>
      <c r="B13">
        <v>11.308542233646399</v>
      </c>
    </row>
    <row r="14" spans="1:2" x14ac:dyDescent="0.3">
      <c r="A14" t="s">
        <v>22</v>
      </c>
      <c r="B14">
        <v>11.817497986287201</v>
      </c>
    </row>
    <row r="15" spans="1:2" x14ac:dyDescent="0.3">
      <c r="A15" t="s">
        <v>24</v>
      </c>
      <c r="B15">
        <v>11.055212703657601</v>
      </c>
    </row>
    <row r="16" spans="1:2" x14ac:dyDescent="0.3">
      <c r="A16" t="s">
        <v>26</v>
      </c>
      <c r="B16">
        <v>12.619246822035899</v>
      </c>
    </row>
    <row r="17" spans="1:2" x14ac:dyDescent="0.3">
      <c r="A17" t="s">
        <v>28</v>
      </c>
      <c r="B17">
        <v>11.465170456915001</v>
      </c>
    </row>
    <row r="18" spans="1:2" x14ac:dyDescent="0.3">
      <c r="A18" t="s">
        <v>30</v>
      </c>
      <c r="B18">
        <v>13.8211033671182</v>
      </c>
    </row>
    <row r="19" spans="1:2" x14ac:dyDescent="0.3">
      <c r="A19" t="s">
        <v>32</v>
      </c>
      <c r="B19">
        <v>11.9593023573289</v>
      </c>
    </row>
    <row r="20" spans="1:2" x14ac:dyDescent="0.3">
      <c r="A20" t="s">
        <v>34</v>
      </c>
      <c r="B20">
        <v>13.269269389794999</v>
      </c>
    </row>
    <row r="21" spans="1:2" x14ac:dyDescent="0.3">
      <c r="A21" t="s">
        <v>36</v>
      </c>
      <c r="B21">
        <v>13.0002242356548</v>
      </c>
    </row>
    <row r="22" spans="1:2" x14ac:dyDescent="0.3">
      <c r="A22" t="s">
        <v>38</v>
      </c>
      <c r="B22">
        <v>13.018802115941201</v>
      </c>
    </row>
    <row r="23" spans="1:2" x14ac:dyDescent="0.3">
      <c r="A23" t="s">
        <v>40</v>
      </c>
      <c r="B23">
        <v>13.190227189558801</v>
      </c>
    </row>
    <row r="24" spans="1:2" x14ac:dyDescent="0.3">
      <c r="A24" t="s">
        <v>42</v>
      </c>
      <c r="B24">
        <v>11.9082383723646</v>
      </c>
    </row>
    <row r="25" spans="1:2" x14ac:dyDescent="0.3">
      <c r="A25" t="s">
        <v>44</v>
      </c>
      <c r="B25">
        <v>12.3225818519126</v>
      </c>
    </row>
    <row r="26" spans="1:2" x14ac:dyDescent="0.3">
      <c r="A26" t="s">
        <v>46</v>
      </c>
      <c r="B26">
        <v>13.3742991704734</v>
      </c>
    </row>
    <row r="27" spans="1:2" x14ac:dyDescent="0.3">
      <c r="A27" t="s">
        <v>48</v>
      </c>
      <c r="B27">
        <v>11.532782141673099</v>
      </c>
    </row>
    <row r="28" spans="1:2" x14ac:dyDescent="0.3">
      <c r="A28" t="s">
        <v>50</v>
      </c>
      <c r="B28">
        <v>13.0845278356088</v>
      </c>
    </row>
    <row r="29" spans="1:2" x14ac:dyDescent="0.3">
      <c r="A29" t="s">
        <v>52</v>
      </c>
      <c r="B29">
        <v>14.3673701642953</v>
      </c>
    </row>
    <row r="30" spans="1:2" x14ac:dyDescent="0.3">
      <c r="A30" t="s">
        <v>54</v>
      </c>
      <c r="B30">
        <v>12.260089494163401</v>
      </c>
    </row>
    <row r="31" spans="1:2" x14ac:dyDescent="0.3">
      <c r="A31" t="s">
        <v>56</v>
      </c>
      <c r="B31">
        <v>12.4202230156938</v>
      </c>
    </row>
    <row r="32" spans="1:2" x14ac:dyDescent="0.3">
      <c r="A32" t="s">
        <v>58</v>
      </c>
      <c r="B32">
        <v>12.398768744759201</v>
      </c>
    </row>
    <row r="33" spans="1:2" x14ac:dyDescent="0.3">
      <c r="A33" t="s">
        <v>60</v>
      </c>
      <c r="B33">
        <v>10.220933804143201</v>
      </c>
    </row>
    <row r="34" spans="1:2" x14ac:dyDescent="0.3">
      <c r="A34" t="s">
        <v>62</v>
      </c>
      <c r="B34">
        <v>11.650875317293799</v>
      </c>
    </row>
    <row r="35" spans="1:2" x14ac:dyDescent="0.3">
      <c r="A35" t="s">
        <v>64</v>
      </c>
      <c r="B35">
        <v>12.7883864993166</v>
      </c>
    </row>
    <row r="36" spans="1:2" x14ac:dyDescent="0.3">
      <c r="A36" t="s">
        <v>66</v>
      </c>
      <c r="B36">
        <v>11.290451581482101</v>
      </c>
    </row>
    <row r="37" spans="1:2" x14ac:dyDescent="0.3">
      <c r="A37" t="s">
        <v>68</v>
      </c>
      <c r="B37">
        <v>12.737633379829701</v>
      </c>
    </row>
    <row r="38" spans="1:2" x14ac:dyDescent="0.3">
      <c r="A38" t="s">
        <v>70</v>
      </c>
      <c r="B38">
        <v>14.1713203161374</v>
      </c>
    </row>
    <row r="39" spans="1:2" x14ac:dyDescent="0.3">
      <c r="A39" t="s">
        <v>72</v>
      </c>
      <c r="B39">
        <v>12.1119420146783</v>
      </c>
    </row>
    <row r="40" spans="1:2" x14ac:dyDescent="0.3">
      <c r="A40" t="s">
        <v>74</v>
      </c>
      <c r="B40">
        <v>11.692946601732499</v>
      </c>
    </row>
    <row r="41" spans="1:2" x14ac:dyDescent="0.3">
      <c r="A41" t="s">
        <v>76</v>
      </c>
      <c r="B41">
        <v>13.0964573744509</v>
      </c>
    </row>
    <row r="42" spans="1:2" x14ac:dyDescent="0.3">
      <c r="A42" t="s">
        <v>78</v>
      </c>
      <c r="B42">
        <v>11.211642799215699</v>
      </c>
    </row>
    <row r="43" spans="1:2" x14ac:dyDescent="0.3">
      <c r="A43" t="s">
        <v>80</v>
      </c>
      <c r="B43">
        <v>11.8254519990593</v>
      </c>
    </row>
    <row r="44" spans="1:2" x14ac:dyDescent="0.3">
      <c r="A44" t="s">
        <v>82</v>
      </c>
      <c r="B44">
        <v>12.7692166974798</v>
      </c>
    </row>
    <row r="45" spans="1:2" x14ac:dyDescent="0.3">
      <c r="A45" t="s">
        <v>84</v>
      </c>
      <c r="B45">
        <v>12.9611818523196</v>
      </c>
    </row>
    <row r="46" spans="1:2" x14ac:dyDescent="0.3">
      <c r="A46" t="s">
        <v>86</v>
      </c>
      <c r="B46">
        <v>12.9011668387786</v>
      </c>
    </row>
    <row r="47" spans="1:2" x14ac:dyDescent="0.3">
      <c r="A47" t="s">
        <v>88</v>
      </c>
      <c r="B47">
        <v>12.277408655524599</v>
      </c>
    </row>
    <row r="48" spans="1:2" x14ac:dyDescent="0.3">
      <c r="A48" t="s">
        <v>90</v>
      </c>
      <c r="B48">
        <v>15.234053917430799</v>
      </c>
    </row>
    <row r="49" spans="1:2" x14ac:dyDescent="0.3">
      <c r="A49" t="s">
        <v>92</v>
      </c>
      <c r="B49">
        <v>11.428952383044299</v>
      </c>
    </row>
    <row r="50" spans="1:2" x14ac:dyDescent="0.3">
      <c r="A50" t="s">
        <v>94</v>
      </c>
      <c r="B50">
        <v>12.9464780174164</v>
      </c>
    </row>
    <row r="51" spans="1:2" x14ac:dyDescent="0.3">
      <c r="A51" t="s">
        <v>96</v>
      </c>
      <c r="B51">
        <v>14.2240163034958</v>
      </c>
    </row>
    <row r="52" spans="1:2" x14ac:dyDescent="0.3">
      <c r="A52" t="s">
        <v>98</v>
      </c>
      <c r="B52">
        <v>12.4997637779208</v>
      </c>
    </row>
    <row r="53" spans="1:2" x14ac:dyDescent="0.3">
      <c r="A53" t="s">
        <v>100</v>
      </c>
      <c r="B53">
        <v>14.393396493627501</v>
      </c>
    </row>
    <row r="54" spans="1:2" x14ac:dyDescent="0.3">
      <c r="A54" t="s">
        <v>102</v>
      </c>
      <c r="B54">
        <v>16.754933370269299</v>
      </c>
    </row>
    <row r="55" spans="1:2" x14ac:dyDescent="0.3">
      <c r="A55" t="s">
        <v>104</v>
      </c>
      <c r="B55">
        <v>13.8965305974416</v>
      </c>
    </row>
    <row r="56" spans="1:2" x14ac:dyDescent="0.3">
      <c r="A56" t="s">
        <v>106</v>
      </c>
      <c r="B56">
        <v>14.341935951924601</v>
      </c>
    </row>
    <row r="57" spans="1:2" x14ac:dyDescent="0.3">
      <c r="A57" t="s">
        <v>108</v>
      </c>
      <c r="B57">
        <v>16.5526481948331</v>
      </c>
    </row>
    <row r="58" spans="1:2" x14ac:dyDescent="0.3">
      <c r="A58" t="s">
        <v>110</v>
      </c>
      <c r="B58">
        <v>10.962879750608501</v>
      </c>
    </row>
    <row r="59" spans="1:2" x14ac:dyDescent="0.3">
      <c r="A59" t="s">
        <v>112</v>
      </c>
      <c r="B59">
        <v>14.238952190767</v>
      </c>
    </row>
    <row r="60" spans="1:2" x14ac:dyDescent="0.3">
      <c r="A60" t="s">
        <v>114</v>
      </c>
      <c r="B60">
        <v>15.1547619047619</v>
      </c>
    </row>
    <row r="61" spans="1:2" x14ac:dyDescent="0.3">
      <c r="A61" t="s">
        <v>116</v>
      </c>
      <c r="B61">
        <v>15.9254007905138</v>
      </c>
    </row>
    <row r="62" spans="1:2" x14ac:dyDescent="0.3">
      <c r="A62" t="s">
        <v>118</v>
      </c>
      <c r="B62">
        <v>13.3364622317963</v>
      </c>
    </row>
    <row r="63" spans="1:2" x14ac:dyDescent="0.3">
      <c r="A63" t="s">
        <v>120</v>
      </c>
      <c r="B63">
        <v>14.567529608046801</v>
      </c>
    </row>
    <row r="64" spans="1:2" x14ac:dyDescent="0.3">
      <c r="A64" t="s">
        <v>122</v>
      </c>
      <c r="B64">
        <v>11.722475520564601</v>
      </c>
    </row>
    <row r="65" spans="1:2" x14ac:dyDescent="0.3">
      <c r="A65" t="s">
        <v>124</v>
      </c>
      <c r="B65">
        <v>11.2090057008645</v>
      </c>
    </row>
    <row r="66" spans="1:2" x14ac:dyDescent="0.3">
      <c r="A66" t="s">
        <v>126</v>
      </c>
      <c r="B66">
        <v>11.5163198753282</v>
      </c>
    </row>
    <row r="67" spans="1:2" x14ac:dyDescent="0.3">
      <c r="A67" t="s">
        <v>128</v>
      </c>
      <c r="B67">
        <v>13.8053100844983</v>
      </c>
    </row>
    <row r="68" spans="1:2" x14ac:dyDescent="0.3">
      <c r="A68" t="s">
        <v>130</v>
      </c>
      <c r="B68">
        <v>11.097278868690299</v>
      </c>
    </row>
    <row r="69" spans="1:2" x14ac:dyDescent="0.3">
      <c r="A69" t="s">
        <v>132</v>
      </c>
      <c r="B69">
        <v>13.4577305571142</v>
      </c>
    </row>
    <row r="70" spans="1:2" x14ac:dyDescent="0.3">
      <c r="A70" t="s">
        <v>134</v>
      </c>
      <c r="B70">
        <v>12.5463081149062</v>
      </c>
    </row>
    <row r="71" spans="1:2" x14ac:dyDescent="0.3">
      <c r="A71" t="s">
        <v>136</v>
      </c>
      <c r="B71">
        <v>18.107716157634002</v>
      </c>
    </row>
    <row r="72" spans="1:2" x14ac:dyDescent="0.3">
      <c r="A72" t="s">
        <v>138</v>
      </c>
      <c r="B72">
        <v>17.040886286994599</v>
      </c>
    </row>
    <row r="73" spans="1:2" x14ac:dyDescent="0.3">
      <c r="A73" t="s">
        <v>140</v>
      </c>
      <c r="B73">
        <v>11.433849785496699</v>
      </c>
    </row>
    <row r="74" spans="1:2" x14ac:dyDescent="0.3">
      <c r="A74" t="s">
        <v>142</v>
      </c>
      <c r="B74">
        <v>16.058040501943999</v>
      </c>
    </row>
    <row r="75" spans="1:2" x14ac:dyDescent="0.3">
      <c r="A75" t="s">
        <v>144</v>
      </c>
      <c r="B75">
        <v>13.1699400711867</v>
      </c>
    </row>
    <row r="76" spans="1:2" x14ac:dyDescent="0.3">
      <c r="A76" t="s">
        <v>146</v>
      </c>
      <c r="B76">
        <v>12.5115109056958</v>
      </c>
    </row>
    <row r="77" spans="1:2" x14ac:dyDescent="0.3">
      <c r="A77" t="s">
        <v>148</v>
      </c>
      <c r="B77">
        <v>13.801333546674099</v>
      </c>
    </row>
    <row r="78" spans="1:2" x14ac:dyDescent="0.3">
      <c r="A78" t="s">
        <v>150</v>
      </c>
      <c r="B78">
        <v>12.3203892071258</v>
      </c>
    </row>
    <row r="79" spans="1:2" x14ac:dyDescent="0.3">
      <c r="A79" t="s">
        <v>152</v>
      </c>
      <c r="B79">
        <v>13.2595516371005</v>
      </c>
    </row>
    <row r="80" spans="1:2" x14ac:dyDescent="0.3">
      <c r="A80" t="s">
        <v>154</v>
      </c>
      <c r="B80">
        <v>15.2423687741218</v>
      </c>
    </row>
    <row r="81" spans="1:2" x14ac:dyDescent="0.3">
      <c r="A81" t="s">
        <v>156</v>
      </c>
      <c r="B81">
        <v>13.897573762188101</v>
      </c>
    </row>
    <row r="82" spans="1:2" x14ac:dyDescent="0.3">
      <c r="A82" t="s">
        <v>158</v>
      </c>
      <c r="B82">
        <v>11.976343920827601</v>
      </c>
    </row>
    <row r="83" spans="1:2" x14ac:dyDescent="0.3">
      <c r="A83" t="s">
        <v>160</v>
      </c>
      <c r="B83">
        <v>12.950028969941901</v>
      </c>
    </row>
    <row r="84" spans="1:2" x14ac:dyDescent="0.3">
      <c r="A84" t="s">
        <v>162</v>
      </c>
      <c r="B84">
        <v>12.992659422542401</v>
      </c>
    </row>
    <row r="85" spans="1:2" x14ac:dyDescent="0.3">
      <c r="A85" t="s">
        <v>164</v>
      </c>
      <c r="B85">
        <v>14.9343421891832</v>
      </c>
    </row>
    <row r="86" spans="1:2" x14ac:dyDescent="0.3">
      <c r="A86" t="s">
        <v>166</v>
      </c>
      <c r="B86">
        <v>16.310374730480401</v>
      </c>
    </row>
    <row r="87" spans="1:2" x14ac:dyDescent="0.3">
      <c r="A87" t="s">
        <v>168</v>
      </c>
      <c r="B87">
        <v>14.111950185082399</v>
      </c>
    </row>
    <row r="88" spans="1:2" x14ac:dyDescent="0.3">
      <c r="A88" t="s">
        <v>170</v>
      </c>
      <c r="B88">
        <v>13.7683970419577</v>
      </c>
    </row>
    <row r="89" spans="1:2" x14ac:dyDescent="0.3">
      <c r="A89" t="s">
        <v>172</v>
      </c>
      <c r="B89">
        <v>15.2350189356188</v>
      </c>
    </row>
    <row r="90" spans="1:2" x14ac:dyDescent="0.3">
      <c r="A90" t="s">
        <v>174</v>
      </c>
      <c r="B90">
        <v>13.7079785535191</v>
      </c>
    </row>
    <row r="91" spans="1:2" x14ac:dyDescent="0.3">
      <c r="A91" t="s">
        <v>176</v>
      </c>
      <c r="B91">
        <v>11.5901444644146</v>
      </c>
    </row>
    <row r="92" spans="1:2" x14ac:dyDescent="0.3">
      <c r="A92" t="s">
        <v>178</v>
      </c>
      <c r="B92">
        <v>11.733610198604801</v>
      </c>
    </row>
    <row r="93" spans="1:2" x14ac:dyDescent="0.3">
      <c r="A93" t="s">
        <v>180</v>
      </c>
      <c r="B93">
        <v>10.8509573868969</v>
      </c>
    </row>
    <row r="94" spans="1:2" x14ac:dyDescent="0.3">
      <c r="A94" t="s">
        <v>182</v>
      </c>
      <c r="B94">
        <v>11.543086943275201</v>
      </c>
    </row>
    <row r="95" spans="1:2" x14ac:dyDescent="0.3">
      <c r="A95" t="s">
        <v>184</v>
      </c>
      <c r="B95">
        <v>13.011434749022399</v>
      </c>
    </row>
    <row r="96" spans="1:2" x14ac:dyDescent="0.3">
      <c r="A96" t="s">
        <v>186</v>
      </c>
      <c r="B96">
        <v>13.1139542281767</v>
      </c>
    </row>
    <row r="97" spans="1:2" x14ac:dyDescent="0.3">
      <c r="A97" t="s">
        <v>188</v>
      </c>
      <c r="B97">
        <v>13.3987526458248</v>
      </c>
    </row>
    <row r="98" spans="1:2" x14ac:dyDescent="0.3">
      <c r="A98" t="s">
        <v>190</v>
      </c>
      <c r="B98">
        <v>12.055029148304101</v>
      </c>
    </row>
    <row r="99" spans="1:2" x14ac:dyDescent="0.3">
      <c r="A99" t="s">
        <v>192</v>
      </c>
      <c r="B99">
        <v>12.642657257286899</v>
      </c>
    </row>
    <row r="100" spans="1:2" x14ac:dyDescent="0.3">
      <c r="A100" t="s">
        <v>194</v>
      </c>
      <c r="B100">
        <v>13.141910513181401</v>
      </c>
    </row>
    <row r="101" spans="1:2" x14ac:dyDescent="0.3">
      <c r="A101" t="s">
        <v>196</v>
      </c>
      <c r="B101">
        <v>15.005455044282799</v>
      </c>
    </row>
    <row r="102" spans="1:2" x14ac:dyDescent="0.3">
      <c r="A102" t="s">
        <v>198</v>
      </c>
      <c r="B102">
        <v>13.186410982672699</v>
      </c>
    </row>
    <row r="103" spans="1:2" x14ac:dyDescent="0.3">
      <c r="A103" t="s">
        <v>200</v>
      </c>
      <c r="B103">
        <v>14.438941867467401</v>
      </c>
    </row>
    <row r="104" spans="1:2" x14ac:dyDescent="0.3">
      <c r="A104" t="s">
        <v>202</v>
      </c>
      <c r="B104">
        <v>9.3750023568556795</v>
      </c>
    </row>
    <row r="105" spans="1:2" x14ac:dyDescent="0.3">
      <c r="A105" t="s">
        <v>204</v>
      </c>
      <c r="B105">
        <v>8.8604573590004794</v>
      </c>
    </row>
    <row r="106" spans="1:2" x14ac:dyDescent="0.3">
      <c r="A106" t="s">
        <v>206</v>
      </c>
      <c r="B106">
        <v>10.084802152052699</v>
      </c>
    </row>
    <row r="107" spans="1:2" x14ac:dyDescent="0.3">
      <c r="A107" t="s">
        <v>208</v>
      </c>
      <c r="B107">
        <v>8.7119832565948805</v>
      </c>
    </row>
    <row r="108" spans="1:2" x14ac:dyDescent="0.3">
      <c r="A108" t="s">
        <v>210</v>
      </c>
      <c r="B108">
        <v>9.2995189761437693</v>
      </c>
    </row>
    <row r="109" spans="1:2" x14ac:dyDescent="0.3">
      <c r="A109" t="s">
        <v>212</v>
      </c>
      <c r="B109">
        <v>10.693054042219501</v>
      </c>
    </row>
    <row r="110" spans="1:2" x14ac:dyDescent="0.3">
      <c r="A110" t="s">
        <v>214</v>
      </c>
      <c r="B110">
        <v>10.8162133059864</v>
      </c>
    </row>
    <row r="111" spans="1:2" x14ac:dyDescent="0.3">
      <c r="A111" t="s">
        <v>216</v>
      </c>
      <c r="B111">
        <v>12.016696397787401</v>
      </c>
    </row>
    <row r="112" spans="1:2" x14ac:dyDescent="0.3">
      <c r="A112" t="s">
        <v>218</v>
      </c>
      <c r="B112">
        <v>12.1020790985561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Hoja3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Paredes</dc:creator>
  <cp:lastModifiedBy>Enrique Paredes</cp:lastModifiedBy>
  <dcterms:created xsi:type="dcterms:W3CDTF">2026-07-16T22:30:37Z</dcterms:created>
  <dcterms:modified xsi:type="dcterms:W3CDTF">2026-07-17T00:43:36Z</dcterms:modified>
</cp:coreProperties>
</file>